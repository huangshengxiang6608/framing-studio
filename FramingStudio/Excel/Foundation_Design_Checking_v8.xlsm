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 Huang\Documents\ChatGPT\Excel\outputs\01a0d24c-foundation\"/>
    </mc:Choice>
  </mc:AlternateContent>
  <xr:revisionPtr revIDLastSave="0" documentId="13_ncr:1_{3715C4C7-EE76-4A45-8E56-AC1FB29BEDE2}" xr6:coauthVersionLast="47" xr6:coauthVersionMax="47" xr10:uidLastSave="{00000000-0000-0000-0000-000000000000}"/>
  <bookViews>
    <workbookView xWindow="-108" yWindow="-108" windowWidth="30936" windowHeight="16776" firstSheet="2" activeTab="4" xr2:uid="{00000000-000D-0000-FFFF-FFFF00000000}"/>
  </bookViews>
  <sheets>
    <sheet name="A Bored Pile Checking" sheetId="1" r:id="rId1"/>
    <sheet name="A Socket H Checking" sheetId="2" r:id="rId2"/>
    <sheet name="A Driven H Checking" sheetId="3" r:id="rId3"/>
    <sheet name="A Mini Pile Checking" sheetId="4" r:id="rId4"/>
    <sheet name="Section A 抄" sheetId="5" r:id="rId5"/>
    <sheet name="B Bored Pile Checking" sheetId="6" r:id="rId6"/>
    <sheet name="B Socket H Checking" sheetId="7" r:id="rId7"/>
    <sheet name="Section B 抄" sheetId="8" r:id="rId8"/>
  </sheets>
  <definedNames>
    <definedName name="_xlnm.Print_Area" localSheetId="0">'A Bored Pile Checking'!$A$1:$E$73</definedName>
    <definedName name="_xlnm.Print_Area" localSheetId="2">'A Driven H Checking'!$A$1:$E$54</definedName>
    <definedName name="_xlnm.Print_Area" localSheetId="3">'A Mini Pile Checking'!$A$1:$E$56</definedName>
    <definedName name="_xlnm.Print_Area" localSheetId="1">'A Socket H Checking'!$A$1:$E$54</definedName>
    <definedName name="_xlnm.Print_Area" localSheetId="5">'B Bored Pile Checking'!$A$1:$E$59</definedName>
    <definedName name="_xlnm.Print_Area" localSheetId="6">'B Socket H Checking'!$A$1:$E$58</definedName>
    <definedName name="_xlnm.Print_Area" localSheetId="4">'Section A 抄'!$A$6:$H$51</definedName>
    <definedName name="_xlnm.Print_Area" localSheetId="7">'Section B 抄'!$A$6:$H$26</definedName>
    <definedName name="_xlnm.Print_Titles" localSheetId="0">'A Bored Pile Checking'!$1:$6</definedName>
    <definedName name="_xlnm.Print_Titles" localSheetId="2">'A Driven H Checking'!$1:$6</definedName>
    <definedName name="_xlnm.Print_Titles" localSheetId="3">'A Mini Pile Checking'!$1:$6</definedName>
    <definedName name="_xlnm.Print_Titles" localSheetId="1">'A Socket H Checking'!$1:$6</definedName>
    <definedName name="_xlnm.Print_Titles" localSheetId="5">'B Bored Pile Checking'!$1:$6</definedName>
    <definedName name="_xlnm.Print_Titles" localSheetId="6">'B Socket H Checking'!$1:$6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" i="8" l="1"/>
  <c r="A39" i="8"/>
  <c r="A38" i="8"/>
  <c r="A37" i="8"/>
  <c r="A36" i="8"/>
  <c r="A27" i="8"/>
  <c r="A16" i="8"/>
  <c r="A11" i="8"/>
  <c r="A6" i="8"/>
  <c r="C2" i="8"/>
  <c r="C50" i="7"/>
  <c r="C48" i="7"/>
  <c r="A54" i="8" s="1"/>
  <c r="C44" i="7"/>
  <c r="C45" i="7" s="1"/>
  <c r="C43" i="7"/>
  <c r="C41" i="7"/>
  <c r="C47" i="7" s="1"/>
  <c r="C32" i="7"/>
  <c r="C31" i="7"/>
  <c r="C21" i="7"/>
  <c r="C38" i="7" s="1"/>
  <c r="C12" i="7"/>
  <c r="C11" i="7"/>
  <c r="C10" i="7"/>
  <c r="C9" i="7"/>
  <c r="C43" i="6"/>
  <c r="C39" i="6"/>
  <c r="C40" i="6" s="1"/>
  <c r="C38" i="6"/>
  <c r="C46" i="6" s="1"/>
  <c r="C36" i="6"/>
  <c r="C42" i="6" s="1"/>
  <c r="C27" i="6"/>
  <c r="C26" i="6"/>
  <c r="C33" i="6" s="1"/>
  <c r="C13" i="6"/>
  <c r="C19" i="6" s="1"/>
  <c r="C36" i="4"/>
  <c r="A156" i="5" s="1"/>
  <c r="C33" i="4"/>
  <c r="C32" i="4"/>
  <c r="C30" i="4"/>
  <c r="C28" i="4"/>
  <c r="C17" i="4"/>
  <c r="C18" i="4" s="1"/>
  <c r="C10" i="4"/>
  <c r="C9" i="4"/>
  <c r="C35" i="4" s="1"/>
  <c r="C34" i="3"/>
  <c r="A119" i="5" s="1"/>
  <c r="C31" i="3"/>
  <c r="C30" i="3"/>
  <c r="C28" i="3"/>
  <c r="C26" i="3"/>
  <c r="C17" i="3"/>
  <c r="A102" i="5" s="1"/>
  <c r="C10" i="3"/>
  <c r="C9" i="3"/>
  <c r="C33" i="3" s="1"/>
  <c r="C34" i="2"/>
  <c r="A84" i="5" s="1"/>
  <c r="C31" i="2"/>
  <c r="C30" i="2"/>
  <c r="C28" i="2"/>
  <c r="C26" i="2"/>
  <c r="C17" i="2"/>
  <c r="A67" i="5" s="1"/>
  <c r="C10" i="2"/>
  <c r="C9" i="2"/>
  <c r="C33" i="2" s="1"/>
  <c r="C39" i="1"/>
  <c r="A45" i="5" s="1"/>
  <c r="C35" i="1"/>
  <c r="C32" i="1"/>
  <c r="C31" i="1"/>
  <c r="C29" i="1"/>
  <c r="A38" i="5" s="1"/>
  <c r="C22" i="1"/>
  <c r="A27" i="5" s="1"/>
  <c r="C15" i="1"/>
  <c r="A21" i="5" s="1"/>
  <c r="A140" i="5"/>
  <c r="A137" i="5"/>
  <c r="A100" i="5"/>
  <c r="A99" i="5"/>
  <c r="A90" i="5"/>
  <c r="A65" i="5"/>
  <c r="A64" i="5"/>
  <c r="A46" i="5"/>
  <c r="A40" i="5"/>
  <c r="A37" i="5"/>
  <c r="A20" i="5"/>
  <c r="C2" i="5"/>
  <c r="C32" i="3" l="1"/>
  <c r="A115" i="5" s="1"/>
  <c r="C51" i="7"/>
  <c r="A50" i="8" s="1"/>
  <c r="C29" i="4"/>
  <c r="A149" i="5" s="1"/>
  <c r="C19" i="2"/>
  <c r="C20" i="2" s="1"/>
  <c r="C22" i="2" s="1"/>
  <c r="C32" i="2"/>
  <c r="A80" i="5" s="1"/>
  <c r="C27" i="3"/>
  <c r="A112" i="5" s="1"/>
  <c r="C18" i="2"/>
  <c r="C41" i="6"/>
  <c r="C34" i="4"/>
  <c r="A152" i="5" s="1"/>
  <c r="C29" i="2"/>
  <c r="A78" i="5" s="1"/>
  <c r="C24" i="1"/>
  <c r="C27" i="2"/>
  <c r="C46" i="7"/>
  <c r="C34" i="7"/>
  <c r="A44" i="8" s="1"/>
  <c r="C33" i="7"/>
  <c r="A41" i="8" s="1"/>
  <c r="C35" i="7"/>
  <c r="C39" i="7"/>
  <c r="A40" i="8"/>
  <c r="C29" i="3"/>
  <c r="A113" i="5" s="1"/>
  <c r="C28" i="6"/>
  <c r="A21" i="8" s="1"/>
  <c r="A10" i="8"/>
  <c r="C31" i="6"/>
  <c r="C32" i="6" s="1"/>
  <c r="A14" i="8" s="1"/>
  <c r="C35" i="3"/>
  <c r="C35" i="2"/>
  <c r="A85" i="5" s="1"/>
  <c r="A83" i="5"/>
  <c r="A142" i="5"/>
  <c r="C19" i="4"/>
  <c r="A155" i="5"/>
  <c r="C37" i="4"/>
  <c r="A157" i="5" s="1"/>
  <c r="A18" i="8"/>
  <c r="C59" i="6"/>
  <c r="C44" i="6"/>
  <c r="A23" i="8"/>
  <c r="C31" i="4"/>
  <c r="C29" i="6"/>
  <c r="C49" i="7"/>
  <c r="A55" i="8" s="1"/>
  <c r="C18" i="3"/>
  <c r="C37" i="1"/>
  <c r="A47" i="5" s="1"/>
  <c r="C58" i="6"/>
  <c r="A43" i="8"/>
  <c r="C19" i="3"/>
  <c r="C20" i="3" s="1"/>
  <c r="C36" i="1"/>
  <c r="A43" i="5" s="1"/>
  <c r="C17" i="1"/>
  <c r="C16" i="1" s="1"/>
  <c r="A7" i="8"/>
  <c r="A139" i="5"/>
  <c r="C20" i="4"/>
  <c r="C21" i="4" s="1"/>
  <c r="A42" i="5"/>
  <c r="A118" i="5"/>
  <c r="C13" i="7"/>
  <c r="A53" i="8"/>
  <c r="C14" i="6"/>
  <c r="C34" i="6" s="1"/>
  <c r="C49" i="6" l="1"/>
  <c r="A68" i="5"/>
  <c r="C38" i="4"/>
  <c r="A154" i="5" s="1"/>
  <c r="C21" i="2"/>
  <c r="C36" i="2"/>
  <c r="A82" i="5" s="1"/>
  <c r="C37" i="2"/>
  <c r="C38" i="2" s="1"/>
  <c r="A87" i="5" s="1"/>
  <c r="A77" i="5"/>
  <c r="C36" i="3"/>
  <c r="A117" i="5" s="1"/>
  <c r="A48" i="8"/>
  <c r="C39" i="4"/>
  <c r="C40" i="4" s="1"/>
  <c r="A159" i="5" s="1"/>
  <c r="A150" i="5"/>
  <c r="C30" i="6"/>
  <c r="A22" i="8" s="1"/>
  <c r="C37" i="3"/>
  <c r="C38" i="3" s="1"/>
  <c r="A122" i="5" s="1"/>
  <c r="A143" i="5"/>
  <c r="C22" i="4"/>
  <c r="C23" i="4"/>
  <c r="C21" i="3"/>
  <c r="C22" i="3"/>
  <c r="A24" i="8"/>
  <c r="C47" i="6"/>
  <c r="C48" i="6" s="1"/>
  <c r="A26" i="8" s="1"/>
  <c r="C35" i="6"/>
  <c r="A19" i="8" s="1"/>
  <c r="A103" i="5"/>
  <c r="C22" i="7"/>
  <c r="A28" i="8"/>
  <c r="C40" i="1"/>
  <c r="A120" i="5"/>
  <c r="A13" i="8"/>
  <c r="C25" i="1"/>
  <c r="A28" i="5" s="1"/>
  <c r="A24" i="5"/>
  <c r="A22" i="5"/>
  <c r="C18" i="1"/>
  <c r="C42" i="1"/>
  <c r="C14" i="7"/>
  <c r="C54" i="7" s="1"/>
  <c r="A8" i="8"/>
  <c r="C57" i="6"/>
  <c r="C52" i="7" l="1"/>
  <c r="C53" i="7" s="1"/>
  <c r="A57" i="8" s="1"/>
  <c r="A86" i="5"/>
  <c r="A158" i="5"/>
  <c r="A121" i="5"/>
  <c r="A25" i="8"/>
  <c r="C43" i="1"/>
  <c r="A50" i="5" s="1"/>
  <c r="C41" i="1"/>
  <c r="A49" i="5" s="1"/>
  <c r="A48" i="5"/>
  <c r="A52" i="8"/>
  <c r="A29" i="8"/>
  <c r="A47" i="8"/>
  <c r="C23" i="7"/>
  <c r="C24" i="7" s="1"/>
  <c r="A34" i="8" s="1"/>
  <c r="A31" i="8"/>
  <c r="C36" i="7"/>
  <c r="C37" i="7" s="1"/>
  <c r="A25" i="5"/>
  <c r="C20" i="1"/>
  <c r="A26" i="5" s="1"/>
  <c r="C19" i="1"/>
  <c r="A56" i="8" l="1"/>
  <c r="A33" i="8"/>
</calcChain>
</file>

<file path=xl/sharedStrings.xml><?xml version="1.0" encoding="utf-8"?>
<sst xmlns="http://schemas.openxmlformats.org/spreadsheetml/2006/main" count="954" uniqueCount="441">
  <si>
    <t>SECTION A — Bored pile</t>
  </si>
  <si>
    <t>Calculation scope follows the supplied preliminary report. Blank project data have not been assumed.</t>
  </si>
  <si>
    <t>Item</t>
  </si>
  <si>
    <t>Symbol</t>
  </si>
  <si>
    <t>Value / Result</t>
  </si>
  <si>
    <t>Unit</t>
  </si>
  <si>
    <t>Formula / basis</t>
  </si>
  <si>
    <t>Column service load</t>
  </si>
  <si>
    <t>kPa</t>
  </si>
  <si>
    <t>m</t>
  </si>
  <si>
    <t>kN</t>
  </si>
  <si>
    <t>Service column load</t>
  </si>
  <si>
    <t>P</t>
  </si>
  <si>
    <t>Pile capacity and adopted quantity</t>
  </si>
  <si>
    <t>Bell-out diameter</t>
  </si>
  <si>
    <t>Db</t>
  </si>
  <si>
    <t>mm</t>
  </si>
  <si>
    <t>PDF p. 2.</t>
  </si>
  <si>
    <t>Rock category</t>
  </si>
  <si>
    <t>Grade</t>
  </si>
  <si>
    <t>Choose a category from the source table below.</t>
  </si>
  <si>
    <t>Allowable bearing pressure</t>
  </si>
  <si>
    <t>qb</t>
  </si>
  <si>
    <t>n</t>
  </si>
  <si>
    <t>nos.</t>
  </si>
  <si>
    <t>Allowable capacity per pile</t>
  </si>
  <si>
    <t>Q1</t>
  </si>
  <si>
    <t>Q1 = π Db² qb / 4, with Db in m.</t>
  </si>
  <si>
    <t>Total allowable bearing capacity</t>
  </si>
  <si>
    <t>Qallow</t>
  </si>
  <si>
    <t>Qallow = n × Q1; no shaft-friction contribution included.</t>
  </si>
  <si>
    <t>Bearing capacity utilisation</t>
  </si>
  <si>
    <t>P/Qallow</t>
  </si>
  <si>
    <t>Bearing feasibility check</t>
  </si>
  <si>
    <t>Checks column service load against total base-bearing capacity.</t>
  </si>
  <si>
    <t>Bell-out / shaft diameter ratio</t>
  </si>
  <si>
    <t>Db/D</t>
  </si>
  <si>
    <t>Required shaft diameter</t>
  </si>
  <si>
    <t>Dreq</t>
  </si>
  <si>
    <t>Dreq = Db / 1.5.</t>
  </si>
  <si>
    <t>Adopted shaft diameter</t>
  </si>
  <si>
    <t>D</t>
  </si>
  <si>
    <t>PDF p. 2: adopt 1.8 m.</t>
  </si>
  <si>
    <t>Shaft diameter check</t>
  </si>
  <si>
    <t>Geometry check only.</t>
  </si>
  <si>
    <t>Group review</t>
  </si>
  <si>
    <t>PDF red note: consider group effects where n ≥ 5.</t>
  </si>
  <si>
    <t>Pile-cap feasibility — source four-pile arrangement</t>
  </si>
  <si>
    <t>ULS multiplier on service load</t>
  </si>
  <si>
    <t>γ</t>
  </si>
  <si>
    <t>PDF p. 3 uses 1.6 conservatively.</t>
  </si>
  <si>
    <t>Column ultimate load</t>
  </si>
  <si>
    <t>Pu</t>
  </si>
  <si>
    <t>Use COLUMN load, not pile capacity.</t>
  </si>
  <si>
    <t>Column dimension x</t>
  </si>
  <si>
    <t>cx</t>
  </si>
  <si>
    <t>cy</t>
  </si>
  <si>
    <t>Column perimeter</t>
  </si>
  <si>
    <t>u</t>
  </si>
  <si>
    <t>Pile-cap concrete strength</t>
  </si>
  <si>
    <t>fcu</t>
  </si>
  <si>
    <t>N/mm²</t>
  </si>
  <si>
    <t>Source punching coefficient</t>
  </si>
  <si>
    <t>k</t>
  </si>
  <si>
    <t>PDF formula: v &lt; 0.8√fcu.</t>
  </si>
  <si>
    <t>Source punching stress limit</t>
  </si>
  <si>
    <t>vlim</t>
  </si>
  <si>
    <t>Reproduces the supplied preliminary formula.</t>
  </si>
  <si>
    <t>Minimum effective depth</t>
  </si>
  <si>
    <t>dreq</t>
  </si>
  <si>
    <t>dreq = Pu × 1000 / (u × vlim).</t>
  </si>
  <si>
    <t>d</t>
  </si>
  <si>
    <t>Pile-cap overall thickness</t>
  </si>
  <si>
    <t>h</t>
  </si>
  <si>
    <t>Punching stress</t>
  </si>
  <si>
    <t>v</t>
  </si>
  <si>
    <t>Column-face check only; no flexural or other shear checks in source.</t>
  </si>
  <si>
    <t>Punching feasibility check</t>
  </si>
  <si>
    <t>Cap side x — source sketch</t>
  </si>
  <si>
    <t>Lcap,x</t>
  </si>
  <si>
    <t>PDF: 4 × shaft diameter + 300 mm; only the four-pile sketch.</t>
  </si>
  <si>
    <t>Cap side y — source sketch</t>
  </si>
  <si>
    <t>Lcap,y</t>
  </si>
  <si>
    <t>Recheck spacing, edge distance and layout in detailed design.</t>
  </si>
  <si>
    <t>Report text — source load path and design considerations</t>
  </si>
  <si>
    <t>Reasonably quiet and vibration-free construction minimises disturbance to adjacent buildings. Heavy loads are transferred to harder strata, reducing differential settlement.</t>
  </si>
  <si>
    <t>Vertical load is resisted by rock end bearing and minor rock shaft friction.</t>
  </si>
  <si>
    <t>Horizontal load is resisted by subgrade reaction along the unsleeved pile and passive resistance of the rock socket. Provide sleeving to the upper pile where required.</t>
  </si>
  <si>
    <t>As the pile is founded on rock, small settlement is expected. Total and differential settlement shall be checked in detailed design.</t>
  </si>
  <si>
    <t>Negative skin friction induced by marine deposits shall be considered in detailed design. Lateral effects from adjacent footings, piles and retaining walls shall also be considered.</t>
  </si>
  <si>
    <t>Source Table 2.1 — presumed allowable bearing pressure</t>
  </si>
  <si>
    <t>qb (kPa)</t>
  </si>
  <si>
    <t>1(a)</t>
  </si>
  <si>
    <t>1(b)</t>
  </si>
  <si>
    <t>1(c)</t>
  </si>
  <si>
    <t>1(d)</t>
  </si>
  <si>
    <t>2</t>
  </si>
  <si>
    <t>3</t>
  </si>
  <si>
    <t>The source leaves rock category and project load blank. Select the category supported by the site investigation. The table is transcribed from the supplied PDF; its category alone does not establish a project-specific founding condition.</t>
  </si>
  <si>
    <t>SECTION A — Pre-bored socket H-pile</t>
  </si>
  <si>
    <t>Steel section</t>
  </si>
  <si>
    <t>UC</t>
  </si>
  <si>
    <t>305 × 305 × 223</t>
  </si>
  <si>
    <t>kg/m</t>
  </si>
  <si>
    <t>UC S450J0 in PDF. When changing section, also update fy, Ap and steel perimeter where used.</t>
  </si>
  <si>
    <t>Steel yield strength</t>
  </si>
  <si>
    <t>fy</t>
  </si>
  <si>
    <t>PDF calculation uses 430 MPa.</t>
  </si>
  <si>
    <t>Steel cross-sectional area</t>
  </si>
  <si>
    <t>Ap</t>
  </si>
  <si>
    <t>mm²</t>
  </si>
  <si>
    <t>PDF uses 28.4 × 10³ mm².</t>
  </si>
  <si>
    <t>Source compression coefficient</t>
  </si>
  <si>
    <t>PDF: Pc = 0.5 fy Ap.</t>
  </si>
  <si>
    <t>Compression capacity per pile</t>
  </si>
  <si>
    <t>Pc</t>
  </si>
  <si>
    <t>Pc = k × fy × Ap / 1000.</t>
  </si>
  <si>
    <t>Required pile count (unrounded)</t>
  </si>
  <si>
    <t>nreq</t>
  </si>
  <si>
    <t>P / Pc.</t>
  </si>
  <si>
    <t>Total compression capacity</t>
  </si>
  <si>
    <t>Pc,total</t>
  </si>
  <si>
    <t>n × Pc; structural feasibility basis in the PDF.</t>
  </si>
  <si>
    <t>Compression utilisation</t>
  </si>
  <si>
    <t>P/Pc,total</t>
  </si>
  <si>
    <t>Compression feasibility check</t>
  </si>
  <si>
    <t>Geotechnical load capacity is not demonstrated by this steel check.</t>
  </si>
  <si>
    <t>Rock socket length</t>
  </si>
  <si>
    <t>Ls</t>
  </si>
  <si>
    <t>PDF p. 4: 6.7 m, category 1(c) or better. Detailed bond checks are in Section B.</t>
  </si>
  <si>
    <t>Quiet construction and load transfer to rock. Smaller equipment is suitable for a small site.</t>
  </si>
  <si>
    <t>Vertical load is resisted by shaft friction in the rock socket.</t>
  </si>
  <si>
    <t>Horizontal load is resisted by subgrade reaction of soil around the unsleeved pile.</t>
  </si>
  <si>
    <t>Only small settlement is expected because load is transferred by friction in the rock socket. Precise checks shall be carried out in detailed design.</t>
  </si>
  <si>
    <t>SECTION A — Driven H-pile</t>
  </si>
  <si>
    <t>PDF: Pc = 0.3 fy Ap.</t>
  </si>
  <si>
    <t>Dense sand / founding level</t>
  </si>
  <si>
    <t>z</t>
  </si>
  <si>
    <t>mPD</t>
  </si>
  <si>
    <t>PDF p. 6 leaves level blank; narrative assumes SPT N &gt; 200.</t>
  </si>
  <si>
    <t>For deep rockhead, the source adopts driven H-piles with ring-bit pre-boring. Dense sand with SPT N &gt; 200 is assumed. Pre-boring reduces vibration and overbreak near adjoining buildings.</t>
  </si>
  <si>
    <t>Vertical load is resisted by shaft friction in soil.</t>
  </si>
  <si>
    <t>Horizontal load is resisted by passive soil resistance behind the pile cap and subgrade reaction around the piles.</t>
  </si>
  <si>
    <t>The source notes higher settlement for friction piles. Total and differential settlement shall be checked in detailed design.</t>
  </si>
  <si>
    <t>SECTION A — Mini pile</t>
  </si>
  <si>
    <t>Number of reinforcing bars</t>
  </si>
  <si>
    <t>nb</t>
  </si>
  <si>
    <t>PDF: 5T50.</t>
  </si>
  <si>
    <t>Bar diameter</t>
  </si>
  <si>
    <t>db</t>
  </si>
  <si>
    <t>PDF uses radius 25 mm.</t>
  </si>
  <si>
    <t>PDF p. 8.</t>
  </si>
  <si>
    <t>PDF: Pc = 5 × 25² × π × 0.475 × 500 / 1000.</t>
  </si>
  <si>
    <t>Steel area</t>
  </si>
  <si>
    <t>As</t>
  </si>
  <si>
    <t>As = nb × π × db² / 4.</t>
  </si>
  <si>
    <t>Compression capacity per mini pile</t>
  </si>
  <si>
    <t>PDF result approximately 2,332 kN.</t>
  </si>
  <si>
    <t>n × Pc.</t>
  </si>
  <si>
    <t>Grout/rock bond capacity is not quantified in the source.</t>
  </si>
  <si>
    <t>Bond length</t>
  </si>
  <si>
    <t>Lb</t>
  </si>
  <si>
    <t>Source assumed bond length; no bond-stress calculation is supplied.</t>
  </si>
  <si>
    <t>Horizontal displacement criterion</t>
  </si>
  <si>
    <t>δlim</t>
  </si>
  <si>
    <t>Narrative target only; no displacement calculation in source.</t>
  </si>
  <si>
    <t>Quiet construction with small equipment is suitable where the site is congested and access is difficult.</t>
  </si>
  <si>
    <t>Vertical load is resisted by friction between grout and rock.</t>
  </si>
  <si>
    <t>Horizontal load is resisted by passive pressure around the cap, friction at its bearing stratum, and raking piles transferring force through grout/rock friction.</t>
  </si>
  <si>
    <t>Rock support limits differential settlement. Detailed checks are required; the source specifies a 25 mm horizontal displacement target.</t>
  </si>
  <si>
    <t>Less</t>
  </si>
  <si>
    <t>Serious</t>
  </si>
  <si>
    <t>More expensive</t>
  </si>
  <si>
    <t>Cheaper</t>
  </si>
  <si>
    <t>Longer</t>
  </si>
  <si>
    <t>Shorter</t>
  </si>
  <si>
    <t>SECTION B — Bored pile</t>
  </si>
  <si>
    <t>Column loads</t>
  </si>
  <si>
    <t>Column dead load</t>
  </si>
  <si>
    <t>DL</t>
  </si>
  <si>
    <t>Shared Section B input is on B Bored Pile Checking.</t>
  </si>
  <si>
    <t>Column imposed load</t>
  </si>
  <si>
    <t>LL</t>
  </si>
  <si>
    <t>Enter zero explicitly when no imposed load applies.</t>
  </si>
  <si>
    <t>Dead-load ULS factor</t>
  </si>
  <si>
    <t>γG</t>
  </si>
  <si>
    <t>PDF load combination.</t>
  </si>
  <si>
    <t>Imposed-load ULS factor</t>
  </si>
  <si>
    <t>γQ</t>
  </si>
  <si>
    <t>Nsls</t>
  </si>
  <si>
    <t>Nsls = DL + LL.</t>
  </si>
  <si>
    <t>Ultimate column load</t>
  </si>
  <si>
    <t>Nuls</t>
  </si>
  <si>
    <t>Nuls = 1.4 DL + 1.6 LL.</t>
  </si>
  <si>
    <t>Pile compression and bearing checks</t>
  </si>
  <si>
    <t>Pile shaft diameter</t>
  </si>
  <si>
    <t>PDF p. 10.</t>
  </si>
  <si>
    <t>Allowable rock bearing pressure</t>
  </si>
  <si>
    <t>Effective pile concrete strength</t>
  </si>
  <si>
    <t>PDF: 48 MPa, with a handwritten 20% reduction for underwater concreting.</t>
  </si>
  <si>
    <t>Number of longitudinal bars</t>
  </si>
  <si>
    <t>PDF: 24T20.</t>
  </si>
  <si>
    <t>Longitudinal bar diameter</t>
  </si>
  <si>
    <t>Minimum reinforcement ratio</t>
  </si>
  <si>
    <t>ρmin</t>
  </si>
  <si>
    <t>PDF: 0.4%.</t>
  </si>
  <si>
    <t>Concrete compression coefficient</t>
  </si>
  <si>
    <t>kc</t>
  </si>
  <si>
    <t>PDF: Nconc = 0.35 fcu Ac.</t>
  </si>
  <si>
    <t>Gross pile area</t>
  </si>
  <si>
    <t>Ac</t>
  </si>
  <si>
    <t>Gross concrete area as used in the supplied calculation.</t>
  </si>
  <si>
    <t>Provided steel area</t>
  </si>
  <si>
    <t>24 × π × 20² / 4 = 7,539.82 mm².</t>
  </si>
  <si>
    <t>Minimum steel area</t>
  </si>
  <si>
    <t>As,min</t>
  </si>
  <si>
    <t>ρmin × Ac.</t>
  </si>
  <si>
    <t>Provided reinforcement ratio</t>
  </si>
  <si>
    <t>ρ</t>
  </si>
  <si>
    <t>Calculated ratio 0.4267%; PDF handwritten value is 0.45%.</t>
  </si>
  <si>
    <t>Minimum reinforcement check</t>
  </si>
  <si>
    <t>Total allowable base capacity</t>
  </si>
  <si>
    <t>Qallow = n × π Db² qb / 4.</t>
  </si>
  <si>
    <t>Service bearing check</t>
  </si>
  <si>
    <t>Concrete-only capacity per pile</t>
  </si>
  <si>
    <t>Nconc</t>
  </si>
  <si>
    <t>0.35 fcu Ac / 1000; same conservative basis as PDF.</t>
  </si>
  <si>
    <t>Ultimate load per pile</t>
  </si>
  <si>
    <t>Nuls/n</t>
  </si>
  <si>
    <t>Uniform concentric load distribution assumed by source.</t>
  </si>
  <si>
    <t>Concrete-only compression check</t>
  </si>
  <si>
    <t>Pile cap — source column-face punching check</t>
  </si>
  <si>
    <t>fcu,cap</t>
  </si>
  <si>
    <t>Overall pile-cap thickness</t>
  </si>
  <si>
    <t>Effective depth</t>
  </si>
  <si>
    <t>vlim = 0.8√fcu.</t>
  </si>
  <si>
    <t>Calculated punching stress limit</t>
  </si>
  <si>
    <t>Column-face punching stress</t>
  </si>
  <si>
    <t>v = Nuls × 1000 / (u × d).</t>
  </si>
  <si>
    <t>Punching check</t>
  </si>
  <si>
    <t>No pile reaction deducted at the column face, following source.</t>
  </si>
  <si>
    <t>Required effective depth</t>
  </si>
  <si>
    <t>dreq = Nuls × 1000 / (u × vlim).</t>
  </si>
  <si>
    <t>Source scope: concentric vertical column loads, uniform pile reactions and column-face punching. Pile moments/lateral loading, group effects, negative skin friction, settlement, cap bending and other shear sections are not calculated in these PDF pages.</t>
  </si>
  <si>
    <t>Handwritten result reconciliation</t>
  </si>
  <si>
    <t>PDF value</t>
  </si>
  <si>
    <t>Formula result</t>
  </si>
  <si>
    <t>Treatment</t>
  </si>
  <si>
    <t>Provided steel ratio</t>
  </si>
  <si>
    <t>Use calculated 0.4267%, not handwritten 0.45%.</t>
  </si>
  <si>
    <t>Punching stress limit</t>
  </si>
  <si>
    <t>Concrete-only pile capacity</t>
  </si>
  <si>
    <t>Small handwritten rounding difference.</t>
  </si>
  <si>
    <t>SECTION B — Socket H-pile</t>
  </si>
  <si>
    <t>Matches source Pc = 6,106 kN.</t>
  </si>
  <si>
    <t>28.4 × 10³ mm².</t>
  </si>
  <si>
    <t>Pc = 0.5 fy Ap.</t>
  </si>
  <si>
    <t>Total steel compression capacity</t>
  </si>
  <si>
    <t>Service compression check</t>
  </si>
  <si>
    <t>PDF p. 11.</t>
  </si>
  <si>
    <t>Borehole diameter in rock</t>
  </si>
  <si>
    <t>Ds</t>
  </si>
  <si>
    <t>Steel section perimeter</t>
  </si>
  <si>
    <t>sp</t>
  </si>
  <si>
    <t>Allowable rock/grout bond stress</t>
  </si>
  <si>
    <t>pb</t>
  </si>
  <si>
    <t>Allowable grout/steel bond stress</t>
  </si>
  <si>
    <t>pba</t>
  </si>
  <si>
    <t>Rock/grout bond capacity per pile</t>
  </si>
  <si>
    <t>Pb</t>
  </si>
  <si>
    <t>Grout/steel bond capacity per pile</t>
  </si>
  <si>
    <t>Pba</t>
  </si>
  <si>
    <t>Pba = pba × sp × Ls / 1000.</t>
  </si>
  <si>
    <t>Rock/grout develops steel capacity</t>
  </si>
  <si>
    <t>Source compares each bond capacity against full Pc.</t>
  </si>
  <si>
    <t>Grout/steel develops steel capacity</t>
  </si>
  <si>
    <t>Governing capacity per pile</t>
  </si>
  <si>
    <t>Pgov</t>
  </si>
  <si>
    <t>Minimum of structural, rock/grout and grout/steel capacities.</t>
  </si>
  <si>
    <t>Governing group capacity</t>
  </si>
  <si>
    <t>Pgov,total</t>
  </si>
  <si>
    <t>Governing service check</t>
  </si>
  <si>
    <t>Required socket length: rock/grout</t>
  </si>
  <si>
    <t>Ls,rock</t>
  </si>
  <si>
    <t>Full steel capacity development.</t>
  </si>
  <si>
    <t>Required socket length: grout/steel</t>
  </si>
  <si>
    <t>Ls,steel</t>
  </si>
  <si>
    <t>Column load</t>
  </si>
  <si>
    <t>Enter column service load P directly (kN). Shared by all four Section A pile types.</t>
  </si>
  <si>
    <t>Number of piles (rounded up)</t>
  </si>
  <si>
    <t>n = ROUNDUP(P / Q1, 0). Automatically calculated.</t>
  </si>
  <si>
    <t>Linked to the direct Column load P input on A Bored Pile Checking.</t>
  </si>
  <si>
    <t>n = ROUNDUP(P / Pc, 0). Automatically calculated; no manual override.</t>
  </si>
  <si>
    <t>n = ROUNDUP(Nsls / single-pile base capacity, 0).</t>
  </si>
  <si>
    <t>n = ROUNDUP(Nsls / Pc, 0). Automatically calculated; no manual override.</t>
  </si>
  <si>
    <t>Source: foundation.pdf, pp. 1–3. Yellow = input / selection; blue = automatic calculation / link.</t>
  </si>
  <si>
    <t>Source: foundation.pdf, pp. 4–5. Yellow = input / selection; blue = automatic calculation / link.</t>
  </si>
  <si>
    <t>Source: foundation.pdf, pp. 6–7. Yellow = input / selection; blue = automatic calculation / link.</t>
  </si>
  <si>
    <t>Source: foundation.pdf, p. 8. Yellow = input / selection; blue = automatic calculation / link.</t>
  </si>
  <si>
    <t>Source: foundation.pdf, p. 10. Yellow = input / selection; blue = automatic calculation / link.</t>
  </si>
  <si>
    <t>Source: foundation.pdf, p. 11; pile-cap method from p. 10. Yellow = input / selection; blue = automatic calculation / link.</t>
  </si>
  <si>
    <t>Number of floors</t>
  </si>
  <si>
    <t>nf</t>
  </si>
  <si>
    <t>floors</t>
  </si>
  <si>
    <t>Pile-cap thickness h = nf / 10 m. Column load P is entered directly.</t>
  </si>
  <si>
    <t>Column dimension y (= x)</t>
  </si>
  <si>
    <t>Square column as in the PDF.</t>
  </si>
  <si>
    <t>u = 4c, following the PDF square-column expression.</t>
  </si>
  <si>
    <t>Effective pile-cap depth</t>
  </si>
  <si>
    <t>d = h - cover.</t>
  </si>
  <si>
    <t>Pile-cap cover</t>
  </si>
  <si>
    <t>cover</t>
  </si>
  <si>
    <t>User-specified cover = 75 mm.</t>
  </si>
  <si>
    <t>h = number of floors / 10 m = nf × 100 mm.</t>
  </si>
  <si>
    <t>0.3 × 430 × 28.4 = 3663.6 kN. PDF handwritten result: 3663 kN.</t>
  </si>
  <si>
    <t>(ii) Foundation - Bored Pile is selected, because</t>
  </si>
  <si>
    <t>- Reasonably quiet and vibration-free construction, hence minimise disturbance to adjacent buildings.</t>
  </si>
  <si>
    <t>- Heavy loads transfer to harder strata, hence minimise differential settlement.</t>
  </si>
  <si>
    <t>(a) Stability &amp; load transfer</t>
  </si>
  <si>
    <t>Vertical load is resisted by</t>
  </si>
  <si>
    <t>- Bearing capacity of rock, Qb</t>
  </si>
  <si>
    <t>- Minor shaft friction of rock, Qs</t>
  </si>
  <si>
    <t>Horizontal load is resisted by</t>
  </si>
  <si>
    <t>- Provide upper part of pile sleeve, if required.</t>
  </si>
  <si>
    <t>- Sub-grade reaction of soil surrounding pile (no sleeved part)</t>
  </si>
  <si>
    <t>- Passive resistance of pile rock socket</t>
  </si>
  <si>
    <t>Negative skin friction, NSF</t>
  </si>
  <si>
    <t>- NSF induced by marine deposits should be considered in further detailed design.</t>
  </si>
  <si>
    <t>(b) Feasibility Check</t>
  </si>
  <si>
    <t>Qallow = n × π × Db² / 4 × Qb</t>
  </si>
  <si>
    <t>(c) Settlement</t>
  </si>
  <si>
    <t>- Since bored pile is founded on rock, only small settlement would be expected.</t>
  </si>
  <si>
    <t>- Precise checking of total and differential settlement shall be carried out in detailed design.</t>
  </si>
  <si>
    <t>(d) Other consideration</t>
  </si>
  <si>
    <t>i) Existing adjacent footing / pile / retaining wall</t>
  </si>
  <si>
    <t>- Lateral stresses from existing adjacent footing / pile / retaining wall will be considered in detailed design.</t>
  </si>
  <si>
    <t>Feasibility Check (Pile Cap)</t>
  </si>
  <si>
    <t>Puls = 1.6 × Psls</t>
  </si>
  <si>
    <t>vu = Puls / (u d) &lt; 0.8√fcu</t>
  </si>
  <si>
    <t>d ≥ Puls × 10³ / (u × 0.8√fcu)</t>
  </si>
  <si>
    <t>Pile-cap thickness and effective depth</t>
  </si>
  <si>
    <t>Source sketch: Lx = Ly = 4 × pile diameter + 300 mm, for a four-pile arrangement. Other pile quantities require a revised arrangement.</t>
  </si>
  <si>
    <t>(ii) Foundation Scheme - Pre-bored Socket H-pile is selected, because</t>
  </si>
  <si>
    <t>- Equipment is smaller, suitable for a small site.</t>
  </si>
  <si>
    <t>- Shaft friction of rock</t>
  </si>
  <si>
    <t>- Sub-grade reaction of soil around pile (no sleeved part)</t>
  </si>
  <si>
    <t>Pc = 0.5 fy Ap</t>
  </si>
  <si>
    <t>- Since the vertical load of the pre-bored socket H-pile is resisted by the friction between the rock socket and the pile, only small settlement is expected.</t>
  </si>
  <si>
    <t>- Precise checks will be carried out in detailed design stage.</t>
  </si>
  <si>
    <t>(ii) Foundation - Driven H-piles with pre-boring by "Ring-bit" method is selected, because</t>
  </si>
  <si>
    <t>- Deep rockhead; end-bearing pile is not used (&gt; 80 m).</t>
  </si>
  <si>
    <t>- Adjoining old buildings: pre-boring by "Ring-bit" method minimises vibration of driving piles and minimises overbreak during boring.</t>
  </si>
  <si>
    <t>- Shaft friction of soil</t>
  </si>
  <si>
    <t>- Passive resistance of soil behind cap</t>
  </si>
  <si>
    <t>- Sub-grade reaction of soil surrounding pile</t>
  </si>
  <si>
    <t>Pc = 0.3 fy Ap</t>
  </si>
  <si>
    <t>- Since the driven H-pile is resisted by pile friction, high settlement would be expected.</t>
  </si>
  <si>
    <t>(ii) Foundation - Mini Piles</t>
  </si>
  <si>
    <t>- Site is congested and hard to access.</t>
  </si>
  <si>
    <t>Vertical load is resisted by:</t>
  </si>
  <si>
    <t>- Friction between grout and rock</t>
  </si>
  <si>
    <t>Horizontal load is resisted by:</t>
  </si>
  <si>
    <t>- Passive pressure around the pile cap</t>
  </si>
  <si>
    <t>- Friction between the pile cap and bearing stratum</t>
  </si>
  <si>
    <t>- Raking piles and then friction between grout and rock</t>
  </si>
  <si>
    <t>(b) Settlement and displacement</t>
  </si>
  <si>
    <t>Scheme Recommendation</t>
  </si>
  <si>
    <t>Based on the comparison below,
Scheme A with bored-pile foundation is recommended.</t>
  </si>
  <si>
    <t>Scheme A: R.C.</t>
  </si>
  <si>
    <t>Scheme B: Steel</t>
  </si>
  <si>
    <t>1. Cost</t>
  </si>
  <si>
    <t>2. Late design change</t>
  </si>
  <si>
    <t>More flexible</t>
  </si>
  <si>
    <t>Inflexible</t>
  </si>
  <si>
    <t>3. Material availability</t>
  </si>
  <si>
    <t>Readily mixed</t>
  </si>
  <si>
    <t>Pre-order is required</t>
  </si>
  <si>
    <t>4. Durability (fire &amp; corrosion)</t>
  </si>
  <si>
    <t>Better</t>
  </si>
  <si>
    <t>Sensitive to fire &amp; corrosion</t>
  </si>
  <si>
    <t>5. Local practice</t>
  </si>
  <si>
    <t>More typical</t>
  </si>
  <si>
    <t>Skilled worker is required</t>
  </si>
  <si>
    <t>6. Construction time</t>
  </si>
  <si>
    <t>7. Headroom</t>
  </si>
  <si>
    <t>More</t>
  </si>
  <si>
    <t>Scheme A1: Bored Pile</t>
  </si>
  <si>
    <t>Scheme B2: Driven H-pile</t>
  </si>
  <si>
    <t>1. Vibration</t>
  </si>
  <si>
    <t>2. Noise</t>
  </si>
  <si>
    <t>3. Disturbance to adjacent structure</t>
  </si>
  <si>
    <t>4. Cost</t>
  </si>
  <si>
    <t>5. Time</t>
  </si>
  <si>
    <t>Shared building floor count from A Bored Pile Checking.</t>
  </si>
  <si>
    <t>u = 4c, following the PDF.</t>
  </si>
  <si>
    <t>Shared user-specified cover = 75 mm.</t>
  </si>
  <si>
    <t>0.7 × π × 550 × 6700 / 1000 = 8103.827 kN. PDF handwritten result: 8103 kN.</t>
  </si>
  <si>
    <t>Check allowable pressure</t>
  </si>
  <si>
    <t>Check compression</t>
  </si>
  <si>
    <t>Use minimum steel ratio 0.4% reinforcement</t>
  </si>
  <si>
    <t>Compression capacity, Pc</t>
  </si>
  <si>
    <t>Pc,total = n × 0.5 fy Ap</t>
  </si>
  <si>
    <t>Check Rock Socket Length</t>
  </si>
  <si>
    <t>Shared column dimension for the Section A and Section B pile-cap checks.</t>
  </si>
  <si>
    <t>Shared pile-cap concrete strength for Section A and Section B. Pile concrete strengths remain separate.</t>
  </si>
  <si>
    <t>SECTION A — FOUNDATION</t>
  </si>
  <si>
    <t>Selected pile:</t>
  </si>
  <si>
    <t>Shared pile-cap concrete strength from Section A; separate from B pile concrete strength.</t>
  </si>
  <si>
    <t>Linked to the common column dimension on A Bored Pile Checking.</t>
  </si>
  <si>
    <t>vlim = 0.8 sqrt(fcu,cap), using the shared pile-cap concrete strength.</t>
  </si>
  <si>
    <t>PDF: 0.8 sqrt(48) = 5.543, not 6.2. Current value uses shared cap fcu.</t>
  </si>
  <si>
    <t>SECTION B — FOUNDATION DESIGN</t>
  </si>
  <si>
    <t>- As mini-piles are supported by rock, differential settlement is not critical.</t>
  </si>
  <si>
    <t>- Further checking will be conducted in detailed design stage.</t>
  </si>
  <si>
    <t>(c) Feasibility Check — Mini Piles</t>
  </si>
  <si>
    <t>Pc = number of bars × π × (bar diameter / 2)² × 0.475 × fy / 1000</t>
  </si>
  <si>
    <t>Source Table 2.1 lookup retained below.</t>
  </si>
  <si>
    <t>Pile-cap punching check</t>
  </si>
  <si>
    <t>ULS load multiplier</t>
  </si>
  <si>
    <t>Shared Section A multiplier.</t>
  </si>
  <si>
    <t>Puls</t>
  </si>
  <si>
    <t>Puls = γ × P.</t>
  </si>
  <si>
    <t>Square column dimension</t>
  </si>
  <si>
    <t>c</t>
  </si>
  <si>
    <t>Shared column dimension.</t>
  </si>
  <si>
    <t>Column-face punching perimeter</t>
  </si>
  <si>
    <t>u = 4c.</t>
  </si>
  <si>
    <t>Shared pile-cap concrete strength.</t>
  </si>
  <si>
    <t>Punching limit coefficient</t>
  </si>
  <si>
    <t>PDF: k = 0.8.</t>
  </si>
  <si>
    <t>h = number of floors / 10 m.</t>
  </si>
  <si>
    <t>Shared cover = 75 mm.</t>
  </si>
  <si>
    <t>dreq = Puls × 1000 / (u × vlim).</t>
  </si>
  <si>
    <t>Punching shear stress</t>
  </si>
  <si>
    <t>vu</t>
  </si>
  <si>
    <t>vu = Puls × 1000 / (u × d).</t>
  </si>
  <si>
    <t>vu &lt; 0.8√fcu, following the bored-pile check.</t>
  </si>
  <si>
    <t>Nconc = 0.35 fcu Ac</t>
  </si>
  <si>
    <t>Nuls = 1.4 DL + 1.6 LL</t>
  </si>
  <si>
    <t>v = Nuls / (u d) &lt; 0.8√fcu</t>
  </si>
  <si>
    <t>d ≥ Nuls × 10³ / (u × 0.8√fcu)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</si>
</sst>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"/>
  </numFmts>
  <fonts count="19">
    <font>
      <sz val="11"/>
      <name val="Carlito"/>
    </font>
    <font>
      <sz val="11"/>
      <color rgb="FF202C38"/>
      <name val="Arial"/>
      <family val="2"/>
    </font>
    <font>
      <b/>
      <sz val="16"/>
      <color rgb="FF202C38"/>
      <name val="Arial"/>
      <family val="2"/>
    </font>
    <font>
      <b/>
      <sz val="11"/>
      <color rgb="FFFFFFFF"/>
      <name val="Arial"/>
      <family val="2"/>
    </font>
    <font>
      <b/>
      <sz val="11"/>
      <color rgb="FF202C38"/>
      <name val="Arial"/>
      <family val="2"/>
    </font>
    <font>
      <sz val="11"/>
      <color rgb="FF164A7B"/>
      <name val="Arial"/>
      <family val="2"/>
    </font>
    <font>
      <sz val="11"/>
      <name val="Carlito"/>
    </font>
    <font>
      <sz val="9"/>
      <name val="宋体"/>
      <family val="3"/>
      <charset val="134"/>
    </font>
    <font>
      <sz val="11"/>
      <color rgb="FF202C38"/>
      <name val="Arial"/>
      <family val="2"/>
    </font>
    <font>
      <sz val="11"/>
      <color rgb="FF164A7B"/>
      <name val="Arial"/>
      <family val="2"/>
    </font>
    <font>
      <sz val="11"/>
      <color rgb="FF202C38"/>
      <name val="Arial"/>
      <family val="2"/>
    </font>
    <font>
      <sz val="11"/>
      <color rgb="FF164A7B"/>
      <name val="Arial"/>
      <family val="2"/>
    </font>
    <font>
      <sz val="11"/>
      <color rgb="FF202C38"/>
      <name val="Arial"/>
      <family val="2"/>
    </font>
    <font>
      <b/>
      <sz val="11"/>
      <color rgb="FF202020"/>
      <name val="Arial"/>
      <family val="2"/>
    </font>
    <font>
      <sz val="11"/>
      <color rgb="FF202020"/>
      <name val="Arial"/>
      <family val="2"/>
    </font>
    <font>
      <b/>
      <sz val="14"/>
      <color rgb="FF202020"/>
      <name val="Arial"/>
      <family val="2"/>
    </font>
    <font>
      <sz val="11"/>
      <color rgb="FF202020"/>
      <name val="Arial"/>
      <family val="2"/>
    </font>
    <font>
      <b/>
      <sz val="11"/>
      <color rgb="FF202020"/>
      <name val="Arial"/>
      <family val="2"/>
    </font>
    <font>
      <sz val="11"/>
      <color rgb="FF20202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274760"/>
      </patternFill>
    </fill>
    <fill>
      <patternFill patternType="solid">
        <fgColor rgb="FFDDE7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none"/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none"/>
    </fill>
    <fill>
      <patternFill patternType="solid">
        <fgColor rgb="FFDDEBF7"/>
      </patternFill>
    </fill>
    <fill>
      <patternFill patternType="none"/>
    </fill>
    <fill>
      <patternFill patternType="solid">
        <fgColor rgb="FFDDEBF7"/>
      </patternFill>
    </fill>
    <fill>
      <patternFill patternType="none"/>
    </fill>
    <fill>
      <patternFill patternType="solid">
        <fgColor rgb="FFDDEBF7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1" fillId="0" borderId="0" xfId="1" applyFont="1" applyAlignment="1">
      <alignment vertical="center"/>
    </xf>
    <xf numFmtId="0" fontId="1" fillId="0" borderId="0" xfId="1" applyFont="1" applyAlignment="1">
      <alignment vertical="center" wrapText="1"/>
    </xf>
    <xf numFmtId="0" fontId="3" fillId="2" borderId="0" xfId="1" applyFont="1" applyFill="1" applyAlignment="1">
      <alignment horizontal="center" vertical="center" wrapText="1"/>
    </xf>
    <xf numFmtId="0" fontId="3" fillId="2" borderId="0" xfId="1" applyFont="1" applyFill="1" applyAlignment="1">
      <alignment horizontal="center" vertical="center"/>
    </xf>
    <xf numFmtId="2" fontId="5" fillId="4" borderId="0" xfId="1" applyNumberFormat="1" applyFont="1" applyFill="1" applyAlignment="1">
      <alignment vertical="center"/>
    </xf>
    <xf numFmtId="1" fontId="5" fillId="4" borderId="0" xfId="1" applyNumberFormat="1" applyFont="1" applyFill="1" applyAlignment="1">
      <alignment vertical="center"/>
    </xf>
    <xf numFmtId="49" fontId="5" fillId="4" borderId="0" xfId="1" applyNumberFormat="1" applyFont="1" applyFill="1" applyAlignment="1">
      <alignment vertical="center"/>
    </xf>
    <xf numFmtId="177" fontId="5" fillId="4" borderId="0" xfId="1" applyNumberFormat="1" applyFont="1" applyFill="1" applyAlignment="1">
      <alignment vertical="center"/>
    </xf>
    <xf numFmtId="3" fontId="1" fillId="0" borderId="0" xfId="1" applyNumberFormat="1" applyFont="1" applyAlignment="1">
      <alignment vertical="center" wrapText="1"/>
    </xf>
    <xf numFmtId="176" fontId="5" fillId="4" borderId="0" xfId="1" applyNumberFormat="1" applyFont="1" applyFill="1" applyAlignment="1">
      <alignment vertical="center"/>
    </xf>
    <xf numFmtId="10" fontId="1" fillId="0" borderId="0" xfId="1" applyNumberFormat="1" applyFont="1" applyAlignment="1">
      <alignment vertical="center" wrapText="1"/>
    </xf>
    <xf numFmtId="177" fontId="1" fillId="0" borderId="0" xfId="1" applyNumberFormat="1" applyFont="1" applyAlignment="1">
      <alignment vertical="center" wrapText="1"/>
    </xf>
    <xf numFmtId="2" fontId="1" fillId="5" borderId="0" xfId="1" applyNumberFormat="1" applyFont="1" applyFill="1" applyAlignment="1">
      <alignment vertical="center"/>
    </xf>
    <xf numFmtId="1" fontId="1" fillId="5" borderId="0" xfId="1" applyNumberFormat="1" applyFont="1" applyFill="1" applyAlignment="1">
      <alignment vertical="center"/>
    </xf>
    <xf numFmtId="176" fontId="1" fillId="5" borderId="0" xfId="1" applyNumberFormat="1" applyFont="1" applyFill="1" applyAlignment="1">
      <alignment vertical="center"/>
    </xf>
    <xf numFmtId="10" fontId="1" fillId="5" borderId="0" xfId="1" applyNumberFormat="1" applyFont="1" applyFill="1" applyAlignment="1">
      <alignment vertical="center"/>
    </xf>
    <xf numFmtId="177" fontId="1" fillId="5" borderId="0" xfId="1" applyNumberFormat="1" applyFont="1" applyFill="1" applyAlignment="1">
      <alignment vertical="center"/>
    </xf>
    <xf numFmtId="0" fontId="8" fillId="6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vertical="center" wrapText="1"/>
    </xf>
    <xf numFmtId="1" fontId="9" fillId="8" borderId="1" xfId="0" applyNumberFormat="1" applyFont="1" applyFill="1" applyBorder="1" applyAlignment="1">
      <alignment vertical="center"/>
    </xf>
    <xf numFmtId="2" fontId="8" fillId="8" borderId="1" xfId="0" applyNumberFormat="1" applyFont="1" applyFill="1" applyBorder="1" applyAlignment="1">
      <alignment vertical="center"/>
    </xf>
    <xf numFmtId="1" fontId="9" fillId="7" borderId="1" xfId="0" applyNumberFormat="1" applyFont="1" applyFill="1" applyBorder="1" applyAlignment="1">
      <alignment vertical="center"/>
    </xf>
    <xf numFmtId="0" fontId="8" fillId="8" borderId="1" xfId="0" applyFont="1" applyFill="1" applyBorder="1" applyAlignment="1">
      <alignment vertical="center" wrapText="1"/>
    </xf>
    <xf numFmtId="0" fontId="8" fillId="8" borderId="1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10" fillId="9" borderId="2" xfId="0" applyFont="1" applyFill="1" applyBorder="1" applyAlignment="1">
      <alignment vertical="center" wrapText="1"/>
    </xf>
    <xf numFmtId="1" fontId="11" fillId="10" borderId="2" xfId="0" applyNumberFormat="1" applyFont="1" applyFill="1" applyBorder="1" applyAlignment="1">
      <alignment vertical="center"/>
    </xf>
    <xf numFmtId="2" fontId="10" fillId="10" borderId="2" xfId="0" applyNumberFormat="1" applyFont="1" applyFill="1" applyBorder="1" applyAlignment="1">
      <alignment vertical="center"/>
    </xf>
    <xf numFmtId="0" fontId="12" fillId="11" borderId="3" xfId="0" applyFont="1" applyFill="1" applyBorder="1" applyAlignment="1">
      <alignment vertical="center" wrapText="1"/>
    </xf>
    <xf numFmtId="0" fontId="14" fillId="11" borderId="3" xfId="0" applyFont="1" applyFill="1" applyBorder="1" applyAlignment="1">
      <alignment vertical="center" wrapText="1"/>
    </xf>
    <xf numFmtId="4" fontId="14" fillId="12" borderId="3" xfId="0" applyNumberFormat="1" applyFont="1" applyFill="1" applyBorder="1" applyAlignment="1">
      <alignment vertical="center" wrapText="1"/>
    </xf>
    <xf numFmtId="0" fontId="14" fillId="12" borderId="3" xfId="0" applyFont="1" applyFill="1" applyBorder="1" applyAlignment="1">
      <alignment vertical="center" wrapText="1"/>
    </xf>
    <xf numFmtId="0" fontId="16" fillId="13" borderId="4" xfId="0" applyFont="1" applyFill="1" applyBorder="1" applyAlignment="1">
      <alignment vertical="center" wrapText="1"/>
    </xf>
    <xf numFmtId="0" fontId="15" fillId="13" borderId="4" xfId="0" applyFont="1" applyFill="1" applyBorder="1" applyAlignment="1">
      <alignment vertical="center" wrapText="1"/>
    </xf>
    <xf numFmtId="0" fontId="16" fillId="13" borderId="4" xfId="0" applyFont="1" applyFill="1" applyBorder="1" applyAlignment="1">
      <alignment vertical="center" wrapText="1"/>
    </xf>
    <xf numFmtId="0" fontId="16" fillId="14" borderId="4" xfId="0" applyFont="1" applyFill="1" applyBorder="1" applyAlignment="1">
      <alignment vertical="center" wrapText="1"/>
    </xf>
    <xf numFmtId="0" fontId="17" fillId="13" borderId="4" xfId="0" applyFont="1" applyFill="1" applyBorder="1" applyAlignment="1">
      <alignment vertical="center" wrapText="1"/>
    </xf>
    <xf numFmtId="0" fontId="18" fillId="13" borderId="4" xfId="0" applyFont="1" applyFill="1" applyBorder="1" applyAlignment="1">
      <alignment vertical="center" wrapText="1"/>
    </xf>
    <xf numFmtId="0" fontId="18" fillId="14" borderId="4" xfId="0" applyFont="1" applyFill="1" applyBorder="1" applyAlignment="1">
      <alignment vertical="center" wrapText="1"/>
    </xf>
    <xf numFmtId="0" fontId="2" fillId="0" borderId="0" xfId="1" applyFont="1" applyAlignment="1">
      <alignment vertical="center" wrapText="1"/>
    </xf>
    <xf numFmtId="0" fontId="1" fillId="0" borderId="0" xfId="1" applyFont="1" applyAlignment="1">
      <alignment vertical="center" wrapText="1"/>
    </xf>
    <xf numFmtId="0" fontId="1" fillId="0" borderId="0" xfId="1" applyFont="1" applyAlignment="1">
      <alignment vertical="center"/>
    </xf>
    <xf numFmtId="0" fontId="4" fillId="3" borderId="0" xfId="1" applyFont="1" applyFill="1" applyAlignment="1">
      <alignment vertical="center" wrapText="1"/>
    </xf>
    <xf numFmtId="0" fontId="1" fillId="3" borderId="0" xfId="1" applyFont="1" applyFill="1" applyAlignment="1">
      <alignment vertical="center" wrapText="1"/>
    </xf>
    <xf numFmtId="0" fontId="1" fillId="3" borderId="0" xfId="1" applyFont="1" applyFill="1" applyAlignment="1">
      <alignment vertical="center"/>
    </xf>
    <xf numFmtId="0" fontId="13" fillId="12" borderId="3" xfId="0" applyFont="1" applyFill="1" applyBorder="1" applyAlignment="1">
      <alignment vertical="center" wrapText="1"/>
    </xf>
  </cellXfs>
  <cellStyles count="2">
    <cellStyle name="Normal" xfId="1" xr:uid="{00000000-0005-0000-0000-000000000000}"/>
    <cellStyle name="常规" xfId="0" builtinId="0"/>
  </cellStyles>
  <dxfs count="18">
    <dxf>
      <font>
        <color rgb="FF9C6500"/>
      </font>
    </dxf>
    <dxf>
      <font>
        <b/>
        <color rgb="FF9C0006"/>
      </font>
    </dxf>
    <dxf>
      <font>
        <color rgb="FF9C6500"/>
      </font>
    </dxf>
    <dxf>
      <font>
        <b/>
        <color rgb="FF9C0006"/>
      </font>
    </dxf>
    <dxf>
      <font>
        <color rgb="FFC00000"/>
      </font>
    </dxf>
    <dxf>
      <font>
        <color rgb="FFFFC000"/>
      </font>
    </dxf>
    <dxf>
      <font>
        <color rgb="FF9C6500"/>
      </font>
    </dxf>
    <dxf>
      <font>
        <b/>
        <color rgb="FF9C0006"/>
      </font>
    </dxf>
    <dxf>
      <font>
        <color rgb="FFC00000"/>
      </font>
    </dxf>
    <dxf>
      <font>
        <color rgb="FFFFC000"/>
      </font>
    </dxf>
    <dxf>
      <font>
        <color rgb="FF9C6500"/>
      </font>
    </dxf>
    <dxf>
      <font>
        <b/>
        <color rgb="FF9C0006"/>
      </font>
    </dxf>
    <dxf>
      <font>
        <color rgb="FFC00000"/>
      </font>
    </dxf>
    <dxf>
      <font>
        <color rgb="FFFFC000"/>
      </font>
    </dxf>
    <dxf>
      <font>
        <color rgb="FF9C6500"/>
      </font>
    </dxf>
    <dxf>
      <font>
        <b/>
        <color rgb="FF9C0006"/>
      </font>
    </dxf>
    <dxf>
      <font>
        <color rgb="FF9C6500"/>
      </font>
    </dxf>
    <dxf>
      <font>
        <b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7</xdr:col>
      <xdr:colOff>209550</xdr:colOff>
      <xdr:row>15</xdr:row>
      <xdr:rowOff>1072342</xdr:rowOff>
    </xdr:to>
    <xdr:pic>
      <xdr:nvPicPr>
        <xdr:cNvPr id="2" name="73fd56f5-fe00-4075-8e3d-ae8f49bc4f99" descr="pileImage: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7</xdr:col>
      <xdr:colOff>209550</xdr:colOff>
      <xdr:row>42</xdr:row>
      <xdr:rowOff>72044</xdr:rowOff>
    </xdr:to>
    <xdr:pic>
      <xdr:nvPicPr>
        <xdr:cNvPr id="3" name="de51fb17-fc00-401e-9504-2f9aedcdaaea" descr="pileImage: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>
    <xdr:from>
      <xdr:col>5</xdr:col>
      <xdr:colOff>0</xdr:colOff>
      <xdr:row>56</xdr:row>
      <xdr:rowOff>0</xdr:rowOff>
    </xdr:from>
    <xdr:to>
      <xdr:col>7</xdr:col>
      <xdr:colOff>209550</xdr:colOff>
      <xdr:row>61</xdr:row>
      <xdr:rowOff>680951</xdr:rowOff>
    </xdr:to>
    <xdr:pic>
      <xdr:nvPicPr>
        <xdr:cNvPr id="4" name="90784daf-d68e-4824-a387-e30b8433717c" descr="pileImage:2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>
    <xdr:from>
      <xdr:col>5</xdr:col>
      <xdr:colOff>0</xdr:colOff>
      <xdr:row>92</xdr:row>
      <xdr:rowOff>0</xdr:rowOff>
    </xdr:from>
    <xdr:to>
      <xdr:col>7</xdr:col>
      <xdr:colOff>209550</xdr:colOff>
      <xdr:row>96</xdr:row>
      <xdr:rowOff>953885</xdr:rowOff>
    </xdr:to>
    <xdr:pic>
      <xdr:nvPicPr>
        <xdr:cNvPr id="5" name="5ee9c845-acf3-4980-b842-05181e71455a" descr="pileImage:3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>
    <xdr:from>
      <xdr:col>5</xdr:col>
      <xdr:colOff>0</xdr:colOff>
      <xdr:row>127</xdr:row>
      <xdr:rowOff>0</xdr:rowOff>
    </xdr:from>
    <xdr:to>
      <xdr:col>7</xdr:col>
      <xdr:colOff>209550</xdr:colOff>
      <xdr:row>132</xdr:row>
      <xdr:rowOff>774123</xdr:rowOff>
    </xdr:to>
    <xdr:pic>
      <xdr:nvPicPr>
        <xdr:cNvPr id="6" name="0e0626f1-151e-4048-9241-9ad7a859b58e" descr="pileImage:4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absolute">
    <xdr:from>
      <xdr:col>0</xdr:col>
      <xdr:colOff>25400</xdr:colOff>
      <xdr:row>2</xdr:row>
      <xdr:rowOff>25400</xdr:rowOff>
    </xdr:from>
    <xdr:to>
      <xdr:col>1</xdr:col>
      <xdr:colOff>965200</xdr:colOff>
      <xdr:row>3</xdr:row>
      <xdr:rowOff>187960</xdr:rowOff>
    </xdr:to>
    <xdr:sp macro="[0]!A_Bored" textlink="">
      <xdr:nvSpPr>
        <xdr:cNvPr id="7" name="PileBtn_A_Bored" descr="pileButton:1">
          <a:extLst>
            <a:ext uri="{FF2B5EF4-FFF2-40B4-BE49-F238E27FC236}">
              <a16:creationId xmlns:a16="http://schemas.microsoft.com/office/drawing/2014/main" id="{05EC2B96-ECAD-9284-4CC3-F58E31EA483F}"/>
            </a:ext>
          </a:extLst>
        </xdr:cNvPr>
        <xdr:cNvSpPr/>
      </xdr:nvSpPr>
      <xdr:spPr>
        <a:xfrm>
          <a:off x="25400" y="589280"/>
          <a:ext cx="1930400" cy="375920"/>
        </a:xfrm>
        <a:prstGeom prst="roundRect">
          <a:avLst/>
        </a:prstGeom>
        <a:solidFill>
          <a:srgbClr val="274760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FFFFFF"/>
              </a:solidFill>
              <a:latin typeface="Arial" panose="020B0604020202020204" pitchFamily="34" charset="0"/>
            </a:rPr>
            <a:t>Bored pile</a:t>
          </a:r>
          <a:endParaRPr lang="zh-CN" altLang="en-US" sz="1000">
            <a:solidFill>
              <a:srgbClr val="FFFFFF"/>
            </a:solidFill>
            <a:latin typeface="Arial" panose="020B0604020202020204" pitchFamily="34" charset="0"/>
          </a:endParaRPr>
        </a:p>
      </xdr:txBody>
    </xdr:sp>
    <xdr:clientData fPrintsWithSheet="0"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965200</xdr:colOff>
      <xdr:row>3</xdr:row>
      <xdr:rowOff>187960</xdr:rowOff>
    </xdr:to>
    <xdr:sp macro="[0]!A_Socket" textlink="">
      <xdr:nvSpPr>
        <xdr:cNvPr id="8" name="PileBtn_A_Socket" descr="pileButton:2">
          <a:extLst>
            <a:ext uri="{FF2B5EF4-FFF2-40B4-BE49-F238E27FC236}">
              <a16:creationId xmlns:a16="http://schemas.microsoft.com/office/drawing/2014/main" id="{A49169EE-5B51-9675-1E95-7F6FA5FF51DF}"/>
            </a:ext>
          </a:extLst>
        </xdr:cNvPr>
        <xdr:cNvSpPr/>
      </xdr:nvSpPr>
      <xdr:spPr>
        <a:xfrm>
          <a:off x="2006600" y="589280"/>
          <a:ext cx="1930400" cy="375920"/>
        </a:xfrm>
        <a:prstGeom prst="roundRect">
          <a:avLst/>
        </a:prstGeom>
        <a:solidFill>
          <a:srgbClr val="FFF2C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202020"/>
              </a:solidFill>
              <a:latin typeface="Arial" panose="020B0604020202020204" pitchFamily="34" charset="0"/>
            </a:rPr>
            <a:t>Socket H-pile</a:t>
          </a:r>
          <a:endParaRPr lang="zh-CN" altLang="en-US" sz="1000">
            <a:solidFill>
              <a:srgbClr val="202020"/>
            </a:solidFill>
            <a:latin typeface="Arial" panose="020B0604020202020204" pitchFamily="34" charset="0"/>
          </a:endParaRPr>
        </a:p>
      </xdr:txBody>
    </xdr:sp>
    <xdr:clientData fPrintsWithSheet="0"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965200</xdr:colOff>
      <xdr:row>3</xdr:row>
      <xdr:rowOff>187960</xdr:rowOff>
    </xdr:to>
    <xdr:sp macro="[0]!A_Driven" textlink="">
      <xdr:nvSpPr>
        <xdr:cNvPr id="9" name="PileBtn_A_Driven" descr="pileButton:3">
          <a:extLst>
            <a:ext uri="{FF2B5EF4-FFF2-40B4-BE49-F238E27FC236}">
              <a16:creationId xmlns:a16="http://schemas.microsoft.com/office/drawing/2014/main" id="{AD2E8C47-6DA2-4F8F-3F7A-20EF8342287B}"/>
            </a:ext>
          </a:extLst>
        </xdr:cNvPr>
        <xdr:cNvSpPr/>
      </xdr:nvSpPr>
      <xdr:spPr>
        <a:xfrm>
          <a:off x="3987800" y="589280"/>
          <a:ext cx="1930400" cy="375920"/>
        </a:xfrm>
        <a:prstGeom prst="roundRect">
          <a:avLst/>
        </a:prstGeom>
        <a:solidFill>
          <a:srgbClr val="FFF2C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202020"/>
              </a:solidFill>
              <a:latin typeface="Arial" panose="020B0604020202020204" pitchFamily="34" charset="0"/>
            </a:rPr>
            <a:t>Driven H-pile</a:t>
          </a:r>
          <a:endParaRPr lang="zh-CN" altLang="en-US" sz="1000">
            <a:solidFill>
              <a:srgbClr val="202020"/>
            </a:solidFill>
            <a:latin typeface="Arial" panose="020B0604020202020204" pitchFamily="34" charset="0"/>
          </a:endParaRPr>
        </a:p>
      </xdr:txBody>
    </xdr:sp>
    <xdr:clientData fPrintsWithSheet="0"/>
  </xdr:twoCellAnchor>
  <xdr:twoCellAnchor editAs="absolute">
    <xdr:from>
      <xdr:col>6</xdr:col>
      <xdr:colOff>25400</xdr:colOff>
      <xdr:row>2</xdr:row>
      <xdr:rowOff>25400</xdr:rowOff>
    </xdr:from>
    <xdr:to>
      <xdr:col>7</xdr:col>
      <xdr:colOff>965200</xdr:colOff>
      <xdr:row>3</xdr:row>
      <xdr:rowOff>187960</xdr:rowOff>
    </xdr:to>
    <xdr:sp macro="[0]!A_Mini" textlink="">
      <xdr:nvSpPr>
        <xdr:cNvPr id="10" name="PileBtn_A_Mini" descr="pileButton:4">
          <a:extLst>
            <a:ext uri="{FF2B5EF4-FFF2-40B4-BE49-F238E27FC236}">
              <a16:creationId xmlns:a16="http://schemas.microsoft.com/office/drawing/2014/main" id="{15476375-7BDF-5102-DD4B-CC21D430BC8F}"/>
            </a:ext>
          </a:extLst>
        </xdr:cNvPr>
        <xdr:cNvSpPr/>
      </xdr:nvSpPr>
      <xdr:spPr>
        <a:xfrm>
          <a:off x="5969000" y="589280"/>
          <a:ext cx="1930400" cy="375920"/>
        </a:xfrm>
        <a:prstGeom prst="roundRect">
          <a:avLst/>
        </a:prstGeom>
        <a:solidFill>
          <a:srgbClr val="FFF2C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202020"/>
              </a:solidFill>
              <a:latin typeface="Arial" panose="020B0604020202020204" pitchFamily="34" charset="0"/>
            </a:rPr>
            <a:t>Mini pile</a:t>
          </a:r>
          <a:endParaRPr lang="zh-CN" altLang="en-US" sz="1000">
            <a:solidFill>
              <a:srgbClr val="202020"/>
            </a:solidFill>
            <a:latin typeface="Arial" panose="020B0604020202020204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3</xdr:col>
      <xdr:colOff>965200</xdr:colOff>
      <xdr:row>3</xdr:row>
      <xdr:rowOff>187960</xdr:rowOff>
    </xdr:to>
    <xdr:sp macro="[0]!B_Bored" textlink="">
      <xdr:nvSpPr>
        <xdr:cNvPr id="2" name="PileBtn_B_Bored" descr="pileButton:1">
          <a:extLst>
            <a:ext uri="{FF2B5EF4-FFF2-40B4-BE49-F238E27FC236}">
              <a16:creationId xmlns:a16="http://schemas.microsoft.com/office/drawing/2014/main" id="{6E0280E1-EA6D-2F46-45F3-3EAC794443A1}"/>
            </a:ext>
          </a:extLst>
        </xdr:cNvPr>
        <xdr:cNvSpPr/>
      </xdr:nvSpPr>
      <xdr:spPr>
        <a:xfrm>
          <a:off x="25400" y="589280"/>
          <a:ext cx="3911600" cy="375920"/>
        </a:xfrm>
        <a:prstGeom prst="roundRect">
          <a:avLst/>
        </a:prstGeom>
        <a:solidFill>
          <a:srgbClr val="274760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FFFFFF"/>
              </a:solidFill>
              <a:latin typeface="Arial" panose="020B0604020202020204" pitchFamily="34" charset="0"/>
            </a:rPr>
            <a:t>Bored pile</a:t>
          </a:r>
          <a:endParaRPr lang="zh-CN" altLang="en-US" sz="1000">
            <a:solidFill>
              <a:srgbClr val="FFFFFF"/>
            </a:solidFill>
            <a:latin typeface="Arial" panose="020B0604020202020204" pitchFamily="34" charset="0"/>
          </a:endParaRPr>
        </a:p>
      </xdr:txBody>
    </xdr:sp>
    <xdr:clientData fPrintsWithSheet="0"/>
  </xdr:twoCellAnchor>
  <xdr:twoCellAnchor editAs="absolute">
    <xdr:from>
      <xdr:col>4</xdr:col>
      <xdr:colOff>25400</xdr:colOff>
      <xdr:row>2</xdr:row>
      <xdr:rowOff>25400</xdr:rowOff>
    </xdr:from>
    <xdr:to>
      <xdr:col>7</xdr:col>
      <xdr:colOff>965200</xdr:colOff>
      <xdr:row>3</xdr:row>
      <xdr:rowOff>187960</xdr:rowOff>
    </xdr:to>
    <xdr:sp macro="[0]!B_Socket" textlink="">
      <xdr:nvSpPr>
        <xdr:cNvPr id="3" name="PileBtn_B_Socket" descr="pileButton:2">
          <a:extLst>
            <a:ext uri="{FF2B5EF4-FFF2-40B4-BE49-F238E27FC236}">
              <a16:creationId xmlns:a16="http://schemas.microsoft.com/office/drawing/2014/main" id="{7852E9A3-9E58-B66D-C8D3-B02F945ECBB6}"/>
            </a:ext>
          </a:extLst>
        </xdr:cNvPr>
        <xdr:cNvSpPr/>
      </xdr:nvSpPr>
      <xdr:spPr>
        <a:xfrm>
          <a:off x="3987800" y="589280"/>
          <a:ext cx="3911600" cy="375920"/>
        </a:xfrm>
        <a:prstGeom prst="roundRect">
          <a:avLst/>
        </a:prstGeom>
        <a:solidFill>
          <a:srgbClr val="FFF2CC"/>
        </a:solidFill>
        <a:ln>
          <a:solidFill>
            <a:srgbClr val="C0C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202020"/>
              </a:solidFill>
              <a:latin typeface="Arial" panose="020B0604020202020204" pitchFamily="34" charset="0"/>
            </a:rPr>
            <a:t>Socket H-pile</a:t>
          </a:r>
          <a:endParaRPr lang="zh-CN" altLang="en-US" sz="1000">
            <a:solidFill>
              <a:srgbClr val="202020"/>
            </a:solidFill>
            <a:latin typeface="Arial" panose="020B0604020202020204" pitchFamily="34" charset="0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D7D9B"/>
    <pageSetUpPr fitToPage="1"/>
  </sheetPr>
  <dimension ref="A1:E73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0</v>
      </c>
      <c r="B2" s="41"/>
      <c r="C2" s="42"/>
      <c r="D2" s="42"/>
      <c r="E2" s="41"/>
    </row>
    <row r="3" spans="1:5" ht="25.05" customHeight="1">
      <c r="A3" s="41" t="s">
        <v>295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7</v>
      </c>
      <c r="B8" s="44"/>
      <c r="C8" s="45"/>
      <c r="D8" s="45"/>
      <c r="E8" s="44"/>
    </row>
    <row r="9" spans="1:5" ht="25.05" customHeight="1">
      <c r="A9" s="18" t="s">
        <v>301</v>
      </c>
      <c r="B9" s="18" t="s">
        <v>302</v>
      </c>
      <c r="C9" s="19"/>
      <c r="D9" s="18" t="s">
        <v>303</v>
      </c>
      <c r="E9" s="18" t="s">
        <v>304</v>
      </c>
    </row>
    <row r="10" spans="1:5" ht="25.05" customHeight="1">
      <c r="A10" s="2" t="s">
        <v>287</v>
      </c>
      <c r="B10" s="2" t="s">
        <v>12</v>
      </c>
      <c r="C10" s="5"/>
      <c r="D10" s="1" t="s">
        <v>10</v>
      </c>
      <c r="E10" s="2" t="s">
        <v>288</v>
      </c>
    </row>
    <row r="11" spans="1:5" ht="7.05" customHeight="1">
      <c r="A11" s="2"/>
      <c r="B11" s="2"/>
      <c r="C11" s="1"/>
      <c r="D11" s="1"/>
      <c r="E11" s="2"/>
    </row>
    <row r="12" spans="1:5" ht="25.05" customHeight="1">
      <c r="A12" s="43" t="s">
        <v>13</v>
      </c>
      <c r="B12" s="44"/>
      <c r="C12" s="45"/>
      <c r="D12" s="45"/>
      <c r="E12" s="44"/>
    </row>
    <row r="13" spans="1:5" ht="25.05" customHeight="1">
      <c r="A13" s="2" t="s">
        <v>14</v>
      </c>
      <c r="B13" s="2" t="s">
        <v>15</v>
      </c>
      <c r="C13" s="6">
        <v>2500</v>
      </c>
      <c r="D13" s="1" t="s">
        <v>16</v>
      </c>
      <c r="E13" s="2" t="s">
        <v>17</v>
      </c>
    </row>
    <row r="14" spans="1:5" ht="25.05" customHeight="1">
      <c r="A14" s="2" t="s">
        <v>18</v>
      </c>
      <c r="B14" s="2" t="s">
        <v>19</v>
      </c>
      <c r="C14" s="7"/>
      <c r="D14" s="1"/>
      <c r="E14" s="2" t="s">
        <v>20</v>
      </c>
    </row>
    <row r="15" spans="1:5" ht="25.05" customHeight="1">
      <c r="A15" s="2" t="s">
        <v>21</v>
      </c>
      <c r="B15" s="2" t="s">
        <v>22</v>
      </c>
      <c r="C15" s="13" t="str">
        <f>IF(C14="","待输入",VLOOKUP(C14,A64:B69,2,FALSE))</f>
        <v>待输入</v>
      </c>
      <c r="D15" s="1" t="s">
        <v>8</v>
      </c>
      <c r="E15" s="29" t="s">
        <v>416</v>
      </c>
    </row>
    <row r="16" spans="1:5" ht="25.05" customHeight="1">
      <c r="A16" s="2" t="s">
        <v>289</v>
      </c>
      <c r="B16" s="2" t="s">
        <v>23</v>
      </c>
      <c r="C16" s="14" t="str">
        <f>IF(AND(ISNUMBER(C10),C10&gt;=0,ISNUMBER(C17),C17&gt;0),ROUNDUP(C10/C17,0),"待输入")</f>
        <v>待输入</v>
      </c>
      <c r="D16" s="1" t="s">
        <v>24</v>
      </c>
      <c r="E16" s="2" t="s">
        <v>290</v>
      </c>
    </row>
    <row r="17" spans="1:5" ht="25.05" customHeight="1">
      <c r="A17" s="2" t="s">
        <v>25</v>
      </c>
      <c r="B17" s="2" t="s">
        <v>26</v>
      </c>
      <c r="C17" s="13" t="str">
        <f>IF(AND(ISNUMBER(C13),C13&gt;0,ISNUMBER(C15),C15&gt;0),PI()/4*(C13/1000)^2*C15,"待输入")</f>
        <v>待输入</v>
      </c>
      <c r="D17" s="1" t="s">
        <v>10</v>
      </c>
      <c r="E17" s="2" t="s">
        <v>27</v>
      </c>
    </row>
    <row r="18" spans="1:5" ht="25.05" customHeight="1">
      <c r="A18" s="2" t="s">
        <v>28</v>
      </c>
      <c r="B18" s="2" t="s">
        <v>29</v>
      </c>
      <c r="C18" s="13" t="str">
        <f>IF(AND(ISNUMBER(C16),C16&gt;0,ISNUMBER(C17),C17&gt;0),C16*C17,"待输入")</f>
        <v>待输入</v>
      </c>
      <c r="D18" s="1" t="s">
        <v>10</v>
      </c>
      <c r="E18" s="2" t="s">
        <v>30</v>
      </c>
    </row>
    <row r="19" spans="1:5" ht="25.05" customHeight="1">
      <c r="A19" s="2" t="s">
        <v>31</v>
      </c>
      <c r="B19" s="2" t="s">
        <v>32</v>
      </c>
      <c r="C19" s="15" t="str">
        <f>IF(AND(ISNUMBER(C18),C18&gt;0),IF(ISNUMBER(C10),C10/C18,"待输入"),"待输入")</f>
        <v>待输入</v>
      </c>
      <c r="D19" s="1"/>
      <c r="E19" s="2"/>
    </row>
    <row r="20" spans="1:5" ht="25.05" customHeight="1">
      <c r="A20" s="2" t="s">
        <v>33</v>
      </c>
      <c r="B20" s="2"/>
      <c r="C20" s="13" t="str">
        <f>IF(AND(ISNUMBER(C10),ISNUMBER(C18)),IF(C10&lt;=C18,"OK","NG"),"待输入")</f>
        <v>待输入</v>
      </c>
      <c r="D20" s="1"/>
      <c r="E20" s="2" t="s">
        <v>34</v>
      </c>
    </row>
    <row r="21" spans="1:5" ht="25.05" customHeight="1">
      <c r="A21" s="2" t="s">
        <v>35</v>
      </c>
      <c r="B21" s="2" t="s">
        <v>36</v>
      </c>
      <c r="C21" s="5">
        <v>1.5</v>
      </c>
      <c r="D21" s="1"/>
      <c r="E21" s="2" t="s">
        <v>17</v>
      </c>
    </row>
    <row r="22" spans="1:5" ht="25.05" customHeight="1">
      <c r="A22" s="2" t="s">
        <v>37</v>
      </c>
      <c r="B22" s="2" t="s">
        <v>38</v>
      </c>
      <c r="C22" s="13">
        <f>IF(AND(ISNUMBER(C13),C13&gt;0,ISNUMBER(C21),C21&gt;0),C13/C21,"待输入")</f>
        <v>1666.6666666666667</v>
      </c>
      <c r="D22" s="1" t="s">
        <v>16</v>
      </c>
      <c r="E22" s="2" t="s">
        <v>39</v>
      </c>
    </row>
    <row r="23" spans="1:5" ht="25.05" customHeight="1">
      <c r="A23" s="2" t="s">
        <v>40</v>
      </c>
      <c r="B23" s="2" t="s">
        <v>41</v>
      </c>
      <c r="C23" s="6">
        <v>1800</v>
      </c>
      <c r="D23" s="1" t="s">
        <v>16</v>
      </c>
      <c r="E23" s="2" t="s">
        <v>42</v>
      </c>
    </row>
    <row r="24" spans="1:5" ht="25.05" customHeight="1">
      <c r="A24" s="2" t="s">
        <v>43</v>
      </c>
      <c r="B24" s="2"/>
      <c r="C24" s="13" t="str">
        <f>IF(AND(ISNUMBER(C22),ISNUMBER(C23)),IF(C22&lt;=C23,"OK","NG"),"待输入")</f>
        <v>OK</v>
      </c>
      <c r="D24" s="1"/>
      <c r="E24" s="2" t="s">
        <v>44</v>
      </c>
    </row>
    <row r="25" spans="1:5" ht="25.05" customHeight="1">
      <c r="A25" s="2" t="s">
        <v>45</v>
      </c>
      <c r="B25" s="2"/>
      <c r="C25" s="13" t="str">
        <f>IF(ISNUMBER(C16),IF(C16&lt;5,"n &lt; 5","Review group effects"),"待输入")</f>
        <v>待输入</v>
      </c>
      <c r="D25" s="1"/>
      <c r="E25" s="2" t="s">
        <v>46</v>
      </c>
    </row>
    <row r="26" spans="1:5" ht="7.05" customHeight="1">
      <c r="A26" s="2"/>
      <c r="B26" s="2"/>
      <c r="C26" s="1"/>
      <c r="D26" s="1"/>
      <c r="E26" s="2"/>
    </row>
    <row r="27" spans="1:5" ht="25.05" customHeight="1">
      <c r="A27" s="43" t="s">
        <v>47</v>
      </c>
      <c r="B27" s="44"/>
      <c r="C27" s="45"/>
      <c r="D27" s="45"/>
      <c r="E27" s="44"/>
    </row>
    <row r="28" spans="1:5" ht="25.05" customHeight="1">
      <c r="A28" s="2" t="s">
        <v>48</v>
      </c>
      <c r="B28" s="2" t="s">
        <v>49</v>
      </c>
      <c r="C28" s="5">
        <v>1.6</v>
      </c>
      <c r="D28" s="1"/>
      <c r="E28" s="2" t="s">
        <v>50</v>
      </c>
    </row>
    <row r="29" spans="1:5" ht="25.05" customHeight="1">
      <c r="A29" s="2" t="s">
        <v>51</v>
      </c>
      <c r="B29" s="2" t="s">
        <v>52</v>
      </c>
      <c r="C29" s="13" t="str">
        <f>IF(AND(ISNUMBER(C28),C28&gt;0),IF(ISNUMBER(C10),C28*C10,"待输入"),"待输入")</f>
        <v>待输入</v>
      </c>
      <c r="D29" s="1" t="s">
        <v>10</v>
      </c>
      <c r="E29" s="2" t="s">
        <v>53</v>
      </c>
    </row>
    <row r="30" spans="1:5" ht="25.05" customHeight="1">
      <c r="A30" s="2" t="s">
        <v>54</v>
      </c>
      <c r="B30" s="2" t="s">
        <v>55</v>
      </c>
      <c r="C30" s="6"/>
      <c r="D30" s="1" t="s">
        <v>16</v>
      </c>
      <c r="E30" s="26" t="s">
        <v>403</v>
      </c>
    </row>
    <row r="31" spans="1:5" ht="25.05" customHeight="1">
      <c r="A31" s="18" t="s">
        <v>305</v>
      </c>
      <c r="B31" s="2" t="s">
        <v>56</v>
      </c>
      <c r="C31" s="20" t="str">
        <f>IF(C30="","",C30)</f>
        <v/>
      </c>
      <c r="D31" s="1" t="s">
        <v>16</v>
      </c>
      <c r="E31" s="18" t="s">
        <v>306</v>
      </c>
    </row>
    <row r="32" spans="1:5" ht="25.05" customHeight="1">
      <c r="A32" s="2" t="s">
        <v>57</v>
      </c>
      <c r="B32" s="2" t="s">
        <v>58</v>
      </c>
      <c r="C32" s="21" t="str">
        <f>IF(AND(ISNUMBER(C30),C30&gt;0),4*C30,"待输入")</f>
        <v>待输入</v>
      </c>
      <c r="D32" s="1" t="s">
        <v>16</v>
      </c>
      <c r="E32" s="18" t="s">
        <v>307</v>
      </c>
    </row>
    <row r="33" spans="1:5" ht="31.05" customHeight="1">
      <c r="A33" s="2" t="s">
        <v>59</v>
      </c>
      <c r="B33" s="2" t="s">
        <v>60</v>
      </c>
      <c r="C33" s="5">
        <v>45</v>
      </c>
      <c r="D33" s="1" t="s">
        <v>61</v>
      </c>
      <c r="E33" s="26" t="s">
        <v>404</v>
      </c>
    </row>
    <row r="34" spans="1:5" ht="25.05" customHeight="1">
      <c r="A34" s="2" t="s">
        <v>62</v>
      </c>
      <c r="B34" s="2" t="s">
        <v>63</v>
      </c>
      <c r="C34" s="5">
        <v>0.8</v>
      </c>
      <c r="D34" s="1"/>
      <c r="E34" s="2" t="s">
        <v>64</v>
      </c>
    </row>
    <row r="35" spans="1:5" ht="25.05" customHeight="1">
      <c r="A35" s="2" t="s">
        <v>65</v>
      </c>
      <c r="B35" s="2" t="s">
        <v>66</v>
      </c>
      <c r="C35" s="13">
        <f>IF(AND(ISNUMBER(C33),C33&gt;0,ISNUMBER(C34),C34&gt;0),C34*SQRT(C33),"待输入")</f>
        <v>5.3665631459994962</v>
      </c>
      <c r="D35" s="1" t="s">
        <v>61</v>
      </c>
      <c r="E35" s="2" t="s">
        <v>67</v>
      </c>
    </row>
    <row r="36" spans="1:5" ht="25.05" customHeight="1">
      <c r="A36" s="2" t="s">
        <v>68</v>
      </c>
      <c r="B36" s="2" t="s">
        <v>69</v>
      </c>
      <c r="C36" s="13" t="str">
        <f>IF(AND(ISNUMBER(C32),C32&gt;0,ISNUMBER(C35),C35&gt;0),IF(ISNUMBER(C29),C29*1000/(C32*C35),"待输入"),"待输入")</f>
        <v>待输入</v>
      </c>
      <c r="D36" s="1" t="s">
        <v>16</v>
      </c>
      <c r="E36" s="2" t="s">
        <v>70</v>
      </c>
    </row>
    <row r="37" spans="1:5" ht="25.05" customHeight="1">
      <c r="A37" s="18" t="s">
        <v>308</v>
      </c>
      <c r="B37" s="2" t="s">
        <v>71</v>
      </c>
      <c r="C37" s="20" t="str">
        <f>IF(AND(ISNUMBER(C39),ISNUMBER(C38),C39&gt;C38),C39-C38,"待输入")</f>
        <v>待输入</v>
      </c>
      <c r="D37" s="1" t="s">
        <v>16</v>
      </c>
      <c r="E37" s="18" t="s">
        <v>309</v>
      </c>
    </row>
    <row r="38" spans="1:5" ht="25.05" customHeight="1">
      <c r="A38" s="18" t="s">
        <v>310</v>
      </c>
      <c r="B38" s="18" t="s">
        <v>311</v>
      </c>
      <c r="C38" s="22">
        <v>75</v>
      </c>
      <c r="D38" s="1" t="s">
        <v>16</v>
      </c>
      <c r="E38" s="18" t="s">
        <v>312</v>
      </c>
    </row>
    <row r="39" spans="1:5" ht="25.05" customHeight="1">
      <c r="A39" s="2" t="s">
        <v>72</v>
      </c>
      <c r="B39" s="2" t="s">
        <v>73</v>
      </c>
      <c r="C39" s="21" t="str">
        <f>IF(AND(ISNUMBER(C9),C9&gt;0),C9/10*1000,"待输入")</f>
        <v>待输入</v>
      </c>
      <c r="D39" s="1" t="s">
        <v>16</v>
      </c>
      <c r="E39" s="18" t="s">
        <v>313</v>
      </c>
    </row>
    <row r="40" spans="1:5" ht="25.05" customHeight="1">
      <c r="A40" s="2" t="s">
        <v>74</v>
      </c>
      <c r="B40" s="2" t="s">
        <v>75</v>
      </c>
      <c r="C40" s="13" t="str">
        <f>IF(AND(ISNUMBER(C32),C32&gt;0,ISNUMBER(C37),C37&gt;0),IF(ISNUMBER(C29),C29*1000/(C32*C37),"待输入"),"待输入")</f>
        <v>待输入</v>
      </c>
      <c r="D40" s="1" t="s">
        <v>61</v>
      </c>
      <c r="E40" s="2" t="s">
        <v>76</v>
      </c>
    </row>
    <row r="41" spans="1:5" ht="25.05" customHeight="1">
      <c r="A41" s="2" t="s">
        <v>77</v>
      </c>
      <c r="B41" s="2"/>
      <c r="C41" s="13" t="str">
        <f>IF(AND(ISNUMBER(C40),ISNUMBER(C35)),IF(C40&lt;=C35,"OK","NG"),"待输入")</f>
        <v>待输入</v>
      </c>
      <c r="D41" s="1"/>
      <c r="E41" s="2"/>
    </row>
    <row r="42" spans="1:5" ht="25.05" customHeight="1">
      <c r="A42" s="2" t="s">
        <v>78</v>
      </c>
      <c r="B42" s="2" t="s">
        <v>79</v>
      </c>
      <c r="C42" s="13" t="str">
        <f>IF(ISNUMBER(C16),IF(C16=4,4*C23+300,"Layout required"),"待输入")</f>
        <v>待输入</v>
      </c>
      <c r="D42" s="1" t="s">
        <v>16</v>
      </c>
      <c r="E42" s="2" t="s">
        <v>80</v>
      </c>
    </row>
    <row r="43" spans="1:5" ht="25.05" customHeight="1">
      <c r="A43" s="2" t="s">
        <v>81</v>
      </c>
      <c r="B43" s="2" t="s">
        <v>82</v>
      </c>
      <c r="C43" s="13" t="str">
        <f>C42</f>
        <v>待输入</v>
      </c>
      <c r="D43" s="1" t="s">
        <v>16</v>
      </c>
      <c r="E43" s="2" t="s">
        <v>83</v>
      </c>
    </row>
    <row r="44" spans="1:5" ht="7.05" customHeight="1">
      <c r="A44" s="2"/>
      <c r="B44" s="2"/>
      <c r="C44" s="1"/>
      <c r="D44" s="1"/>
      <c r="E44" s="2"/>
    </row>
    <row r="45" spans="1:5" ht="25.05" customHeight="1">
      <c r="A45" s="43" t="s">
        <v>84</v>
      </c>
      <c r="B45" s="44"/>
      <c r="C45" s="45"/>
      <c r="D45" s="45"/>
      <c r="E45" s="44"/>
    </row>
    <row r="46" spans="1:5" ht="10.050000000000001" customHeight="1">
      <c r="A46" s="41" t="s">
        <v>85</v>
      </c>
      <c r="B46" s="41"/>
      <c r="C46" s="41"/>
      <c r="D46" s="41"/>
      <c r="E46" s="41"/>
    </row>
    <row r="47" spans="1:5" ht="10.050000000000001" customHeight="1">
      <c r="A47" s="41"/>
      <c r="B47" s="41"/>
      <c r="C47" s="41"/>
      <c r="D47" s="41"/>
      <c r="E47" s="41"/>
    </row>
    <row r="48" spans="1:5" ht="10.050000000000001" customHeight="1">
      <c r="A48" s="41"/>
      <c r="B48" s="41"/>
      <c r="C48" s="41"/>
      <c r="D48" s="41"/>
      <c r="E48" s="41"/>
    </row>
    <row r="49" spans="1:5" ht="10.050000000000001" customHeight="1">
      <c r="A49" s="41" t="s">
        <v>86</v>
      </c>
      <c r="B49" s="41"/>
      <c r="C49" s="41"/>
      <c r="D49" s="41"/>
      <c r="E49" s="41"/>
    </row>
    <row r="50" spans="1:5" ht="10.050000000000001" customHeight="1">
      <c r="A50" s="41"/>
      <c r="B50" s="41"/>
      <c r="C50" s="41"/>
      <c r="D50" s="41"/>
      <c r="E50" s="41"/>
    </row>
    <row r="51" spans="1:5" ht="10.050000000000001" customHeight="1">
      <c r="A51" s="41"/>
      <c r="B51" s="41"/>
      <c r="C51" s="41"/>
      <c r="D51" s="41"/>
      <c r="E51" s="41"/>
    </row>
    <row r="52" spans="1:5" ht="10.050000000000001" customHeight="1">
      <c r="A52" s="41" t="s">
        <v>87</v>
      </c>
      <c r="B52" s="41"/>
      <c r="C52" s="41"/>
      <c r="D52" s="41"/>
      <c r="E52" s="41"/>
    </row>
    <row r="53" spans="1:5" ht="10.050000000000001" customHeight="1">
      <c r="A53" s="41"/>
      <c r="B53" s="41"/>
      <c r="C53" s="41"/>
      <c r="D53" s="41"/>
      <c r="E53" s="41"/>
    </row>
    <row r="54" spans="1:5" ht="10.050000000000001" customHeight="1">
      <c r="A54" s="41"/>
      <c r="B54" s="41"/>
      <c r="C54" s="41"/>
      <c r="D54" s="41"/>
      <c r="E54" s="41"/>
    </row>
    <row r="55" spans="1:5" ht="10.050000000000001" customHeight="1">
      <c r="A55" s="41" t="s">
        <v>88</v>
      </c>
      <c r="B55" s="41"/>
      <c r="C55" s="41"/>
      <c r="D55" s="41"/>
      <c r="E55" s="41"/>
    </row>
    <row r="56" spans="1:5" ht="10.050000000000001" customHeight="1">
      <c r="A56" s="41"/>
      <c r="B56" s="41"/>
      <c r="C56" s="41"/>
      <c r="D56" s="41"/>
      <c r="E56" s="41"/>
    </row>
    <row r="57" spans="1:5" ht="10.050000000000001" customHeight="1">
      <c r="A57" s="41"/>
      <c r="B57" s="41"/>
      <c r="C57" s="41"/>
      <c r="D57" s="41"/>
      <c r="E57" s="41"/>
    </row>
    <row r="58" spans="1:5" ht="7.05" customHeight="1">
      <c r="A58" s="2"/>
      <c r="B58" s="2"/>
      <c r="C58" s="1"/>
      <c r="D58" s="1"/>
      <c r="E58" s="2"/>
    </row>
    <row r="59" spans="1:5" ht="15" customHeight="1">
      <c r="A59" s="41" t="s">
        <v>89</v>
      </c>
      <c r="B59" s="41"/>
      <c r="C59" s="41"/>
      <c r="D59" s="41"/>
      <c r="E59" s="41"/>
    </row>
    <row r="60" spans="1:5" ht="15" customHeight="1">
      <c r="A60" s="41"/>
      <c r="B60" s="41"/>
      <c r="C60" s="41"/>
      <c r="D60" s="41"/>
      <c r="E60" s="41"/>
    </row>
    <row r="61" spans="1:5" ht="7.05" customHeight="1">
      <c r="A61" s="2"/>
      <c r="B61" s="2"/>
      <c r="C61" s="1"/>
      <c r="D61" s="1"/>
      <c r="E61" s="2"/>
    </row>
    <row r="62" spans="1:5" ht="25.05" customHeight="1">
      <c r="A62" s="43" t="s">
        <v>90</v>
      </c>
      <c r="B62" s="44"/>
      <c r="C62" s="45"/>
      <c r="D62" s="45"/>
      <c r="E62" s="44"/>
    </row>
    <row r="63" spans="1:5" ht="25.05" customHeight="1">
      <c r="A63" s="2" t="s">
        <v>18</v>
      </c>
      <c r="B63" s="2" t="s">
        <v>91</v>
      </c>
      <c r="C63" s="1"/>
      <c r="D63" s="1"/>
      <c r="E63" s="2"/>
    </row>
    <row r="64" spans="1:5" ht="25.05" customHeight="1">
      <c r="A64" s="2" t="s">
        <v>92</v>
      </c>
      <c r="B64" s="9">
        <v>10000</v>
      </c>
      <c r="C64" s="1"/>
      <c r="D64" s="1"/>
      <c r="E64" s="2"/>
    </row>
    <row r="65" spans="1:5" ht="25.05" customHeight="1">
      <c r="A65" s="2" t="s">
        <v>93</v>
      </c>
      <c r="B65" s="9">
        <v>7500</v>
      </c>
      <c r="C65" s="1"/>
      <c r="D65" s="1"/>
      <c r="E65" s="2"/>
    </row>
    <row r="66" spans="1:5" ht="25.05" customHeight="1">
      <c r="A66" s="2" t="s">
        <v>94</v>
      </c>
      <c r="B66" s="9">
        <v>5000</v>
      </c>
      <c r="C66" s="1"/>
      <c r="D66" s="1"/>
      <c r="E66" s="2"/>
    </row>
    <row r="67" spans="1:5" ht="25.05" customHeight="1">
      <c r="A67" s="2" t="s">
        <v>95</v>
      </c>
      <c r="B67" s="9">
        <v>3000</v>
      </c>
      <c r="C67" s="1"/>
      <c r="D67" s="1"/>
      <c r="E67" s="2"/>
    </row>
    <row r="68" spans="1:5" ht="25.05" customHeight="1">
      <c r="A68" s="2" t="s">
        <v>96</v>
      </c>
      <c r="B68" s="9">
        <v>3000</v>
      </c>
      <c r="C68" s="1"/>
      <c r="D68" s="1"/>
      <c r="E68" s="2"/>
    </row>
    <row r="69" spans="1:5" ht="25.05" customHeight="1">
      <c r="A69" s="2" t="s">
        <v>97</v>
      </c>
      <c r="B69" s="9">
        <v>1000</v>
      </c>
      <c r="C69" s="1"/>
      <c r="D69" s="1"/>
      <c r="E69" s="2"/>
    </row>
    <row r="70" spans="1:5" ht="7.05" customHeight="1">
      <c r="A70" s="2"/>
      <c r="B70" s="2"/>
      <c r="C70" s="1"/>
      <c r="D70" s="1"/>
      <c r="E70" s="2"/>
    </row>
    <row r="71" spans="1:5" ht="13.95" customHeight="1">
      <c r="A71" s="41" t="s">
        <v>98</v>
      </c>
      <c r="B71" s="41"/>
      <c r="C71" s="41"/>
      <c r="D71" s="41"/>
      <c r="E71" s="41"/>
    </row>
    <row r="72" spans="1:5" ht="13.95" customHeight="1">
      <c r="A72" s="41"/>
      <c r="B72" s="41"/>
      <c r="C72" s="41"/>
      <c r="D72" s="41"/>
      <c r="E72" s="41"/>
    </row>
    <row r="73" spans="1:5" ht="13.95" customHeight="1">
      <c r="A73" s="41"/>
      <c r="B73" s="41"/>
      <c r="C73" s="41"/>
      <c r="D73" s="41"/>
      <c r="E73" s="41"/>
    </row>
  </sheetData>
  <mergeCells count="14">
    <mergeCell ref="A55:E57"/>
    <mergeCell ref="A59:E60"/>
    <mergeCell ref="A62:E62"/>
    <mergeCell ref="A71:E73"/>
    <mergeCell ref="A27:E27"/>
    <mergeCell ref="A45:E45"/>
    <mergeCell ref="A46:E48"/>
    <mergeCell ref="A49:E51"/>
    <mergeCell ref="A52:E54"/>
    <mergeCell ref="A2:E2"/>
    <mergeCell ref="A3:E3"/>
    <mergeCell ref="A4:E4"/>
    <mergeCell ref="A8:E8"/>
    <mergeCell ref="A12:E12"/>
  </mergeCells>
  <phoneticPr fontId="7" type="noConversion"/>
  <conditionalFormatting sqref="C7:C73">
    <cfRule type="expression" dxfId="17" priority="1">
      <formula>C7="NG"</formula>
    </cfRule>
    <cfRule type="expression" dxfId="16" priority="2">
      <formula>C7="待输入"</formula>
    </cfRule>
  </conditionalFormatting>
  <dataValidations count="1">
    <dataValidation type="list" sqref="C14" xr:uid="{00000000-0002-0000-0000-000000000000}">
      <formula1>"1(a),1(b),1(c),1(d),2,3"</formula1>
    </dataValidation>
  </dataValidations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5D7D9B"/>
    <pageSetUpPr fitToPage="1"/>
  </sheetPr>
  <dimension ref="A1:E54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99</v>
      </c>
      <c r="B2" s="41"/>
      <c r="C2" s="42"/>
      <c r="D2" s="42"/>
      <c r="E2" s="41"/>
    </row>
    <row r="3" spans="1:5" ht="25.05" customHeight="1">
      <c r="A3" s="41" t="s">
        <v>296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7</v>
      </c>
      <c r="B8" s="44"/>
      <c r="C8" s="45"/>
      <c r="D8" s="45"/>
      <c r="E8" s="44"/>
    </row>
    <row r="9" spans="1:5" ht="25.05" customHeight="1">
      <c r="A9" s="18" t="s">
        <v>301</v>
      </c>
      <c r="B9" s="18" t="s">
        <v>302</v>
      </c>
      <c r="C9" s="23" t="str">
        <f>IF('A Bored Pile Checking'!C9="","",'A Bored Pile Checking'!C9)</f>
        <v/>
      </c>
      <c r="D9" s="18" t="s">
        <v>303</v>
      </c>
      <c r="E9" s="18" t="s">
        <v>304</v>
      </c>
    </row>
    <row r="10" spans="1:5" ht="25.05" customHeight="1">
      <c r="A10" s="2" t="s">
        <v>287</v>
      </c>
      <c r="B10" s="2" t="s">
        <v>12</v>
      </c>
      <c r="C10" s="13" t="str">
        <f>IF(ISNUMBER('A Bored Pile Checking'!C10),'A Bored Pile Checking'!C10,"")</f>
        <v/>
      </c>
      <c r="D10" s="1" t="s">
        <v>10</v>
      </c>
      <c r="E10" s="2" t="s">
        <v>291</v>
      </c>
    </row>
    <row r="11" spans="1:5" ht="7.05" customHeight="1">
      <c r="A11" s="2"/>
      <c r="B11" s="2"/>
      <c r="C11" s="1"/>
      <c r="D11" s="1"/>
      <c r="E11" s="2"/>
    </row>
    <row r="12" spans="1:5" ht="25.05" customHeight="1">
      <c r="A12" s="43" t="s">
        <v>13</v>
      </c>
      <c r="B12" s="44"/>
      <c r="C12" s="45"/>
      <c r="D12" s="45"/>
      <c r="E12" s="44"/>
    </row>
    <row r="13" spans="1:5" ht="31.05" customHeight="1">
      <c r="A13" s="2" t="s">
        <v>100</v>
      </c>
      <c r="B13" s="2" t="s">
        <v>101</v>
      </c>
      <c r="C13" s="7" t="s">
        <v>102</v>
      </c>
      <c r="D13" s="1" t="s">
        <v>103</v>
      </c>
      <c r="E13" s="2" t="s">
        <v>104</v>
      </c>
    </row>
    <row r="14" spans="1:5" ht="25.05" customHeight="1">
      <c r="A14" s="2" t="s">
        <v>105</v>
      </c>
      <c r="B14" s="2" t="s">
        <v>106</v>
      </c>
      <c r="C14" s="5">
        <v>430</v>
      </c>
      <c r="D14" s="1" t="s">
        <v>61</v>
      </c>
      <c r="E14" s="2" t="s">
        <v>107</v>
      </c>
    </row>
    <row r="15" spans="1:5" ht="25.05" customHeight="1">
      <c r="A15" s="2" t="s">
        <v>108</v>
      </c>
      <c r="B15" s="2" t="s">
        <v>109</v>
      </c>
      <c r="C15" s="6">
        <v>28400</v>
      </c>
      <c r="D15" s="1" t="s">
        <v>110</v>
      </c>
      <c r="E15" s="2" t="s">
        <v>111</v>
      </c>
    </row>
    <row r="16" spans="1:5" ht="25.05" customHeight="1">
      <c r="A16" s="2" t="s">
        <v>112</v>
      </c>
      <c r="B16" s="2" t="s">
        <v>63</v>
      </c>
      <c r="C16" s="5">
        <v>0.5</v>
      </c>
      <c r="D16" s="1"/>
      <c r="E16" s="2" t="s">
        <v>113</v>
      </c>
    </row>
    <row r="17" spans="1:5" ht="25.05" customHeight="1">
      <c r="A17" s="2" t="s">
        <v>114</v>
      </c>
      <c r="B17" s="2" t="s">
        <v>115</v>
      </c>
      <c r="C17" s="13">
        <f>IF(AND(ISNUMBER(C14),C14&gt;0,ISNUMBER(C15),C15&gt;0,ISNUMBER(C16),C16&gt;0),C14*C15*C16/1000,"待输入")</f>
        <v>6106</v>
      </c>
      <c r="D17" s="1" t="s">
        <v>10</v>
      </c>
      <c r="E17" s="2" t="s">
        <v>116</v>
      </c>
    </row>
    <row r="18" spans="1:5" ht="25.05" customHeight="1">
      <c r="A18" s="2" t="s">
        <v>117</v>
      </c>
      <c r="B18" s="2" t="s">
        <v>118</v>
      </c>
      <c r="C18" s="13" t="str">
        <f>IF(AND(ISNUMBER(C17),C17&gt;0),IF(ISNUMBER(C10),C10/C17,"待输入"),"待输入")</f>
        <v>待输入</v>
      </c>
      <c r="D18" s="1" t="s">
        <v>24</v>
      </c>
      <c r="E18" s="2" t="s">
        <v>119</v>
      </c>
    </row>
    <row r="19" spans="1:5" ht="25.05" customHeight="1">
      <c r="A19" s="2" t="s">
        <v>289</v>
      </c>
      <c r="B19" s="2" t="s">
        <v>23</v>
      </c>
      <c r="C19" s="14" t="str">
        <f>IF(AND(ISNUMBER(C10),C10&gt;=0,ISNUMBER(C17),C17&gt;0),ROUNDUP(C10/C17,0),"待输入")</f>
        <v>待输入</v>
      </c>
      <c r="D19" s="1" t="s">
        <v>24</v>
      </c>
      <c r="E19" s="2" t="s">
        <v>292</v>
      </c>
    </row>
    <row r="20" spans="1:5" ht="25.05" customHeight="1">
      <c r="A20" s="2" t="s">
        <v>120</v>
      </c>
      <c r="B20" s="2" t="s">
        <v>121</v>
      </c>
      <c r="C20" s="13" t="str">
        <f>IF(AND(ISNUMBER(C17),C17&gt;0,ISNUMBER(C19),C19&gt;0),C17*C19,"待输入")</f>
        <v>待输入</v>
      </c>
      <c r="D20" s="1" t="s">
        <v>10</v>
      </c>
      <c r="E20" s="2" t="s">
        <v>122</v>
      </c>
    </row>
    <row r="21" spans="1:5" ht="25.05" customHeight="1">
      <c r="A21" s="2" t="s">
        <v>123</v>
      </c>
      <c r="B21" s="2" t="s">
        <v>124</v>
      </c>
      <c r="C21" s="15" t="str">
        <f>IF(AND(ISNUMBER(C20),C20&gt;0),IF(ISNUMBER(C10),C10/C20,"待输入"),"待输入")</f>
        <v>待输入</v>
      </c>
      <c r="D21" s="1"/>
      <c r="E21" s="2"/>
    </row>
    <row r="22" spans="1:5" ht="25.05" customHeight="1">
      <c r="A22" s="2" t="s">
        <v>125</v>
      </c>
      <c r="B22" s="2"/>
      <c r="C22" s="13" t="str">
        <f>IF(AND(ISNUMBER(C10),ISNUMBER(C20)),IF(C10&lt;=C20,"OK","NG"),"待输入")</f>
        <v>待输入</v>
      </c>
      <c r="D22" s="1"/>
      <c r="E22" s="2" t="s">
        <v>126</v>
      </c>
    </row>
    <row r="23" spans="1:5" ht="7.05" customHeight="1">
      <c r="A23" s="2"/>
      <c r="B23" s="2"/>
      <c r="C23" s="1"/>
      <c r="D23" s="1"/>
      <c r="E23" s="2"/>
    </row>
    <row r="24" spans="1:5" ht="25.05" customHeight="1">
      <c r="A24" s="2" t="s">
        <v>127</v>
      </c>
      <c r="B24" s="2" t="s">
        <v>128</v>
      </c>
      <c r="C24" s="5">
        <v>6.7</v>
      </c>
      <c r="D24" s="1" t="s">
        <v>9</v>
      </c>
      <c r="E24" s="2" t="s">
        <v>129</v>
      </c>
    </row>
    <row r="25" spans="1:5" ht="25.05" customHeight="1">
      <c r="A25" s="46" t="s">
        <v>417</v>
      </c>
      <c r="B25" s="46"/>
      <c r="C25" s="46"/>
      <c r="D25" s="46"/>
      <c r="E25" s="46"/>
    </row>
    <row r="26" spans="1:5" ht="25.05" customHeight="1">
      <c r="A26" s="30" t="s">
        <v>418</v>
      </c>
      <c r="B26" s="30" t="s">
        <v>49</v>
      </c>
      <c r="C26" s="31">
        <f>IF('A Bored Pile Checking'!C28="","",'A Bored Pile Checking'!C28)</f>
        <v>1.6</v>
      </c>
      <c r="D26" s="30"/>
      <c r="E26" s="30" t="s">
        <v>419</v>
      </c>
    </row>
    <row r="27" spans="1:5" ht="25.05" customHeight="1">
      <c r="A27" s="30" t="s">
        <v>191</v>
      </c>
      <c r="B27" s="30" t="s">
        <v>420</v>
      </c>
      <c r="C27" s="31" t="str">
        <f>IF(AND(ISNUMBER(C10),ISNUMBER(C26)),C10*C26,"待输入")</f>
        <v>待输入</v>
      </c>
      <c r="D27" s="30" t="s">
        <v>10</v>
      </c>
      <c r="E27" s="30" t="s">
        <v>421</v>
      </c>
    </row>
    <row r="28" spans="1:5" ht="25.05" customHeight="1">
      <c r="A28" s="30" t="s">
        <v>422</v>
      </c>
      <c r="B28" s="30" t="s">
        <v>423</v>
      </c>
      <c r="C28" s="31" t="str">
        <f>IF('A Bored Pile Checking'!C30="","",'A Bored Pile Checking'!C30)</f>
        <v/>
      </c>
      <c r="D28" s="30" t="s">
        <v>16</v>
      </c>
      <c r="E28" s="30" t="s">
        <v>424</v>
      </c>
    </row>
    <row r="29" spans="1:5" ht="25.05" customHeight="1">
      <c r="A29" s="30" t="s">
        <v>425</v>
      </c>
      <c r="B29" s="30" t="s">
        <v>58</v>
      </c>
      <c r="C29" s="31" t="str">
        <f>IF(AND(ISNUMBER(C28),C28&gt;0),4*C28,"待输入")</f>
        <v>待输入</v>
      </c>
      <c r="D29" s="30" t="s">
        <v>16</v>
      </c>
      <c r="E29" s="30" t="s">
        <v>426</v>
      </c>
    </row>
    <row r="30" spans="1:5" ht="25.05" customHeight="1">
      <c r="A30" s="30" t="s">
        <v>59</v>
      </c>
      <c r="B30" s="30" t="s">
        <v>60</v>
      </c>
      <c r="C30" s="31">
        <f>IF('A Bored Pile Checking'!C33="","",'A Bored Pile Checking'!C33)</f>
        <v>45</v>
      </c>
      <c r="D30" s="30" t="s">
        <v>61</v>
      </c>
      <c r="E30" s="30" t="s">
        <v>427</v>
      </c>
    </row>
    <row r="31" spans="1:5" ht="25.05" customHeight="1">
      <c r="A31" s="30" t="s">
        <v>428</v>
      </c>
      <c r="B31" s="30" t="s">
        <v>63</v>
      </c>
      <c r="C31" s="31">
        <f>IF('A Bored Pile Checking'!C34="","",'A Bored Pile Checking'!C34)</f>
        <v>0.8</v>
      </c>
      <c r="D31" s="30"/>
      <c r="E31" s="30" t="s">
        <v>429</v>
      </c>
    </row>
    <row r="32" spans="1:5" ht="25.05" customHeight="1">
      <c r="A32" s="30" t="s">
        <v>250</v>
      </c>
      <c r="B32" s="30" t="s">
        <v>66</v>
      </c>
      <c r="C32" s="31">
        <f>IF(AND(ISNUMBER(C30),C30&gt;0,ISNUMBER(C31)),C31*SQRT(C30),"待输入")</f>
        <v>5.3665631459994962</v>
      </c>
      <c r="D32" s="30" t="s">
        <v>61</v>
      </c>
      <c r="E32" s="30" t="s">
        <v>235</v>
      </c>
    </row>
    <row r="33" spans="1:5" ht="25.05" customHeight="1">
      <c r="A33" s="30" t="s">
        <v>233</v>
      </c>
      <c r="B33" s="30" t="s">
        <v>73</v>
      </c>
      <c r="C33" s="31" t="str">
        <f>IF(AND(ISNUMBER(C9),C9&gt;0),C9/10*1000,"待输入")</f>
        <v>待输入</v>
      </c>
      <c r="D33" s="30" t="s">
        <v>16</v>
      </c>
      <c r="E33" s="30" t="s">
        <v>430</v>
      </c>
    </row>
    <row r="34" spans="1:5" ht="25.05" customHeight="1">
      <c r="A34" s="30" t="s">
        <v>310</v>
      </c>
      <c r="B34" s="30" t="s">
        <v>311</v>
      </c>
      <c r="C34" s="31">
        <f>IF('A Bored Pile Checking'!C38="","",'A Bored Pile Checking'!C38)</f>
        <v>75</v>
      </c>
      <c r="D34" s="30" t="s">
        <v>16</v>
      </c>
      <c r="E34" s="30" t="s">
        <v>431</v>
      </c>
    </row>
    <row r="35" spans="1:5" ht="25.05" customHeight="1">
      <c r="A35" s="30" t="s">
        <v>308</v>
      </c>
      <c r="B35" s="30" t="s">
        <v>71</v>
      </c>
      <c r="C35" s="31" t="str">
        <f>IF(AND(ISNUMBER(C33),ISNUMBER(C34),C33&gt;C34),C33-C34,"待输入")</f>
        <v>待输入</v>
      </c>
      <c r="D35" s="30" t="s">
        <v>16</v>
      </c>
      <c r="E35" s="30" t="s">
        <v>309</v>
      </c>
    </row>
    <row r="36" spans="1:5" ht="25.05" customHeight="1">
      <c r="A36" s="30" t="s">
        <v>241</v>
      </c>
      <c r="B36" s="30" t="s">
        <v>69</v>
      </c>
      <c r="C36" s="31" t="str">
        <f>IF(AND(ISNUMBER(C27),ISNUMBER(C29),C29&gt;0,ISNUMBER(C32),C32&gt;0),C27*1000/(C29*C32),"待输入")</f>
        <v>待输入</v>
      </c>
      <c r="D36" s="30" t="s">
        <v>16</v>
      </c>
      <c r="E36" s="30" t="s">
        <v>432</v>
      </c>
    </row>
    <row r="37" spans="1:5" ht="25.05" customHeight="1">
      <c r="A37" s="30" t="s">
        <v>433</v>
      </c>
      <c r="B37" s="30" t="s">
        <v>434</v>
      </c>
      <c r="C37" s="31" t="str">
        <f>IF(AND(ISNUMBER(C27),ISNUMBER(C29),C29&gt;0,ISNUMBER(C35),C35&gt;0),C27*1000/(C29*C35),"待输入")</f>
        <v>待输入</v>
      </c>
      <c r="D37" s="30" t="s">
        <v>61</v>
      </c>
      <c r="E37" s="30" t="s">
        <v>435</v>
      </c>
    </row>
    <row r="38" spans="1:5" ht="25.05" customHeight="1">
      <c r="A38" s="30" t="s">
        <v>417</v>
      </c>
      <c r="B38" s="30"/>
      <c r="C38" s="32" t="str">
        <f>IF(AND(ISNUMBER(C37),ISNUMBER(C32)),IF(C37&lt;C32,"OK","NG"),"待输入")</f>
        <v>待输入</v>
      </c>
      <c r="D38" s="30"/>
      <c r="E38" s="30" t="s">
        <v>436</v>
      </c>
    </row>
    <row r="39" spans="1:5" ht="25.05" customHeight="1">
      <c r="A39" s="43" t="s">
        <v>84</v>
      </c>
      <c r="B39" s="44"/>
      <c r="C39" s="45"/>
      <c r="D39" s="45"/>
      <c r="E39" s="44"/>
    </row>
    <row r="40" spans="1:5" ht="10.050000000000001" customHeight="1">
      <c r="A40" s="41" t="s">
        <v>130</v>
      </c>
      <c r="B40" s="41"/>
      <c r="C40" s="41"/>
      <c r="D40" s="41"/>
      <c r="E40" s="41"/>
    </row>
    <row r="41" spans="1:5" ht="10.050000000000001" customHeight="1">
      <c r="A41" s="41"/>
      <c r="B41" s="41"/>
      <c r="C41" s="41"/>
      <c r="D41" s="41"/>
      <c r="E41" s="41"/>
    </row>
    <row r="42" spans="1:5" ht="10.050000000000001" customHeight="1">
      <c r="A42" s="41"/>
      <c r="B42" s="41"/>
      <c r="C42" s="41"/>
      <c r="D42" s="41"/>
      <c r="E42" s="41"/>
    </row>
    <row r="43" spans="1:5" ht="10.050000000000001" customHeight="1">
      <c r="A43" s="41" t="s">
        <v>131</v>
      </c>
      <c r="B43" s="41"/>
      <c r="C43" s="41"/>
      <c r="D43" s="41"/>
      <c r="E43" s="41"/>
    </row>
    <row r="44" spans="1:5" ht="10.050000000000001" customHeight="1">
      <c r="A44" s="41"/>
      <c r="B44" s="41"/>
      <c r="C44" s="41"/>
      <c r="D44" s="41"/>
      <c r="E44" s="41"/>
    </row>
    <row r="45" spans="1:5" ht="10.050000000000001" customHeight="1">
      <c r="A45" s="41"/>
      <c r="B45" s="41"/>
      <c r="C45" s="41"/>
      <c r="D45" s="41"/>
      <c r="E45" s="41"/>
    </row>
    <row r="46" spans="1:5" ht="10.050000000000001" customHeight="1">
      <c r="A46" s="41" t="s">
        <v>132</v>
      </c>
      <c r="B46" s="41"/>
      <c r="C46" s="41"/>
      <c r="D46" s="41"/>
      <c r="E46" s="41"/>
    </row>
    <row r="47" spans="1:5" ht="10.050000000000001" customHeight="1">
      <c r="A47" s="41"/>
      <c r="B47" s="41"/>
      <c r="C47" s="41"/>
      <c r="D47" s="41"/>
      <c r="E47" s="41"/>
    </row>
    <row r="48" spans="1:5" ht="10.050000000000001" customHeight="1">
      <c r="A48" s="41"/>
      <c r="B48" s="41"/>
      <c r="C48" s="41"/>
      <c r="D48" s="41"/>
      <c r="E48" s="41"/>
    </row>
    <row r="49" spans="1:5" ht="10.050000000000001" customHeight="1">
      <c r="A49" s="41" t="s">
        <v>133</v>
      </c>
      <c r="B49" s="41"/>
      <c r="C49" s="41"/>
      <c r="D49" s="41"/>
      <c r="E49" s="41"/>
    </row>
    <row r="50" spans="1:5" ht="10.050000000000001" customHeight="1">
      <c r="A50" s="41"/>
      <c r="B50" s="41"/>
      <c r="C50" s="41"/>
      <c r="D50" s="41"/>
      <c r="E50" s="41"/>
    </row>
    <row r="51" spans="1:5" ht="10.050000000000001" customHeight="1">
      <c r="A51" s="41"/>
      <c r="B51" s="41"/>
      <c r="C51" s="41"/>
      <c r="D51" s="41"/>
      <c r="E51" s="41"/>
    </row>
    <row r="52" spans="1:5" ht="7.05" customHeight="1">
      <c r="A52" s="2"/>
      <c r="B52" s="2"/>
      <c r="C52" s="1"/>
      <c r="D52" s="1"/>
      <c r="E52" s="2"/>
    </row>
    <row r="53" spans="1:5" ht="15" customHeight="1">
      <c r="A53" s="41" t="s">
        <v>89</v>
      </c>
      <c r="B53" s="41"/>
      <c r="C53" s="41"/>
      <c r="D53" s="41"/>
      <c r="E53" s="41"/>
    </row>
    <row r="54" spans="1:5" ht="15" customHeight="1">
      <c r="A54" s="41"/>
      <c r="B54" s="41"/>
      <c r="C54" s="41"/>
      <c r="D54" s="41"/>
      <c r="E54" s="41"/>
    </row>
  </sheetData>
  <mergeCells count="12">
    <mergeCell ref="A25:E25"/>
    <mergeCell ref="A53:E54"/>
    <mergeCell ref="A39:E39"/>
    <mergeCell ref="A40:E42"/>
    <mergeCell ref="A43:E45"/>
    <mergeCell ref="A46:E48"/>
    <mergeCell ref="A49:E51"/>
    <mergeCell ref="A2:E2"/>
    <mergeCell ref="A3:E3"/>
    <mergeCell ref="A4:E4"/>
    <mergeCell ref="A8:E8"/>
    <mergeCell ref="A12:E12"/>
  </mergeCells>
  <phoneticPr fontId="7" type="noConversion"/>
  <conditionalFormatting sqref="C39:C54 C7:C24">
    <cfRule type="expression" dxfId="15" priority="1">
      <formula>C7="NG"</formula>
    </cfRule>
    <cfRule type="expression" dxfId="14" priority="2">
      <formula>C7="待输入"</formula>
    </cfRule>
  </conditionalFormatting>
  <conditionalFormatting sqref="C26:C38">
    <cfRule type="cellIs" dxfId="13" priority="3" stopIfTrue="1" operator="equal">
      <formula>"待输入"</formula>
    </cfRule>
    <cfRule type="cellIs" dxfId="12" priority="4" stopIfTrue="1" operator="equal">
      <formula>"NG"</formula>
    </cfRule>
  </conditionalFormatting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5D7D9B"/>
    <pageSetUpPr fitToPage="1"/>
  </sheetPr>
  <dimension ref="A1:E54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134</v>
      </c>
      <c r="B2" s="41"/>
      <c r="C2" s="42"/>
      <c r="D2" s="42"/>
      <c r="E2" s="41"/>
    </row>
    <row r="3" spans="1:5" ht="25.05" customHeight="1">
      <c r="A3" s="41" t="s">
        <v>297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7</v>
      </c>
      <c r="B8" s="44"/>
      <c r="C8" s="45"/>
      <c r="D8" s="45"/>
      <c r="E8" s="44"/>
    </row>
    <row r="9" spans="1:5" ht="25.05" customHeight="1">
      <c r="A9" s="18" t="s">
        <v>301</v>
      </c>
      <c r="B9" s="18" t="s">
        <v>302</v>
      </c>
      <c r="C9" s="23" t="str">
        <f>IF('A Bored Pile Checking'!C9="","",'A Bored Pile Checking'!C9)</f>
        <v/>
      </c>
      <c r="D9" s="18" t="s">
        <v>303</v>
      </c>
      <c r="E9" s="18" t="s">
        <v>304</v>
      </c>
    </row>
    <row r="10" spans="1:5" ht="25.05" customHeight="1">
      <c r="A10" s="2" t="s">
        <v>287</v>
      </c>
      <c r="B10" s="2" t="s">
        <v>12</v>
      </c>
      <c r="C10" s="13" t="str">
        <f>IF(ISNUMBER('A Bored Pile Checking'!C10),'A Bored Pile Checking'!C10,"")</f>
        <v/>
      </c>
      <c r="D10" s="1" t="s">
        <v>10</v>
      </c>
      <c r="E10" s="2" t="s">
        <v>291</v>
      </c>
    </row>
    <row r="11" spans="1:5" ht="7.05" customHeight="1">
      <c r="A11" s="2"/>
      <c r="B11" s="2"/>
      <c r="C11" s="1"/>
      <c r="D11" s="1"/>
      <c r="E11" s="2"/>
    </row>
    <row r="12" spans="1:5" ht="25.05" customHeight="1">
      <c r="A12" s="43" t="s">
        <v>13</v>
      </c>
      <c r="B12" s="44"/>
      <c r="C12" s="45"/>
      <c r="D12" s="45"/>
      <c r="E12" s="44"/>
    </row>
    <row r="13" spans="1:5" ht="31.05" customHeight="1">
      <c r="A13" s="2" t="s">
        <v>100</v>
      </c>
      <c r="B13" s="2" t="s">
        <v>101</v>
      </c>
      <c r="C13" s="7" t="s">
        <v>102</v>
      </c>
      <c r="D13" s="1" t="s">
        <v>103</v>
      </c>
      <c r="E13" s="2" t="s">
        <v>104</v>
      </c>
    </row>
    <row r="14" spans="1:5" ht="25.05" customHeight="1">
      <c r="A14" s="2" t="s">
        <v>105</v>
      </c>
      <c r="B14" s="2" t="s">
        <v>106</v>
      </c>
      <c r="C14" s="5">
        <v>430</v>
      </c>
      <c r="D14" s="1" t="s">
        <v>61</v>
      </c>
      <c r="E14" s="2" t="s">
        <v>107</v>
      </c>
    </row>
    <row r="15" spans="1:5" ht="25.05" customHeight="1">
      <c r="A15" s="2" t="s">
        <v>108</v>
      </c>
      <c r="B15" s="2" t="s">
        <v>109</v>
      </c>
      <c r="C15" s="6">
        <v>28400</v>
      </c>
      <c r="D15" s="1" t="s">
        <v>110</v>
      </c>
      <c r="E15" s="2" t="s">
        <v>111</v>
      </c>
    </row>
    <row r="16" spans="1:5" ht="25.05" customHeight="1">
      <c r="A16" s="2" t="s">
        <v>112</v>
      </c>
      <c r="B16" s="2" t="s">
        <v>63</v>
      </c>
      <c r="C16" s="5">
        <v>0.3</v>
      </c>
      <c r="D16" s="1"/>
      <c r="E16" s="2" t="s">
        <v>135</v>
      </c>
    </row>
    <row r="17" spans="1:5" ht="25.05" customHeight="1">
      <c r="A17" s="2" t="s">
        <v>114</v>
      </c>
      <c r="B17" s="2" t="s">
        <v>115</v>
      </c>
      <c r="C17" s="13">
        <f>IF(AND(ISNUMBER(C14),C14&gt;0,ISNUMBER(C15),C15&gt;0,ISNUMBER(C16),C16&gt;0),C14*C15*C16/1000,"待输入")</f>
        <v>3663.6</v>
      </c>
      <c r="D17" s="1" t="s">
        <v>10</v>
      </c>
      <c r="E17" s="18" t="s">
        <v>314</v>
      </c>
    </row>
    <row r="18" spans="1:5" ht="25.05" customHeight="1">
      <c r="A18" s="2" t="s">
        <v>117</v>
      </c>
      <c r="B18" s="2" t="s">
        <v>118</v>
      </c>
      <c r="C18" s="13" t="str">
        <f>IF(AND(ISNUMBER(C17),C17&gt;0),IF(ISNUMBER(C10),C10/C17,"待输入"),"待输入")</f>
        <v>待输入</v>
      </c>
      <c r="D18" s="1" t="s">
        <v>24</v>
      </c>
      <c r="E18" s="2" t="s">
        <v>119</v>
      </c>
    </row>
    <row r="19" spans="1:5" ht="25.05" customHeight="1">
      <c r="A19" s="2" t="s">
        <v>289</v>
      </c>
      <c r="B19" s="2" t="s">
        <v>23</v>
      </c>
      <c r="C19" s="14" t="str">
        <f>IF(AND(ISNUMBER(C10),C10&gt;=0,ISNUMBER(C17),C17&gt;0),ROUNDUP(C10/C17,0),"待输入")</f>
        <v>待输入</v>
      </c>
      <c r="D19" s="1" t="s">
        <v>24</v>
      </c>
      <c r="E19" s="2" t="s">
        <v>292</v>
      </c>
    </row>
    <row r="20" spans="1:5" ht="25.05" customHeight="1">
      <c r="A20" s="2" t="s">
        <v>120</v>
      </c>
      <c r="B20" s="2" t="s">
        <v>121</v>
      </c>
      <c r="C20" s="13" t="str">
        <f>IF(AND(ISNUMBER(C17),C17&gt;0,ISNUMBER(C19),C19&gt;0),C17*C19,"待输入")</f>
        <v>待输入</v>
      </c>
      <c r="D20" s="1" t="s">
        <v>10</v>
      </c>
      <c r="E20" s="2" t="s">
        <v>122</v>
      </c>
    </row>
    <row r="21" spans="1:5" ht="25.05" customHeight="1">
      <c r="A21" s="2" t="s">
        <v>123</v>
      </c>
      <c r="B21" s="2" t="s">
        <v>124</v>
      </c>
      <c r="C21" s="15" t="str">
        <f>IF(AND(ISNUMBER(C20),C20&gt;0),IF(ISNUMBER(C10),C10/C20,"待输入"),"待输入")</f>
        <v>待输入</v>
      </c>
      <c r="D21" s="1"/>
      <c r="E21" s="2"/>
    </row>
    <row r="22" spans="1:5" ht="25.05" customHeight="1">
      <c r="A22" s="2" t="s">
        <v>125</v>
      </c>
      <c r="B22" s="2"/>
      <c r="C22" s="13" t="str">
        <f>IF(AND(ISNUMBER(C10),ISNUMBER(C20)),IF(C10&lt;=C20,"OK","NG"),"待输入")</f>
        <v>待输入</v>
      </c>
      <c r="D22" s="1"/>
      <c r="E22" s="2" t="s">
        <v>126</v>
      </c>
    </row>
    <row r="23" spans="1:5" ht="7.05" customHeight="1">
      <c r="A23" s="2"/>
      <c r="B23" s="2"/>
      <c r="C23" s="1"/>
      <c r="D23" s="1"/>
      <c r="E23" s="2"/>
    </row>
    <row r="24" spans="1:5" ht="25.05" customHeight="1">
      <c r="A24" s="2" t="s">
        <v>136</v>
      </c>
      <c r="B24" s="2" t="s">
        <v>137</v>
      </c>
      <c r="C24" s="5"/>
      <c r="D24" s="1" t="s">
        <v>138</v>
      </c>
      <c r="E24" s="2" t="s">
        <v>139</v>
      </c>
    </row>
    <row r="25" spans="1:5" ht="25.05" customHeight="1">
      <c r="A25" s="46" t="s">
        <v>417</v>
      </c>
      <c r="B25" s="46"/>
      <c r="C25" s="46"/>
      <c r="D25" s="46"/>
      <c r="E25" s="46"/>
    </row>
    <row r="26" spans="1:5" ht="25.05" customHeight="1">
      <c r="A26" s="30" t="s">
        <v>418</v>
      </c>
      <c r="B26" s="30" t="s">
        <v>49</v>
      </c>
      <c r="C26" s="31">
        <f>IF('A Bored Pile Checking'!C28="","",'A Bored Pile Checking'!C28)</f>
        <v>1.6</v>
      </c>
      <c r="D26" s="30"/>
      <c r="E26" s="30" t="s">
        <v>419</v>
      </c>
    </row>
    <row r="27" spans="1:5" ht="25.05" customHeight="1">
      <c r="A27" s="30" t="s">
        <v>191</v>
      </c>
      <c r="B27" s="30" t="s">
        <v>420</v>
      </c>
      <c r="C27" s="31" t="str">
        <f>IF(AND(ISNUMBER(C10),ISNUMBER(C26)),C10*C26,"待输入")</f>
        <v>待输入</v>
      </c>
      <c r="D27" s="30" t="s">
        <v>10</v>
      </c>
      <c r="E27" s="30" t="s">
        <v>421</v>
      </c>
    </row>
    <row r="28" spans="1:5" ht="25.05" customHeight="1">
      <c r="A28" s="30" t="s">
        <v>422</v>
      </c>
      <c r="B28" s="30" t="s">
        <v>423</v>
      </c>
      <c r="C28" s="31" t="str">
        <f>IF('A Bored Pile Checking'!C30="","",'A Bored Pile Checking'!C30)</f>
        <v/>
      </c>
      <c r="D28" s="30" t="s">
        <v>16</v>
      </c>
      <c r="E28" s="30" t="s">
        <v>424</v>
      </c>
    </row>
    <row r="29" spans="1:5" ht="25.05" customHeight="1">
      <c r="A29" s="30" t="s">
        <v>425</v>
      </c>
      <c r="B29" s="30" t="s">
        <v>58</v>
      </c>
      <c r="C29" s="31" t="str">
        <f>IF(AND(ISNUMBER(C28),C28&gt;0),4*C28,"待输入")</f>
        <v>待输入</v>
      </c>
      <c r="D29" s="30" t="s">
        <v>16</v>
      </c>
      <c r="E29" s="30" t="s">
        <v>426</v>
      </c>
    </row>
    <row r="30" spans="1:5" ht="25.05" customHeight="1">
      <c r="A30" s="30" t="s">
        <v>59</v>
      </c>
      <c r="B30" s="30" t="s">
        <v>60</v>
      </c>
      <c r="C30" s="31">
        <f>IF('A Bored Pile Checking'!C33="","",'A Bored Pile Checking'!C33)</f>
        <v>45</v>
      </c>
      <c r="D30" s="30" t="s">
        <v>61</v>
      </c>
      <c r="E30" s="30" t="s">
        <v>427</v>
      </c>
    </row>
    <row r="31" spans="1:5" ht="25.05" customHeight="1">
      <c r="A31" s="30" t="s">
        <v>428</v>
      </c>
      <c r="B31" s="30" t="s">
        <v>63</v>
      </c>
      <c r="C31" s="31">
        <f>IF('A Bored Pile Checking'!C34="","",'A Bored Pile Checking'!C34)</f>
        <v>0.8</v>
      </c>
      <c r="D31" s="30"/>
      <c r="E31" s="30" t="s">
        <v>429</v>
      </c>
    </row>
    <row r="32" spans="1:5" ht="25.05" customHeight="1">
      <c r="A32" s="30" t="s">
        <v>250</v>
      </c>
      <c r="B32" s="30" t="s">
        <v>66</v>
      </c>
      <c r="C32" s="31">
        <f>IF(AND(ISNUMBER(C30),C30&gt;0,ISNUMBER(C31)),C31*SQRT(C30),"待输入")</f>
        <v>5.3665631459994962</v>
      </c>
      <c r="D32" s="30" t="s">
        <v>61</v>
      </c>
      <c r="E32" s="30" t="s">
        <v>235</v>
      </c>
    </row>
    <row r="33" spans="1:5" ht="25.05" customHeight="1">
      <c r="A33" s="30" t="s">
        <v>233</v>
      </c>
      <c r="B33" s="30" t="s">
        <v>73</v>
      </c>
      <c r="C33" s="31" t="str">
        <f>IF(AND(ISNUMBER(C9),C9&gt;0),C9/10*1000,"待输入")</f>
        <v>待输入</v>
      </c>
      <c r="D33" s="30" t="s">
        <v>16</v>
      </c>
      <c r="E33" s="30" t="s">
        <v>430</v>
      </c>
    </row>
    <row r="34" spans="1:5" ht="25.05" customHeight="1">
      <c r="A34" s="30" t="s">
        <v>310</v>
      </c>
      <c r="B34" s="30" t="s">
        <v>311</v>
      </c>
      <c r="C34" s="31">
        <f>IF('A Bored Pile Checking'!C38="","",'A Bored Pile Checking'!C38)</f>
        <v>75</v>
      </c>
      <c r="D34" s="30" t="s">
        <v>16</v>
      </c>
      <c r="E34" s="30" t="s">
        <v>431</v>
      </c>
    </row>
    <row r="35" spans="1:5" ht="25.05" customHeight="1">
      <c r="A35" s="30" t="s">
        <v>308</v>
      </c>
      <c r="B35" s="30" t="s">
        <v>71</v>
      </c>
      <c r="C35" s="31" t="str">
        <f>IF(AND(ISNUMBER(C33),ISNUMBER(C34),C33&gt;C34),C33-C34,"待输入")</f>
        <v>待输入</v>
      </c>
      <c r="D35" s="30" t="s">
        <v>16</v>
      </c>
      <c r="E35" s="30" t="s">
        <v>309</v>
      </c>
    </row>
    <row r="36" spans="1:5" ht="25.05" customHeight="1">
      <c r="A36" s="30" t="s">
        <v>241</v>
      </c>
      <c r="B36" s="30" t="s">
        <v>69</v>
      </c>
      <c r="C36" s="31" t="str">
        <f>IF(AND(ISNUMBER(C27),ISNUMBER(C29),C29&gt;0,ISNUMBER(C32),C32&gt;0),C27*1000/(C29*C32),"待输入")</f>
        <v>待输入</v>
      </c>
      <c r="D36" s="30" t="s">
        <v>16</v>
      </c>
      <c r="E36" s="30" t="s">
        <v>432</v>
      </c>
    </row>
    <row r="37" spans="1:5" ht="25.05" customHeight="1">
      <c r="A37" s="30" t="s">
        <v>433</v>
      </c>
      <c r="B37" s="30" t="s">
        <v>434</v>
      </c>
      <c r="C37" s="31" t="str">
        <f>IF(AND(ISNUMBER(C27),ISNUMBER(C29),C29&gt;0,ISNUMBER(C35),C35&gt;0),C27*1000/(C29*C35),"待输入")</f>
        <v>待输入</v>
      </c>
      <c r="D37" s="30" t="s">
        <v>61</v>
      </c>
      <c r="E37" s="30" t="s">
        <v>435</v>
      </c>
    </row>
    <row r="38" spans="1:5" ht="25.05" customHeight="1">
      <c r="A38" s="30" t="s">
        <v>417</v>
      </c>
      <c r="B38" s="30"/>
      <c r="C38" s="32" t="str">
        <f>IF(AND(ISNUMBER(C37),ISNUMBER(C32)),IF(C37&lt;C32,"OK","NG"),"待输入")</f>
        <v>待输入</v>
      </c>
      <c r="D38" s="30"/>
      <c r="E38" s="30" t="s">
        <v>436</v>
      </c>
    </row>
    <row r="39" spans="1:5" ht="25.05" customHeight="1">
      <c r="A39" s="43" t="s">
        <v>84</v>
      </c>
      <c r="B39" s="44"/>
      <c r="C39" s="45"/>
      <c r="D39" s="45"/>
      <c r="E39" s="44"/>
    </row>
    <row r="40" spans="1:5" ht="10.050000000000001" customHeight="1">
      <c r="A40" s="41" t="s">
        <v>140</v>
      </c>
      <c r="B40" s="41"/>
      <c r="C40" s="41"/>
      <c r="D40" s="41"/>
      <c r="E40" s="41"/>
    </row>
    <row r="41" spans="1:5" ht="10.050000000000001" customHeight="1">
      <c r="A41" s="41"/>
      <c r="B41" s="41"/>
      <c r="C41" s="41"/>
      <c r="D41" s="41"/>
      <c r="E41" s="41"/>
    </row>
    <row r="42" spans="1:5" ht="10.050000000000001" customHeight="1">
      <c r="A42" s="41"/>
      <c r="B42" s="41"/>
      <c r="C42" s="41"/>
      <c r="D42" s="41"/>
      <c r="E42" s="41"/>
    </row>
    <row r="43" spans="1:5" ht="10.050000000000001" customHeight="1">
      <c r="A43" s="41" t="s">
        <v>141</v>
      </c>
      <c r="B43" s="41"/>
      <c r="C43" s="41"/>
      <c r="D43" s="41"/>
      <c r="E43" s="41"/>
    </row>
    <row r="44" spans="1:5" ht="10.050000000000001" customHeight="1">
      <c r="A44" s="41"/>
      <c r="B44" s="41"/>
      <c r="C44" s="41"/>
      <c r="D44" s="41"/>
      <c r="E44" s="41"/>
    </row>
    <row r="45" spans="1:5" ht="10.050000000000001" customHeight="1">
      <c r="A45" s="41"/>
      <c r="B45" s="41"/>
      <c r="C45" s="41"/>
      <c r="D45" s="41"/>
      <c r="E45" s="41"/>
    </row>
    <row r="46" spans="1:5" ht="10.050000000000001" customHeight="1">
      <c r="A46" s="41" t="s">
        <v>142</v>
      </c>
      <c r="B46" s="41"/>
      <c r="C46" s="41"/>
      <c r="D46" s="41"/>
      <c r="E46" s="41"/>
    </row>
    <row r="47" spans="1:5" ht="10.050000000000001" customHeight="1">
      <c r="A47" s="41"/>
      <c r="B47" s="41"/>
      <c r="C47" s="41"/>
      <c r="D47" s="41"/>
      <c r="E47" s="41"/>
    </row>
    <row r="48" spans="1:5" ht="10.050000000000001" customHeight="1">
      <c r="A48" s="41"/>
      <c r="B48" s="41"/>
      <c r="C48" s="41"/>
      <c r="D48" s="41"/>
      <c r="E48" s="41"/>
    </row>
    <row r="49" spans="1:5" ht="10.050000000000001" customHeight="1">
      <c r="A49" s="41" t="s">
        <v>143</v>
      </c>
      <c r="B49" s="41"/>
      <c r="C49" s="41"/>
      <c r="D49" s="41"/>
      <c r="E49" s="41"/>
    </row>
    <row r="50" spans="1:5" ht="10.050000000000001" customHeight="1">
      <c r="A50" s="41"/>
      <c r="B50" s="41"/>
      <c r="C50" s="41"/>
      <c r="D50" s="41"/>
      <c r="E50" s="41"/>
    </row>
    <row r="51" spans="1:5" ht="10.050000000000001" customHeight="1">
      <c r="A51" s="41"/>
      <c r="B51" s="41"/>
      <c r="C51" s="41"/>
      <c r="D51" s="41"/>
      <c r="E51" s="41"/>
    </row>
    <row r="52" spans="1:5" ht="7.05" customHeight="1">
      <c r="A52" s="2"/>
      <c r="B52" s="2"/>
      <c r="C52" s="1"/>
      <c r="D52" s="1"/>
      <c r="E52" s="2"/>
    </row>
    <row r="53" spans="1:5" ht="15" customHeight="1">
      <c r="A53" s="41" t="s">
        <v>89</v>
      </c>
      <c r="B53" s="41"/>
      <c r="C53" s="41"/>
      <c r="D53" s="41"/>
      <c r="E53" s="41"/>
    </row>
    <row r="54" spans="1:5" ht="15" customHeight="1">
      <c r="A54" s="41"/>
      <c r="B54" s="41"/>
      <c r="C54" s="41"/>
      <c r="D54" s="41"/>
      <c r="E54" s="41"/>
    </row>
  </sheetData>
  <mergeCells count="12">
    <mergeCell ref="A25:E25"/>
    <mergeCell ref="A53:E54"/>
    <mergeCell ref="A39:E39"/>
    <mergeCell ref="A40:E42"/>
    <mergeCell ref="A43:E45"/>
    <mergeCell ref="A46:E48"/>
    <mergeCell ref="A49:E51"/>
    <mergeCell ref="A2:E2"/>
    <mergeCell ref="A3:E3"/>
    <mergeCell ref="A4:E4"/>
    <mergeCell ref="A8:E8"/>
    <mergeCell ref="A12:E12"/>
  </mergeCells>
  <phoneticPr fontId="7" type="noConversion"/>
  <conditionalFormatting sqref="C39:C54 C7:C24">
    <cfRule type="expression" dxfId="11" priority="1">
      <formula>C7="NG"</formula>
    </cfRule>
    <cfRule type="expression" dxfId="10" priority="2">
      <formula>C7="待输入"</formula>
    </cfRule>
  </conditionalFormatting>
  <conditionalFormatting sqref="C26:C38">
    <cfRule type="cellIs" dxfId="9" priority="3" stopIfTrue="1" operator="equal">
      <formula>"待输入"</formula>
    </cfRule>
    <cfRule type="cellIs" dxfId="8" priority="4" stopIfTrue="1" operator="equal">
      <formula>"NG"</formula>
    </cfRule>
  </conditionalFormatting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5D7D9B"/>
    <pageSetUpPr fitToPage="1"/>
  </sheetPr>
  <dimension ref="A1:E56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144</v>
      </c>
      <c r="B2" s="41"/>
      <c r="C2" s="42"/>
      <c r="D2" s="42"/>
      <c r="E2" s="41"/>
    </row>
    <row r="3" spans="1:5" ht="25.05" customHeight="1">
      <c r="A3" s="41" t="s">
        <v>298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7</v>
      </c>
      <c r="B8" s="44"/>
      <c r="C8" s="45"/>
      <c r="D8" s="45"/>
      <c r="E8" s="44"/>
    </row>
    <row r="9" spans="1:5" ht="25.05" customHeight="1">
      <c r="A9" s="18" t="s">
        <v>301</v>
      </c>
      <c r="B9" s="18" t="s">
        <v>302</v>
      </c>
      <c r="C9" s="23" t="str">
        <f>IF('A Bored Pile Checking'!C9="","",'A Bored Pile Checking'!C9)</f>
        <v/>
      </c>
      <c r="D9" s="18" t="s">
        <v>303</v>
      </c>
      <c r="E9" s="18" t="s">
        <v>304</v>
      </c>
    </row>
    <row r="10" spans="1:5" ht="25.05" customHeight="1">
      <c r="A10" s="2" t="s">
        <v>287</v>
      </c>
      <c r="B10" s="2" t="s">
        <v>12</v>
      </c>
      <c r="C10" s="13" t="str">
        <f>IF(ISNUMBER('A Bored Pile Checking'!C10),'A Bored Pile Checking'!C10,"")</f>
        <v/>
      </c>
      <c r="D10" s="1" t="s">
        <v>10</v>
      </c>
      <c r="E10" s="2" t="s">
        <v>291</v>
      </c>
    </row>
    <row r="11" spans="1:5" ht="7.05" customHeight="1">
      <c r="A11" s="2"/>
      <c r="B11" s="2"/>
      <c r="C11" s="1"/>
      <c r="D11" s="1"/>
      <c r="E11" s="2"/>
    </row>
    <row r="12" spans="1:5" ht="25.05" customHeight="1">
      <c r="A12" s="43" t="s">
        <v>13</v>
      </c>
      <c r="B12" s="44"/>
      <c r="C12" s="45"/>
      <c r="D12" s="45"/>
      <c r="E12" s="44"/>
    </row>
    <row r="13" spans="1:5" ht="25.05" customHeight="1">
      <c r="A13" s="2" t="s">
        <v>145</v>
      </c>
      <c r="B13" s="2" t="s">
        <v>146</v>
      </c>
      <c r="C13" s="6">
        <v>5</v>
      </c>
      <c r="D13" s="1" t="s">
        <v>24</v>
      </c>
      <c r="E13" s="2" t="s">
        <v>147</v>
      </c>
    </row>
    <row r="14" spans="1:5" ht="25.05" customHeight="1">
      <c r="A14" s="2" t="s">
        <v>148</v>
      </c>
      <c r="B14" s="2" t="s">
        <v>149</v>
      </c>
      <c r="C14" s="6">
        <v>50</v>
      </c>
      <c r="D14" s="1" t="s">
        <v>16</v>
      </c>
      <c r="E14" s="2" t="s">
        <v>150</v>
      </c>
    </row>
    <row r="15" spans="1:5" ht="25.05" customHeight="1">
      <c r="A15" s="2" t="s">
        <v>105</v>
      </c>
      <c r="B15" s="2" t="s">
        <v>106</v>
      </c>
      <c r="C15" s="5">
        <v>500</v>
      </c>
      <c r="D15" s="1" t="s">
        <v>61</v>
      </c>
      <c r="E15" s="2" t="s">
        <v>151</v>
      </c>
    </row>
    <row r="16" spans="1:5" ht="25.05" customHeight="1">
      <c r="A16" s="2" t="s">
        <v>112</v>
      </c>
      <c r="B16" s="2" t="s">
        <v>63</v>
      </c>
      <c r="C16" s="8">
        <v>0.47499999999999998</v>
      </c>
      <c r="D16" s="1"/>
      <c r="E16" s="2" t="s">
        <v>152</v>
      </c>
    </row>
    <row r="17" spans="1:5" ht="25.05" customHeight="1">
      <c r="A17" s="2" t="s">
        <v>153</v>
      </c>
      <c r="B17" s="2" t="s">
        <v>154</v>
      </c>
      <c r="C17" s="13">
        <f>IF(AND(ISNUMBER(C13),C13&gt;0,ISNUMBER(C14),C14&gt;0),C13*PI()/4*C14^2,"待输入")</f>
        <v>9817.4770424681028</v>
      </c>
      <c r="D17" s="1" t="s">
        <v>110</v>
      </c>
      <c r="E17" s="2" t="s">
        <v>155</v>
      </c>
    </row>
    <row r="18" spans="1:5" ht="25.05" customHeight="1">
      <c r="A18" s="2" t="s">
        <v>156</v>
      </c>
      <c r="B18" s="2" t="s">
        <v>115</v>
      </c>
      <c r="C18" s="13">
        <f>IF(AND(ISNUMBER(C15),C15&gt;0,ISNUMBER(C16),C16&gt;0,ISNUMBER(C17),C17&gt;0),C15*C16*C17/1000,"待输入")</f>
        <v>2331.6507975861741</v>
      </c>
      <c r="D18" s="1" t="s">
        <v>10</v>
      </c>
      <c r="E18" s="2" t="s">
        <v>157</v>
      </c>
    </row>
    <row r="19" spans="1:5" ht="25.05" customHeight="1">
      <c r="A19" s="2" t="s">
        <v>117</v>
      </c>
      <c r="B19" s="2" t="s">
        <v>118</v>
      </c>
      <c r="C19" s="13" t="str">
        <f>IF(AND(ISNUMBER(C18),C18&gt;0),IF(ISNUMBER(C10),C10/C18,"待输入"),"待输入")</f>
        <v>待输入</v>
      </c>
      <c r="D19" s="1" t="s">
        <v>24</v>
      </c>
      <c r="E19" s="2" t="s">
        <v>119</v>
      </c>
    </row>
    <row r="20" spans="1:5" ht="25.05" customHeight="1">
      <c r="A20" s="2" t="s">
        <v>289</v>
      </c>
      <c r="B20" s="2" t="s">
        <v>23</v>
      </c>
      <c r="C20" s="14" t="str">
        <f>IF(AND(ISNUMBER(C10),C10&gt;=0,ISNUMBER(C18),C18&gt;0),ROUNDUP(C10/C18,0),"待输入")</f>
        <v>待输入</v>
      </c>
      <c r="D20" s="1" t="s">
        <v>24</v>
      </c>
      <c r="E20" s="2" t="s">
        <v>292</v>
      </c>
    </row>
    <row r="21" spans="1:5" ht="25.05" customHeight="1">
      <c r="A21" s="2" t="s">
        <v>120</v>
      </c>
      <c r="B21" s="2" t="s">
        <v>121</v>
      </c>
      <c r="C21" s="13" t="str">
        <f>IF(AND(ISNUMBER(C18),C18&gt;0,ISNUMBER(C20),C20&gt;0),C18*C20,"待输入")</f>
        <v>待输入</v>
      </c>
      <c r="D21" s="1" t="s">
        <v>10</v>
      </c>
      <c r="E21" s="2" t="s">
        <v>158</v>
      </c>
    </row>
    <row r="22" spans="1:5" ht="25.05" customHeight="1">
      <c r="A22" s="2" t="s">
        <v>123</v>
      </c>
      <c r="B22" s="2" t="s">
        <v>124</v>
      </c>
      <c r="C22" s="15" t="str">
        <f>IF(AND(ISNUMBER(C21),C21&gt;0),IF(ISNUMBER(C10),C10/C21,"待输入"),"待输入")</f>
        <v>待输入</v>
      </c>
      <c r="D22" s="1"/>
      <c r="E22" s="2"/>
    </row>
    <row r="23" spans="1:5" ht="25.05" customHeight="1">
      <c r="A23" s="2" t="s">
        <v>125</v>
      </c>
      <c r="B23" s="2"/>
      <c r="C23" s="13" t="str">
        <f>IF(AND(ISNUMBER(C10),ISNUMBER(C21)),IF(C10&lt;=C21,"OK","NG"),"待输入")</f>
        <v>待输入</v>
      </c>
      <c r="D23" s="1"/>
      <c r="E23" s="2" t="s">
        <v>159</v>
      </c>
    </row>
    <row r="24" spans="1:5" ht="7.05" customHeight="1">
      <c r="A24" s="2"/>
      <c r="B24" s="2"/>
      <c r="C24" s="1"/>
      <c r="D24" s="1"/>
      <c r="E24" s="2"/>
    </row>
    <row r="25" spans="1:5" ht="25.05" customHeight="1">
      <c r="A25" s="2" t="s">
        <v>160</v>
      </c>
      <c r="B25" s="2" t="s">
        <v>161</v>
      </c>
      <c r="C25" s="5">
        <v>5.5</v>
      </c>
      <c r="D25" s="1" t="s">
        <v>9</v>
      </c>
      <c r="E25" s="2" t="s">
        <v>162</v>
      </c>
    </row>
    <row r="26" spans="1:5" ht="25.05" customHeight="1">
      <c r="A26" s="2" t="s">
        <v>163</v>
      </c>
      <c r="B26" s="2" t="s">
        <v>164</v>
      </c>
      <c r="C26" s="5">
        <v>25</v>
      </c>
      <c r="D26" s="1" t="s">
        <v>16</v>
      </c>
      <c r="E26" s="2" t="s">
        <v>165</v>
      </c>
    </row>
    <row r="27" spans="1:5" ht="25.05" customHeight="1">
      <c r="A27" s="46" t="s">
        <v>417</v>
      </c>
      <c r="B27" s="46"/>
      <c r="C27" s="46"/>
      <c r="D27" s="46"/>
      <c r="E27" s="46"/>
    </row>
    <row r="28" spans="1:5" ht="25.05" customHeight="1">
      <c r="A28" s="30" t="s">
        <v>418</v>
      </c>
      <c r="B28" s="30" t="s">
        <v>49</v>
      </c>
      <c r="C28" s="31">
        <f>IF('A Bored Pile Checking'!C28="","",'A Bored Pile Checking'!C28)</f>
        <v>1.6</v>
      </c>
      <c r="D28" s="30"/>
      <c r="E28" s="30" t="s">
        <v>419</v>
      </c>
    </row>
    <row r="29" spans="1:5" ht="25.05" customHeight="1">
      <c r="A29" s="30" t="s">
        <v>191</v>
      </c>
      <c r="B29" s="30" t="s">
        <v>420</v>
      </c>
      <c r="C29" s="31" t="str">
        <f>IF(AND(ISNUMBER(C10),ISNUMBER(C28)),C10*C28,"待输入")</f>
        <v>待输入</v>
      </c>
      <c r="D29" s="30" t="s">
        <v>10</v>
      </c>
      <c r="E29" s="30" t="s">
        <v>421</v>
      </c>
    </row>
    <row r="30" spans="1:5" ht="25.05" customHeight="1">
      <c r="A30" s="30" t="s">
        <v>422</v>
      </c>
      <c r="B30" s="30" t="s">
        <v>423</v>
      </c>
      <c r="C30" s="31" t="str">
        <f>IF('A Bored Pile Checking'!C30="","",'A Bored Pile Checking'!C30)</f>
        <v/>
      </c>
      <c r="D30" s="30" t="s">
        <v>16</v>
      </c>
      <c r="E30" s="30" t="s">
        <v>424</v>
      </c>
    </row>
    <row r="31" spans="1:5" ht="25.05" customHeight="1">
      <c r="A31" s="30" t="s">
        <v>425</v>
      </c>
      <c r="B31" s="30" t="s">
        <v>58</v>
      </c>
      <c r="C31" s="31" t="str">
        <f>IF(AND(ISNUMBER(C30),C30&gt;0),4*C30,"待输入")</f>
        <v>待输入</v>
      </c>
      <c r="D31" s="30" t="s">
        <v>16</v>
      </c>
      <c r="E31" s="30" t="s">
        <v>426</v>
      </c>
    </row>
    <row r="32" spans="1:5" ht="25.05" customHeight="1">
      <c r="A32" s="30" t="s">
        <v>59</v>
      </c>
      <c r="B32" s="30" t="s">
        <v>60</v>
      </c>
      <c r="C32" s="31">
        <f>IF('A Bored Pile Checking'!C33="","",'A Bored Pile Checking'!C33)</f>
        <v>45</v>
      </c>
      <c r="D32" s="30" t="s">
        <v>61</v>
      </c>
      <c r="E32" s="30" t="s">
        <v>427</v>
      </c>
    </row>
    <row r="33" spans="1:5" ht="25.05" customHeight="1">
      <c r="A33" s="30" t="s">
        <v>428</v>
      </c>
      <c r="B33" s="30" t="s">
        <v>63</v>
      </c>
      <c r="C33" s="31">
        <f>IF('A Bored Pile Checking'!C34="","",'A Bored Pile Checking'!C34)</f>
        <v>0.8</v>
      </c>
      <c r="D33" s="30"/>
      <c r="E33" s="30" t="s">
        <v>429</v>
      </c>
    </row>
    <row r="34" spans="1:5" ht="25.05" customHeight="1">
      <c r="A34" s="30" t="s">
        <v>250</v>
      </c>
      <c r="B34" s="30" t="s">
        <v>66</v>
      </c>
      <c r="C34" s="31">
        <f>IF(AND(ISNUMBER(C32),C32&gt;0,ISNUMBER(C33)),C33*SQRT(C32),"待输入")</f>
        <v>5.3665631459994962</v>
      </c>
      <c r="D34" s="30" t="s">
        <v>61</v>
      </c>
      <c r="E34" s="30" t="s">
        <v>235</v>
      </c>
    </row>
    <row r="35" spans="1:5" ht="25.05" customHeight="1">
      <c r="A35" s="30" t="s">
        <v>233</v>
      </c>
      <c r="B35" s="30" t="s">
        <v>73</v>
      </c>
      <c r="C35" s="31" t="str">
        <f>IF(AND(ISNUMBER(C9),C9&gt;0),C9/10*1000,"待输入")</f>
        <v>待输入</v>
      </c>
      <c r="D35" s="30" t="s">
        <v>16</v>
      </c>
      <c r="E35" s="30" t="s">
        <v>430</v>
      </c>
    </row>
    <row r="36" spans="1:5" ht="25.05" customHeight="1">
      <c r="A36" s="30" t="s">
        <v>310</v>
      </c>
      <c r="B36" s="30" t="s">
        <v>311</v>
      </c>
      <c r="C36" s="31">
        <f>IF('A Bored Pile Checking'!C38="","",'A Bored Pile Checking'!C38)</f>
        <v>75</v>
      </c>
      <c r="D36" s="30" t="s">
        <v>16</v>
      </c>
      <c r="E36" s="30" t="s">
        <v>431</v>
      </c>
    </row>
    <row r="37" spans="1:5" ht="25.05" customHeight="1">
      <c r="A37" s="30" t="s">
        <v>308</v>
      </c>
      <c r="B37" s="30" t="s">
        <v>71</v>
      </c>
      <c r="C37" s="31" t="str">
        <f>IF(AND(ISNUMBER(C35),ISNUMBER(C36),C35&gt;C36),C35-C36,"待输入")</f>
        <v>待输入</v>
      </c>
      <c r="D37" s="30" t="s">
        <v>16</v>
      </c>
      <c r="E37" s="30" t="s">
        <v>309</v>
      </c>
    </row>
    <row r="38" spans="1:5" ht="25.05" customHeight="1">
      <c r="A38" s="30" t="s">
        <v>241</v>
      </c>
      <c r="B38" s="30" t="s">
        <v>69</v>
      </c>
      <c r="C38" s="31" t="str">
        <f>IF(AND(ISNUMBER(C29),ISNUMBER(C31),C31&gt;0,ISNUMBER(C34),C34&gt;0),C29*1000/(C31*C34),"待输入")</f>
        <v>待输入</v>
      </c>
      <c r="D38" s="30" t="s">
        <v>16</v>
      </c>
      <c r="E38" s="30" t="s">
        <v>432</v>
      </c>
    </row>
    <row r="39" spans="1:5" ht="25.05" customHeight="1">
      <c r="A39" s="30" t="s">
        <v>433</v>
      </c>
      <c r="B39" s="30" t="s">
        <v>434</v>
      </c>
      <c r="C39" s="31" t="str">
        <f>IF(AND(ISNUMBER(C29),ISNUMBER(C31),C31&gt;0,ISNUMBER(C37),C37&gt;0),C29*1000/(C31*C37),"待输入")</f>
        <v>待输入</v>
      </c>
      <c r="D39" s="30" t="s">
        <v>61</v>
      </c>
      <c r="E39" s="30" t="s">
        <v>435</v>
      </c>
    </row>
    <row r="40" spans="1:5" ht="25.05" customHeight="1">
      <c r="A40" s="30" t="s">
        <v>417</v>
      </c>
      <c r="B40" s="30"/>
      <c r="C40" s="32" t="str">
        <f>IF(AND(ISNUMBER(C39),ISNUMBER(C34)),IF(C39&lt;C34,"OK","NG"),"待输入")</f>
        <v>待输入</v>
      </c>
      <c r="D40" s="30"/>
      <c r="E40" s="30" t="s">
        <v>436</v>
      </c>
    </row>
    <row r="41" spans="1:5" ht="25.05" customHeight="1">
      <c r="A41" s="43" t="s">
        <v>84</v>
      </c>
      <c r="B41" s="44"/>
      <c r="C41" s="45"/>
      <c r="D41" s="45"/>
      <c r="E41" s="44"/>
    </row>
    <row r="42" spans="1:5" ht="10.050000000000001" customHeight="1">
      <c r="A42" s="41" t="s">
        <v>166</v>
      </c>
      <c r="B42" s="41"/>
      <c r="C42" s="41"/>
      <c r="D42" s="41"/>
      <c r="E42" s="41"/>
    </row>
    <row r="43" spans="1:5" ht="10.050000000000001" customHeight="1">
      <c r="A43" s="41"/>
      <c r="B43" s="41"/>
      <c r="C43" s="41"/>
      <c r="D43" s="41"/>
      <c r="E43" s="41"/>
    </row>
    <row r="44" spans="1:5" ht="10.050000000000001" customHeight="1">
      <c r="A44" s="41"/>
      <c r="B44" s="41"/>
      <c r="C44" s="41"/>
      <c r="D44" s="41"/>
      <c r="E44" s="41"/>
    </row>
    <row r="45" spans="1:5" ht="10.050000000000001" customHeight="1">
      <c r="A45" s="41" t="s">
        <v>167</v>
      </c>
      <c r="B45" s="41"/>
      <c r="C45" s="41"/>
      <c r="D45" s="41"/>
      <c r="E45" s="41"/>
    </row>
    <row r="46" spans="1:5" ht="10.050000000000001" customHeight="1">
      <c r="A46" s="41"/>
      <c r="B46" s="41"/>
      <c r="C46" s="41"/>
      <c r="D46" s="41"/>
      <c r="E46" s="41"/>
    </row>
    <row r="47" spans="1:5" ht="10.050000000000001" customHeight="1">
      <c r="A47" s="41"/>
      <c r="B47" s="41"/>
      <c r="C47" s="41"/>
      <c r="D47" s="41"/>
      <c r="E47" s="41"/>
    </row>
    <row r="48" spans="1:5" ht="10.050000000000001" customHeight="1">
      <c r="A48" s="41" t="s">
        <v>168</v>
      </c>
      <c r="B48" s="41"/>
      <c r="C48" s="41"/>
      <c r="D48" s="41"/>
      <c r="E48" s="41"/>
    </row>
    <row r="49" spans="1:5" ht="10.050000000000001" customHeight="1">
      <c r="A49" s="41"/>
      <c r="B49" s="41"/>
      <c r="C49" s="41"/>
      <c r="D49" s="41"/>
      <c r="E49" s="41"/>
    </row>
    <row r="50" spans="1:5" ht="10.050000000000001" customHeight="1">
      <c r="A50" s="41"/>
      <c r="B50" s="41"/>
      <c r="C50" s="41"/>
      <c r="D50" s="41"/>
      <c r="E50" s="41"/>
    </row>
    <row r="51" spans="1:5" ht="10.050000000000001" customHeight="1">
      <c r="A51" s="41" t="s">
        <v>169</v>
      </c>
      <c r="B51" s="41"/>
      <c r="C51" s="41"/>
      <c r="D51" s="41"/>
      <c r="E51" s="41"/>
    </row>
    <row r="52" spans="1:5" ht="10.050000000000001" customHeight="1">
      <c r="A52" s="41"/>
      <c r="B52" s="41"/>
      <c r="C52" s="41"/>
      <c r="D52" s="41"/>
      <c r="E52" s="41"/>
    </row>
    <row r="53" spans="1:5" ht="10.050000000000001" customHeight="1">
      <c r="A53" s="41"/>
      <c r="B53" s="41"/>
      <c r="C53" s="41"/>
      <c r="D53" s="41"/>
      <c r="E53" s="41"/>
    </row>
    <row r="54" spans="1:5" ht="7.05" customHeight="1">
      <c r="A54" s="2"/>
      <c r="B54" s="2"/>
      <c r="C54" s="1"/>
      <c r="D54" s="1"/>
      <c r="E54" s="2"/>
    </row>
    <row r="55" spans="1:5" ht="15" customHeight="1">
      <c r="A55" s="41" t="s">
        <v>89</v>
      </c>
      <c r="B55" s="41"/>
      <c r="C55" s="41"/>
      <c r="D55" s="41"/>
      <c r="E55" s="41"/>
    </row>
    <row r="56" spans="1:5" ht="15" customHeight="1">
      <c r="A56" s="41"/>
      <c r="B56" s="41"/>
      <c r="C56" s="41"/>
      <c r="D56" s="41"/>
      <c r="E56" s="41"/>
    </row>
  </sheetData>
  <mergeCells count="12">
    <mergeCell ref="A27:E27"/>
    <mergeCell ref="A55:E56"/>
    <mergeCell ref="A41:E41"/>
    <mergeCell ref="A42:E44"/>
    <mergeCell ref="A45:E47"/>
    <mergeCell ref="A48:E50"/>
    <mergeCell ref="A51:E53"/>
    <mergeCell ref="A2:E2"/>
    <mergeCell ref="A3:E3"/>
    <mergeCell ref="A4:E4"/>
    <mergeCell ref="A8:E8"/>
    <mergeCell ref="A12:E12"/>
  </mergeCells>
  <phoneticPr fontId="7" type="noConversion"/>
  <conditionalFormatting sqref="C41:C56 C7:C26">
    <cfRule type="expression" dxfId="7" priority="1">
      <formula>C7="NG"</formula>
    </cfRule>
    <cfRule type="expression" dxfId="6" priority="2">
      <formula>C7="待输入"</formula>
    </cfRule>
  </conditionalFormatting>
  <conditionalFormatting sqref="C28:C40">
    <cfRule type="cellIs" dxfId="5" priority="3" stopIfTrue="1" operator="equal">
      <formula>"待输入"</formula>
    </cfRule>
    <cfRule type="cellIs" dxfId="4" priority="4" stopIfTrue="1" operator="equal">
      <formula>"NG"</formula>
    </cfRule>
  </conditionalFormatting>
  <dataValidations count="1">
    <dataValidation type="whole" operator="greaterThan" sqref="C13" xr:uid="{00000000-0002-0000-0300-000000000000}">
      <formula1>0</formula1>
    </dataValidation>
  </dataValidations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274760"/>
    <pageSetUpPr fitToPage="1"/>
  </sheetPr>
  <dimension ref="A1:J700"/>
  <sheetViews>
    <sheetView showGridLines="0" tabSelected="1" workbookViewId="0">
      <pane ySplit="5" topLeftCell="A6" activePane="bottomLeft" state="frozen"/>
      <selection pane="bottomLeft" sqref="A1:H1"/>
    </sheetView>
  </sheetViews>
  <sheetFormatPr defaultRowHeight="13.8"/>
  <cols>
    <col min="1" max="8" width="13" customWidth="1"/>
    <col min="10" max="10" width="0" hidden="1" customWidth="1"/>
  </cols>
  <sheetData>
    <row r="1" spans="1:10" ht="25.05" customHeight="1">
      <c r="A1" s="34" t="s">
        <v>405</v>
      </c>
      <c r="B1" s="34"/>
      <c r="C1" s="34"/>
      <c r="D1" s="34"/>
      <c r="E1" s="34"/>
      <c r="F1" s="34"/>
      <c r="G1" s="34"/>
      <c r="H1" s="34"/>
    </row>
    <row r="2" spans="1:10" ht="19.95" customHeight="1">
      <c r="A2" s="35" t="s">
        <v>406</v>
      </c>
      <c r="B2" s="35"/>
      <c r="C2" s="36" t="str">
        <f>CHOOSE(J2,"Bored pile","Socket H-pile","Driven H-pile","Mini pile")</f>
        <v>Bored pile</v>
      </c>
      <c r="D2" s="36"/>
      <c r="E2" s="36"/>
      <c r="F2" s="36"/>
      <c r="G2" s="33"/>
      <c r="H2" s="33"/>
      <c r="J2">
        <v>1</v>
      </c>
    </row>
    <row r="3" spans="1:10" ht="16.95" customHeight="1">
      <c r="A3" s="33"/>
      <c r="B3" s="33"/>
      <c r="C3" s="33"/>
      <c r="D3" s="33"/>
      <c r="E3" s="33"/>
      <c r="F3" s="33"/>
      <c r="G3" s="33"/>
      <c r="H3" s="33"/>
    </row>
    <row r="4" spans="1:10" ht="16.95" customHeight="1">
      <c r="A4" s="33"/>
      <c r="B4" s="33"/>
      <c r="C4" s="33"/>
      <c r="D4" s="33"/>
      <c r="E4" s="33"/>
      <c r="F4" s="33"/>
      <c r="G4" s="33"/>
      <c r="H4" s="33"/>
    </row>
    <row r="5" spans="1:10" ht="4.95" customHeight="1">
      <c r="A5" s="33"/>
      <c r="B5" s="33"/>
      <c r="C5" s="33"/>
      <c r="D5" s="33"/>
      <c r="E5" s="33"/>
      <c r="F5" s="33"/>
      <c r="G5" s="33"/>
      <c r="H5" s="33"/>
    </row>
    <row r="6" spans="1:10" ht="24" customHeight="1">
      <c r="A6" s="37" t="s">
        <v>315</v>
      </c>
      <c r="B6" s="37"/>
      <c r="C6" s="37"/>
      <c r="D6" s="37"/>
      <c r="E6" s="37"/>
      <c r="F6" s="37"/>
      <c r="G6" s="37"/>
      <c r="H6" s="37"/>
    </row>
    <row r="7" spans="1:10" ht="19.95" customHeight="1">
      <c r="A7" s="38" t="s">
        <v>316</v>
      </c>
      <c r="B7" s="38"/>
      <c r="C7" s="38"/>
      <c r="D7" s="38"/>
      <c r="E7" s="38"/>
      <c r="F7" s="38"/>
      <c r="G7" s="38"/>
      <c r="H7" s="38"/>
    </row>
    <row r="8" spans="1:10" ht="19.95" customHeight="1">
      <c r="A8" s="38" t="s">
        <v>317</v>
      </c>
      <c r="B8" s="38"/>
      <c r="C8" s="38"/>
      <c r="D8" s="38"/>
      <c r="E8" s="38"/>
      <c r="F8" s="38"/>
      <c r="G8" s="38"/>
      <c r="H8" s="38"/>
    </row>
    <row r="9" spans="1:10" ht="24" customHeight="1">
      <c r="A9" s="37" t="s">
        <v>318</v>
      </c>
      <c r="B9" s="37"/>
      <c r="C9" s="37"/>
      <c r="D9" s="37"/>
      <c r="E9" s="37"/>
      <c r="F9" s="37"/>
      <c r="G9" s="37"/>
      <c r="H9" s="37"/>
    </row>
    <row r="10" spans="1:10" ht="19.95" customHeight="1">
      <c r="A10" s="38" t="s">
        <v>319</v>
      </c>
      <c r="B10" s="38"/>
      <c r="C10" s="38"/>
      <c r="D10" s="38"/>
      <c r="E10" s="38"/>
      <c r="F10" s="33"/>
      <c r="G10" s="33"/>
      <c r="H10" s="33"/>
    </row>
    <row r="11" spans="1:10" ht="19.95" customHeight="1">
      <c r="A11" s="38" t="s">
        <v>320</v>
      </c>
      <c r="B11" s="38"/>
      <c r="C11" s="38"/>
      <c r="D11" s="38"/>
      <c r="E11" s="38"/>
      <c r="F11" s="33"/>
      <c r="G11" s="33"/>
      <c r="H11" s="33"/>
    </row>
    <row r="12" spans="1:10" ht="19.95" customHeight="1">
      <c r="A12" s="38" t="s">
        <v>321</v>
      </c>
      <c r="B12" s="38"/>
      <c r="C12" s="38"/>
      <c r="D12" s="38"/>
      <c r="E12" s="38"/>
      <c r="F12" s="33"/>
      <c r="G12" s="33"/>
      <c r="H12" s="33"/>
    </row>
    <row r="13" spans="1:10" ht="19.95" customHeight="1">
      <c r="A13" s="38" t="s">
        <v>322</v>
      </c>
      <c r="B13" s="38"/>
      <c r="C13" s="38"/>
      <c r="D13" s="38"/>
      <c r="E13" s="38"/>
      <c r="F13" s="33"/>
      <c r="G13" s="33"/>
      <c r="H13" s="33"/>
    </row>
    <row r="14" spans="1:10" ht="19.95" customHeight="1">
      <c r="A14" s="38" t="s">
        <v>323</v>
      </c>
      <c r="B14" s="38"/>
      <c r="C14" s="38"/>
      <c r="D14" s="38"/>
      <c r="E14" s="38"/>
      <c r="F14" s="33"/>
      <c r="G14" s="33"/>
      <c r="H14" s="33"/>
    </row>
    <row r="15" spans="1:10" ht="19.95" customHeight="1">
      <c r="A15" s="38" t="s">
        <v>324</v>
      </c>
      <c r="B15" s="38"/>
      <c r="C15" s="38"/>
      <c r="D15" s="38"/>
      <c r="E15" s="38"/>
      <c r="F15" s="33"/>
      <c r="G15" s="33"/>
      <c r="H15" s="33"/>
    </row>
    <row r="16" spans="1:10" ht="87.15" customHeight="1">
      <c r="A16" s="38" t="s">
        <v>325</v>
      </c>
      <c r="B16" s="38"/>
      <c r="C16" s="38"/>
      <c r="D16" s="38"/>
      <c r="E16" s="38"/>
      <c r="F16" s="33"/>
      <c r="G16" s="33"/>
      <c r="H16" s="33"/>
    </row>
    <row r="17" spans="1:8" ht="24" customHeight="1">
      <c r="A17" s="37" t="s">
        <v>326</v>
      </c>
      <c r="B17" s="37"/>
      <c r="C17" s="37"/>
      <c r="D17" s="37"/>
      <c r="E17" s="37"/>
      <c r="F17" s="37"/>
      <c r="G17" s="37"/>
      <c r="H17" s="37"/>
    </row>
    <row r="18" spans="1:8" ht="19.95" customHeight="1">
      <c r="A18" s="38" t="s">
        <v>327</v>
      </c>
      <c r="B18" s="38"/>
      <c r="C18" s="38"/>
      <c r="D18" s="38"/>
      <c r="E18" s="38"/>
      <c r="F18" s="38"/>
      <c r="G18" s="38"/>
      <c r="H18" s="38"/>
    </row>
    <row r="19" spans="1:8" ht="24" customHeight="1">
      <c r="A19" s="37" t="s">
        <v>328</v>
      </c>
      <c r="B19" s="37"/>
      <c r="C19" s="37"/>
      <c r="D19" s="37"/>
      <c r="E19" s="37"/>
      <c r="F19" s="37"/>
      <c r="G19" s="37"/>
      <c r="H19" s="37"/>
    </row>
    <row r="20" spans="1:8" ht="19.95" customHeight="1">
      <c r="A20" s="39" t="str">
        <f>"Column load, Psls = "&amp;IF(ISNUMBER('A Bored Pile Checking'!C10),TEXT('A Bored Pile Checking'!C10,"#,##0.00"),IF('A Bored Pile Checking'!C10="","[待输入]",'A Bored Pile Checking'!C10))&amp;" kN"</f>
        <v>Column load, Psls = [待输入] kN</v>
      </c>
      <c r="B20" s="39"/>
      <c r="C20" s="39"/>
      <c r="D20" s="39"/>
      <c r="E20" s="39"/>
      <c r="F20" s="39"/>
      <c r="G20" s="39"/>
      <c r="H20" s="39"/>
    </row>
    <row r="21" spans="1:8" ht="19.95" customHeight="1">
      <c r="A21" s="39" t="str">
        <f>"Qb = "&amp;IF(ISNUMBER('A Bored Pile Checking'!C15),TEXT('A Bored Pile Checking'!C15,"#,##0"),IF('A Bored Pile Checking'!C15="","[待输入]",'A Bored Pile Checking'!C15))&amp;" kPa for Grade "&amp;IF(ISNUMBER('A Bored Pile Checking'!C14),TEXT('A Bored Pile Checking'!C14,"#,##0.00"),IF('A Bored Pile Checking'!C14="","[待输入]",'A Bored Pile Checking'!C14))</f>
        <v>Qb = 待输入 kPa for Grade [待输入]</v>
      </c>
      <c r="B21" s="39"/>
      <c r="C21" s="39"/>
      <c r="D21" s="39"/>
      <c r="E21" s="39"/>
      <c r="F21" s="39"/>
      <c r="G21" s="39"/>
      <c r="H21" s="39"/>
    </row>
    <row r="22" spans="1:8" ht="19.95" customHeight="1">
      <c r="A22" s="39" t="str">
        <f>"Adopt "&amp;IF(ISNUMBER('A Bored Pile Checking'!C16),TEXT('A Bored Pile Checking'!C16,"0"),IF('A Bored Pile Checking'!C16="","[待输入]",'A Bored Pile Checking'!C16))&amp;" nos. of bored pile with "&amp;IF(ISNUMBER('A Bored Pile Checking'!C13),TEXT('A Bored Pile Checking'!C13,"0"),IF('A Bored Pile Checking'!C13="","[待输入]",'A Bored Pile Checking'!C13))&amp;" mm bell-out"</f>
        <v>Adopt 待输入 nos. of bored pile with 2500 mm bell-out</v>
      </c>
      <c r="B22" s="39"/>
      <c r="C22" s="39"/>
      <c r="D22" s="39"/>
      <c r="E22" s="39"/>
      <c r="F22" s="39"/>
      <c r="G22" s="39"/>
      <c r="H22" s="39"/>
    </row>
    <row r="23" spans="1:8" ht="19.95" customHeight="1">
      <c r="A23" s="38" t="s">
        <v>329</v>
      </c>
      <c r="B23" s="38"/>
      <c r="C23" s="38"/>
      <c r="D23" s="38"/>
      <c r="E23" s="38"/>
      <c r="F23" s="38"/>
      <c r="G23" s="38"/>
      <c r="H23" s="38"/>
    </row>
    <row r="24" spans="1:8" ht="19.95" customHeight="1">
      <c r="A24" s="39" t="str">
        <f>"= "&amp;IF(ISNUMBER('A Bored Pile Checking'!C16),TEXT('A Bored Pile Checking'!C16,"0"),IF('A Bored Pile Checking'!C16="","[待输入]",'A Bored Pile Checking'!C16))&amp;" × π × "&amp;TEXT('A Bored Pile Checking'!C13/1000,"0.0")&amp;"² / 4 × "&amp;IF(ISNUMBER('A Bored Pile Checking'!C15),TEXT('A Bored Pile Checking'!C15,"#,##0"),IF('A Bored Pile Checking'!C15="","[待输入]",'A Bored Pile Checking'!C15))</f>
        <v>= 待输入 × π × 2.5² / 4 × 待输入</v>
      </c>
      <c r="B24" s="39"/>
      <c r="C24" s="39"/>
      <c r="D24" s="39"/>
      <c r="E24" s="39"/>
      <c r="F24" s="39"/>
      <c r="G24" s="39"/>
      <c r="H24" s="39"/>
    </row>
    <row r="25" spans="1:8" ht="19.95" customHeight="1">
      <c r="A25" s="39" t="str">
        <f>"= "&amp;IF(ISNUMBER('A Bored Pile Checking'!C18),TEXT('A Bored Pile Checking'!C18,"#,##0.00"),IF('A Bored Pile Checking'!C18="","[待输入]",'A Bored Pile Checking'!C18))&amp;" kN"</f>
        <v>= 待输入 kN</v>
      </c>
      <c r="B25" s="39"/>
      <c r="C25" s="39"/>
      <c r="D25" s="39"/>
      <c r="E25" s="39"/>
      <c r="F25" s="39"/>
      <c r="G25" s="39"/>
      <c r="H25" s="39"/>
    </row>
    <row r="26" spans="1:8" ht="19.95" customHeight="1">
      <c r="A26" s="39" t="str">
        <f>"Qallow ≥ P = "&amp;IF(ISNUMBER('A Bored Pile Checking'!C10),TEXT('A Bored Pile Checking'!C10,"#,##0.00"),IF('A Bored Pile Checking'!C10="","[待输入]",'A Bored Pile Checking'!C10))&amp;" kN     ∴ "&amp;IF(ISNUMBER('A Bored Pile Checking'!C20),TEXT('A Bored Pile Checking'!C20,"#,##0.00"),IF('A Bored Pile Checking'!C20="","[待输入]",'A Bored Pile Checking'!C20))</f>
        <v>Qallow ≥ P = [待输入] kN     ∴ 待输入</v>
      </c>
      <c r="B26" s="39"/>
      <c r="C26" s="39"/>
      <c r="D26" s="39"/>
      <c r="E26" s="39"/>
      <c r="F26" s="39"/>
      <c r="G26" s="39"/>
      <c r="H26" s="39"/>
    </row>
    <row r="27" spans="1:8" ht="19.95" customHeight="1">
      <c r="A27" s="39" t="str">
        <f>"Provide "&amp;IF(ISNUMBER('A Bored Pile Checking'!C13),TEXT('A Bored Pile Checking'!C13,"0"),IF('A Bored Pile Checking'!C13="","[待输入]",'A Bored Pile Checking'!C13))&amp;" / 1.5 = "&amp;IF(ISNUMBER('A Bored Pile Checking'!C22),TEXT('A Bored Pile Checking'!C22/1000,"0.000"),"[待输入]")&amp;" m (say "&amp;TEXT('A Bored Pile Checking'!C23/1000,"0.0")&amp;" m bored pile)"</f>
        <v>Provide 2500 / 1.5 = 1.667 m (say 1.8 m bored pile)</v>
      </c>
      <c r="B27" s="39"/>
      <c r="C27" s="39"/>
      <c r="D27" s="39"/>
      <c r="E27" s="39"/>
      <c r="F27" s="39"/>
      <c r="G27" s="39"/>
      <c r="H27" s="39"/>
    </row>
    <row r="28" spans="1:8" ht="19.95" customHeight="1">
      <c r="A28" s="39" t="str">
        <f>"Number of piles = ROUNDUP(P / pile capacity, 0) = "&amp;IF(ISNUMBER('A Bored Pile Checking'!C16),TEXT('A Bored Pile Checking'!C16,"0"),IF('A Bored Pile Checking'!C16="","[待输入]",'A Bored Pile Checking'!C16))&amp;".  "&amp;IF(ISNUMBER('A Bored Pile Checking'!C25),TEXT('A Bored Pile Checking'!C25,"#,##0.00"),IF('A Bored Pile Checking'!C25="","[待输入]",'A Bored Pile Checking'!C25))</f>
        <v>Number of piles = ROUNDUP(P / pile capacity, 0) = 待输入.  待输入</v>
      </c>
      <c r="B28" s="39"/>
      <c r="C28" s="39"/>
      <c r="D28" s="39"/>
      <c r="E28" s="39"/>
      <c r="F28" s="39"/>
      <c r="G28" s="39"/>
      <c r="H28" s="39"/>
    </row>
    <row r="29" spans="1:8" ht="24" customHeight="1">
      <c r="A29" s="37" t="s">
        <v>330</v>
      </c>
      <c r="B29" s="37"/>
      <c r="C29" s="37"/>
      <c r="D29" s="37"/>
      <c r="E29" s="37"/>
      <c r="F29" s="37"/>
      <c r="G29" s="37"/>
      <c r="H29" s="37"/>
    </row>
    <row r="30" spans="1:8" ht="19.95" customHeight="1">
      <c r="A30" s="38" t="s">
        <v>331</v>
      </c>
      <c r="B30" s="38"/>
      <c r="C30" s="38"/>
      <c r="D30" s="38"/>
      <c r="E30" s="38"/>
      <c r="F30" s="38"/>
      <c r="G30" s="38"/>
      <c r="H30" s="38"/>
    </row>
    <row r="31" spans="1:8" ht="19.95" customHeight="1">
      <c r="A31" s="38" t="s">
        <v>332</v>
      </c>
      <c r="B31" s="38"/>
      <c r="C31" s="38"/>
      <c r="D31" s="38"/>
      <c r="E31" s="38"/>
      <c r="F31" s="38"/>
      <c r="G31" s="38"/>
      <c r="H31" s="38"/>
    </row>
    <row r="32" spans="1:8" ht="24" customHeight="1">
      <c r="A32" s="37" t="s">
        <v>333</v>
      </c>
      <c r="B32" s="37"/>
      <c r="C32" s="37"/>
      <c r="D32" s="37"/>
      <c r="E32" s="37"/>
      <c r="F32" s="37"/>
      <c r="G32" s="37"/>
      <c r="H32" s="37"/>
    </row>
    <row r="33" spans="1:8" ht="19.95" customHeight="1">
      <c r="A33" s="38" t="s">
        <v>334</v>
      </c>
      <c r="B33" s="38"/>
      <c r="C33" s="38"/>
      <c r="D33" s="38"/>
      <c r="E33" s="38"/>
      <c r="F33" s="38"/>
      <c r="G33" s="38"/>
      <c r="H33" s="38"/>
    </row>
    <row r="34" spans="1:8" ht="19.95" customHeight="1">
      <c r="A34" s="38" t="s">
        <v>335</v>
      </c>
      <c r="B34" s="38"/>
      <c r="C34" s="38"/>
      <c r="D34" s="38"/>
      <c r="E34" s="38"/>
      <c r="F34" s="38"/>
      <c r="G34" s="38"/>
      <c r="H34" s="38"/>
    </row>
    <row r="35" spans="1:8" ht="24" customHeight="1">
      <c r="A35" s="37" t="s">
        <v>336</v>
      </c>
      <c r="B35" s="37"/>
      <c r="C35" s="37"/>
      <c r="D35" s="37"/>
      <c r="E35" s="37"/>
      <c r="F35" s="37"/>
      <c r="G35" s="37"/>
      <c r="H35" s="37"/>
    </row>
    <row r="36" spans="1:8" ht="19.95" customHeight="1">
      <c r="A36" s="38" t="s">
        <v>337</v>
      </c>
      <c r="B36" s="38"/>
      <c r="C36" s="38"/>
      <c r="D36" s="38"/>
      <c r="E36" s="38"/>
      <c r="F36" s="33"/>
      <c r="G36" s="33"/>
      <c r="H36" s="33"/>
    </row>
    <row r="37" spans="1:8" ht="19.95" customHeight="1">
      <c r="A37" s="39" t="str">
        <f>"= 1.6 × "&amp;IF(ISNUMBER('A Bored Pile Checking'!C10),TEXT('A Bored Pile Checking'!C10,"#,##0.00"),IF('A Bored Pile Checking'!C10="","[待输入]",'A Bored Pile Checking'!C10))</f>
        <v>= 1.6 × [待输入]</v>
      </c>
      <c r="B37" s="39"/>
      <c r="C37" s="39"/>
      <c r="D37" s="39"/>
      <c r="E37" s="39"/>
      <c r="F37" s="33"/>
      <c r="G37" s="33"/>
      <c r="H37" s="33"/>
    </row>
    <row r="38" spans="1:8" ht="19.95" customHeight="1">
      <c r="A38" s="39" t="str">
        <f>"= "&amp;IF(ISNUMBER('A Bored Pile Checking'!C29),TEXT('A Bored Pile Checking'!C29,"#,##0.00"),IF('A Bored Pile Checking'!C29="","[待输入]",'A Bored Pile Checking'!C29))&amp;" kN"</f>
        <v>= 待输入 kN</v>
      </c>
      <c r="B38" s="39"/>
      <c r="C38" s="39"/>
      <c r="D38" s="39"/>
      <c r="E38" s="39"/>
      <c r="F38" s="33"/>
      <c r="G38" s="33"/>
      <c r="H38" s="33"/>
    </row>
    <row r="39" spans="1:8" ht="19.95" customHeight="1">
      <c r="A39" s="38" t="s">
        <v>338</v>
      </c>
      <c r="B39" s="38"/>
      <c r="C39" s="38"/>
      <c r="D39" s="38"/>
      <c r="E39" s="38"/>
      <c r="F39" s="33"/>
      <c r="G39" s="33"/>
      <c r="H39" s="33"/>
    </row>
    <row r="40" spans="1:8" ht="19.95" customHeight="1">
      <c r="A40" s="39" t="str">
        <f>"where fcu = "&amp;IF(ISNUMBER('A Bored Pile Checking'!C33),TEXT('A Bored Pile Checking'!C33,"0"),IF('A Bored Pile Checking'!C33="","[待输入]",'A Bored Pile Checking'!C33))&amp;" N/mm²"</f>
        <v>where fcu = 45 N/mm²</v>
      </c>
      <c r="B40" s="39"/>
      <c r="C40" s="39"/>
      <c r="D40" s="39"/>
      <c r="E40" s="39"/>
      <c r="F40" s="33"/>
      <c r="G40" s="33"/>
      <c r="H40" s="33"/>
    </row>
    <row r="41" spans="1:8" ht="19.95" customHeight="1">
      <c r="A41" s="38" t="s">
        <v>339</v>
      </c>
      <c r="B41" s="38"/>
      <c r="C41" s="38"/>
      <c r="D41" s="38"/>
      <c r="E41" s="38"/>
      <c r="F41" s="33"/>
      <c r="G41" s="33"/>
      <c r="H41" s="33"/>
    </row>
    <row r="42" spans="1:8" ht="19.95" customHeight="1">
      <c r="A42" s="39" t="str">
        <f>"= "&amp;IF(ISNUMBER('A Bored Pile Checking'!C29),TEXT('A Bored Pile Checking'!C29,"#,##0.00"),IF('A Bored Pile Checking'!C29="","[待输入]",'A Bored Pile Checking'!C29))&amp;" × 10³ / ("&amp;IF(ISNUMBER('A Bored Pile Checking'!C32),TEXT('A Bored Pile Checking'!C32,"0"),IF('A Bored Pile Checking'!C32="","[待输入]",'A Bored Pile Checking'!C32))&amp;" × 0.8 × √"&amp;IF(ISNUMBER('A Bored Pile Checking'!C33),TEXT('A Bored Pile Checking'!C33,"0"),IF('A Bored Pile Checking'!C33="","[待输入]",'A Bored Pile Checking'!C33))&amp;")"</f>
        <v>= 待输入 × 10³ / (待输入 × 0.8 × √45)</v>
      </c>
      <c r="B42" s="39"/>
      <c r="C42" s="39"/>
      <c r="D42" s="39"/>
      <c r="E42" s="39"/>
      <c r="F42" s="33"/>
      <c r="G42" s="33"/>
      <c r="H42" s="33"/>
    </row>
    <row r="43" spans="1:8" ht="19.95" customHeight="1">
      <c r="A43" s="39" t="str">
        <f>"= "&amp;IF(ISNUMBER('A Bored Pile Checking'!C36),TEXT('A Bored Pile Checking'!C36,"#,##0.00"),IF('A Bored Pile Checking'!C36="","[待输入]",'A Bored Pile Checking'!C36))&amp;" mm"</f>
        <v>= 待输入 mm</v>
      </c>
      <c r="B43" s="39"/>
      <c r="C43" s="39"/>
      <c r="D43" s="39"/>
      <c r="E43" s="39"/>
      <c r="F43" s="33"/>
      <c r="G43" s="33"/>
      <c r="H43" s="33"/>
    </row>
    <row r="44" spans="1:8" ht="24" customHeight="1">
      <c r="A44" s="37" t="s">
        <v>340</v>
      </c>
      <c r="B44" s="37"/>
      <c r="C44" s="37"/>
      <c r="D44" s="37"/>
      <c r="E44" s="37"/>
      <c r="F44" s="37"/>
      <c r="G44" s="37"/>
      <c r="H44" s="37"/>
    </row>
    <row r="45" spans="1:8" ht="19.95" customHeight="1">
      <c r="A45" s="39" t="str">
        <f>"h = number of floors / 10 = "&amp;IF(ISNUMBER('A Bored Pile Checking'!C9),TEXT('A Bored Pile Checking'!C9,"0"),IF('A Bored Pile Checking'!C9="","[待输入]",'A Bored Pile Checking'!C9))&amp;" / 10 m = "&amp;IF(ISNUMBER('A Bored Pile Checking'!C39),TEXT('A Bored Pile Checking'!C39,"0"),IF('A Bored Pile Checking'!C39="","[待输入]",'A Bored Pile Checking'!C39))&amp;" mm"</f>
        <v>h = number of floors / 10 = [待输入] / 10 m = 待输入 mm</v>
      </c>
      <c r="B45" s="39"/>
      <c r="C45" s="39"/>
      <c r="D45" s="39"/>
      <c r="E45" s="39"/>
      <c r="F45" s="39"/>
      <c r="G45" s="39"/>
      <c r="H45" s="39"/>
    </row>
    <row r="46" spans="1:8" ht="19.95" customHeight="1">
      <c r="A46" s="39" t="str">
        <f>"Cover = "&amp;IF(ISNUMBER('A Bored Pile Checking'!C38),TEXT('A Bored Pile Checking'!C38,"0"),IF('A Bored Pile Checking'!C38="","[待输入]",'A Bored Pile Checking'!C38))&amp;" mm"</f>
        <v>Cover = 75 mm</v>
      </c>
      <c r="B46" s="39"/>
      <c r="C46" s="39"/>
      <c r="D46" s="39"/>
      <c r="E46" s="39"/>
      <c r="F46" s="39"/>
      <c r="G46" s="39"/>
      <c r="H46" s="39"/>
    </row>
    <row r="47" spans="1:8" ht="19.95" customHeight="1">
      <c r="A47" s="39" t="str">
        <f>"d = h - cover = "&amp;IF(ISNUMBER('A Bored Pile Checking'!C39),TEXT('A Bored Pile Checking'!C39,"0"),IF('A Bored Pile Checking'!C39="","[待输入]",'A Bored Pile Checking'!C39))&amp;" - "&amp;IF(ISNUMBER('A Bored Pile Checking'!C38),TEXT('A Bored Pile Checking'!C38,"0"),IF('A Bored Pile Checking'!C38="","[待输入]",'A Bored Pile Checking'!C38))&amp;" = "&amp;IF(ISNUMBER('A Bored Pile Checking'!C37),TEXT('A Bored Pile Checking'!C37,"0"),IF('A Bored Pile Checking'!C37="","[待输入]",'A Bored Pile Checking'!C37))&amp;" mm"</f>
        <v>d = h - cover = 待输入 - 75 = 待输入 mm</v>
      </c>
      <c r="B47" s="39"/>
      <c r="C47" s="39"/>
      <c r="D47" s="39"/>
      <c r="E47" s="39"/>
      <c r="F47" s="39"/>
      <c r="G47" s="39"/>
      <c r="H47" s="39"/>
    </row>
    <row r="48" spans="1:8" ht="19.95" customHeight="1">
      <c r="A48" s="39" t="str">
        <f>"vu = "&amp;IF(ISNUMBER('A Bored Pile Checking'!C29),TEXT('A Bored Pile Checking'!C29,"#,##0.00"),IF('A Bored Pile Checking'!C29="","[待输入]",'A Bored Pile Checking'!C29))&amp;" × 10³ / ("&amp;IF(ISNUMBER('A Bored Pile Checking'!C32),TEXT('A Bored Pile Checking'!C32,"0"),IF('A Bored Pile Checking'!C32="","[待输入]",'A Bored Pile Checking'!C32))&amp;" × "&amp;IF(ISNUMBER('A Bored Pile Checking'!C37),TEXT('A Bored Pile Checking'!C37,"0"),IF('A Bored Pile Checking'!C37="","[待输入]",'A Bored Pile Checking'!C37))&amp;") = "&amp;IF(ISNUMBER('A Bored Pile Checking'!C40),TEXT('A Bored Pile Checking'!C40,"0.000"),IF('A Bored Pile Checking'!C40="","[待输入]",'A Bored Pile Checking'!C40))&amp;" N/mm²"</f>
        <v>vu = 待输入 × 10³ / (待输入 × 待输入) = 待输入 N/mm²</v>
      </c>
      <c r="B48" s="39"/>
      <c r="C48" s="39"/>
      <c r="D48" s="39"/>
      <c r="E48" s="39"/>
      <c r="F48" s="39"/>
      <c r="G48" s="39"/>
      <c r="H48" s="39"/>
    </row>
    <row r="49" spans="1:8" ht="19.95" customHeight="1">
      <c r="A49" s="39" t="str">
        <f>"0.8√fcu = "&amp;IF(ISNUMBER('A Bored Pile Checking'!C35),TEXT('A Bored Pile Checking'!C35,"0.000"),IF('A Bored Pile Checking'!C35="","[待输入]",'A Bored Pile Checking'!C35))&amp;" N/mm²     ∴ "&amp;IF(ISNUMBER('A Bored Pile Checking'!C41),TEXT('A Bored Pile Checking'!C41,"#,##0.00"),IF('A Bored Pile Checking'!C41="","[待输入]",'A Bored Pile Checking'!C41))</f>
        <v>0.8√fcu = 5.367 N/mm²     ∴ 待输入</v>
      </c>
      <c r="B49" s="39"/>
      <c r="C49" s="39"/>
      <c r="D49" s="39"/>
      <c r="E49" s="39"/>
      <c r="F49" s="39"/>
      <c r="G49" s="39"/>
      <c r="H49" s="39"/>
    </row>
    <row r="50" spans="1:8" ht="19.95" customHeight="1">
      <c r="A50" s="39" t="str">
        <f>"Adopt "&amp;IF(ISNUMBER('A Bored Pile Checking'!C42),TEXT('A Bored Pile Checking'!C42,"0"),IF('A Bored Pile Checking'!C42="","[待输入]",'A Bored Pile Checking'!C42))&amp;" × "&amp;IF(ISNUMBER('A Bored Pile Checking'!C43),TEXT('A Bored Pile Checking'!C43,"0"),IF('A Bored Pile Checking'!C43="","[待输入]",'A Bored Pile Checking'!C43))&amp;" × "&amp;IF(ISNUMBER('A Bored Pile Checking'!C39),TEXT('A Bored Pile Checking'!C39,"0"),IF('A Bored Pile Checking'!C39="","[待输入]",'A Bored Pile Checking'!C39))&amp;" mm THK. pile cap."</f>
        <v>Adopt 待输入 × 待输入 × 待输入 mm THK. pile cap.</v>
      </c>
      <c r="B50" s="39"/>
      <c r="C50" s="39"/>
      <c r="D50" s="39"/>
      <c r="E50" s="39"/>
      <c r="F50" s="39"/>
      <c r="G50" s="39"/>
      <c r="H50" s="39"/>
    </row>
    <row r="51" spans="1:8" ht="31.95" customHeight="1">
      <c r="A51" s="38" t="s">
        <v>341</v>
      </c>
      <c r="B51" s="38"/>
      <c r="C51" s="38"/>
      <c r="D51" s="38"/>
      <c r="E51" s="38"/>
      <c r="F51" s="38"/>
      <c r="G51" s="38"/>
      <c r="H51" s="38"/>
    </row>
    <row r="52" spans="1:8" ht="24" hidden="1" customHeight="1">
      <c r="A52" s="37" t="s">
        <v>342</v>
      </c>
      <c r="B52" s="37"/>
      <c r="C52" s="37"/>
      <c r="D52" s="37"/>
      <c r="E52" s="37"/>
      <c r="F52" s="37"/>
      <c r="G52" s="37"/>
      <c r="H52" s="37"/>
    </row>
    <row r="53" spans="1:8" ht="19.95" hidden="1" customHeight="1">
      <c r="A53" s="38" t="s">
        <v>316</v>
      </c>
      <c r="B53" s="38"/>
      <c r="C53" s="38"/>
      <c r="D53" s="38"/>
      <c r="E53" s="38"/>
      <c r="F53" s="38"/>
      <c r="G53" s="38"/>
      <c r="H53" s="38"/>
    </row>
    <row r="54" spans="1:8" ht="19.95" hidden="1" customHeight="1">
      <c r="A54" s="38" t="s">
        <v>317</v>
      </c>
      <c r="B54" s="38"/>
      <c r="C54" s="38"/>
      <c r="D54" s="38"/>
      <c r="E54" s="38"/>
      <c r="F54" s="38"/>
      <c r="G54" s="38"/>
      <c r="H54" s="38"/>
    </row>
    <row r="55" spans="1:8" ht="19.95" hidden="1" customHeight="1">
      <c r="A55" s="38" t="s">
        <v>343</v>
      </c>
      <c r="B55" s="38"/>
      <c r="C55" s="38"/>
      <c r="D55" s="38"/>
      <c r="E55" s="38"/>
      <c r="F55" s="38"/>
      <c r="G55" s="38"/>
      <c r="H55" s="38"/>
    </row>
    <row r="56" spans="1:8" ht="24" hidden="1" customHeight="1">
      <c r="A56" s="37" t="s">
        <v>318</v>
      </c>
      <c r="B56" s="37"/>
      <c r="C56" s="37"/>
      <c r="D56" s="37"/>
      <c r="E56" s="37"/>
      <c r="F56" s="37"/>
      <c r="G56" s="37"/>
      <c r="H56" s="37"/>
    </row>
    <row r="57" spans="1:8" ht="19.95" hidden="1" customHeight="1">
      <c r="A57" s="38" t="s">
        <v>319</v>
      </c>
      <c r="B57" s="38"/>
      <c r="C57" s="38"/>
      <c r="D57" s="38"/>
      <c r="E57" s="38"/>
      <c r="F57" s="33"/>
      <c r="G57" s="33"/>
      <c r="H57" s="33"/>
    </row>
    <row r="58" spans="1:8" ht="19.95" hidden="1" customHeight="1">
      <c r="A58" s="38" t="s">
        <v>344</v>
      </c>
      <c r="B58" s="38"/>
      <c r="C58" s="38"/>
      <c r="D58" s="38"/>
      <c r="E58" s="38"/>
      <c r="F58" s="33"/>
      <c r="G58" s="33"/>
      <c r="H58" s="33"/>
    </row>
    <row r="59" spans="1:8" ht="19.95" hidden="1" customHeight="1">
      <c r="A59" s="38" t="s">
        <v>322</v>
      </c>
      <c r="B59" s="38"/>
      <c r="C59" s="38"/>
      <c r="D59" s="38"/>
      <c r="E59" s="38"/>
      <c r="F59" s="33"/>
      <c r="G59" s="33"/>
      <c r="H59" s="33"/>
    </row>
    <row r="60" spans="1:8" ht="19.95" hidden="1" customHeight="1">
      <c r="A60" s="38" t="s">
        <v>345</v>
      </c>
      <c r="B60" s="38"/>
      <c r="C60" s="38"/>
      <c r="D60" s="38"/>
      <c r="E60" s="38"/>
      <c r="F60" s="33"/>
      <c r="G60" s="33"/>
      <c r="H60" s="33"/>
    </row>
    <row r="61" spans="1:8" ht="24" hidden="1" customHeight="1">
      <c r="A61" s="37" t="s">
        <v>326</v>
      </c>
      <c r="B61" s="37"/>
      <c r="C61" s="37"/>
      <c r="D61" s="37"/>
      <c r="E61" s="37"/>
      <c r="F61" s="33"/>
      <c r="G61" s="33"/>
      <c r="H61" s="33"/>
    </row>
    <row r="62" spans="1:8" ht="56.85" hidden="1" customHeight="1">
      <c r="A62" s="38" t="s">
        <v>327</v>
      </c>
      <c r="B62" s="38"/>
      <c r="C62" s="38"/>
      <c r="D62" s="38"/>
      <c r="E62" s="38"/>
      <c r="F62" s="33"/>
      <c r="G62" s="33"/>
      <c r="H62" s="33"/>
    </row>
    <row r="63" spans="1:8" ht="24" hidden="1" customHeight="1">
      <c r="A63" s="37" t="s">
        <v>328</v>
      </c>
      <c r="B63" s="37"/>
      <c r="C63" s="37"/>
      <c r="D63" s="37"/>
      <c r="E63" s="37"/>
      <c r="F63" s="37"/>
      <c r="G63" s="37"/>
      <c r="H63" s="37"/>
    </row>
    <row r="64" spans="1:8" ht="19.95" hidden="1" customHeight="1">
      <c r="A64" s="39" t="str">
        <f>"Column load, Psls = "&amp;IF(ISNUMBER('A Bored Pile Checking'!C10),TEXT('A Bored Pile Checking'!C10,"#,##0.00"),IF('A Bored Pile Checking'!C10="","[待输入]",'A Bored Pile Checking'!C10))&amp;" kN"</f>
        <v>Column load, Psls = [待输入] kN</v>
      </c>
      <c r="B64" s="39"/>
      <c r="C64" s="39"/>
      <c r="D64" s="39"/>
      <c r="E64" s="39"/>
      <c r="F64" s="39"/>
      <c r="G64" s="39"/>
      <c r="H64" s="39"/>
    </row>
    <row r="65" spans="1:8" ht="19.95" hidden="1" customHeight="1">
      <c r="A65" s="39" t="str">
        <f>"Adopt "&amp;IF(ISNUMBER('A Socket H Checking'!C13),TEXT('A Socket H Checking'!C13,"#,##0.00"),IF('A Socket H Checking'!C13="","[待输入]",'A Socket H Checking'!C13))&amp;" kg/m UC S450J0 with "&amp;IF(ISNUMBER('A Socket H Checking'!C24),TEXT('A Socket H Checking'!C24,"0.0"),IF('A Socket H Checking'!C24="","[待输入]",'A Socket H Checking'!C24))&amp;" m socket."</f>
        <v>Adopt 305 × 305 × 223 kg/m UC S450J0 with 6.7 m socket.</v>
      </c>
      <c r="B65" s="39"/>
      <c r="C65" s="39"/>
      <c r="D65" s="39"/>
      <c r="E65" s="39"/>
      <c r="F65" s="39"/>
      <c r="G65" s="39"/>
      <c r="H65" s="39"/>
    </row>
    <row r="66" spans="1:8" ht="19.95" hidden="1" customHeight="1">
      <c r="A66" s="38" t="s">
        <v>346</v>
      </c>
      <c r="B66" s="38"/>
      <c r="C66" s="38"/>
      <c r="D66" s="38"/>
      <c r="E66" s="38"/>
      <c r="F66" s="38"/>
      <c r="G66" s="38"/>
      <c r="H66" s="38"/>
    </row>
    <row r="67" spans="1:8" ht="19.95" hidden="1" customHeight="1">
      <c r="A67" s="39" t="str">
        <f>"= 0.5 × "&amp;IF(ISNUMBER('A Socket H Checking'!C14),TEXT('A Socket H Checking'!C14,"0"),IF('A Socket H Checking'!C14="","[待输入]",'A Socket H Checking'!C14))&amp;" × "&amp;TEXT('A Socket H Checking'!C15/1000,"0.0")&amp;" = "&amp;IF(ISNUMBER('A Socket H Checking'!C17),TEXT('A Socket H Checking'!C17,"#,##0"),IF('A Socket H Checking'!C17="","[待输入]",'A Socket H Checking'!C17))&amp;" kN"</f>
        <v>= 0.5 × 430 × 28.4 = 6,106 kN</v>
      </c>
      <c r="B67" s="39"/>
      <c r="C67" s="39"/>
      <c r="D67" s="39"/>
      <c r="E67" s="39"/>
      <c r="F67" s="39"/>
      <c r="G67" s="39"/>
      <c r="H67" s="39"/>
    </row>
    <row r="68" spans="1:8" ht="19.95" hidden="1" customHeight="1">
      <c r="A68" s="39" t="str">
        <f>"No. of piles per column = Psls / Pc = "&amp;IF(ISNUMBER('A Bored Pile Checking'!C10),TEXT('A Bored Pile Checking'!C10,"#,##0.00"),IF('A Bored Pile Checking'!C10="","[待输入]",'A Bored Pile Checking'!C10))&amp;" / "&amp;IF(ISNUMBER('A Socket H Checking'!C17),TEXT('A Socket H Checking'!C17,"#,##0"),IF('A Socket H Checking'!C17="","[待输入]",'A Socket H Checking'!C17))&amp;" = "&amp;IF(ISNUMBER('A Socket H Checking'!C19),TEXT('A Socket H Checking'!C19,"0"),IF('A Socket H Checking'!C19="","[待输入]",'A Socket H Checking'!C19))&amp;" nos. / column (rounded up)"</f>
        <v>No. of piles per column = Psls / Pc = [待输入] / 6,106 = 待输入 nos. / column (rounded up)</v>
      </c>
      <c r="B68" s="39"/>
      <c r="C68" s="39"/>
      <c r="D68" s="39"/>
      <c r="E68" s="39"/>
      <c r="F68" s="39"/>
      <c r="G68" s="39"/>
      <c r="H68" s="39"/>
    </row>
    <row r="69" spans="1:8" ht="24" hidden="1" customHeight="1">
      <c r="A69" s="37" t="s">
        <v>330</v>
      </c>
      <c r="B69" s="37"/>
      <c r="C69" s="37"/>
      <c r="D69" s="37"/>
      <c r="E69" s="37"/>
      <c r="F69" s="37"/>
      <c r="G69" s="37"/>
      <c r="H69" s="37"/>
    </row>
    <row r="70" spans="1:8" ht="31.95" hidden="1" customHeight="1">
      <c r="A70" s="38" t="s">
        <v>347</v>
      </c>
      <c r="B70" s="38"/>
      <c r="C70" s="38"/>
      <c r="D70" s="38"/>
      <c r="E70" s="38"/>
      <c r="F70" s="38"/>
      <c r="G70" s="38"/>
      <c r="H70" s="38"/>
    </row>
    <row r="71" spans="1:8" ht="19.95" hidden="1" customHeight="1">
      <c r="A71" s="38" t="s">
        <v>348</v>
      </c>
      <c r="B71" s="38"/>
      <c r="C71" s="38"/>
      <c r="D71" s="38"/>
      <c r="E71" s="38"/>
      <c r="F71" s="38"/>
      <c r="G71" s="38"/>
      <c r="H71" s="38"/>
    </row>
    <row r="72" spans="1:8" ht="24" hidden="1" customHeight="1">
      <c r="A72" s="37" t="s">
        <v>333</v>
      </c>
      <c r="B72" s="37"/>
      <c r="C72" s="37"/>
      <c r="D72" s="37"/>
      <c r="E72" s="37"/>
      <c r="F72" s="37"/>
      <c r="G72" s="37"/>
      <c r="H72" s="37"/>
    </row>
    <row r="73" spans="1:8" ht="19.95" hidden="1" customHeight="1">
      <c r="A73" s="38" t="s">
        <v>334</v>
      </c>
      <c r="B73" s="38"/>
      <c r="C73" s="38"/>
      <c r="D73" s="38"/>
      <c r="E73" s="38"/>
      <c r="F73" s="38"/>
      <c r="G73" s="38"/>
      <c r="H73" s="38"/>
    </row>
    <row r="74" spans="1:8" ht="19.95" hidden="1" customHeight="1">
      <c r="A74" s="38" t="s">
        <v>335</v>
      </c>
      <c r="B74" s="38"/>
      <c r="C74" s="38"/>
      <c r="D74" s="38"/>
      <c r="E74" s="38"/>
      <c r="F74" s="38"/>
      <c r="G74" s="38"/>
      <c r="H74" s="38"/>
    </row>
    <row r="75" spans="1:8" ht="24" hidden="1" customHeight="1">
      <c r="A75" s="37" t="s">
        <v>336</v>
      </c>
      <c r="B75" s="37"/>
      <c r="C75" s="37"/>
      <c r="D75" s="37"/>
      <c r="E75" s="37"/>
      <c r="F75" s="37"/>
      <c r="G75" s="37"/>
      <c r="H75" s="37"/>
    </row>
    <row r="76" spans="1:8" ht="19.95" hidden="1" customHeight="1">
      <c r="A76" s="38" t="s">
        <v>337</v>
      </c>
      <c r="B76" s="38"/>
      <c r="C76" s="38"/>
      <c r="D76" s="38"/>
      <c r="E76" s="38"/>
      <c r="F76" s="38"/>
      <c r="G76" s="38"/>
      <c r="H76" s="38"/>
    </row>
    <row r="77" spans="1:8" ht="19.95" hidden="1" customHeight="1">
      <c r="A77" s="39" t="str">
        <f>"= 1.6 × "&amp;IF(ISNUMBER('A Socket H Checking'!C10),TEXT('A Socket H Checking'!C10,"#,##0.00"),IF('A Socket H Checking'!C10="","[待输入]",'A Socket H Checking'!C10))&amp;" = "&amp;IF(ISNUMBER('A Socket H Checking'!C27),TEXT('A Socket H Checking'!C27,"#,##0.00"),IF('A Socket H Checking'!C27="","[待输入]",'A Socket H Checking'!C27))&amp;" kN"</f>
        <v>= 1.6 × [待输入] = 待输入 kN</v>
      </c>
      <c r="B77" s="39"/>
      <c r="C77" s="39"/>
      <c r="D77" s="39"/>
      <c r="E77" s="39"/>
      <c r="F77" s="39"/>
      <c r="G77" s="39"/>
      <c r="H77" s="39"/>
    </row>
    <row r="78" spans="1:8" ht="19.95" hidden="1" customHeight="1">
      <c r="A78" s="39" t="str">
        <f>"u = 4c = 4 × "&amp;IF(ISNUMBER('A Socket H Checking'!C28),TEXT('A Socket H Checking'!C28,"0"),IF('A Socket H Checking'!C28="","[待输入]",'A Socket H Checking'!C28))&amp;" = "&amp;IF(ISNUMBER('A Socket H Checking'!C29),TEXT('A Socket H Checking'!C29,"0"),IF('A Socket H Checking'!C29="","[待输入]",'A Socket H Checking'!C29))&amp;" mm"</f>
        <v>u = 4c = 4 × [待输入] = 待输入 mm</v>
      </c>
      <c r="B78" s="39"/>
      <c r="C78" s="39"/>
      <c r="D78" s="39"/>
      <c r="E78" s="39"/>
      <c r="F78" s="39"/>
      <c r="G78" s="39"/>
      <c r="H78" s="39"/>
    </row>
    <row r="79" spans="1:8" ht="19.95" hidden="1" customHeight="1">
      <c r="A79" s="38" t="s">
        <v>338</v>
      </c>
      <c r="B79" s="38"/>
      <c r="C79" s="38"/>
      <c r="D79" s="38"/>
      <c r="E79" s="38"/>
      <c r="F79" s="38"/>
      <c r="G79" s="38"/>
      <c r="H79" s="38"/>
    </row>
    <row r="80" spans="1:8" ht="19.95" hidden="1" customHeight="1">
      <c r="A80" s="39" t="str">
        <f>"where fcu = "&amp;IF(ISNUMBER('A Socket H Checking'!C30),TEXT('A Socket H Checking'!C30,"0"),IF('A Socket H Checking'!C30="","[待输入]",'A Socket H Checking'!C30))&amp;" N/mm²;  0.8√fcu = "&amp;IF(ISNUMBER('A Socket H Checking'!C32),TEXT('A Socket H Checking'!C32,"0.000"),IF('A Socket H Checking'!C32="","[待输入]",'A Socket H Checking'!C32))&amp;" N/mm²"</f>
        <v>where fcu = 45 N/mm²;  0.8√fcu = 5.367 N/mm²</v>
      </c>
      <c r="B80" s="39"/>
      <c r="C80" s="39"/>
      <c r="D80" s="39"/>
      <c r="E80" s="39"/>
      <c r="F80" s="39"/>
      <c r="G80" s="39"/>
      <c r="H80" s="39"/>
    </row>
    <row r="81" spans="1:8" ht="19.95" hidden="1" customHeight="1">
      <c r="A81" s="38" t="s">
        <v>339</v>
      </c>
      <c r="B81" s="38"/>
      <c r="C81" s="38"/>
      <c r="D81" s="38"/>
      <c r="E81" s="38"/>
      <c r="F81" s="38"/>
      <c r="G81" s="38"/>
      <c r="H81" s="38"/>
    </row>
    <row r="82" spans="1:8" ht="19.95" hidden="1" customHeight="1">
      <c r="A82" s="39" t="str">
        <f>"= "&amp;IF(ISNUMBER('A Socket H Checking'!C27),TEXT('A Socket H Checking'!C27,"#,##0.00"),IF('A Socket H Checking'!C27="","[待输入]",'A Socket H Checking'!C27))&amp;" × 10³ / ("&amp;IF(ISNUMBER('A Socket H Checking'!C29),TEXT('A Socket H Checking'!C29,"0"),IF('A Socket H Checking'!C29="","[待输入]",'A Socket H Checking'!C29))&amp;" × 0.8 × √"&amp;IF(ISNUMBER('A Socket H Checking'!C30),TEXT('A Socket H Checking'!C30,"0"),IF('A Socket H Checking'!C30="","[待输入]",'A Socket H Checking'!C30))&amp;") = "&amp;IF(ISNUMBER('A Socket H Checking'!C36),TEXT('A Socket H Checking'!C36,"#,##0.00"),IF('A Socket H Checking'!C36="","[待输入]",'A Socket H Checking'!C36))&amp;" mm"</f>
        <v>= 待输入 × 10³ / (待输入 × 0.8 × √45) = 待输入 mm</v>
      </c>
      <c r="B82" s="39"/>
      <c r="C82" s="39"/>
      <c r="D82" s="39"/>
      <c r="E82" s="39"/>
      <c r="F82" s="39"/>
      <c r="G82" s="39"/>
      <c r="H82" s="39"/>
    </row>
    <row r="83" spans="1:8" ht="19.95" hidden="1" customHeight="1">
      <c r="A83" s="39" t="str">
        <f>"h = number of floors / 10 = "&amp;IF(ISNUMBER('A Socket H Checking'!C9),TEXT('A Socket H Checking'!C9,"0"),IF('A Socket H Checking'!C9="","[待输入]",'A Socket H Checking'!C9))&amp;" / 10 m = "&amp;IF(ISNUMBER('A Socket H Checking'!C33),TEXT('A Socket H Checking'!C33,"0"),IF('A Socket H Checking'!C33="","[待输入]",'A Socket H Checking'!C33))&amp;" mm"</f>
        <v>h = number of floors / 10 = [待输入] / 10 m = 待输入 mm</v>
      </c>
      <c r="B83" s="39"/>
      <c r="C83" s="39"/>
      <c r="D83" s="39"/>
      <c r="E83" s="39"/>
      <c r="F83" s="39"/>
      <c r="G83" s="39"/>
      <c r="H83" s="39"/>
    </row>
    <row r="84" spans="1:8" ht="19.95" hidden="1" customHeight="1">
      <c r="A84" s="39" t="str">
        <f>"Cover = "&amp;IF(ISNUMBER('A Socket H Checking'!C34),TEXT('A Socket H Checking'!C34,"0"),IF('A Socket H Checking'!C34="","[待输入]",'A Socket H Checking'!C34))&amp;" mm"</f>
        <v>Cover = 75 mm</v>
      </c>
      <c r="B84" s="39"/>
      <c r="C84" s="39"/>
      <c r="D84" s="39"/>
      <c r="E84" s="39"/>
      <c r="F84" s="39"/>
      <c r="G84" s="39"/>
      <c r="H84" s="39"/>
    </row>
    <row r="85" spans="1:8" ht="19.95" hidden="1" customHeight="1">
      <c r="A85" s="39" t="str">
        <f>"d = h - cover = "&amp;IF(ISNUMBER('A Socket H Checking'!C33),TEXT('A Socket H Checking'!C33,"0"),IF('A Socket H Checking'!C33="","[待输入]",'A Socket H Checking'!C33))&amp;" - "&amp;IF(ISNUMBER('A Socket H Checking'!C34),TEXT('A Socket H Checking'!C34,"0"),IF('A Socket H Checking'!C34="","[待输入]",'A Socket H Checking'!C34))&amp;" = "&amp;IF(ISNUMBER('A Socket H Checking'!C35),TEXT('A Socket H Checking'!C35,"0"),IF('A Socket H Checking'!C35="","[待输入]",'A Socket H Checking'!C35))&amp;" mm"</f>
        <v>d = h - cover = 待输入 - 75 = 待输入 mm</v>
      </c>
      <c r="B85" s="39"/>
      <c r="C85" s="39"/>
      <c r="D85" s="39"/>
      <c r="E85" s="39"/>
      <c r="F85" s="39"/>
      <c r="G85" s="39"/>
      <c r="H85" s="39"/>
    </row>
    <row r="86" spans="1:8" ht="19.95" hidden="1" customHeight="1">
      <c r="A86" s="39" t="str">
        <f>"v = "&amp;IF(ISNUMBER('A Socket H Checking'!C27),TEXT('A Socket H Checking'!C27,"#,##0.00"),IF('A Socket H Checking'!C27="","[待输入]",'A Socket H Checking'!C27))&amp;" × 10³ / ("&amp;IF(ISNUMBER('A Socket H Checking'!C29),TEXT('A Socket H Checking'!C29,"0"),IF('A Socket H Checking'!C29="","[待输入]",'A Socket H Checking'!C29))&amp;" × "&amp;IF(ISNUMBER('A Socket H Checking'!C35),TEXT('A Socket H Checking'!C35,"0"),IF('A Socket H Checking'!C35="","[待输入]",'A Socket H Checking'!C35))&amp;") = "&amp;IF(ISNUMBER('A Socket H Checking'!C37),TEXT('A Socket H Checking'!C37,"0.000"),IF('A Socket H Checking'!C37="","[待输入]",'A Socket H Checking'!C37))&amp;" N/mm²"</f>
        <v>v = 待输入 × 10³ / (待输入 × 待输入) = 待输入 N/mm²</v>
      </c>
      <c r="B86" s="39"/>
      <c r="C86" s="39"/>
      <c r="D86" s="39"/>
      <c r="E86" s="39"/>
      <c r="F86" s="39"/>
      <c r="G86" s="39"/>
      <c r="H86" s="39"/>
    </row>
    <row r="87" spans="1:8" ht="19.95" hidden="1" customHeight="1">
      <c r="A87" s="39" t="str">
        <f>"v &lt; 0.8√fcu = "&amp;IF(ISNUMBER('A Socket H Checking'!C32),TEXT('A Socket H Checking'!C32,"0.000"),IF('A Socket H Checking'!C32="","[待输入]",'A Socket H Checking'!C32))&amp;" N/mm²     ∴ "&amp;IF(ISNUMBER('A Socket H Checking'!C38),TEXT('A Socket H Checking'!C38,"#,##0.00"),IF('A Socket H Checking'!C38="","[待输入]",'A Socket H Checking'!C38))</f>
        <v>v &lt; 0.8√fcu = 5.367 N/mm²     ∴ 待输入</v>
      </c>
      <c r="B87" s="39"/>
      <c r="C87" s="39"/>
      <c r="D87" s="39"/>
      <c r="E87" s="39"/>
      <c r="F87" s="39"/>
      <c r="G87" s="39"/>
      <c r="H87" s="39"/>
    </row>
    <row r="88" spans="1:8" ht="24" hidden="1" customHeight="1">
      <c r="A88" s="37" t="s">
        <v>349</v>
      </c>
      <c r="B88" s="37"/>
      <c r="C88" s="37"/>
      <c r="D88" s="37"/>
      <c r="E88" s="37"/>
      <c r="F88" s="37"/>
      <c r="G88" s="37"/>
      <c r="H88" s="37"/>
    </row>
    <row r="89" spans="1:8" ht="19.95" hidden="1" customHeight="1">
      <c r="A89" s="38" t="s">
        <v>350</v>
      </c>
      <c r="B89" s="38"/>
      <c r="C89" s="38"/>
      <c r="D89" s="38"/>
      <c r="E89" s="38"/>
      <c r="F89" s="38"/>
      <c r="G89" s="38"/>
      <c r="H89" s="38"/>
    </row>
    <row r="90" spans="1:8" ht="19.95" hidden="1" customHeight="1">
      <c r="A90" s="39" t="str">
        <f>"- Dense sand with SPT N &gt; 200 at "&amp;IF(ISNUMBER('A Driven H Checking'!C24),TEXT('A Driven H Checking'!C24,"0.00"),IF('A Driven H Checking'!C24="","[待输入]",'A Driven H Checking'!C24))&amp;" mPD"</f>
        <v>- Dense sand with SPT N &gt; 200 at [待输入] mPD</v>
      </c>
      <c r="B90" s="39"/>
      <c r="C90" s="39"/>
      <c r="D90" s="39"/>
      <c r="E90" s="39"/>
      <c r="F90" s="39"/>
      <c r="G90" s="39"/>
      <c r="H90" s="39"/>
    </row>
    <row r="91" spans="1:8" ht="31.95" hidden="1" customHeight="1">
      <c r="A91" s="38" t="s">
        <v>351</v>
      </c>
      <c r="B91" s="38"/>
      <c r="C91" s="38"/>
      <c r="D91" s="38"/>
      <c r="E91" s="38"/>
      <c r="F91" s="38"/>
      <c r="G91" s="38"/>
      <c r="H91" s="38"/>
    </row>
    <row r="92" spans="1:8" ht="24" hidden="1" customHeight="1">
      <c r="A92" s="37" t="s">
        <v>318</v>
      </c>
      <c r="B92" s="37"/>
      <c r="C92" s="37"/>
      <c r="D92" s="37"/>
      <c r="E92" s="37"/>
      <c r="F92" s="37"/>
      <c r="G92" s="37"/>
      <c r="H92" s="37"/>
    </row>
    <row r="93" spans="1:8" ht="19.95" hidden="1" customHeight="1">
      <c r="A93" s="38" t="s">
        <v>319</v>
      </c>
      <c r="B93" s="38"/>
      <c r="C93" s="38"/>
      <c r="D93" s="38"/>
      <c r="E93" s="38"/>
      <c r="F93" s="33"/>
      <c r="G93" s="33"/>
      <c r="H93" s="33"/>
    </row>
    <row r="94" spans="1:8" ht="19.95" hidden="1" customHeight="1">
      <c r="A94" s="38" t="s">
        <v>352</v>
      </c>
      <c r="B94" s="38"/>
      <c r="C94" s="38"/>
      <c r="D94" s="38"/>
      <c r="E94" s="38"/>
      <c r="F94" s="33"/>
      <c r="G94" s="33"/>
      <c r="H94" s="33"/>
    </row>
    <row r="95" spans="1:8" ht="19.95" hidden="1" customHeight="1">
      <c r="A95" s="38" t="s">
        <v>322</v>
      </c>
      <c r="B95" s="38"/>
      <c r="C95" s="38"/>
      <c r="D95" s="38"/>
      <c r="E95" s="38"/>
      <c r="F95" s="33"/>
      <c r="G95" s="33"/>
      <c r="H95" s="33"/>
    </row>
    <row r="96" spans="1:8" ht="19.95" hidden="1" customHeight="1">
      <c r="A96" s="38" t="s">
        <v>353</v>
      </c>
      <c r="B96" s="38"/>
      <c r="C96" s="38"/>
      <c r="D96" s="38"/>
      <c r="E96" s="38"/>
      <c r="F96" s="33"/>
      <c r="G96" s="33"/>
      <c r="H96" s="33"/>
    </row>
    <row r="97" spans="1:8" ht="78.3" hidden="1" customHeight="1">
      <c r="A97" s="38" t="s">
        <v>354</v>
      </c>
      <c r="B97" s="38"/>
      <c r="C97" s="38"/>
      <c r="D97" s="38"/>
      <c r="E97" s="38"/>
      <c r="F97" s="33"/>
      <c r="G97" s="33"/>
      <c r="H97" s="33"/>
    </row>
    <row r="98" spans="1:8" ht="24" hidden="1" customHeight="1">
      <c r="A98" s="37" t="s">
        <v>328</v>
      </c>
      <c r="B98" s="37"/>
      <c r="C98" s="37"/>
      <c r="D98" s="37"/>
      <c r="E98" s="37"/>
      <c r="F98" s="37"/>
      <c r="G98" s="37"/>
      <c r="H98" s="37"/>
    </row>
    <row r="99" spans="1:8" ht="19.95" hidden="1" customHeight="1">
      <c r="A99" s="39" t="str">
        <f>"Column load, P = "&amp;IF(ISNUMBER('A Bored Pile Checking'!C10),TEXT('A Bored Pile Checking'!C10,"#,##0.00"),IF('A Bored Pile Checking'!C10="","[待输入]",'A Bored Pile Checking'!C10))&amp;" kN"</f>
        <v>Column load, P = [待输入] kN</v>
      </c>
      <c r="B99" s="39"/>
      <c r="C99" s="39"/>
      <c r="D99" s="39"/>
      <c r="E99" s="39"/>
      <c r="F99" s="39"/>
      <c r="G99" s="39"/>
      <c r="H99" s="39"/>
    </row>
    <row r="100" spans="1:8" ht="19.95" hidden="1" customHeight="1">
      <c r="A100" s="39" t="str">
        <f>"Adopt "&amp;IF(ISNUMBER('A Driven H Checking'!C13),TEXT('A Driven H Checking'!C13,"#,##0.00"),IF('A Driven H Checking'!C13="","[待输入]",'A Driven H Checking'!C13))&amp;" kg/m UC S450J0"</f>
        <v>Adopt 305 × 305 × 223 kg/m UC S450J0</v>
      </c>
      <c r="B100" s="39"/>
      <c r="C100" s="39"/>
      <c r="D100" s="39"/>
      <c r="E100" s="39"/>
      <c r="F100" s="39"/>
      <c r="G100" s="39"/>
      <c r="H100" s="39"/>
    </row>
    <row r="101" spans="1:8" ht="19.95" hidden="1" customHeight="1">
      <c r="A101" s="38" t="s">
        <v>355</v>
      </c>
      <c r="B101" s="38"/>
      <c r="C101" s="38"/>
      <c r="D101" s="38"/>
      <c r="E101" s="38"/>
      <c r="F101" s="38"/>
      <c r="G101" s="38"/>
      <c r="H101" s="38"/>
    </row>
    <row r="102" spans="1:8" ht="19.95" hidden="1" customHeight="1">
      <c r="A102" s="39" t="str">
        <f>"= 0.3 × "&amp;IF(ISNUMBER('A Driven H Checking'!C14),TEXT('A Driven H Checking'!C14,"0"),IF('A Driven H Checking'!C14="","[待输入]",'A Driven H Checking'!C14))&amp;" × "&amp;TEXT('A Driven H Checking'!C15/1000,"0.0")&amp;" = "&amp;IF(ISNUMBER('A Driven H Checking'!C17),TEXT('A Driven H Checking'!C17,"#,##0"),IF('A Driven H Checking'!C17="","[待输入]",'A Driven H Checking'!C17))&amp;" kN"</f>
        <v>= 0.3 × 430 × 28.4 = 3,664 kN</v>
      </c>
      <c r="B102" s="39"/>
      <c r="C102" s="39"/>
      <c r="D102" s="39"/>
      <c r="E102" s="39"/>
      <c r="F102" s="39"/>
      <c r="G102" s="39"/>
      <c r="H102" s="39"/>
    </row>
    <row r="103" spans="1:8" ht="19.95" hidden="1" customHeight="1">
      <c r="A103" s="39" t="str">
        <f>"No. of piles per column = P / Pc = "&amp;IF(ISNUMBER('A Bored Pile Checking'!C10),TEXT('A Bored Pile Checking'!C10,"#,##0.00"),IF('A Bored Pile Checking'!C10="","[待输入]",'A Bored Pile Checking'!C10))&amp;" / "&amp;IF(ISNUMBER('A Driven H Checking'!C17),TEXT('A Driven H Checking'!C17,"#,##0"),IF('A Driven H Checking'!C17="","[待输入]",'A Driven H Checking'!C17))&amp;" = "&amp;IF(ISNUMBER('A Driven H Checking'!C19),TEXT('A Driven H Checking'!C19,"0"),IF('A Driven H Checking'!C19="","[待输入]",'A Driven H Checking'!C19))&amp;" nos. / column (rounded up)"</f>
        <v>No. of piles per column = P / Pc = [待输入] / 3,664 = 待输入 nos. / column (rounded up)</v>
      </c>
      <c r="B103" s="39"/>
      <c r="C103" s="39"/>
      <c r="D103" s="39"/>
      <c r="E103" s="39"/>
      <c r="F103" s="39"/>
      <c r="G103" s="39"/>
      <c r="H103" s="39"/>
    </row>
    <row r="104" spans="1:8" ht="24" hidden="1" customHeight="1">
      <c r="A104" s="37" t="s">
        <v>330</v>
      </c>
      <c r="B104" s="37"/>
      <c r="C104" s="37"/>
      <c r="D104" s="37"/>
      <c r="E104" s="37"/>
      <c r="F104" s="37"/>
      <c r="G104" s="37"/>
      <c r="H104" s="37"/>
    </row>
    <row r="105" spans="1:8" ht="19.95" hidden="1" customHeight="1">
      <c r="A105" s="38" t="s">
        <v>356</v>
      </c>
      <c r="B105" s="38"/>
      <c r="C105" s="38"/>
      <c r="D105" s="38"/>
      <c r="E105" s="38"/>
      <c r="F105" s="38"/>
      <c r="G105" s="38"/>
      <c r="H105" s="38"/>
    </row>
    <row r="106" spans="1:8" ht="19.95" hidden="1" customHeight="1">
      <c r="A106" s="38" t="s">
        <v>332</v>
      </c>
      <c r="B106" s="38"/>
      <c r="C106" s="38"/>
      <c r="D106" s="38"/>
      <c r="E106" s="38"/>
      <c r="F106" s="38"/>
      <c r="G106" s="38"/>
      <c r="H106" s="38"/>
    </row>
    <row r="107" spans="1:8" ht="24" hidden="1" customHeight="1">
      <c r="A107" s="37" t="s">
        <v>333</v>
      </c>
      <c r="B107" s="37"/>
      <c r="C107" s="37"/>
      <c r="D107" s="37"/>
      <c r="E107" s="37"/>
      <c r="F107" s="37"/>
      <c r="G107" s="37"/>
      <c r="H107" s="37"/>
    </row>
    <row r="108" spans="1:8" ht="19.95" hidden="1" customHeight="1">
      <c r="A108" s="38" t="s">
        <v>334</v>
      </c>
      <c r="B108" s="38"/>
      <c r="C108" s="38"/>
      <c r="D108" s="38"/>
      <c r="E108" s="38"/>
      <c r="F108" s="38"/>
      <c r="G108" s="38"/>
      <c r="H108" s="38"/>
    </row>
    <row r="109" spans="1:8" ht="19.95" hidden="1" customHeight="1">
      <c r="A109" s="38" t="s">
        <v>335</v>
      </c>
      <c r="B109" s="38"/>
      <c r="C109" s="38"/>
      <c r="D109" s="38"/>
      <c r="E109" s="38"/>
      <c r="F109" s="38"/>
      <c r="G109" s="38"/>
      <c r="H109" s="38"/>
    </row>
    <row r="110" spans="1:8" ht="24" hidden="1" customHeight="1">
      <c r="A110" s="37" t="s">
        <v>336</v>
      </c>
      <c r="B110" s="37"/>
      <c r="C110" s="37"/>
      <c r="D110" s="37"/>
      <c r="E110" s="37"/>
      <c r="F110" s="37"/>
      <c r="G110" s="37"/>
      <c r="H110" s="37"/>
    </row>
    <row r="111" spans="1:8" ht="19.95" hidden="1" customHeight="1">
      <c r="A111" s="38" t="s">
        <v>337</v>
      </c>
      <c r="B111" s="38"/>
      <c r="C111" s="38"/>
      <c r="D111" s="38"/>
      <c r="E111" s="38"/>
      <c r="F111" s="38"/>
      <c r="G111" s="38"/>
      <c r="H111" s="38"/>
    </row>
    <row r="112" spans="1:8" ht="19.95" hidden="1" customHeight="1">
      <c r="A112" s="39" t="str">
        <f>"= 1.6 × "&amp;IF(ISNUMBER('A Driven H Checking'!C10),TEXT('A Driven H Checking'!C10,"#,##0.00"),IF('A Driven H Checking'!C10="","[待输入]",'A Driven H Checking'!C10))&amp;" = "&amp;IF(ISNUMBER('A Driven H Checking'!C27),TEXT('A Driven H Checking'!C27,"#,##0.00"),IF('A Driven H Checking'!C27="","[待输入]",'A Driven H Checking'!C27))&amp;" kN"</f>
        <v>= 1.6 × [待输入] = 待输入 kN</v>
      </c>
      <c r="B112" s="39"/>
      <c r="C112" s="39"/>
      <c r="D112" s="39"/>
      <c r="E112" s="39"/>
      <c r="F112" s="39"/>
      <c r="G112" s="39"/>
      <c r="H112" s="39"/>
    </row>
    <row r="113" spans="1:8" ht="19.95" hidden="1" customHeight="1">
      <c r="A113" s="39" t="str">
        <f>"u = 4c = 4 × "&amp;IF(ISNUMBER('A Driven H Checking'!C28),TEXT('A Driven H Checking'!C28,"0"),IF('A Driven H Checking'!C28="","[待输入]",'A Driven H Checking'!C28))&amp;" = "&amp;IF(ISNUMBER('A Driven H Checking'!C29),TEXT('A Driven H Checking'!C29,"0"),IF('A Driven H Checking'!C29="","[待输入]",'A Driven H Checking'!C29))&amp;" mm"</f>
        <v>u = 4c = 4 × [待输入] = 待输入 mm</v>
      </c>
      <c r="B113" s="39"/>
      <c r="C113" s="39"/>
      <c r="D113" s="39"/>
      <c r="E113" s="39"/>
      <c r="F113" s="39"/>
      <c r="G113" s="39"/>
      <c r="H113" s="39"/>
    </row>
    <row r="114" spans="1:8" ht="19.95" hidden="1" customHeight="1">
      <c r="A114" s="38" t="s">
        <v>338</v>
      </c>
      <c r="B114" s="38"/>
      <c r="C114" s="38"/>
      <c r="D114" s="38"/>
      <c r="E114" s="38"/>
      <c r="F114" s="38"/>
      <c r="G114" s="38"/>
      <c r="H114" s="38"/>
    </row>
    <row r="115" spans="1:8" ht="19.95" hidden="1" customHeight="1">
      <c r="A115" s="39" t="str">
        <f>"where fcu = "&amp;IF(ISNUMBER('A Driven H Checking'!C30),TEXT('A Driven H Checking'!C30,"0"),IF('A Driven H Checking'!C30="","[待输入]",'A Driven H Checking'!C30))&amp;" N/mm²;  0.8√fcu = "&amp;IF(ISNUMBER('A Driven H Checking'!C32),TEXT('A Driven H Checking'!C32,"0.000"),IF('A Driven H Checking'!C32="","[待输入]",'A Driven H Checking'!C32))&amp;" N/mm²"</f>
        <v>where fcu = 45 N/mm²;  0.8√fcu = 5.367 N/mm²</v>
      </c>
      <c r="B115" s="39"/>
      <c r="C115" s="39"/>
      <c r="D115" s="39"/>
      <c r="E115" s="39"/>
      <c r="F115" s="39"/>
      <c r="G115" s="39"/>
      <c r="H115" s="39"/>
    </row>
    <row r="116" spans="1:8" ht="19.95" hidden="1" customHeight="1">
      <c r="A116" s="38" t="s">
        <v>339</v>
      </c>
      <c r="B116" s="38"/>
      <c r="C116" s="38"/>
      <c r="D116" s="38"/>
      <c r="E116" s="38"/>
      <c r="F116" s="38"/>
      <c r="G116" s="38"/>
      <c r="H116" s="38"/>
    </row>
    <row r="117" spans="1:8" ht="19.95" hidden="1" customHeight="1">
      <c r="A117" s="39" t="str">
        <f>"= "&amp;IF(ISNUMBER('A Driven H Checking'!C27),TEXT('A Driven H Checking'!C27,"#,##0.00"),IF('A Driven H Checking'!C27="","[待输入]",'A Driven H Checking'!C27))&amp;" × 10³ / ("&amp;IF(ISNUMBER('A Driven H Checking'!C29),TEXT('A Driven H Checking'!C29,"0"),IF('A Driven H Checking'!C29="","[待输入]",'A Driven H Checking'!C29))&amp;" × 0.8 × √"&amp;IF(ISNUMBER('A Driven H Checking'!C30),TEXT('A Driven H Checking'!C30,"0"),IF('A Driven H Checking'!C30="","[待输入]",'A Driven H Checking'!C30))&amp;") = "&amp;IF(ISNUMBER('A Driven H Checking'!C36),TEXT('A Driven H Checking'!C36,"#,##0.00"),IF('A Driven H Checking'!C36="","[待输入]",'A Driven H Checking'!C36))&amp;" mm"</f>
        <v>= 待输入 × 10³ / (待输入 × 0.8 × √45) = 待输入 mm</v>
      </c>
      <c r="B117" s="39"/>
      <c r="C117" s="39"/>
      <c r="D117" s="39"/>
      <c r="E117" s="39"/>
      <c r="F117" s="39"/>
      <c r="G117" s="39"/>
      <c r="H117" s="39"/>
    </row>
    <row r="118" spans="1:8" ht="19.95" hidden="1" customHeight="1">
      <c r="A118" s="39" t="str">
        <f>"h = number of floors / 10 = "&amp;IF(ISNUMBER('A Driven H Checking'!C9),TEXT('A Driven H Checking'!C9,"0"),IF('A Driven H Checking'!C9="","[待输入]",'A Driven H Checking'!C9))&amp;" / 10 m = "&amp;IF(ISNUMBER('A Driven H Checking'!C33),TEXT('A Driven H Checking'!C33,"0"),IF('A Driven H Checking'!C33="","[待输入]",'A Driven H Checking'!C33))&amp;" mm"</f>
        <v>h = number of floors / 10 = [待输入] / 10 m = 待输入 mm</v>
      </c>
      <c r="B118" s="39"/>
      <c r="C118" s="39"/>
      <c r="D118" s="39"/>
      <c r="E118" s="39"/>
      <c r="F118" s="39"/>
      <c r="G118" s="39"/>
      <c r="H118" s="39"/>
    </row>
    <row r="119" spans="1:8" ht="19.95" hidden="1" customHeight="1">
      <c r="A119" s="39" t="str">
        <f>"Cover = "&amp;IF(ISNUMBER('A Driven H Checking'!C34),TEXT('A Driven H Checking'!C34,"0"),IF('A Driven H Checking'!C34="","[待输入]",'A Driven H Checking'!C34))&amp;" mm"</f>
        <v>Cover = 75 mm</v>
      </c>
      <c r="B119" s="39"/>
      <c r="C119" s="39"/>
      <c r="D119" s="39"/>
      <c r="E119" s="39"/>
      <c r="F119" s="39"/>
      <c r="G119" s="39"/>
      <c r="H119" s="39"/>
    </row>
    <row r="120" spans="1:8" ht="19.95" hidden="1" customHeight="1">
      <c r="A120" s="39" t="str">
        <f>"d = h - cover = "&amp;IF(ISNUMBER('A Driven H Checking'!C33),TEXT('A Driven H Checking'!C33,"0"),IF('A Driven H Checking'!C33="","[待输入]",'A Driven H Checking'!C33))&amp;" - "&amp;IF(ISNUMBER('A Driven H Checking'!C34),TEXT('A Driven H Checking'!C34,"0"),IF('A Driven H Checking'!C34="","[待输入]",'A Driven H Checking'!C34))&amp;" = "&amp;IF(ISNUMBER('A Driven H Checking'!C35),TEXT('A Driven H Checking'!C35,"0"),IF('A Driven H Checking'!C35="","[待输入]",'A Driven H Checking'!C35))&amp;" mm"</f>
        <v>d = h - cover = 待输入 - 75 = 待输入 mm</v>
      </c>
      <c r="B120" s="39"/>
      <c r="C120" s="39"/>
      <c r="D120" s="39"/>
      <c r="E120" s="39"/>
      <c r="F120" s="39"/>
      <c r="G120" s="39"/>
      <c r="H120" s="39"/>
    </row>
    <row r="121" spans="1:8" ht="19.95" hidden="1" customHeight="1">
      <c r="A121" s="39" t="str">
        <f>"v = "&amp;IF(ISNUMBER('A Driven H Checking'!C27),TEXT('A Driven H Checking'!C27,"#,##0.00"),IF('A Driven H Checking'!C27="","[待输入]",'A Driven H Checking'!C27))&amp;" × 10³ / ("&amp;IF(ISNUMBER('A Driven H Checking'!C29),TEXT('A Driven H Checking'!C29,"0"),IF('A Driven H Checking'!C29="","[待输入]",'A Driven H Checking'!C29))&amp;" × "&amp;IF(ISNUMBER('A Driven H Checking'!C35),TEXT('A Driven H Checking'!C35,"0"),IF('A Driven H Checking'!C35="","[待输入]",'A Driven H Checking'!C35))&amp;") = "&amp;IF(ISNUMBER('A Driven H Checking'!C37),TEXT('A Driven H Checking'!C37,"0.000"),IF('A Driven H Checking'!C37="","[待输入]",'A Driven H Checking'!C37))&amp;" N/mm²"</f>
        <v>v = 待输入 × 10³ / (待输入 × 待输入) = 待输入 N/mm²</v>
      </c>
      <c r="B121" s="39"/>
      <c r="C121" s="39"/>
      <c r="D121" s="39"/>
      <c r="E121" s="39"/>
      <c r="F121" s="39"/>
      <c r="G121" s="39"/>
      <c r="H121" s="39"/>
    </row>
    <row r="122" spans="1:8" ht="19.95" hidden="1" customHeight="1">
      <c r="A122" s="39" t="str">
        <f>"v &lt; 0.8√fcu = "&amp;IF(ISNUMBER('A Driven H Checking'!C32),TEXT('A Driven H Checking'!C32,"0.000"),IF('A Driven H Checking'!C32="","[待输入]",'A Driven H Checking'!C32))&amp;" N/mm²     ∴ "&amp;IF(ISNUMBER('A Driven H Checking'!C38),TEXT('A Driven H Checking'!C38,"#,##0.00"),IF('A Driven H Checking'!C38="","[待输入]",'A Driven H Checking'!C38))</f>
        <v>v &lt; 0.8√fcu = 5.367 N/mm²     ∴ 待输入</v>
      </c>
      <c r="B122" s="39"/>
      <c r="C122" s="39"/>
      <c r="D122" s="39"/>
      <c r="E122" s="39"/>
      <c r="F122" s="39"/>
      <c r="G122" s="39"/>
      <c r="H122" s="39"/>
    </row>
    <row r="123" spans="1:8" ht="24" hidden="1" customHeight="1">
      <c r="A123" s="37" t="s">
        <v>357</v>
      </c>
      <c r="B123" s="37"/>
      <c r="C123" s="37"/>
      <c r="D123" s="37"/>
      <c r="E123" s="37"/>
      <c r="F123" s="37"/>
      <c r="G123" s="37"/>
      <c r="H123" s="37"/>
    </row>
    <row r="124" spans="1:8" ht="19.95" hidden="1" customHeight="1">
      <c r="A124" s="38" t="s">
        <v>316</v>
      </c>
      <c r="B124" s="38"/>
      <c r="C124" s="38"/>
      <c r="D124" s="38"/>
      <c r="E124" s="38"/>
      <c r="F124" s="38"/>
      <c r="G124" s="38"/>
      <c r="H124" s="38"/>
    </row>
    <row r="125" spans="1:8" ht="19.95" hidden="1" customHeight="1">
      <c r="A125" s="38" t="s">
        <v>317</v>
      </c>
      <c r="B125" s="38"/>
      <c r="C125" s="38"/>
      <c r="D125" s="38"/>
      <c r="E125" s="38"/>
      <c r="F125" s="38"/>
      <c r="G125" s="38"/>
      <c r="H125" s="38"/>
    </row>
    <row r="126" spans="1:8" ht="19.95" hidden="1" customHeight="1">
      <c r="A126" s="38" t="s">
        <v>358</v>
      </c>
      <c r="B126" s="38"/>
      <c r="C126" s="38"/>
      <c r="D126" s="38"/>
      <c r="E126" s="38"/>
      <c r="F126" s="38"/>
      <c r="G126" s="38"/>
      <c r="H126" s="38"/>
    </row>
    <row r="127" spans="1:8" ht="24" hidden="1" customHeight="1">
      <c r="A127" s="37" t="s">
        <v>318</v>
      </c>
      <c r="B127" s="37"/>
      <c r="C127" s="37"/>
      <c r="D127" s="37"/>
      <c r="E127" s="37"/>
      <c r="F127" s="37"/>
      <c r="G127" s="37"/>
      <c r="H127" s="37"/>
    </row>
    <row r="128" spans="1:8" ht="19.95" hidden="1" customHeight="1">
      <c r="A128" s="38" t="s">
        <v>359</v>
      </c>
      <c r="B128" s="38"/>
      <c r="C128" s="38"/>
      <c r="D128" s="38"/>
      <c r="E128" s="38"/>
      <c r="F128" s="33"/>
      <c r="G128" s="33"/>
      <c r="H128" s="33"/>
    </row>
    <row r="129" spans="1:8" ht="19.95" hidden="1" customHeight="1">
      <c r="A129" s="38" t="s">
        <v>360</v>
      </c>
      <c r="B129" s="38"/>
      <c r="C129" s="38"/>
      <c r="D129" s="38"/>
      <c r="E129" s="38"/>
      <c r="F129" s="33"/>
      <c r="G129" s="33"/>
      <c r="H129" s="33"/>
    </row>
    <row r="130" spans="1:8" ht="19.95" hidden="1" customHeight="1">
      <c r="A130" s="38" t="s">
        <v>361</v>
      </c>
      <c r="B130" s="38"/>
      <c r="C130" s="38"/>
      <c r="D130" s="38"/>
      <c r="E130" s="38"/>
      <c r="F130" s="33"/>
      <c r="G130" s="33"/>
      <c r="H130" s="33"/>
    </row>
    <row r="131" spans="1:8" ht="19.95" hidden="1" customHeight="1">
      <c r="A131" s="38" t="s">
        <v>362</v>
      </c>
      <c r="B131" s="38"/>
      <c r="C131" s="38"/>
      <c r="D131" s="38"/>
      <c r="E131" s="38"/>
      <c r="F131" s="33"/>
      <c r="G131" s="33"/>
      <c r="H131" s="33"/>
    </row>
    <row r="132" spans="1:8" ht="19.95" hidden="1" customHeight="1">
      <c r="A132" s="38" t="s">
        <v>363</v>
      </c>
      <c r="B132" s="38"/>
      <c r="C132" s="38"/>
      <c r="D132" s="38"/>
      <c r="E132" s="38"/>
      <c r="F132" s="33"/>
      <c r="G132" s="33"/>
      <c r="H132" s="33"/>
    </row>
    <row r="133" spans="1:8" ht="63.9" hidden="1" customHeight="1">
      <c r="A133" s="38" t="s">
        <v>364</v>
      </c>
      <c r="B133" s="38"/>
      <c r="C133" s="38"/>
      <c r="D133" s="38"/>
      <c r="E133" s="38"/>
      <c r="F133" s="33"/>
      <c r="G133" s="33"/>
      <c r="H133" s="33"/>
    </row>
    <row r="134" spans="1:8" ht="24" hidden="1" customHeight="1">
      <c r="A134" s="37" t="s">
        <v>365</v>
      </c>
      <c r="B134" s="37"/>
      <c r="C134" s="37"/>
      <c r="D134" s="37"/>
      <c r="E134" s="37"/>
      <c r="F134" s="37"/>
      <c r="G134" s="37"/>
      <c r="H134" s="37"/>
    </row>
    <row r="135" spans="1:8" ht="19.95" hidden="1" customHeight="1">
      <c r="A135" s="38" t="s">
        <v>412</v>
      </c>
      <c r="B135" s="38"/>
      <c r="C135" s="38"/>
      <c r="D135" s="38"/>
      <c r="E135" s="38"/>
      <c r="F135" s="38"/>
      <c r="G135" s="38"/>
      <c r="H135" s="38"/>
    </row>
    <row r="136" spans="1:8" ht="19.95" hidden="1" customHeight="1">
      <c r="A136" s="38" t="s">
        <v>413</v>
      </c>
      <c r="B136" s="38"/>
      <c r="C136" s="38"/>
      <c r="D136" s="38"/>
      <c r="E136" s="38"/>
      <c r="F136" s="38"/>
      <c r="G136" s="38"/>
      <c r="H136" s="38"/>
    </row>
    <row r="137" spans="1:8" ht="19.95" hidden="1" customHeight="1">
      <c r="A137" s="39" t="str">
        <f>"- Horizontal displacement will be limited to "&amp;IF(ISNUMBER('A Mini Pile Checking'!C26),TEXT('A Mini Pile Checking'!C26,"0"),IF('A Mini Pile Checking'!C26="","[待输入]",'A Mini Pile Checking'!C26))&amp;" mm in detailed design stage."</f>
        <v>- Horizontal displacement will be limited to 25 mm in detailed design stage.</v>
      </c>
      <c r="B137" s="39"/>
      <c r="C137" s="39"/>
      <c r="D137" s="39"/>
      <c r="E137" s="39"/>
      <c r="F137" s="39"/>
      <c r="G137" s="39"/>
      <c r="H137" s="39"/>
    </row>
    <row r="138" spans="1:8" ht="24" hidden="1" customHeight="1">
      <c r="A138" s="37" t="s">
        <v>414</v>
      </c>
      <c r="B138" s="37"/>
      <c r="C138" s="37"/>
      <c r="D138" s="37"/>
      <c r="E138" s="37"/>
      <c r="F138" s="37"/>
      <c r="G138" s="37"/>
      <c r="H138" s="37"/>
    </row>
    <row r="139" spans="1:8" ht="19.95" hidden="1" customHeight="1">
      <c r="A139" s="39" t="str">
        <f>"Column load, P = "&amp;IF(ISNUMBER('A Mini Pile Checking'!C10),TEXT('A Mini Pile Checking'!C10,"#,##0.00"),IF('A Mini Pile Checking'!C10="","[待输入]",'A Mini Pile Checking'!C10))&amp;" kN"</f>
        <v>Column load, P = [待输入] kN</v>
      </c>
      <c r="B139" s="39"/>
      <c r="C139" s="39"/>
      <c r="D139" s="39"/>
      <c r="E139" s="39"/>
      <c r="F139" s="39"/>
      <c r="G139" s="39"/>
      <c r="H139" s="39"/>
    </row>
    <row r="140" spans="1:8" ht="19.95" hidden="1" customHeight="1">
      <c r="A140" s="39" t="str">
        <f>"Adopt "&amp;IF(ISNUMBER('A Mini Pile Checking'!C13),TEXT('A Mini Pile Checking'!C13,"0"),IF('A Mini Pile Checking'!C13="","[待输入]",'A Mini Pile Checking'!C13))&amp;"T"&amp;IF(ISNUMBER('A Mini Pile Checking'!C14),TEXT('A Mini Pile Checking'!C14,"0"),IF('A Mini Pile Checking'!C14="","[待输入]",'A Mini Pile Checking'!C14))&amp;" mini pile with fy = "&amp;IF(ISNUMBER('A Mini Pile Checking'!C15),TEXT('A Mini Pile Checking'!C15,"0"),IF('A Mini Pile Checking'!C15="","[待输入]",'A Mini Pile Checking'!C15))&amp;" MPa and "&amp;IF(ISNUMBER('A Mini Pile Checking'!C25),TEXT('A Mini Pile Checking'!C25,"0.0"),IF('A Mini Pile Checking'!C25="","[待输入]",'A Mini Pile Checking'!C25))&amp;" m bond length."</f>
        <v>Adopt 5T50 mini pile with fy = 500 MPa and 5.5 m bond length.</v>
      </c>
      <c r="B140" s="39"/>
      <c r="C140" s="39"/>
      <c r="D140" s="39"/>
      <c r="E140" s="39"/>
      <c r="F140" s="39"/>
      <c r="G140" s="39"/>
      <c r="H140" s="39"/>
    </row>
    <row r="141" spans="1:8" ht="19.95" hidden="1" customHeight="1">
      <c r="A141" s="38" t="s">
        <v>415</v>
      </c>
      <c r="B141" s="38"/>
      <c r="C141" s="38"/>
      <c r="D141" s="38"/>
      <c r="E141" s="38"/>
      <c r="F141" s="38"/>
      <c r="G141" s="38"/>
      <c r="H141" s="38"/>
    </row>
    <row r="142" spans="1:8" ht="19.95" hidden="1" customHeight="1">
      <c r="A142" s="39" t="str">
        <f>"= "&amp;IF(ISNUMBER('A Mini Pile Checking'!C13),TEXT('A Mini Pile Checking'!C13,"0"),IF('A Mini Pile Checking'!C13="","[待输入]",'A Mini Pile Checking'!C13))&amp;" × π × "&amp;TEXT('A Mini Pile Checking'!C14/2,"0")&amp;"² × 0.475 × "&amp;IF(ISNUMBER('A Mini Pile Checking'!C15),TEXT('A Mini Pile Checking'!C15,"0"),IF('A Mini Pile Checking'!C15="","[待输入]",'A Mini Pile Checking'!C15))&amp;" / 1000 = "&amp;IF(ISNUMBER('A Mini Pile Checking'!C18),TEXT('A Mini Pile Checking'!C18,"#,##0"),IF('A Mini Pile Checking'!C18="","[待输入]",'A Mini Pile Checking'!C18))&amp;" kN"</f>
        <v>= 5 × π × 25² × 0.475 × 500 / 1000 = 2,332 kN</v>
      </c>
      <c r="B142" s="39"/>
      <c r="C142" s="39"/>
      <c r="D142" s="39"/>
      <c r="E142" s="39"/>
      <c r="F142" s="39"/>
      <c r="G142" s="39"/>
      <c r="H142" s="39"/>
    </row>
    <row r="143" spans="1:8" ht="19.95" hidden="1" customHeight="1">
      <c r="A143" s="39" t="str">
        <f>"No. of piles per column = ROUNDUP(P / Pc, 0) = ROUNDUP("&amp;IF(ISNUMBER('A Mini Pile Checking'!C10),TEXT('A Mini Pile Checking'!C10,"#,##0.00"),IF('A Mini Pile Checking'!C10="","[待输入]",'A Mini Pile Checking'!C10))&amp;" / "&amp;IF(ISNUMBER('A Mini Pile Checking'!C18),TEXT('A Mini Pile Checking'!C18,"#,##0.00"),IF('A Mini Pile Checking'!C18="","[待输入]",'A Mini Pile Checking'!C18))&amp;", 0) = "&amp;IF(ISNUMBER('A Mini Pile Checking'!C20),TEXT('A Mini Pile Checking'!C20,"0"),IF('A Mini Pile Checking'!C20="","[待输入]",'A Mini Pile Checking'!C20))&amp;" nos."</f>
        <v>No. of piles per column = ROUNDUP(P / Pc, 0) = ROUNDUP([待输入] / 2,331.65, 0) = 待输入 nos.</v>
      </c>
      <c r="B143" s="39"/>
      <c r="C143" s="39"/>
      <c r="D143" s="39"/>
      <c r="E143" s="39"/>
      <c r="F143" s="39"/>
      <c r="G143" s="39"/>
      <c r="H143" s="39"/>
    </row>
    <row r="144" spans="1:8" ht="24" hidden="1" customHeight="1">
      <c r="A144" s="37" t="s">
        <v>333</v>
      </c>
      <c r="B144" s="37"/>
      <c r="C144" s="37"/>
      <c r="D144" s="37"/>
      <c r="E144" s="37"/>
      <c r="F144" s="37"/>
      <c r="G144" s="37"/>
      <c r="H144" s="37"/>
    </row>
    <row r="145" spans="1:8" ht="19.95" hidden="1" customHeight="1">
      <c r="A145" s="38" t="s">
        <v>334</v>
      </c>
      <c r="B145" s="38"/>
      <c r="C145" s="38"/>
      <c r="D145" s="38"/>
      <c r="E145" s="38"/>
      <c r="F145" s="38"/>
      <c r="G145" s="38"/>
      <c r="H145" s="38"/>
    </row>
    <row r="146" spans="1:8" ht="19.95" hidden="1" customHeight="1">
      <c r="A146" s="38" t="s">
        <v>335</v>
      </c>
      <c r="B146" s="38"/>
      <c r="C146" s="38"/>
      <c r="D146" s="38"/>
      <c r="E146" s="38"/>
      <c r="F146" s="38"/>
      <c r="G146" s="38"/>
      <c r="H146" s="38"/>
    </row>
    <row r="147" spans="1:8" ht="24" hidden="1" customHeight="1">
      <c r="A147" s="37" t="s">
        <v>336</v>
      </c>
      <c r="B147" s="37"/>
      <c r="C147" s="37"/>
      <c r="D147" s="37"/>
      <c r="E147" s="37"/>
      <c r="F147" s="37"/>
      <c r="G147" s="37"/>
      <c r="H147" s="37"/>
    </row>
    <row r="148" spans="1:8" ht="19.95" hidden="1" customHeight="1">
      <c r="A148" s="38" t="s">
        <v>337</v>
      </c>
      <c r="B148" s="38"/>
      <c r="C148" s="38"/>
      <c r="D148" s="38"/>
      <c r="E148" s="38"/>
      <c r="F148" s="38"/>
      <c r="G148" s="38"/>
      <c r="H148" s="38"/>
    </row>
    <row r="149" spans="1:8" ht="19.95" hidden="1" customHeight="1">
      <c r="A149" s="39" t="str">
        <f>"= 1.6 × "&amp;IF(ISNUMBER('A Mini Pile Checking'!C10),TEXT('A Mini Pile Checking'!C10,"#,##0.00"),IF('A Mini Pile Checking'!C10="","[待输入]",'A Mini Pile Checking'!C10))&amp;" = "&amp;IF(ISNUMBER('A Mini Pile Checking'!C29),TEXT('A Mini Pile Checking'!C29,"#,##0.00"),IF('A Mini Pile Checking'!C29="","[待输入]",'A Mini Pile Checking'!C29))&amp;" kN"</f>
        <v>= 1.6 × [待输入] = 待输入 kN</v>
      </c>
      <c r="B149" s="39"/>
      <c r="C149" s="39"/>
      <c r="D149" s="39"/>
      <c r="E149" s="39"/>
      <c r="F149" s="39"/>
      <c r="G149" s="39"/>
      <c r="H149" s="39"/>
    </row>
    <row r="150" spans="1:8" ht="19.95" hidden="1" customHeight="1">
      <c r="A150" s="39" t="str">
        <f>"u = 4c = 4 × "&amp;IF(ISNUMBER('A Mini Pile Checking'!C30),TEXT('A Mini Pile Checking'!C30,"0"),IF('A Mini Pile Checking'!C30="","[待输入]",'A Mini Pile Checking'!C30))&amp;" = "&amp;IF(ISNUMBER('A Mini Pile Checking'!C31),TEXT('A Mini Pile Checking'!C31,"0"),IF('A Mini Pile Checking'!C31="","[待输入]",'A Mini Pile Checking'!C31))&amp;" mm"</f>
        <v>u = 4c = 4 × [待输入] = 待输入 mm</v>
      </c>
      <c r="B150" s="39"/>
      <c r="C150" s="39"/>
      <c r="D150" s="39"/>
      <c r="E150" s="39"/>
      <c r="F150" s="39"/>
      <c r="G150" s="39"/>
      <c r="H150" s="39"/>
    </row>
    <row r="151" spans="1:8" ht="19.95" hidden="1" customHeight="1">
      <c r="A151" s="38" t="s">
        <v>338</v>
      </c>
      <c r="B151" s="38"/>
      <c r="C151" s="38"/>
      <c r="D151" s="38"/>
      <c r="E151" s="38"/>
      <c r="F151" s="38"/>
      <c r="G151" s="38"/>
      <c r="H151" s="38"/>
    </row>
    <row r="152" spans="1:8" ht="19.95" hidden="1" customHeight="1">
      <c r="A152" s="39" t="str">
        <f>"where fcu = "&amp;IF(ISNUMBER('A Mini Pile Checking'!C32),TEXT('A Mini Pile Checking'!C32,"0"),IF('A Mini Pile Checking'!C32="","[待输入]",'A Mini Pile Checking'!C32))&amp;" N/mm²;  0.8√fcu = "&amp;IF(ISNUMBER('A Mini Pile Checking'!C34),TEXT('A Mini Pile Checking'!C34,"0.000"),IF('A Mini Pile Checking'!C34="","[待输入]",'A Mini Pile Checking'!C34))&amp;" N/mm²"</f>
        <v>where fcu = 45 N/mm²;  0.8√fcu = 5.367 N/mm²</v>
      </c>
      <c r="B152" s="39"/>
      <c r="C152" s="39"/>
      <c r="D152" s="39"/>
      <c r="E152" s="39"/>
      <c r="F152" s="39"/>
      <c r="G152" s="39"/>
      <c r="H152" s="39"/>
    </row>
    <row r="153" spans="1:8" ht="19.95" hidden="1" customHeight="1">
      <c r="A153" s="38" t="s">
        <v>339</v>
      </c>
      <c r="B153" s="38"/>
      <c r="C153" s="38"/>
      <c r="D153" s="38"/>
      <c r="E153" s="38"/>
      <c r="F153" s="38"/>
      <c r="G153" s="38"/>
      <c r="H153" s="38"/>
    </row>
    <row r="154" spans="1:8" ht="19.95" hidden="1" customHeight="1">
      <c r="A154" s="39" t="str">
        <f>"= "&amp;IF(ISNUMBER('A Mini Pile Checking'!C29),TEXT('A Mini Pile Checking'!C29,"#,##0.00"),IF('A Mini Pile Checking'!C29="","[待输入]",'A Mini Pile Checking'!C29))&amp;" × 10³ / ("&amp;IF(ISNUMBER('A Mini Pile Checking'!C31),TEXT('A Mini Pile Checking'!C31,"0"),IF('A Mini Pile Checking'!C31="","[待输入]",'A Mini Pile Checking'!C31))&amp;" × 0.8 × √"&amp;IF(ISNUMBER('A Mini Pile Checking'!C32),TEXT('A Mini Pile Checking'!C32,"0"),IF('A Mini Pile Checking'!C32="","[待输入]",'A Mini Pile Checking'!C32))&amp;") = "&amp;IF(ISNUMBER('A Mini Pile Checking'!C38),TEXT('A Mini Pile Checking'!C38,"#,##0.00"),IF('A Mini Pile Checking'!C38="","[待输入]",'A Mini Pile Checking'!C38))&amp;" mm"</f>
        <v>= 待输入 × 10³ / (待输入 × 0.8 × √45) = 待输入 mm</v>
      </c>
      <c r="B154" s="39"/>
      <c r="C154" s="39"/>
      <c r="D154" s="39"/>
      <c r="E154" s="39"/>
      <c r="F154" s="39"/>
      <c r="G154" s="39"/>
      <c r="H154" s="39"/>
    </row>
    <row r="155" spans="1:8" ht="19.95" hidden="1" customHeight="1">
      <c r="A155" s="39" t="str">
        <f>"h = number of floors / 10 = "&amp;IF(ISNUMBER('A Mini Pile Checking'!C9),TEXT('A Mini Pile Checking'!C9,"0"),IF('A Mini Pile Checking'!C9="","[待输入]",'A Mini Pile Checking'!C9))&amp;" / 10 m = "&amp;IF(ISNUMBER('A Mini Pile Checking'!C35),TEXT('A Mini Pile Checking'!C35,"0"),IF('A Mini Pile Checking'!C35="","[待输入]",'A Mini Pile Checking'!C35))&amp;" mm"</f>
        <v>h = number of floors / 10 = [待输入] / 10 m = 待输入 mm</v>
      </c>
      <c r="B155" s="39"/>
      <c r="C155" s="39"/>
      <c r="D155" s="39"/>
      <c r="E155" s="39"/>
      <c r="F155" s="39"/>
      <c r="G155" s="39"/>
      <c r="H155" s="39"/>
    </row>
    <row r="156" spans="1:8" ht="19.95" hidden="1" customHeight="1">
      <c r="A156" s="39" t="str">
        <f>"Cover = "&amp;IF(ISNUMBER('A Mini Pile Checking'!C36),TEXT('A Mini Pile Checking'!C36,"0"),IF('A Mini Pile Checking'!C36="","[待输入]",'A Mini Pile Checking'!C36))&amp;" mm"</f>
        <v>Cover = 75 mm</v>
      </c>
      <c r="B156" s="39"/>
      <c r="C156" s="39"/>
      <c r="D156" s="39"/>
      <c r="E156" s="39"/>
      <c r="F156" s="39"/>
      <c r="G156" s="39"/>
      <c r="H156" s="39"/>
    </row>
    <row r="157" spans="1:8" ht="19.95" hidden="1" customHeight="1">
      <c r="A157" s="39" t="str">
        <f>"d = h - cover = "&amp;IF(ISNUMBER('A Mini Pile Checking'!C35),TEXT('A Mini Pile Checking'!C35,"0"),IF('A Mini Pile Checking'!C35="","[待输入]",'A Mini Pile Checking'!C35))&amp;" - "&amp;IF(ISNUMBER('A Mini Pile Checking'!C36),TEXT('A Mini Pile Checking'!C36,"0"),IF('A Mini Pile Checking'!C36="","[待输入]",'A Mini Pile Checking'!C36))&amp;" = "&amp;IF(ISNUMBER('A Mini Pile Checking'!C37),TEXT('A Mini Pile Checking'!C37,"0"),IF('A Mini Pile Checking'!C37="","[待输入]",'A Mini Pile Checking'!C37))&amp;" mm"</f>
        <v>d = h - cover = 待输入 - 75 = 待输入 mm</v>
      </c>
      <c r="B157" s="39"/>
      <c r="C157" s="39"/>
      <c r="D157" s="39"/>
      <c r="E157" s="39"/>
      <c r="F157" s="39"/>
      <c r="G157" s="39"/>
      <c r="H157" s="39"/>
    </row>
    <row r="158" spans="1:8" ht="19.95" hidden="1" customHeight="1">
      <c r="A158" s="39" t="str">
        <f>"v = "&amp;IF(ISNUMBER('A Mini Pile Checking'!C29),TEXT('A Mini Pile Checking'!C29,"#,##0.00"),IF('A Mini Pile Checking'!C29="","[待输入]",'A Mini Pile Checking'!C29))&amp;" × 10³ / ("&amp;IF(ISNUMBER('A Mini Pile Checking'!C31),TEXT('A Mini Pile Checking'!C31,"0"),IF('A Mini Pile Checking'!C31="","[待输入]",'A Mini Pile Checking'!C31))&amp;" × "&amp;IF(ISNUMBER('A Mini Pile Checking'!C37),TEXT('A Mini Pile Checking'!C37,"0"),IF('A Mini Pile Checking'!C37="","[待输入]",'A Mini Pile Checking'!C37))&amp;") = "&amp;IF(ISNUMBER('A Mini Pile Checking'!C39),TEXT('A Mini Pile Checking'!C39,"0.000"),IF('A Mini Pile Checking'!C39="","[待输入]",'A Mini Pile Checking'!C39))&amp;" N/mm²"</f>
        <v>v = 待输入 × 10³ / (待输入 × 待输入) = 待输入 N/mm²</v>
      </c>
      <c r="B158" s="39"/>
      <c r="C158" s="39"/>
      <c r="D158" s="39"/>
      <c r="E158" s="39"/>
      <c r="F158" s="39"/>
      <c r="G158" s="39"/>
      <c r="H158" s="39"/>
    </row>
    <row r="159" spans="1:8" ht="19.95" hidden="1" customHeight="1">
      <c r="A159" s="39" t="str">
        <f>"v &lt; 0.8√fcu = "&amp;IF(ISNUMBER('A Mini Pile Checking'!C34),TEXT('A Mini Pile Checking'!C34,"0.000"),IF('A Mini Pile Checking'!C34="","[待输入]",'A Mini Pile Checking'!C34))&amp;" N/mm²     ∴ "&amp;IF(ISNUMBER('A Mini Pile Checking'!C40),TEXT('A Mini Pile Checking'!C40,"#,##0.00"),IF('A Mini Pile Checking'!C40="","[待输入]",'A Mini Pile Checking'!C40))</f>
        <v>v &lt; 0.8√fcu = 5.367 N/mm²     ∴ 待输入</v>
      </c>
      <c r="B159" s="39"/>
      <c r="C159" s="39"/>
      <c r="D159" s="39"/>
      <c r="E159" s="39"/>
      <c r="F159" s="39"/>
      <c r="G159" s="39"/>
      <c r="H159" s="39"/>
    </row>
    <row r="160" spans="1:8" ht="24" hidden="1" customHeight="1">
      <c r="A160" s="37" t="s">
        <v>366</v>
      </c>
      <c r="B160" s="37"/>
      <c r="C160" s="37"/>
      <c r="D160" s="37"/>
      <c r="E160" s="37"/>
      <c r="F160" s="37"/>
      <c r="G160" s="37"/>
      <c r="H160" s="37"/>
    </row>
    <row r="161" spans="1:8" ht="31.95" hidden="1" customHeight="1">
      <c r="A161" s="38" t="s">
        <v>367</v>
      </c>
      <c r="B161" s="38"/>
      <c r="C161" s="38"/>
      <c r="D161" s="38"/>
      <c r="E161" s="38"/>
      <c r="F161" s="38"/>
      <c r="G161" s="38"/>
      <c r="H161" s="38"/>
    </row>
    <row r="162" spans="1:8" ht="24" hidden="1" customHeight="1">
      <c r="A162" s="37" t="s">
        <v>2</v>
      </c>
      <c r="B162" s="37"/>
      <c r="C162" s="37"/>
      <c r="D162" s="37"/>
      <c r="E162" s="37" t="s">
        <v>368</v>
      </c>
      <c r="F162" s="37"/>
      <c r="G162" s="37" t="s">
        <v>369</v>
      </c>
      <c r="H162" s="37"/>
    </row>
    <row r="163" spans="1:8" ht="19.95" hidden="1" customHeight="1">
      <c r="A163" s="38" t="s">
        <v>370</v>
      </c>
      <c r="B163" s="38"/>
      <c r="C163" s="38"/>
      <c r="D163" s="38"/>
      <c r="E163" s="38" t="s">
        <v>173</v>
      </c>
      <c r="F163" s="38"/>
      <c r="G163" s="38" t="s">
        <v>172</v>
      </c>
      <c r="H163" s="38"/>
    </row>
    <row r="164" spans="1:8" ht="19.95" hidden="1" customHeight="1">
      <c r="A164" s="38" t="s">
        <v>371</v>
      </c>
      <c r="B164" s="38"/>
      <c r="C164" s="38"/>
      <c r="D164" s="38"/>
      <c r="E164" s="38" t="s">
        <v>372</v>
      </c>
      <c r="F164" s="38"/>
      <c r="G164" s="38" t="s">
        <v>373</v>
      </c>
      <c r="H164" s="38"/>
    </row>
    <row r="165" spans="1:8" ht="19.95" hidden="1" customHeight="1">
      <c r="A165" s="38" t="s">
        <v>374</v>
      </c>
      <c r="B165" s="38"/>
      <c r="C165" s="38"/>
      <c r="D165" s="38"/>
      <c r="E165" s="38" t="s">
        <v>375</v>
      </c>
      <c r="F165" s="38"/>
      <c r="G165" s="38" t="s">
        <v>376</v>
      </c>
      <c r="H165" s="38"/>
    </row>
    <row r="166" spans="1:8" ht="31.95" hidden="1" customHeight="1">
      <c r="A166" s="38" t="s">
        <v>377</v>
      </c>
      <c r="B166" s="38"/>
      <c r="C166" s="38"/>
      <c r="D166" s="38"/>
      <c r="E166" s="38" t="s">
        <v>378</v>
      </c>
      <c r="F166" s="38"/>
      <c r="G166" s="38" t="s">
        <v>379</v>
      </c>
      <c r="H166" s="38"/>
    </row>
    <row r="167" spans="1:8" ht="19.95" hidden="1" customHeight="1">
      <c r="A167" s="38" t="s">
        <v>380</v>
      </c>
      <c r="B167" s="38"/>
      <c r="C167" s="38"/>
      <c r="D167" s="38"/>
      <c r="E167" s="38" t="s">
        <v>381</v>
      </c>
      <c r="F167" s="38"/>
      <c r="G167" s="38" t="s">
        <v>382</v>
      </c>
      <c r="H167" s="38"/>
    </row>
    <row r="168" spans="1:8" ht="19.95" hidden="1" customHeight="1">
      <c r="A168" s="38" t="s">
        <v>383</v>
      </c>
      <c r="B168" s="38"/>
      <c r="C168" s="38"/>
      <c r="D168" s="38"/>
      <c r="E168" s="38" t="s">
        <v>174</v>
      </c>
      <c r="F168" s="38"/>
      <c r="G168" s="38" t="s">
        <v>175</v>
      </c>
      <c r="H168" s="38"/>
    </row>
    <row r="169" spans="1:8" ht="19.95" hidden="1" customHeight="1">
      <c r="A169" s="38" t="s">
        <v>384</v>
      </c>
      <c r="B169" s="38"/>
      <c r="C169" s="38"/>
      <c r="D169" s="38"/>
      <c r="E169" s="38" t="s">
        <v>170</v>
      </c>
      <c r="F169" s="38"/>
      <c r="G169" s="38" t="s">
        <v>385</v>
      </c>
      <c r="H169" s="38"/>
    </row>
    <row r="170" spans="1:8" ht="24" hidden="1" customHeight="1">
      <c r="A170" s="37" t="s">
        <v>2</v>
      </c>
      <c r="B170" s="37"/>
      <c r="C170" s="37"/>
      <c r="D170" s="37"/>
      <c r="E170" s="37" t="s">
        <v>386</v>
      </c>
      <c r="F170" s="37"/>
      <c r="G170" s="37" t="s">
        <v>387</v>
      </c>
      <c r="H170" s="37"/>
    </row>
    <row r="171" spans="1:8" ht="19.95" hidden="1" customHeight="1">
      <c r="A171" s="38" t="s">
        <v>388</v>
      </c>
      <c r="B171" s="38"/>
      <c r="C171" s="38"/>
      <c r="D171" s="38"/>
      <c r="E171" s="38" t="s">
        <v>170</v>
      </c>
      <c r="F171" s="38"/>
      <c r="G171" s="38" t="s">
        <v>171</v>
      </c>
      <c r="H171" s="38"/>
    </row>
    <row r="172" spans="1:8" ht="19.95" hidden="1" customHeight="1">
      <c r="A172" s="38" t="s">
        <v>389</v>
      </c>
      <c r="B172" s="38"/>
      <c r="C172" s="38"/>
      <c r="D172" s="38"/>
      <c r="E172" s="38" t="s">
        <v>170</v>
      </c>
      <c r="F172" s="38"/>
      <c r="G172" s="38" t="s">
        <v>171</v>
      </c>
      <c r="H172" s="38"/>
    </row>
    <row r="173" spans="1:8" ht="19.95" hidden="1" customHeight="1">
      <c r="A173" s="38" t="s">
        <v>390</v>
      </c>
      <c r="B173" s="38"/>
      <c r="C173" s="38"/>
      <c r="D173" s="38"/>
      <c r="E173" s="38" t="s">
        <v>170</v>
      </c>
      <c r="F173" s="38"/>
      <c r="G173" s="38" t="s">
        <v>171</v>
      </c>
      <c r="H173" s="38"/>
    </row>
    <row r="174" spans="1:8" ht="19.95" hidden="1" customHeight="1">
      <c r="A174" s="38" t="s">
        <v>391</v>
      </c>
      <c r="B174" s="38"/>
      <c r="C174" s="38"/>
      <c r="D174" s="38"/>
      <c r="E174" s="38" t="s">
        <v>172</v>
      </c>
      <c r="F174" s="38"/>
      <c r="G174" s="38" t="s">
        <v>173</v>
      </c>
      <c r="H174" s="38"/>
    </row>
    <row r="175" spans="1:8" ht="19.95" hidden="1" customHeight="1">
      <c r="A175" s="38" t="s">
        <v>392</v>
      </c>
      <c r="B175" s="38"/>
      <c r="C175" s="38"/>
      <c r="D175" s="38"/>
      <c r="E175" s="38" t="s">
        <v>174</v>
      </c>
      <c r="F175" s="38"/>
      <c r="G175" s="38" t="s">
        <v>175</v>
      </c>
      <c r="H175" s="38"/>
    </row>
    <row r="176" spans="1:8" ht="19.95" customHeight="1">
      <c r="A176" s="33"/>
      <c r="B176" s="33"/>
      <c r="C176" s="33"/>
      <c r="D176" s="33"/>
      <c r="E176" s="33"/>
      <c r="F176" s="33"/>
      <c r="G176" s="33"/>
      <c r="H176" s="33"/>
    </row>
    <row r="177" spans="1:8" ht="19.95" customHeight="1">
      <c r="A177" s="33"/>
      <c r="B177" s="33"/>
      <c r="C177" s="33"/>
      <c r="D177" s="33"/>
      <c r="E177" s="33"/>
      <c r="F177" s="33"/>
      <c r="G177" s="33"/>
      <c r="H177" s="33"/>
    </row>
    <row r="178" spans="1:8" ht="19.95" customHeight="1">
      <c r="A178" s="33"/>
      <c r="B178" s="33"/>
      <c r="C178" s="33"/>
      <c r="D178" s="33"/>
      <c r="E178" s="33"/>
      <c r="F178" s="33"/>
      <c r="G178" s="33"/>
      <c r="H178" s="33"/>
    </row>
    <row r="179" spans="1:8" ht="19.95" customHeight="1">
      <c r="A179" s="33"/>
      <c r="B179" s="33"/>
      <c r="C179" s="33"/>
      <c r="D179" s="33"/>
      <c r="E179" s="33"/>
      <c r="F179" s="33"/>
      <c r="G179" s="33"/>
      <c r="H179" s="33"/>
    </row>
    <row r="180" spans="1:8" ht="19.95" customHeight="1">
      <c r="A180" s="33"/>
      <c r="B180" s="33"/>
      <c r="C180" s="33"/>
      <c r="D180" s="33"/>
      <c r="E180" s="33"/>
      <c r="F180" s="33"/>
      <c r="G180" s="33"/>
      <c r="H180" s="33"/>
    </row>
    <row r="181" spans="1:8" ht="19.95" customHeight="1">
      <c r="A181" s="33"/>
      <c r="B181" s="33"/>
      <c r="C181" s="33"/>
      <c r="D181" s="33"/>
      <c r="E181" s="33"/>
      <c r="F181" s="33"/>
      <c r="G181" s="33"/>
      <c r="H181" s="33"/>
    </row>
    <row r="182" spans="1:8" ht="19.95" customHeight="1">
      <c r="A182" s="33"/>
      <c r="B182" s="33"/>
      <c r="C182" s="33"/>
      <c r="D182" s="33"/>
      <c r="E182" s="33"/>
      <c r="F182" s="33"/>
      <c r="G182" s="33"/>
      <c r="H182" s="33"/>
    </row>
    <row r="183" spans="1:8" ht="19.95" customHeight="1">
      <c r="A183" s="33"/>
      <c r="B183" s="33"/>
      <c r="C183" s="33"/>
      <c r="D183" s="33"/>
      <c r="E183" s="33"/>
      <c r="F183" s="33"/>
      <c r="G183" s="33"/>
      <c r="H183" s="33"/>
    </row>
    <row r="184" spans="1:8" ht="19.95" customHeight="1">
      <c r="A184" s="33"/>
      <c r="B184" s="33"/>
      <c r="C184" s="33"/>
      <c r="D184" s="33"/>
      <c r="E184" s="33"/>
      <c r="F184" s="33"/>
      <c r="G184" s="33"/>
      <c r="H184" s="33"/>
    </row>
    <row r="185" spans="1:8" ht="19.95" customHeight="1">
      <c r="A185" s="33"/>
      <c r="B185" s="33"/>
      <c r="C185" s="33"/>
      <c r="D185" s="33"/>
      <c r="E185" s="33"/>
      <c r="F185" s="33"/>
      <c r="G185" s="33"/>
      <c r="H185" s="33"/>
    </row>
    <row r="186" spans="1:8" ht="19.95" customHeight="1">
      <c r="A186" s="33"/>
      <c r="B186" s="33"/>
      <c r="C186" s="33"/>
      <c r="D186" s="33"/>
      <c r="E186" s="33"/>
      <c r="F186" s="33"/>
      <c r="G186" s="33"/>
      <c r="H186" s="33"/>
    </row>
    <row r="187" spans="1:8" ht="19.95" customHeight="1">
      <c r="A187" s="33"/>
      <c r="B187" s="33"/>
      <c r="C187" s="33"/>
      <c r="D187" s="33"/>
      <c r="E187" s="33"/>
      <c r="F187" s="33"/>
      <c r="G187" s="33"/>
      <c r="H187" s="33"/>
    </row>
    <row r="188" spans="1:8" ht="19.95" customHeight="1">
      <c r="A188" s="33"/>
      <c r="B188" s="33"/>
      <c r="C188" s="33"/>
      <c r="D188" s="33"/>
      <c r="E188" s="33"/>
      <c r="F188" s="33"/>
      <c r="G188" s="33"/>
      <c r="H188" s="33"/>
    </row>
    <row r="189" spans="1:8" ht="19.95" customHeight="1">
      <c r="A189" s="33"/>
      <c r="B189" s="33"/>
      <c r="C189" s="33"/>
      <c r="D189" s="33"/>
      <c r="E189" s="33"/>
      <c r="F189" s="33"/>
      <c r="G189" s="33"/>
      <c r="H189" s="33"/>
    </row>
    <row r="190" spans="1:8" ht="19.95" customHeight="1">
      <c r="A190" s="33"/>
      <c r="B190" s="33"/>
      <c r="C190" s="33"/>
      <c r="D190" s="33"/>
      <c r="E190" s="33"/>
      <c r="F190" s="33"/>
      <c r="G190" s="33"/>
      <c r="H190" s="33"/>
    </row>
    <row r="191" spans="1:8" ht="19.95" customHeight="1">
      <c r="A191" s="33"/>
      <c r="B191" s="33"/>
      <c r="C191" s="33"/>
      <c r="D191" s="33"/>
      <c r="E191" s="33"/>
      <c r="F191" s="33"/>
      <c r="G191" s="33"/>
      <c r="H191" s="33"/>
    </row>
    <row r="192" spans="1:8" ht="19.95" customHeight="1">
      <c r="A192" s="33"/>
      <c r="B192" s="33"/>
      <c r="C192" s="33"/>
      <c r="D192" s="33"/>
      <c r="E192" s="33"/>
      <c r="F192" s="33"/>
      <c r="G192" s="33"/>
      <c r="H192" s="33"/>
    </row>
    <row r="193" spans="1:8" ht="19.95" customHeight="1">
      <c r="A193" s="33"/>
      <c r="B193" s="33"/>
      <c r="C193" s="33"/>
      <c r="D193" s="33"/>
      <c r="E193" s="33"/>
      <c r="F193" s="33"/>
      <c r="G193" s="33"/>
      <c r="H193" s="33"/>
    </row>
    <row r="194" spans="1:8" ht="19.95" customHeight="1">
      <c r="A194" s="33"/>
      <c r="B194" s="33"/>
      <c r="C194" s="33"/>
      <c r="D194" s="33"/>
      <c r="E194" s="33"/>
      <c r="F194" s="33"/>
      <c r="G194" s="33"/>
      <c r="H194" s="33"/>
    </row>
    <row r="195" spans="1:8" ht="19.95" customHeight="1">
      <c r="A195" s="33"/>
      <c r="B195" s="33"/>
      <c r="C195" s="33"/>
      <c r="D195" s="33"/>
      <c r="E195" s="33"/>
      <c r="F195" s="33"/>
      <c r="G195" s="33"/>
      <c r="H195" s="33"/>
    </row>
    <row r="196" spans="1:8" ht="19.95" customHeight="1">
      <c r="A196" s="33"/>
      <c r="B196" s="33"/>
      <c r="C196" s="33"/>
      <c r="D196" s="33"/>
      <c r="E196" s="33"/>
      <c r="F196" s="33"/>
      <c r="G196" s="33"/>
      <c r="H196" s="33"/>
    </row>
    <row r="197" spans="1:8" ht="19.95" customHeight="1">
      <c r="A197" s="33"/>
      <c r="B197" s="33"/>
      <c r="C197" s="33"/>
      <c r="D197" s="33"/>
      <c r="E197" s="33"/>
      <c r="F197" s="33"/>
      <c r="G197" s="33"/>
      <c r="H197" s="33"/>
    </row>
    <row r="198" spans="1:8" ht="19.95" customHeight="1">
      <c r="A198" s="33"/>
      <c r="B198" s="33"/>
      <c r="C198" s="33"/>
      <c r="D198" s="33"/>
      <c r="E198" s="33"/>
      <c r="F198" s="33"/>
      <c r="G198" s="33"/>
      <c r="H198" s="33"/>
    </row>
    <row r="199" spans="1:8" ht="19.95" customHeight="1">
      <c r="A199" s="33"/>
      <c r="B199" s="33"/>
      <c r="C199" s="33"/>
      <c r="D199" s="33"/>
      <c r="E199" s="33"/>
      <c r="F199" s="33"/>
      <c r="G199" s="33"/>
      <c r="H199" s="33"/>
    </row>
    <row r="200" spans="1:8" ht="19.95" customHeight="1">
      <c r="A200" s="33"/>
      <c r="B200" s="33"/>
      <c r="C200" s="33"/>
      <c r="D200" s="33"/>
      <c r="E200" s="33"/>
      <c r="F200" s="33"/>
      <c r="G200" s="33"/>
      <c r="H200" s="33"/>
    </row>
    <row r="201" spans="1:8" ht="19.95" customHeight="1">
      <c r="A201" s="33"/>
      <c r="B201" s="33"/>
      <c r="C201" s="33"/>
      <c r="D201" s="33"/>
      <c r="E201" s="33"/>
      <c r="F201" s="33"/>
      <c r="G201" s="33"/>
      <c r="H201" s="33"/>
    </row>
    <row r="202" spans="1:8" ht="19.95" customHeight="1">
      <c r="A202" s="33"/>
      <c r="B202" s="33"/>
      <c r="C202" s="33"/>
      <c r="D202" s="33"/>
      <c r="E202" s="33"/>
      <c r="F202" s="33"/>
      <c r="G202" s="33"/>
      <c r="H202" s="33"/>
    </row>
    <row r="203" spans="1:8" ht="19.95" customHeight="1">
      <c r="A203" s="33"/>
      <c r="B203" s="33"/>
      <c r="C203" s="33"/>
      <c r="D203" s="33"/>
      <c r="E203" s="33"/>
      <c r="F203" s="33"/>
      <c r="G203" s="33"/>
      <c r="H203" s="33"/>
    </row>
    <row r="204" spans="1:8" ht="19.95" customHeight="1">
      <c r="A204" s="33"/>
      <c r="B204" s="33"/>
      <c r="C204" s="33"/>
      <c r="D204" s="33"/>
      <c r="E204" s="33"/>
      <c r="F204" s="33"/>
      <c r="G204" s="33"/>
      <c r="H204" s="33"/>
    </row>
    <row r="205" spans="1:8" ht="19.95" customHeight="1">
      <c r="A205" s="33"/>
      <c r="B205" s="33"/>
      <c r="C205" s="33"/>
      <c r="D205" s="33"/>
      <c r="E205" s="33"/>
      <c r="F205" s="33"/>
      <c r="G205" s="33"/>
      <c r="H205" s="33"/>
    </row>
    <row r="206" spans="1:8" ht="19.95" customHeight="1">
      <c r="A206" s="33"/>
      <c r="B206" s="33"/>
      <c r="C206" s="33"/>
      <c r="D206" s="33"/>
      <c r="E206" s="33"/>
      <c r="F206" s="33"/>
      <c r="G206" s="33"/>
      <c r="H206" s="33"/>
    </row>
    <row r="207" spans="1:8" ht="19.95" customHeight="1">
      <c r="A207" s="33"/>
      <c r="B207" s="33"/>
      <c r="C207" s="33"/>
      <c r="D207" s="33"/>
      <c r="E207" s="33"/>
      <c r="F207" s="33"/>
      <c r="G207" s="33"/>
      <c r="H207" s="33"/>
    </row>
    <row r="208" spans="1:8" ht="19.95" customHeight="1">
      <c r="A208" s="33"/>
      <c r="B208" s="33"/>
      <c r="C208" s="33"/>
      <c r="D208" s="33"/>
      <c r="E208" s="33"/>
      <c r="F208" s="33"/>
      <c r="G208" s="33"/>
      <c r="H208" s="33"/>
    </row>
    <row r="209" spans="1:8" ht="19.95" customHeight="1">
      <c r="A209" s="33"/>
      <c r="B209" s="33"/>
      <c r="C209" s="33"/>
      <c r="D209" s="33"/>
      <c r="E209" s="33"/>
      <c r="F209" s="33"/>
      <c r="G209" s="33"/>
      <c r="H209" s="33"/>
    </row>
    <row r="210" spans="1:8" ht="19.95" customHeight="1">
      <c r="A210" s="33"/>
      <c r="B210" s="33"/>
      <c r="C210" s="33"/>
      <c r="D210" s="33"/>
      <c r="E210" s="33"/>
      <c r="F210" s="33"/>
      <c r="G210" s="33"/>
      <c r="H210" s="33"/>
    </row>
    <row r="211" spans="1:8" ht="19.95" customHeight="1">
      <c r="A211" s="33"/>
      <c r="B211" s="33"/>
      <c r="C211" s="33"/>
      <c r="D211" s="33"/>
      <c r="E211" s="33"/>
      <c r="F211" s="33"/>
      <c r="G211" s="33"/>
      <c r="H211" s="33"/>
    </row>
    <row r="212" spans="1:8" ht="19.95" customHeight="1">
      <c r="A212" s="33"/>
      <c r="B212" s="33"/>
      <c r="C212" s="33"/>
      <c r="D212" s="33"/>
      <c r="E212" s="33"/>
      <c r="F212" s="33"/>
      <c r="G212" s="33"/>
      <c r="H212" s="33"/>
    </row>
    <row r="213" spans="1:8" ht="19.95" customHeight="1">
      <c r="A213" s="33"/>
      <c r="B213" s="33"/>
      <c r="C213" s="33"/>
      <c r="D213" s="33"/>
      <c r="E213" s="33"/>
      <c r="F213" s="33"/>
      <c r="G213" s="33"/>
      <c r="H213" s="33"/>
    </row>
    <row r="214" spans="1:8" ht="19.95" customHeight="1">
      <c r="A214" s="33"/>
      <c r="B214" s="33"/>
      <c r="C214" s="33"/>
      <c r="D214" s="33"/>
      <c r="E214" s="33"/>
      <c r="F214" s="33"/>
      <c r="G214" s="33"/>
      <c r="H214" s="33"/>
    </row>
    <row r="215" spans="1:8" ht="19.95" customHeight="1">
      <c r="A215" s="33"/>
      <c r="B215" s="33"/>
      <c r="C215" s="33"/>
      <c r="D215" s="33"/>
      <c r="E215" s="33"/>
      <c r="F215" s="33"/>
      <c r="G215" s="33"/>
      <c r="H215" s="33"/>
    </row>
    <row r="216" spans="1:8" ht="19.95" customHeight="1">
      <c r="A216" s="33"/>
      <c r="B216" s="33"/>
      <c r="C216" s="33"/>
      <c r="D216" s="33"/>
      <c r="E216" s="33"/>
      <c r="F216" s="33"/>
      <c r="G216" s="33"/>
      <c r="H216" s="33"/>
    </row>
    <row r="217" spans="1:8" ht="19.95" customHeight="1">
      <c r="A217" s="33"/>
      <c r="B217" s="33"/>
      <c r="C217" s="33"/>
      <c r="D217" s="33"/>
      <c r="E217" s="33"/>
      <c r="F217" s="33"/>
      <c r="G217" s="33"/>
      <c r="H217" s="33"/>
    </row>
    <row r="218" spans="1:8" ht="19.95" customHeight="1">
      <c r="A218" s="33"/>
      <c r="B218" s="33"/>
      <c r="C218" s="33"/>
      <c r="D218" s="33"/>
      <c r="E218" s="33"/>
      <c r="F218" s="33"/>
      <c r="G218" s="33"/>
      <c r="H218" s="33"/>
    </row>
    <row r="219" spans="1:8" ht="19.95" customHeight="1">
      <c r="A219" s="33"/>
      <c r="B219" s="33"/>
      <c r="C219" s="33"/>
      <c r="D219" s="33"/>
      <c r="E219" s="33"/>
      <c r="F219" s="33"/>
      <c r="G219" s="33"/>
      <c r="H219" s="33"/>
    </row>
    <row r="220" spans="1:8" ht="19.95" customHeight="1">
      <c r="A220" s="33"/>
      <c r="B220" s="33"/>
      <c r="C220" s="33"/>
      <c r="D220" s="33"/>
      <c r="E220" s="33"/>
      <c r="F220" s="33"/>
      <c r="G220" s="33"/>
      <c r="H220" s="33"/>
    </row>
    <row r="221" spans="1:8" ht="19.95" customHeight="1">
      <c r="A221" s="33"/>
      <c r="B221" s="33"/>
      <c r="C221" s="33"/>
      <c r="D221" s="33"/>
      <c r="E221" s="33"/>
      <c r="F221" s="33"/>
      <c r="G221" s="33"/>
      <c r="H221" s="33"/>
    </row>
    <row r="222" spans="1:8" ht="19.95" customHeight="1">
      <c r="A222" s="33"/>
      <c r="B222" s="33"/>
      <c r="C222" s="33"/>
      <c r="D222" s="33"/>
      <c r="E222" s="33"/>
      <c r="F222" s="33"/>
      <c r="G222" s="33"/>
      <c r="H222" s="33"/>
    </row>
    <row r="223" spans="1:8" ht="19.95" customHeight="1">
      <c r="A223" s="33"/>
      <c r="B223" s="33"/>
      <c r="C223" s="33"/>
      <c r="D223" s="33"/>
      <c r="E223" s="33"/>
      <c r="F223" s="33"/>
      <c r="G223" s="33"/>
      <c r="H223" s="33"/>
    </row>
    <row r="224" spans="1:8" ht="19.95" customHeight="1">
      <c r="A224" s="33"/>
      <c r="B224" s="33"/>
      <c r="C224" s="33"/>
      <c r="D224" s="33"/>
      <c r="E224" s="33"/>
      <c r="F224" s="33"/>
      <c r="G224" s="33"/>
      <c r="H224" s="33"/>
    </row>
    <row r="225" spans="1:8" ht="19.95" customHeight="1">
      <c r="A225" s="33"/>
      <c r="B225" s="33"/>
      <c r="C225" s="33"/>
      <c r="D225" s="33"/>
      <c r="E225" s="33"/>
      <c r="F225" s="33"/>
      <c r="G225" s="33"/>
      <c r="H225" s="33"/>
    </row>
    <row r="226" spans="1:8" ht="19.95" customHeight="1">
      <c r="A226" s="33"/>
      <c r="B226" s="33"/>
      <c r="C226" s="33"/>
      <c r="D226" s="33"/>
      <c r="E226" s="33"/>
      <c r="F226" s="33"/>
      <c r="G226" s="33"/>
      <c r="H226" s="33"/>
    </row>
    <row r="227" spans="1:8" ht="19.95" customHeight="1">
      <c r="A227" s="33"/>
      <c r="B227" s="33"/>
      <c r="C227" s="33"/>
      <c r="D227" s="33"/>
      <c r="E227" s="33"/>
      <c r="F227" s="33"/>
      <c r="G227" s="33"/>
      <c r="H227" s="33"/>
    </row>
    <row r="228" spans="1:8" ht="19.95" customHeight="1">
      <c r="A228" s="33"/>
      <c r="B228" s="33"/>
      <c r="C228" s="33"/>
      <c r="D228" s="33"/>
      <c r="E228" s="33"/>
      <c r="F228" s="33"/>
      <c r="G228" s="33"/>
      <c r="H228" s="33"/>
    </row>
    <row r="229" spans="1:8" ht="19.95" customHeight="1">
      <c r="A229" s="33"/>
      <c r="B229" s="33"/>
      <c r="C229" s="33"/>
      <c r="D229" s="33"/>
      <c r="E229" s="33"/>
      <c r="F229" s="33"/>
      <c r="G229" s="33"/>
      <c r="H229" s="33"/>
    </row>
    <row r="230" spans="1:8" ht="19.95" customHeight="1">
      <c r="A230" s="33"/>
      <c r="B230" s="33"/>
      <c r="C230" s="33"/>
      <c r="D230" s="33"/>
      <c r="E230" s="33"/>
      <c r="F230" s="33"/>
      <c r="G230" s="33"/>
      <c r="H230" s="33"/>
    </row>
    <row r="231" spans="1:8" ht="19.95" customHeight="1">
      <c r="A231" s="33"/>
      <c r="B231" s="33"/>
      <c r="C231" s="33"/>
      <c r="D231" s="33"/>
      <c r="E231" s="33"/>
      <c r="F231" s="33"/>
      <c r="G231" s="33"/>
      <c r="H231" s="33"/>
    </row>
    <row r="232" spans="1:8" ht="19.95" customHeight="1">
      <c r="A232" s="33"/>
      <c r="B232" s="33"/>
      <c r="C232" s="33"/>
      <c r="D232" s="33"/>
      <c r="E232" s="33"/>
      <c r="F232" s="33"/>
      <c r="G232" s="33"/>
      <c r="H232" s="33"/>
    </row>
    <row r="233" spans="1:8" ht="19.95" customHeight="1">
      <c r="A233" s="33"/>
      <c r="B233" s="33"/>
      <c r="C233" s="33"/>
      <c r="D233" s="33"/>
      <c r="E233" s="33"/>
      <c r="F233" s="33"/>
      <c r="G233" s="33"/>
      <c r="H233" s="33"/>
    </row>
    <row r="234" spans="1:8" ht="19.95" customHeight="1">
      <c r="A234" s="33"/>
      <c r="B234" s="33"/>
      <c r="C234" s="33"/>
      <c r="D234" s="33"/>
      <c r="E234" s="33"/>
      <c r="F234" s="33"/>
      <c r="G234" s="33"/>
      <c r="H234" s="33"/>
    </row>
    <row r="235" spans="1:8" ht="19.95" customHeight="1">
      <c r="A235" s="33"/>
      <c r="B235" s="33"/>
      <c r="C235" s="33"/>
      <c r="D235" s="33"/>
      <c r="E235" s="33"/>
      <c r="F235" s="33"/>
      <c r="G235" s="33"/>
      <c r="H235" s="33"/>
    </row>
    <row r="236" spans="1:8" ht="19.95" customHeight="1">
      <c r="A236" s="33"/>
      <c r="B236" s="33"/>
      <c r="C236" s="33"/>
      <c r="D236" s="33"/>
      <c r="E236" s="33"/>
      <c r="F236" s="33"/>
      <c r="G236" s="33"/>
      <c r="H236" s="33"/>
    </row>
    <row r="237" spans="1:8" ht="19.95" customHeight="1">
      <c r="A237" s="33"/>
      <c r="B237" s="33"/>
      <c r="C237" s="33"/>
      <c r="D237" s="33"/>
      <c r="E237" s="33"/>
      <c r="F237" s="33"/>
      <c r="G237" s="33"/>
      <c r="H237" s="33"/>
    </row>
    <row r="238" spans="1:8" ht="19.95" customHeight="1">
      <c r="A238" s="33"/>
      <c r="B238" s="33"/>
      <c r="C238" s="33"/>
      <c r="D238" s="33"/>
      <c r="E238" s="33"/>
      <c r="F238" s="33"/>
      <c r="G238" s="33"/>
      <c r="H238" s="33"/>
    </row>
    <row r="239" spans="1:8" ht="19.95" customHeight="1">
      <c r="A239" s="33"/>
      <c r="B239" s="33"/>
      <c r="C239" s="33"/>
      <c r="D239" s="33"/>
      <c r="E239" s="33"/>
      <c r="F239" s="33"/>
      <c r="G239" s="33"/>
      <c r="H239" s="33"/>
    </row>
    <row r="240" spans="1:8" ht="19.95" customHeight="1">
      <c r="A240" s="33"/>
      <c r="B240" s="33"/>
      <c r="C240" s="33"/>
      <c r="D240" s="33"/>
      <c r="E240" s="33"/>
      <c r="F240" s="33"/>
      <c r="G240" s="33"/>
      <c r="H240" s="33"/>
    </row>
    <row r="241" spans="1:8" ht="19.95" customHeight="1">
      <c r="A241" s="33"/>
      <c r="B241" s="33"/>
      <c r="C241" s="33"/>
      <c r="D241" s="33"/>
      <c r="E241" s="33"/>
      <c r="F241" s="33"/>
      <c r="G241" s="33"/>
      <c r="H241" s="33"/>
    </row>
    <row r="242" spans="1:8" ht="19.95" customHeight="1">
      <c r="A242" s="33"/>
      <c r="B242" s="33"/>
      <c r="C242" s="33"/>
      <c r="D242" s="33"/>
      <c r="E242" s="33"/>
      <c r="F242" s="33"/>
      <c r="G242" s="33"/>
      <c r="H242" s="33"/>
    </row>
    <row r="243" spans="1:8" ht="19.95" customHeight="1">
      <c r="A243" s="33"/>
      <c r="B243" s="33"/>
      <c r="C243" s="33"/>
      <c r="D243" s="33"/>
      <c r="E243" s="33"/>
      <c r="F243" s="33"/>
      <c r="G243" s="33"/>
      <c r="H243" s="33"/>
    </row>
    <row r="244" spans="1:8" ht="19.95" customHeight="1">
      <c r="A244" s="33"/>
      <c r="B244" s="33"/>
      <c r="C244" s="33"/>
      <c r="D244" s="33"/>
      <c r="E244" s="33"/>
      <c r="F244" s="33"/>
      <c r="G244" s="33"/>
      <c r="H244" s="33"/>
    </row>
    <row r="245" spans="1:8" ht="19.95" customHeight="1">
      <c r="A245" s="33"/>
      <c r="B245" s="33"/>
      <c r="C245" s="33"/>
      <c r="D245" s="33"/>
      <c r="E245" s="33"/>
      <c r="F245" s="33"/>
      <c r="G245" s="33"/>
      <c r="H245" s="33"/>
    </row>
    <row r="246" spans="1:8" ht="19.95" customHeight="1">
      <c r="A246" s="33"/>
      <c r="B246" s="33"/>
      <c r="C246" s="33"/>
      <c r="D246" s="33"/>
      <c r="E246" s="33"/>
      <c r="F246" s="33"/>
      <c r="G246" s="33"/>
      <c r="H246" s="33"/>
    </row>
    <row r="247" spans="1:8" ht="19.95" customHeight="1">
      <c r="A247" s="33"/>
      <c r="B247" s="33"/>
      <c r="C247" s="33"/>
      <c r="D247" s="33"/>
      <c r="E247" s="33"/>
      <c r="F247" s="33"/>
      <c r="G247" s="33"/>
      <c r="H247" s="33"/>
    </row>
    <row r="248" spans="1:8" ht="19.95" customHeight="1">
      <c r="A248" s="33"/>
      <c r="B248" s="33"/>
      <c r="C248" s="33"/>
      <c r="D248" s="33"/>
      <c r="E248" s="33"/>
      <c r="F248" s="33"/>
      <c r="G248" s="33"/>
      <c r="H248" s="33"/>
    </row>
    <row r="249" spans="1:8" ht="19.95" customHeight="1">
      <c r="A249" s="33"/>
      <c r="B249" s="33"/>
      <c r="C249" s="33"/>
      <c r="D249" s="33"/>
      <c r="E249" s="33"/>
      <c r="F249" s="33"/>
      <c r="G249" s="33"/>
      <c r="H249" s="33"/>
    </row>
    <row r="250" spans="1:8" ht="19.95" customHeight="1">
      <c r="A250" s="33"/>
      <c r="B250" s="33"/>
      <c r="C250" s="33"/>
      <c r="D250" s="33"/>
      <c r="E250" s="33"/>
      <c r="F250" s="33"/>
      <c r="G250" s="33"/>
      <c r="H250" s="33"/>
    </row>
    <row r="251" spans="1:8" ht="19.95" customHeight="1">
      <c r="A251" s="33"/>
      <c r="B251" s="33"/>
      <c r="C251" s="33"/>
      <c r="D251" s="33"/>
      <c r="E251" s="33"/>
      <c r="F251" s="33"/>
      <c r="G251" s="33"/>
      <c r="H251" s="33"/>
    </row>
    <row r="252" spans="1:8" ht="19.95" customHeight="1">
      <c r="A252" s="33"/>
      <c r="B252" s="33"/>
      <c r="C252" s="33"/>
      <c r="D252" s="33"/>
      <c r="E252" s="33"/>
      <c r="F252" s="33"/>
      <c r="G252" s="33"/>
      <c r="H252" s="33"/>
    </row>
    <row r="253" spans="1:8" ht="19.95" customHeight="1">
      <c r="A253" s="33"/>
      <c r="B253" s="33"/>
      <c r="C253" s="33"/>
      <c r="D253" s="33"/>
      <c r="E253" s="33"/>
      <c r="F253" s="33"/>
      <c r="G253" s="33"/>
      <c r="H253" s="33"/>
    </row>
    <row r="254" spans="1:8" ht="19.95" customHeight="1">
      <c r="A254" s="33"/>
      <c r="B254" s="33"/>
      <c r="C254" s="33"/>
      <c r="D254" s="33"/>
      <c r="E254" s="33"/>
      <c r="F254" s="33"/>
      <c r="G254" s="33"/>
      <c r="H254" s="33"/>
    </row>
    <row r="255" spans="1:8" ht="19.95" customHeight="1">
      <c r="A255" s="33"/>
      <c r="B255" s="33"/>
      <c r="C255" s="33"/>
      <c r="D255" s="33"/>
      <c r="E255" s="33"/>
      <c r="F255" s="33"/>
      <c r="G255" s="33"/>
      <c r="H255" s="33"/>
    </row>
    <row r="256" spans="1:8" ht="19.95" customHeight="1">
      <c r="A256" s="33"/>
      <c r="B256" s="33"/>
      <c r="C256" s="33"/>
      <c r="D256" s="33"/>
      <c r="E256" s="33"/>
      <c r="F256" s="33"/>
      <c r="G256" s="33"/>
      <c r="H256" s="33"/>
    </row>
    <row r="257" spans="1:8" ht="19.95" customHeight="1">
      <c r="A257" s="33"/>
      <c r="B257" s="33"/>
      <c r="C257" s="33"/>
      <c r="D257" s="33"/>
      <c r="E257" s="33"/>
      <c r="F257" s="33"/>
      <c r="G257" s="33"/>
      <c r="H257" s="33"/>
    </row>
    <row r="258" spans="1:8" ht="19.95" customHeight="1">
      <c r="A258" s="33"/>
      <c r="B258" s="33"/>
      <c r="C258" s="33"/>
      <c r="D258" s="33"/>
      <c r="E258" s="33"/>
      <c r="F258" s="33"/>
      <c r="G258" s="33"/>
      <c r="H258" s="33"/>
    </row>
    <row r="259" spans="1:8" ht="19.95" customHeight="1">
      <c r="A259" s="33"/>
      <c r="B259" s="33"/>
      <c r="C259" s="33"/>
      <c r="D259" s="33"/>
      <c r="E259" s="33"/>
      <c r="F259" s="33"/>
      <c r="G259" s="33"/>
      <c r="H259" s="33"/>
    </row>
    <row r="260" spans="1:8" ht="19.95" customHeight="1">
      <c r="A260" s="33"/>
      <c r="B260" s="33"/>
      <c r="C260" s="33"/>
      <c r="D260" s="33"/>
      <c r="E260" s="33"/>
      <c r="F260" s="33"/>
      <c r="G260" s="33"/>
      <c r="H260" s="33"/>
    </row>
    <row r="261" spans="1:8" ht="19.95" customHeight="1">
      <c r="A261" s="33"/>
      <c r="B261" s="33"/>
      <c r="C261" s="33"/>
      <c r="D261" s="33"/>
      <c r="E261" s="33"/>
      <c r="F261" s="33"/>
      <c r="G261" s="33"/>
      <c r="H261" s="33"/>
    </row>
    <row r="262" spans="1:8" ht="19.95" customHeight="1">
      <c r="A262" s="33"/>
      <c r="B262" s="33"/>
      <c r="C262" s="33"/>
      <c r="D262" s="33"/>
      <c r="E262" s="33"/>
      <c r="F262" s="33"/>
      <c r="G262" s="33"/>
      <c r="H262" s="33"/>
    </row>
    <row r="263" spans="1:8" ht="19.95" customHeight="1">
      <c r="A263" s="33"/>
      <c r="B263" s="33"/>
      <c r="C263" s="33"/>
      <c r="D263" s="33"/>
      <c r="E263" s="33"/>
      <c r="F263" s="33"/>
      <c r="G263" s="33"/>
      <c r="H263" s="33"/>
    </row>
    <row r="264" spans="1:8" ht="19.95" customHeight="1">
      <c r="A264" s="33"/>
      <c r="B264" s="33"/>
      <c r="C264" s="33"/>
      <c r="D264" s="33"/>
      <c r="E264" s="33"/>
      <c r="F264" s="33"/>
      <c r="G264" s="33"/>
      <c r="H264" s="33"/>
    </row>
    <row r="265" spans="1:8" ht="19.95" customHeight="1">
      <c r="A265" s="33"/>
      <c r="B265" s="33"/>
      <c r="C265" s="33"/>
      <c r="D265" s="33"/>
      <c r="E265" s="33"/>
      <c r="F265" s="33"/>
      <c r="G265" s="33"/>
      <c r="H265" s="33"/>
    </row>
    <row r="266" spans="1:8" ht="19.95" customHeight="1">
      <c r="A266" s="33"/>
      <c r="B266" s="33"/>
      <c r="C266" s="33"/>
      <c r="D266" s="33"/>
      <c r="E266" s="33"/>
      <c r="F266" s="33"/>
      <c r="G266" s="33"/>
      <c r="H266" s="33"/>
    </row>
    <row r="267" spans="1:8" ht="19.95" customHeight="1">
      <c r="A267" s="33"/>
      <c r="B267" s="33"/>
      <c r="C267" s="33"/>
      <c r="D267" s="33"/>
      <c r="E267" s="33"/>
      <c r="F267" s="33"/>
      <c r="G267" s="33"/>
      <c r="H267" s="33"/>
    </row>
    <row r="268" spans="1:8" ht="19.95" customHeight="1">
      <c r="A268" s="33"/>
      <c r="B268" s="33"/>
      <c r="C268" s="33"/>
      <c r="D268" s="33"/>
      <c r="E268" s="33"/>
      <c r="F268" s="33"/>
      <c r="G268" s="33"/>
      <c r="H268" s="33"/>
    </row>
    <row r="269" spans="1:8" ht="19.95" customHeight="1">
      <c r="A269" s="33"/>
      <c r="B269" s="33"/>
      <c r="C269" s="33"/>
      <c r="D269" s="33"/>
      <c r="E269" s="33"/>
      <c r="F269" s="33"/>
      <c r="G269" s="33"/>
      <c r="H269" s="33"/>
    </row>
    <row r="270" spans="1:8" ht="19.95" customHeight="1">
      <c r="A270" s="33"/>
      <c r="B270" s="33"/>
      <c r="C270" s="33"/>
      <c r="D270" s="33"/>
      <c r="E270" s="33"/>
      <c r="F270" s="33"/>
      <c r="G270" s="33"/>
      <c r="H270" s="33"/>
    </row>
    <row r="271" spans="1:8" ht="19.95" customHeight="1">
      <c r="A271" s="33"/>
      <c r="B271" s="33"/>
      <c r="C271" s="33"/>
      <c r="D271" s="33"/>
      <c r="E271" s="33"/>
      <c r="F271" s="33"/>
      <c r="G271" s="33"/>
      <c r="H271" s="33"/>
    </row>
    <row r="272" spans="1:8" ht="19.95" customHeight="1">
      <c r="A272" s="33"/>
      <c r="B272" s="33"/>
      <c r="C272" s="33"/>
      <c r="D272" s="33"/>
      <c r="E272" s="33"/>
      <c r="F272" s="33"/>
      <c r="G272" s="33"/>
      <c r="H272" s="33"/>
    </row>
    <row r="273" spans="1:8" ht="19.95" customHeight="1">
      <c r="A273" s="33"/>
      <c r="B273" s="33"/>
      <c r="C273" s="33"/>
      <c r="D273" s="33"/>
      <c r="E273" s="33"/>
      <c r="F273" s="33"/>
      <c r="G273" s="33"/>
      <c r="H273" s="33"/>
    </row>
    <row r="274" spans="1:8" ht="19.95" customHeight="1">
      <c r="A274" s="33"/>
      <c r="B274" s="33"/>
      <c r="C274" s="33"/>
      <c r="D274" s="33"/>
      <c r="E274" s="33"/>
      <c r="F274" s="33"/>
      <c r="G274" s="33"/>
      <c r="H274" s="33"/>
    </row>
    <row r="275" spans="1:8" ht="19.95" customHeight="1">
      <c r="A275" s="33"/>
      <c r="B275" s="33"/>
      <c r="C275" s="33"/>
      <c r="D275" s="33"/>
      <c r="E275" s="33"/>
      <c r="F275" s="33"/>
      <c r="G275" s="33"/>
      <c r="H275" s="33"/>
    </row>
    <row r="276" spans="1:8" ht="19.95" customHeight="1">
      <c r="A276" s="33"/>
      <c r="B276" s="33"/>
      <c r="C276" s="33"/>
      <c r="D276" s="33"/>
      <c r="E276" s="33"/>
      <c r="F276" s="33"/>
      <c r="G276" s="33"/>
      <c r="H276" s="33"/>
    </row>
    <row r="277" spans="1:8" ht="19.95" customHeight="1">
      <c r="A277" s="33"/>
      <c r="B277" s="33"/>
      <c r="C277" s="33"/>
      <c r="D277" s="33"/>
      <c r="E277" s="33"/>
      <c r="F277" s="33"/>
      <c r="G277" s="33"/>
      <c r="H277" s="33"/>
    </row>
    <row r="278" spans="1:8" ht="19.95" customHeight="1">
      <c r="A278" s="33"/>
      <c r="B278" s="33"/>
      <c r="C278" s="33"/>
      <c r="D278" s="33"/>
      <c r="E278" s="33"/>
      <c r="F278" s="33"/>
      <c r="G278" s="33"/>
      <c r="H278" s="33"/>
    </row>
    <row r="279" spans="1:8" ht="19.95" customHeight="1">
      <c r="A279" s="33"/>
      <c r="B279" s="33"/>
      <c r="C279" s="33"/>
      <c r="D279" s="33"/>
      <c r="E279" s="33"/>
      <c r="F279" s="33"/>
      <c r="G279" s="33"/>
      <c r="H279" s="33"/>
    </row>
    <row r="280" spans="1:8" ht="19.95" customHeight="1">
      <c r="A280" s="33"/>
      <c r="B280" s="33"/>
      <c r="C280" s="33"/>
      <c r="D280" s="33"/>
      <c r="E280" s="33"/>
      <c r="F280" s="33"/>
      <c r="G280" s="33"/>
      <c r="H280" s="33"/>
    </row>
    <row r="281" spans="1:8" ht="19.95" customHeight="1">
      <c r="A281" s="33"/>
      <c r="B281" s="33"/>
      <c r="C281" s="33"/>
      <c r="D281" s="33"/>
      <c r="E281" s="33"/>
      <c r="F281" s="33"/>
      <c r="G281" s="33"/>
      <c r="H281" s="33"/>
    </row>
    <row r="282" spans="1:8" ht="19.95" customHeight="1">
      <c r="A282" s="33"/>
      <c r="B282" s="33"/>
      <c r="C282" s="33"/>
      <c r="D282" s="33"/>
      <c r="E282" s="33"/>
      <c r="F282" s="33"/>
      <c r="G282" s="33"/>
      <c r="H282" s="33"/>
    </row>
    <row r="283" spans="1:8" ht="19.95" customHeight="1">
      <c r="A283" s="33"/>
      <c r="B283" s="33"/>
      <c r="C283" s="33"/>
      <c r="D283" s="33"/>
      <c r="E283" s="33"/>
      <c r="F283" s="33"/>
      <c r="G283" s="33"/>
      <c r="H283" s="33"/>
    </row>
    <row r="284" spans="1:8" ht="19.95" customHeight="1">
      <c r="A284" s="33"/>
      <c r="B284" s="33"/>
      <c r="C284" s="33"/>
      <c r="D284" s="33"/>
      <c r="E284" s="33"/>
      <c r="F284" s="33"/>
      <c r="G284" s="33"/>
      <c r="H284" s="33"/>
    </row>
    <row r="285" spans="1:8" ht="19.95" customHeight="1">
      <c r="A285" s="33"/>
      <c r="B285" s="33"/>
      <c r="C285" s="33"/>
      <c r="D285" s="33"/>
      <c r="E285" s="33"/>
      <c r="F285" s="33"/>
      <c r="G285" s="33"/>
      <c r="H285" s="33"/>
    </row>
    <row r="286" spans="1:8" ht="19.95" customHeight="1">
      <c r="A286" s="33"/>
      <c r="B286" s="33"/>
      <c r="C286" s="33"/>
      <c r="D286" s="33"/>
      <c r="E286" s="33"/>
      <c r="F286" s="33"/>
      <c r="G286" s="33"/>
      <c r="H286" s="33"/>
    </row>
    <row r="287" spans="1:8" ht="19.95" customHeight="1">
      <c r="A287" s="33"/>
      <c r="B287" s="33"/>
      <c r="C287" s="33"/>
      <c r="D287" s="33"/>
      <c r="E287" s="33"/>
      <c r="F287" s="33"/>
      <c r="G287" s="33"/>
      <c r="H287" s="33"/>
    </row>
    <row r="288" spans="1:8" ht="19.95" customHeight="1">
      <c r="A288" s="33"/>
      <c r="B288" s="33"/>
      <c r="C288" s="33"/>
      <c r="D288" s="33"/>
      <c r="E288" s="33"/>
      <c r="F288" s="33"/>
      <c r="G288" s="33"/>
      <c r="H288" s="33"/>
    </row>
    <row r="289" spans="1:8" ht="19.95" customHeight="1">
      <c r="A289" s="33"/>
      <c r="B289" s="33"/>
      <c r="C289" s="33"/>
      <c r="D289" s="33"/>
      <c r="E289" s="33"/>
      <c r="F289" s="33"/>
      <c r="G289" s="33"/>
      <c r="H289" s="33"/>
    </row>
    <row r="290" spans="1:8" ht="19.95" customHeight="1">
      <c r="A290" s="33"/>
      <c r="B290" s="33"/>
      <c r="C290" s="33"/>
      <c r="D290" s="33"/>
      <c r="E290" s="33"/>
      <c r="F290" s="33"/>
      <c r="G290" s="33"/>
      <c r="H290" s="33"/>
    </row>
    <row r="291" spans="1:8" ht="19.95" customHeight="1">
      <c r="A291" s="33"/>
      <c r="B291" s="33"/>
      <c r="C291" s="33"/>
      <c r="D291" s="33"/>
      <c r="E291" s="33"/>
      <c r="F291" s="33"/>
      <c r="G291" s="33"/>
      <c r="H291" s="33"/>
    </row>
    <row r="292" spans="1:8" ht="19.95" customHeight="1">
      <c r="A292" s="33"/>
      <c r="B292" s="33"/>
      <c r="C292" s="33"/>
      <c r="D292" s="33"/>
      <c r="E292" s="33"/>
      <c r="F292" s="33"/>
      <c r="G292" s="33"/>
      <c r="H292" s="33"/>
    </row>
    <row r="293" spans="1:8" ht="19.95" customHeight="1">
      <c r="A293" s="33"/>
      <c r="B293" s="33"/>
      <c r="C293" s="33"/>
      <c r="D293" s="33"/>
      <c r="E293" s="33"/>
      <c r="F293" s="33"/>
      <c r="G293" s="33"/>
      <c r="H293" s="33"/>
    </row>
    <row r="294" spans="1:8" ht="19.95" customHeight="1">
      <c r="A294" s="33"/>
      <c r="B294" s="33"/>
      <c r="C294" s="33"/>
      <c r="D294" s="33"/>
      <c r="E294" s="33"/>
      <c r="F294" s="33"/>
      <c r="G294" s="33"/>
      <c r="H294" s="33"/>
    </row>
    <row r="295" spans="1:8" ht="19.95" customHeight="1">
      <c r="A295" s="33"/>
      <c r="B295" s="33"/>
      <c r="C295" s="33"/>
      <c r="D295" s="33"/>
      <c r="E295" s="33"/>
      <c r="F295" s="33"/>
      <c r="G295" s="33"/>
      <c r="H295" s="33"/>
    </row>
    <row r="296" spans="1:8" ht="19.95" customHeight="1">
      <c r="A296" s="33"/>
      <c r="B296" s="33"/>
      <c r="C296" s="33"/>
      <c r="D296" s="33"/>
      <c r="E296" s="33"/>
      <c r="F296" s="33"/>
      <c r="G296" s="33"/>
      <c r="H296" s="33"/>
    </row>
    <row r="297" spans="1:8" ht="19.95" customHeight="1">
      <c r="A297" s="33"/>
      <c r="B297" s="33"/>
      <c r="C297" s="33"/>
      <c r="D297" s="33"/>
      <c r="E297" s="33"/>
      <c r="F297" s="33"/>
      <c r="G297" s="33"/>
      <c r="H297" s="33"/>
    </row>
    <row r="298" spans="1:8" ht="19.95" customHeight="1">
      <c r="A298" s="33"/>
      <c r="B298" s="33"/>
      <c r="C298" s="33"/>
      <c r="D298" s="33"/>
      <c r="E298" s="33"/>
      <c r="F298" s="33"/>
      <c r="G298" s="33"/>
      <c r="H298" s="33"/>
    </row>
    <row r="299" spans="1:8" ht="19.95" customHeight="1">
      <c r="A299" s="33"/>
      <c r="B299" s="33"/>
      <c r="C299" s="33"/>
      <c r="D299" s="33"/>
      <c r="E299" s="33"/>
      <c r="F299" s="33"/>
      <c r="G299" s="33"/>
      <c r="H299" s="33"/>
    </row>
    <row r="300" spans="1:8" ht="19.95" customHeight="1">
      <c r="A300" s="33"/>
      <c r="B300" s="33"/>
      <c r="C300" s="33"/>
      <c r="D300" s="33"/>
      <c r="E300" s="33"/>
      <c r="F300" s="33"/>
      <c r="G300" s="33"/>
      <c r="H300" s="33"/>
    </row>
    <row r="301" spans="1:8" ht="19.95" customHeight="1">
      <c r="A301" s="33"/>
      <c r="B301" s="33"/>
      <c r="C301" s="33"/>
      <c r="D301" s="33"/>
      <c r="E301" s="33"/>
      <c r="F301" s="33"/>
      <c r="G301" s="33"/>
      <c r="H301" s="33"/>
    </row>
    <row r="302" spans="1:8" ht="19.95" customHeight="1">
      <c r="A302" s="33"/>
      <c r="B302" s="33"/>
      <c r="C302" s="33"/>
      <c r="D302" s="33"/>
      <c r="E302" s="33"/>
      <c r="F302" s="33"/>
      <c r="G302" s="33"/>
      <c r="H302" s="33"/>
    </row>
    <row r="303" spans="1:8" ht="19.95" customHeight="1">
      <c r="A303" s="33"/>
      <c r="B303" s="33"/>
      <c r="C303" s="33"/>
      <c r="D303" s="33"/>
      <c r="E303" s="33"/>
      <c r="F303" s="33"/>
      <c r="G303" s="33"/>
      <c r="H303" s="33"/>
    </row>
    <row r="304" spans="1:8" ht="19.95" customHeight="1">
      <c r="A304" s="33"/>
      <c r="B304" s="33"/>
      <c r="C304" s="33"/>
      <c r="D304" s="33"/>
      <c r="E304" s="33"/>
      <c r="F304" s="33"/>
      <c r="G304" s="33"/>
      <c r="H304" s="33"/>
    </row>
    <row r="305" spans="1:8" ht="19.95" customHeight="1">
      <c r="A305" s="33"/>
      <c r="B305" s="33"/>
      <c r="C305" s="33"/>
      <c r="D305" s="33"/>
      <c r="E305" s="33"/>
      <c r="F305" s="33"/>
      <c r="G305" s="33"/>
      <c r="H305" s="33"/>
    </row>
    <row r="306" spans="1:8" ht="19.95" customHeight="1">
      <c r="A306" s="33"/>
      <c r="B306" s="33"/>
      <c r="C306" s="33"/>
      <c r="D306" s="33"/>
      <c r="E306" s="33"/>
      <c r="F306" s="33"/>
      <c r="G306" s="33"/>
      <c r="H306" s="33"/>
    </row>
    <row r="307" spans="1:8" ht="19.95" customHeight="1">
      <c r="A307" s="33"/>
      <c r="B307" s="33"/>
      <c r="C307" s="33"/>
      <c r="D307" s="33"/>
      <c r="E307" s="33"/>
      <c r="F307" s="33"/>
      <c r="G307" s="33"/>
      <c r="H307" s="33"/>
    </row>
    <row r="308" spans="1:8" ht="19.95" customHeight="1">
      <c r="A308" s="33"/>
      <c r="B308" s="33"/>
      <c r="C308" s="33"/>
      <c r="D308" s="33"/>
      <c r="E308" s="33"/>
      <c r="F308" s="33"/>
      <c r="G308" s="33"/>
      <c r="H308" s="33"/>
    </row>
    <row r="309" spans="1:8" ht="19.95" customHeight="1">
      <c r="A309" s="33"/>
      <c r="B309" s="33"/>
      <c r="C309" s="33"/>
      <c r="D309" s="33"/>
      <c r="E309" s="33"/>
      <c r="F309" s="33"/>
      <c r="G309" s="33"/>
      <c r="H309" s="33"/>
    </row>
    <row r="310" spans="1:8" ht="19.95" customHeight="1">
      <c r="A310" s="33"/>
      <c r="B310" s="33"/>
      <c r="C310" s="33"/>
      <c r="D310" s="33"/>
      <c r="E310" s="33"/>
      <c r="F310" s="33"/>
      <c r="G310" s="33"/>
      <c r="H310" s="33"/>
    </row>
    <row r="311" spans="1:8" ht="19.95" customHeight="1">
      <c r="A311" s="33"/>
      <c r="B311" s="33"/>
      <c r="C311" s="33"/>
      <c r="D311" s="33"/>
      <c r="E311" s="33"/>
      <c r="F311" s="33"/>
      <c r="G311" s="33"/>
      <c r="H311" s="33"/>
    </row>
    <row r="312" spans="1:8" ht="19.95" customHeight="1">
      <c r="A312" s="33"/>
      <c r="B312" s="33"/>
      <c r="C312" s="33"/>
      <c r="D312" s="33"/>
      <c r="E312" s="33"/>
      <c r="F312" s="33"/>
      <c r="G312" s="33"/>
      <c r="H312" s="33"/>
    </row>
    <row r="313" spans="1:8" ht="19.95" customHeight="1">
      <c r="A313" s="33"/>
      <c r="B313" s="33"/>
      <c r="C313" s="33"/>
      <c r="D313" s="33"/>
      <c r="E313" s="33"/>
      <c r="F313" s="33"/>
      <c r="G313" s="33"/>
      <c r="H313" s="33"/>
    </row>
    <row r="314" spans="1:8" ht="19.95" customHeight="1">
      <c r="A314" s="33"/>
      <c r="B314" s="33"/>
      <c r="C314" s="33"/>
      <c r="D314" s="33"/>
      <c r="E314" s="33"/>
      <c r="F314" s="33"/>
      <c r="G314" s="33"/>
      <c r="H314" s="33"/>
    </row>
    <row r="315" spans="1:8" ht="19.95" customHeight="1">
      <c r="A315" s="33"/>
      <c r="B315" s="33"/>
      <c r="C315" s="33"/>
      <c r="D315" s="33"/>
      <c r="E315" s="33"/>
      <c r="F315" s="33"/>
      <c r="G315" s="33"/>
      <c r="H315" s="33"/>
    </row>
    <row r="316" spans="1:8" ht="19.95" customHeight="1">
      <c r="A316" s="33"/>
      <c r="B316" s="33"/>
      <c r="C316" s="33"/>
      <c r="D316" s="33"/>
      <c r="E316" s="33"/>
      <c r="F316" s="33"/>
      <c r="G316" s="33"/>
      <c r="H316" s="33"/>
    </row>
    <row r="317" spans="1:8" ht="19.95" customHeight="1">
      <c r="A317" s="33"/>
      <c r="B317" s="33"/>
      <c r="C317" s="33"/>
      <c r="D317" s="33"/>
      <c r="E317" s="33"/>
      <c r="F317" s="33"/>
      <c r="G317" s="33"/>
      <c r="H317" s="33"/>
    </row>
    <row r="318" spans="1:8" ht="19.95" customHeight="1">
      <c r="A318" s="33"/>
      <c r="B318" s="33"/>
      <c r="C318" s="33"/>
      <c r="D318" s="33"/>
      <c r="E318" s="33"/>
      <c r="F318" s="33"/>
      <c r="G318" s="33"/>
      <c r="H318" s="33"/>
    </row>
    <row r="319" spans="1:8" ht="19.95" customHeight="1">
      <c r="A319" s="33"/>
      <c r="B319" s="33"/>
      <c r="C319" s="33"/>
      <c r="D319" s="33"/>
      <c r="E319" s="33"/>
      <c r="F319" s="33"/>
      <c r="G319" s="33"/>
      <c r="H319" s="33"/>
    </row>
    <row r="320" spans="1:8" ht="19.95" customHeight="1">
      <c r="A320" s="33"/>
      <c r="B320" s="33"/>
      <c r="C320" s="33"/>
      <c r="D320" s="33"/>
      <c r="E320" s="33"/>
      <c r="F320" s="33"/>
      <c r="G320" s="33"/>
      <c r="H320" s="33"/>
    </row>
    <row r="321" spans="1:8" ht="19.95" customHeight="1">
      <c r="A321" s="33"/>
      <c r="B321" s="33"/>
      <c r="C321" s="33"/>
      <c r="D321" s="33"/>
      <c r="E321" s="33"/>
      <c r="F321" s="33"/>
      <c r="G321" s="33"/>
      <c r="H321" s="33"/>
    </row>
    <row r="322" spans="1:8" ht="19.95" customHeight="1">
      <c r="A322" s="33"/>
      <c r="B322" s="33"/>
      <c r="C322" s="33"/>
      <c r="D322" s="33"/>
      <c r="E322" s="33"/>
      <c r="F322" s="33"/>
      <c r="G322" s="33"/>
      <c r="H322" s="33"/>
    </row>
    <row r="323" spans="1:8" ht="19.95" customHeight="1">
      <c r="A323" s="33"/>
      <c r="B323" s="33"/>
      <c r="C323" s="33"/>
      <c r="D323" s="33"/>
      <c r="E323" s="33"/>
      <c r="F323" s="33"/>
      <c r="G323" s="33"/>
      <c r="H323" s="33"/>
    </row>
    <row r="324" spans="1:8" ht="19.95" customHeight="1">
      <c r="A324" s="33"/>
      <c r="B324" s="33"/>
      <c r="C324" s="33"/>
      <c r="D324" s="33"/>
      <c r="E324" s="33"/>
      <c r="F324" s="33"/>
      <c r="G324" s="33"/>
      <c r="H324" s="33"/>
    </row>
    <row r="325" spans="1:8" ht="19.95" customHeight="1">
      <c r="A325" s="33"/>
      <c r="B325" s="33"/>
      <c r="C325" s="33"/>
      <c r="D325" s="33"/>
      <c r="E325" s="33"/>
      <c r="F325" s="33"/>
      <c r="G325" s="33"/>
      <c r="H325" s="33"/>
    </row>
    <row r="326" spans="1:8" ht="19.95" customHeight="1">
      <c r="A326" s="33"/>
      <c r="B326" s="33"/>
      <c r="C326" s="33"/>
      <c r="D326" s="33"/>
      <c r="E326" s="33"/>
      <c r="F326" s="33"/>
      <c r="G326" s="33"/>
      <c r="H326" s="33"/>
    </row>
    <row r="327" spans="1:8" ht="19.95" customHeight="1">
      <c r="A327" s="33"/>
      <c r="B327" s="33"/>
      <c r="C327" s="33"/>
      <c r="D327" s="33"/>
      <c r="E327" s="33"/>
      <c r="F327" s="33"/>
      <c r="G327" s="33"/>
      <c r="H327" s="33"/>
    </row>
    <row r="328" spans="1:8" ht="19.95" customHeight="1">
      <c r="A328" s="33"/>
      <c r="B328" s="33"/>
      <c r="C328" s="33"/>
      <c r="D328" s="33"/>
      <c r="E328" s="33"/>
      <c r="F328" s="33"/>
      <c r="G328" s="33"/>
      <c r="H328" s="33"/>
    </row>
    <row r="329" spans="1:8" ht="19.95" customHeight="1">
      <c r="A329" s="33"/>
      <c r="B329" s="33"/>
      <c r="C329" s="33"/>
      <c r="D329" s="33"/>
      <c r="E329" s="33"/>
      <c r="F329" s="33"/>
      <c r="G329" s="33"/>
      <c r="H329" s="33"/>
    </row>
    <row r="330" spans="1:8" ht="19.95" customHeight="1">
      <c r="A330" s="33"/>
      <c r="B330" s="33"/>
      <c r="C330" s="33"/>
      <c r="D330" s="33"/>
      <c r="E330" s="33"/>
      <c r="F330" s="33"/>
      <c r="G330" s="33"/>
      <c r="H330" s="33"/>
    </row>
    <row r="331" spans="1:8" ht="19.95" customHeight="1">
      <c r="A331" s="33"/>
      <c r="B331" s="33"/>
      <c r="C331" s="33"/>
      <c r="D331" s="33"/>
      <c r="E331" s="33"/>
      <c r="F331" s="33"/>
      <c r="G331" s="33"/>
      <c r="H331" s="33"/>
    </row>
    <row r="332" spans="1:8" ht="19.95" customHeight="1">
      <c r="A332" s="33"/>
      <c r="B332" s="33"/>
      <c r="C332" s="33"/>
      <c r="D332" s="33"/>
      <c r="E332" s="33"/>
      <c r="F332" s="33"/>
      <c r="G332" s="33"/>
      <c r="H332" s="33"/>
    </row>
    <row r="333" spans="1:8" ht="19.95" customHeight="1">
      <c r="A333" s="33"/>
      <c r="B333" s="33"/>
      <c r="C333" s="33"/>
      <c r="D333" s="33"/>
      <c r="E333" s="33"/>
      <c r="F333" s="33"/>
      <c r="G333" s="33"/>
      <c r="H333" s="33"/>
    </row>
    <row r="334" spans="1:8" ht="19.95" customHeight="1">
      <c r="A334" s="33"/>
      <c r="B334" s="33"/>
      <c r="C334" s="33"/>
      <c r="D334" s="33"/>
      <c r="E334" s="33"/>
      <c r="F334" s="33"/>
      <c r="G334" s="33"/>
      <c r="H334" s="33"/>
    </row>
    <row r="335" spans="1:8" ht="19.95" customHeight="1">
      <c r="A335" s="33"/>
      <c r="B335" s="33"/>
      <c r="C335" s="33"/>
      <c r="D335" s="33"/>
      <c r="E335" s="33"/>
      <c r="F335" s="33"/>
      <c r="G335" s="33"/>
      <c r="H335" s="33"/>
    </row>
    <row r="336" spans="1:8" ht="19.95" customHeight="1">
      <c r="A336" s="33"/>
      <c r="B336" s="33"/>
      <c r="C336" s="33"/>
      <c r="D336" s="33"/>
      <c r="E336" s="33"/>
      <c r="F336" s="33"/>
      <c r="G336" s="33"/>
      <c r="H336" s="33"/>
    </row>
    <row r="337" spans="1:8" ht="19.95" customHeight="1">
      <c r="A337" s="33"/>
      <c r="B337" s="33"/>
      <c r="C337" s="33"/>
      <c r="D337" s="33"/>
      <c r="E337" s="33"/>
      <c r="F337" s="33"/>
      <c r="G337" s="33"/>
      <c r="H337" s="33"/>
    </row>
    <row r="338" spans="1:8" ht="19.95" customHeight="1">
      <c r="A338" s="33"/>
      <c r="B338" s="33"/>
      <c r="C338" s="33"/>
      <c r="D338" s="33"/>
      <c r="E338" s="33"/>
      <c r="F338" s="33"/>
      <c r="G338" s="33"/>
      <c r="H338" s="33"/>
    </row>
    <row r="339" spans="1:8" ht="19.95" customHeight="1">
      <c r="A339" s="33"/>
      <c r="B339" s="33"/>
      <c r="C339" s="33"/>
      <c r="D339" s="33"/>
      <c r="E339" s="33"/>
      <c r="F339" s="33"/>
      <c r="G339" s="33"/>
      <c r="H339" s="33"/>
    </row>
    <row r="340" spans="1:8" ht="19.95" customHeight="1">
      <c r="A340" s="33"/>
      <c r="B340" s="33"/>
      <c r="C340" s="33"/>
      <c r="D340" s="33"/>
      <c r="E340" s="33"/>
      <c r="F340" s="33"/>
      <c r="G340" s="33"/>
      <c r="H340" s="33"/>
    </row>
    <row r="341" spans="1:8" ht="19.95" customHeight="1">
      <c r="A341" s="33"/>
      <c r="B341" s="33"/>
      <c r="C341" s="33"/>
      <c r="D341" s="33"/>
      <c r="E341" s="33"/>
      <c r="F341" s="33"/>
      <c r="G341" s="33"/>
      <c r="H341" s="33"/>
    </row>
    <row r="342" spans="1:8" ht="19.95" customHeight="1">
      <c r="A342" s="33"/>
      <c r="B342" s="33"/>
      <c r="C342" s="33"/>
      <c r="D342" s="33"/>
      <c r="E342" s="33"/>
      <c r="F342" s="33"/>
      <c r="G342" s="33"/>
      <c r="H342" s="33"/>
    </row>
    <row r="343" spans="1:8" ht="19.95" customHeight="1">
      <c r="A343" s="33"/>
      <c r="B343" s="33"/>
      <c r="C343" s="33"/>
      <c r="D343" s="33"/>
      <c r="E343" s="33"/>
      <c r="F343" s="33"/>
      <c r="G343" s="33"/>
      <c r="H343" s="33"/>
    </row>
    <row r="344" spans="1:8" ht="19.95" customHeight="1">
      <c r="A344" s="33"/>
      <c r="B344" s="33"/>
      <c r="C344" s="33"/>
      <c r="D344" s="33"/>
      <c r="E344" s="33"/>
      <c r="F344" s="33"/>
      <c r="G344" s="33"/>
      <c r="H344" s="33"/>
    </row>
    <row r="345" spans="1:8" ht="19.95" customHeight="1">
      <c r="A345" s="33"/>
      <c r="B345" s="33"/>
      <c r="C345" s="33"/>
      <c r="D345" s="33"/>
      <c r="E345" s="33"/>
      <c r="F345" s="33"/>
      <c r="G345" s="33"/>
      <c r="H345" s="33"/>
    </row>
    <row r="346" spans="1:8" ht="19.95" customHeight="1">
      <c r="A346" s="33"/>
      <c r="B346" s="33"/>
      <c r="C346" s="33"/>
      <c r="D346" s="33"/>
      <c r="E346" s="33"/>
      <c r="F346" s="33"/>
      <c r="G346" s="33"/>
      <c r="H346" s="33"/>
    </row>
    <row r="347" spans="1:8" ht="19.95" customHeight="1">
      <c r="A347" s="33"/>
      <c r="B347" s="33"/>
      <c r="C347" s="33"/>
      <c r="D347" s="33"/>
      <c r="E347" s="33"/>
      <c r="F347" s="33"/>
      <c r="G347" s="33"/>
      <c r="H347" s="33"/>
    </row>
    <row r="348" spans="1:8" ht="19.95" customHeight="1">
      <c r="A348" s="33"/>
      <c r="B348" s="33"/>
      <c r="C348" s="33"/>
      <c r="D348" s="33"/>
      <c r="E348" s="33"/>
      <c r="F348" s="33"/>
      <c r="G348" s="33"/>
      <c r="H348" s="33"/>
    </row>
    <row r="349" spans="1:8" ht="19.95" customHeight="1">
      <c r="A349" s="33"/>
      <c r="B349" s="33"/>
      <c r="C349" s="33"/>
      <c r="D349" s="33"/>
      <c r="E349" s="33"/>
      <c r="F349" s="33"/>
      <c r="G349" s="33"/>
      <c r="H349" s="33"/>
    </row>
    <row r="350" spans="1:8" ht="19.95" customHeight="1">
      <c r="A350" s="33"/>
      <c r="B350" s="33"/>
      <c r="C350" s="33"/>
      <c r="D350" s="33"/>
      <c r="E350" s="33"/>
      <c r="F350" s="33"/>
      <c r="G350" s="33"/>
      <c r="H350" s="33"/>
    </row>
    <row r="351" spans="1:8" ht="19.95" customHeight="1">
      <c r="A351" s="33"/>
      <c r="B351" s="33"/>
      <c r="C351" s="33"/>
      <c r="D351" s="33"/>
      <c r="E351" s="33"/>
      <c r="F351" s="33"/>
      <c r="G351" s="33"/>
      <c r="H351" s="33"/>
    </row>
    <row r="352" spans="1:8" ht="19.95" customHeight="1">
      <c r="A352" s="33"/>
      <c r="B352" s="33"/>
      <c r="C352" s="33"/>
      <c r="D352" s="33"/>
      <c r="E352" s="33"/>
      <c r="F352" s="33"/>
      <c r="G352" s="33"/>
      <c r="H352" s="33"/>
    </row>
    <row r="353" spans="1:8" ht="19.95" customHeight="1">
      <c r="A353" s="33"/>
      <c r="B353" s="33"/>
      <c r="C353" s="33"/>
      <c r="D353" s="33"/>
      <c r="E353" s="33"/>
      <c r="F353" s="33"/>
      <c r="G353" s="33"/>
      <c r="H353" s="33"/>
    </row>
    <row r="354" spans="1:8" ht="19.95" customHeight="1">
      <c r="A354" s="33"/>
      <c r="B354" s="33"/>
      <c r="C354" s="33"/>
      <c r="D354" s="33"/>
      <c r="E354" s="33"/>
      <c r="F354" s="33"/>
      <c r="G354" s="33"/>
      <c r="H354" s="33"/>
    </row>
    <row r="355" spans="1:8" ht="19.95" customHeight="1">
      <c r="A355" s="33"/>
      <c r="B355" s="33"/>
      <c r="C355" s="33"/>
      <c r="D355" s="33"/>
      <c r="E355" s="33"/>
      <c r="F355" s="33"/>
      <c r="G355" s="33"/>
      <c r="H355" s="33"/>
    </row>
    <row r="356" spans="1:8" ht="19.95" customHeight="1">
      <c r="A356" s="33"/>
      <c r="B356" s="33"/>
      <c r="C356" s="33"/>
      <c r="D356" s="33"/>
      <c r="E356" s="33"/>
      <c r="F356" s="33"/>
      <c r="G356" s="33"/>
      <c r="H356" s="33"/>
    </row>
    <row r="357" spans="1:8" ht="19.95" customHeight="1">
      <c r="A357" s="33"/>
      <c r="B357" s="33"/>
      <c r="C357" s="33"/>
      <c r="D357" s="33"/>
      <c r="E357" s="33"/>
      <c r="F357" s="33"/>
      <c r="G357" s="33"/>
      <c r="H357" s="33"/>
    </row>
    <row r="358" spans="1:8" ht="19.95" customHeight="1">
      <c r="A358" s="33"/>
      <c r="B358" s="33"/>
      <c r="C358" s="33"/>
      <c r="D358" s="33"/>
      <c r="E358" s="33"/>
      <c r="F358" s="33"/>
      <c r="G358" s="33"/>
      <c r="H358" s="33"/>
    </row>
    <row r="359" spans="1:8" ht="19.95" customHeight="1">
      <c r="A359" s="33"/>
      <c r="B359" s="33"/>
      <c r="C359" s="33"/>
      <c r="D359" s="33"/>
      <c r="E359" s="33"/>
      <c r="F359" s="33"/>
      <c r="G359" s="33"/>
      <c r="H359" s="33"/>
    </row>
    <row r="360" spans="1:8" ht="19.95" customHeight="1">
      <c r="A360" s="33"/>
      <c r="B360" s="33"/>
      <c r="C360" s="33"/>
      <c r="D360" s="33"/>
      <c r="E360" s="33"/>
      <c r="F360" s="33"/>
      <c r="G360" s="33"/>
      <c r="H360" s="33"/>
    </row>
    <row r="361" spans="1:8" ht="19.95" customHeight="1">
      <c r="A361" s="33"/>
      <c r="B361" s="33"/>
      <c r="C361" s="33"/>
      <c r="D361" s="33"/>
      <c r="E361" s="33"/>
      <c r="F361" s="33"/>
      <c r="G361" s="33"/>
      <c r="H361" s="33"/>
    </row>
    <row r="362" spans="1:8" ht="19.95" customHeight="1">
      <c r="A362" s="33"/>
      <c r="B362" s="33"/>
      <c r="C362" s="33"/>
      <c r="D362" s="33"/>
      <c r="E362" s="33"/>
      <c r="F362" s="33"/>
      <c r="G362" s="33"/>
      <c r="H362" s="33"/>
    </row>
    <row r="363" spans="1:8" ht="19.95" customHeight="1">
      <c r="A363" s="33"/>
      <c r="B363" s="33"/>
      <c r="C363" s="33"/>
      <c r="D363" s="33"/>
      <c r="E363" s="33"/>
      <c r="F363" s="33"/>
      <c r="G363" s="33"/>
      <c r="H363" s="33"/>
    </row>
    <row r="364" spans="1:8" ht="19.95" customHeight="1">
      <c r="A364" s="33"/>
      <c r="B364" s="33"/>
      <c r="C364" s="33"/>
      <c r="D364" s="33"/>
      <c r="E364" s="33"/>
      <c r="F364" s="33"/>
      <c r="G364" s="33"/>
      <c r="H364" s="33"/>
    </row>
    <row r="365" spans="1:8" ht="19.95" customHeight="1">
      <c r="A365" s="33"/>
      <c r="B365" s="33"/>
      <c r="C365" s="33"/>
      <c r="D365" s="33"/>
      <c r="E365" s="33"/>
      <c r="F365" s="33"/>
      <c r="G365" s="33"/>
      <c r="H365" s="33"/>
    </row>
    <row r="366" spans="1:8" ht="19.95" customHeight="1">
      <c r="A366" s="33"/>
      <c r="B366" s="33"/>
      <c r="C366" s="33"/>
      <c r="D366" s="33"/>
      <c r="E366" s="33"/>
      <c r="F366" s="33"/>
      <c r="G366" s="33"/>
      <c r="H366" s="33"/>
    </row>
    <row r="367" spans="1:8" ht="19.95" customHeight="1">
      <c r="A367" s="33"/>
      <c r="B367" s="33"/>
      <c r="C367" s="33"/>
      <c r="D367" s="33"/>
      <c r="E367" s="33"/>
      <c r="F367" s="33"/>
      <c r="G367" s="33"/>
      <c r="H367" s="33"/>
    </row>
    <row r="368" spans="1:8" ht="19.95" customHeight="1">
      <c r="A368" s="33"/>
      <c r="B368" s="33"/>
      <c r="C368" s="33"/>
      <c r="D368" s="33"/>
      <c r="E368" s="33"/>
      <c r="F368" s="33"/>
      <c r="G368" s="33"/>
      <c r="H368" s="33"/>
    </row>
    <row r="369" spans="1:8" ht="19.95" customHeight="1">
      <c r="A369" s="33"/>
      <c r="B369" s="33"/>
      <c r="C369" s="33"/>
      <c r="D369" s="33"/>
      <c r="E369" s="33"/>
      <c r="F369" s="33"/>
      <c r="G369" s="33"/>
      <c r="H369" s="33"/>
    </row>
    <row r="370" spans="1:8" ht="19.95" customHeight="1">
      <c r="A370" s="33"/>
      <c r="B370" s="33"/>
      <c r="C370" s="33"/>
      <c r="D370" s="33"/>
      <c r="E370" s="33"/>
      <c r="F370" s="33"/>
      <c r="G370" s="33"/>
      <c r="H370" s="33"/>
    </row>
    <row r="371" spans="1:8" ht="19.95" customHeight="1">
      <c r="A371" s="33"/>
      <c r="B371" s="33"/>
      <c r="C371" s="33"/>
      <c r="D371" s="33"/>
      <c r="E371" s="33"/>
      <c r="F371" s="33"/>
      <c r="G371" s="33"/>
      <c r="H371" s="33"/>
    </row>
    <row r="372" spans="1:8" ht="19.95" customHeight="1">
      <c r="A372" s="33"/>
      <c r="B372" s="33"/>
      <c r="C372" s="33"/>
      <c r="D372" s="33"/>
      <c r="E372" s="33"/>
      <c r="F372" s="33"/>
      <c r="G372" s="33"/>
      <c r="H372" s="33"/>
    </row>
    <row r="373" spans="1:8" ht="19.95" customHeight="1">
      <c r="A373" s="33"/>
      <c r="B373" s="33"/>
      <c r="C373" s="33"/>
      <c r="D373" s="33"/>
      <c r="E373" s="33"/>
      <c r="F373" s="33"/>
      <c r="G373" s="33"/>
      <c r="H373" s="33"/>
    </row>
    <row r="374" spans="1:8" ht="19.95" customHeight="1">
      <c r="A374" s="33"/>
      <c r="B374" s="33"/>
      <c r="C374" s="33"/>
      <c r="D374" s="33"/>
      <c r="E374" s="33"/>
      <c r="F374" s="33"/>
      <c r="G374" s="33"/>
      <c r="H374" s="33"/>
    </row>
    <row r="375" spans="1:8" ht="19.95" customHeight="1">
      <c r="A375" s="33"/>
      <c r="B375" s="33"/>
      <c r="C375" s="33"/>
      <c r="D375" s="33"/>
      <c r="E375" s="33"/>
      <c r="F375" s="33"/>
      <c r="G375" s="33"/>
      <c r="H375" s="33"/>
    </row>
    <row r="376" spans="1:8" ht="19.95" customHeight="1">
      <c r="A376" s="33"/>
      <c r="B376" s="33"/>
      <c r="C376" s="33"/>
      <c r="D376" s="33"/>
      <c r="E376" s="33"/>
      <c r="F376" s="33"/>
      <c r="G376" s="33"/>
      <c r="H376" s="33"/>
    </row>
    <row r="377" spans="1:8" ht="19.95" customHeight="1">
      <c r="A377" s="33"/>
      <c r="B377" s="33"/>
      <c r="C377" s="33"/>
      <c r="D377" s="33"/>
      <c r="E377" s="33"/>
      <c r="F377" s="33"/>
      <c r="G377" s="33"/>
      <c r="H377" s="33"/>
    </row>
    <row r="378" spans="1:8" ht="19.95" customHeight="1">
      <c r="A378" s="33"/>
      <c r="B378" s="33"/>
      <c r="C378" s="33"/>
      <c r="D378" s="33"/>
      <c r="E378" s="33"/>
      <c r="F378" s="33"/>
      <c r="G378" s="33"/>
      <c r="H378" s="33"/>
    </row>
    <row r="379" spans="1:8" ht="19.95" customHeight="1">
      <c r="A379" s="33"/>
      <c r="B379" s="33"/>
      <c r="C379" s="33"/>
      <c r="D379" s="33"/>
      <c r="E379" s="33"/>
      <c r="F379" s="33"/>
      <c r="G379" s="33"/>
      <c r="H379" s="33"/>
    </row>
    <row r="380" spans="1:8" ht="19.95" customHeight="1">
      <c r="A380" s="33"/>
      <c r="B380" s="33"/>
      <c r="C380" s="33"/>
      <c r="D380" s="33"/>
      <c r="E380" s="33"/>
      <c r="F380" s="33"/>
      <c r="G380" s="33"/>
      <c r="H380" s="33"/>
    </row>
    <row r="381" spans="1:8" ht="19.95" customHeight="1">
      <c r="A381" s="33"/>
      <c r="B381" s="33"/>
      <c r="C381" s="33"/>
      <c r="D381" s="33"/>
      <c r="E381" s="33"/>
      <c r="F381" s="33"/>
      <c r="G381" s="33"/>
      <c r="H381" s="33"/>
    </row>
    <row r="382" spans="1:8" ht="19.95" customHeight="1">
      <c r="A382" s="33"/>
      <c r="B382" s="33"/>
      <c r="C382" s="33"/>
      <c r="D382" s="33"/>
      <c r="E382" s="33"/>
      <c r="F382" s="33"/>
      <c r="G382" s="33"/>
      <c r="H382" s="33"/>
    </row>
    <row r="383" spans="1:8" ht="19.95" customHeight="1">
      <c r="A383" s="33"/>
      <c r="B383" s="33"/>
      <c r="C383" s="33"/>
      <c r="D383" s="33"/>
      <c r="E383" s="33"/>
      <c r="F383" s="33"/>
      <c r="G383" s="33"/>
      <c r="H383" s="33"/>
    </row>
    <row r="384" spans="1:8" ht="19.95" customHeight="1">
      <c r="A384" s="33"/>
      <c r="B384" s="33"/>
      <c r="C384" s="33"/>
      <c r="D384" s="33"/>
      <c r="E384" s="33"/>
      <c r="F384" s="33"/>
      <c r="G384" s="33"/>
      <c r="H384" s="33"/>
    </row>
    <row r="385" spans="1:8" ht="19.95" customHeight="1">
      <c r="A385" s="33"/>
      <c r="B385" s="33"/>
      <c r="C385" s="33"/>
      <c r="D385" s="33"/>
      <c r="E385" s="33"/>
      <c r="F385" s="33"/>
      <c r="G385" s="33"/>
      <c r="H385" s="33"/>
    </row>
    <row r="386" spans="1:8" ht="19.95" customHeight="1">
      <c r="A386" s="33"/>
      <c r="B386" s="33"/>
      <c r="C386" s="33"/>
      <c r="D386" s="33"/>
      <c r="E386" s="33"/>
      <c r="F386" s="33"/>
      <c r="G386" s="33"/>
      <c r="H386" s="33"/>
    </row>
    <row r="387" spans="1:8" ht="19.95" customHeight="1">
      <c r="A387" s="33"/>
      <c r="B387" s="33"/>
      <c r="C387" s="33"/>
      <c r="D387" s="33"/>
      <c r="E387" s="33"/>
      <c r="F387" s="33"/>
      <c r="G387" s="33"/>
      <c r="H387" s="33"/>
    </row>
    <row r="388" spans="1:8" ht="19.95" customHeight="1">
      <c r="A388" s="33"/>
      <c r="B388" s="33"/>
      <c r="C388" s="33"/>
      <c r="D388" s="33"/>
      <c r="E388" s="33"/>
      <c r="F388" s="33"/>
      <c r="G388" s="33"/>
      <c r="H388" s="33"/>
    </row>
    <row r="389" spans="1:8" ht="19.95" customHeight="1">
      <c r="A389" s="33"/>
      <c r="B389" s="33"/>
      <c r="C389" s="33"/>
      <c r="D389" s="33"/>
      <c r="E389" s="33"/>
      <c r="F389" s="33"/>
      <c r="G389" s="33"/>
      <c r="H389" s="33"/>
    </row>
    <row r="390" spans="1:8" ht="19.95" customHeight="1">
      <c r="A390" s="33"/>
      <c r="B390" s="33"/>
      <c r="C390" s="33"/>
      <c r="D390" s="33"/>
      <c r="E390" s="33"/>
      <c r="F390" s="33"/>
      <c r="G390" s="33"/>
      <c r="H390" s="33"/>
    </row>
    <row r="391" spans="1:8" ht="19.95" customHeight="1">
      <c r="A391" s="33"/>
      <c r="B391" s="33"/>
      <c r="C391" s="33"/>
      <c r="D391" s="33"/>
      <c r="E391" s="33"/>
      <c r="F391" s="33"/>
      <c r="G391" s="33"/>
      <c r="H391" s="33"/>
    </row>
    <row r="392" spans="1:8" ht="19.95" customHeight="1">
      <c r="A392" s="33"/>
      <c r="B392" s="33"/>
      <c r="C392" s="33"/>
      <c r="D392" s="33"/>
      <c r="E392" s="33"/>
      <c r="F392" s="33"/>
      <c r="G392" s="33"/>
      <c r="H392" s="33"/>
    </row>
    <row r="393" spans="1:8" ht="19.95" customHeight="1">
      <c r="A393" s="33"/>
      <c r="B393" s="33"/>
      <c r="C393" s="33"/>
      <c r="D393" s="33"/>
      <c r="E393" s="33"/>
      <c r="F393" s="33"/>
      <c r="G393" s="33"/>
      <c r="H393" s="33"/>
    </row>
    <row r="394" spans="1:8" ht="19.95" customHeight="1">
      <c r="A394" s="33"/>
      <c r="B394" s="33"/>
      <c r="C394" s="33"/>
      <c r="D394" s="33"/>
      <c r="E394" s="33"/>
      <c r="F394" s="33"/>
      <c r="G394" s="33"/>
      <c r="H394" s="33"/>
    </row>
    <row r="395" spans="1:8" ht="19.95" customHeight="1">
      <c r="A395" s="33"/>
      <c r="B395" s="33"/>
      <c r="C395" s="33"/>
      <c r="D395" s="33"/>
      <c r="E395" s="33"/>
      <c r="F395" s="33"/>
      <c r="G395" s="33"/>
      <c r="H395" s="33"/>
    </row>
    <row r="396" spans="1:8" ht="19.95" customHeight="1">
      <c r="A396" s="33"/>
      <c r="B396" s="33"/>
      <c r="C396" s="33"/>
      <c r="D396" s="33"/>
      <c r="E396" s="33"/>
      <c r="F396" s="33"/>
      <c r="G396" s="33"/>
      <c r="H396" s="33"/>
    </row>
    <row r="397" spans="1:8" ht="19.95" customHeight="1">
      <c r="A397" s="33"/>
      <c r="B397" s="33"/>
      <c r="C397" s="33"/>
      <c r="D397" s="33"/>
      <c r="E397" s="33"/>
      <c r="F397" s="33"/>
      <c r="G397" s="33"/>
      <c r="H397" s="33"/>
    </row>
    <row r="398" spans="1:8" ht="19.95" customHeight="1">
      <c r="A398" s="33"/>
      <c r="B398" s="33"/>
      <c r="C398" s="33"/>
      <c r="D398" s="33"/>
      <c r="E398" s="33"/>
      <c r="F398" s="33"/>
      <c r="G398" s="33"/>
      <c r="H398" s="33"/>
    </row>
    <row r="399" spans="1:8" ht="19.95" customHeight="1">
      <c r="A399" s="33"/>
      <c r="B399" s="33"/>
      <c r="C399" s="33"/>
      <c r="D399" s="33"/>
      <c r="E399" s="33"/>
      <c r="F399" s="33"/>
      <c r="G399" s="33"/>
      <c r="H399" s="33"/>
    </row>
    <row r="400" spans="1:8" ht="19.95" customHeight="1">
      <c r="A400" s="33"/>
      <c r="B400" s="33"/>
      <c r="C400" s="33"/>
      <c r="D400" s="33"/>
      <c r="E400" s="33"/>
      <c r="F400" s="33"/>
      <c r="G400" s="33"/>
      <c r="H400" s="33"/>
    </row>
    <row r="401" spans="1:8" ht="19.95" customHeight="1">
      <c r="A401" s="33"/>
      <c r="B401" s="33"/>
      <c r="C401" s="33"/>
      <c r="D401" s="33"/>
      <c r="E401" s="33"/>
      <c r="F401" s="33"/>
      <c r="G401" s="33"/>
      <c r="H401" s="33"/>
    </row>
    <row r="402" spans="1:8" ht="19.95" customHeight="1">
      <c r="A402" s="33"/>
      <c r="B402" s="33"/>
      <c r="C402" s="33"/>
      <c r="D402" s="33"/>
      <c r="E402" s="33"/>
      <c r="F402" s="33"/>
      <c r="G402" s="33"/>
      <c r="H402" s="33"/>
    </row>
    <row r="403" spans="1:8" ht="19.95" customHeight="1">
      <c r="A403" s="33"/>
      <c r="B403" s="33"/>
      <c r="C403" s="33"/>
      <c r="D403" s="33"/>
      <c r="E403" s="33"/>
      <c r="F403" s="33"/>
      <c r="G403" s="33"/>
      <c r="H403" s="33"/>
    </row>
    <row r="404" spans="1:8" ht="19.95" customHeight="1">
      <c r="A404" s="33"/>
      <c r="B404" s="33"/>
      <c r="C404" s="33"/>
      <c r="D404" s="33"/>
      <c r="E404" s="33"/>
      <c r="F404" s="33"/>
      <c r="G404" s="33"/>
      <c r="H404" s="33"/>
    </row>
    <row r="405" spans="1:8" ht="19.95" customHeight="1">
      <c r="A405" s="33"/>
      <c r="B405" s="33"/>
      <c r="C405" s="33"/>
      <c r="D405" s="33"/>
      <c r="E405" s="33"/>
      <c r="F405" s="33"/>
      <c r="G405" s="33"/>
      <c r="H405" s="33"/>
    </row>
    <row r="406" spans="1:8" ht="19.95" customHeight="1">
      <c r="A406" s="33"/>
      <c r="B406" s="33"/>
      <c r="C406" s="33"/>
      <c r="D406" s="33"/>
      <c r="E406" s="33"/>
      <c r="F406" s="33"/>
      <c r="G406" s="33"/>
      <c r="H406" s="33"/>
    </row>
    <row r="407" spans="1:8" ht="19.95" customHeight="1">
      <c r="A407" s="33"/>
      <c r="B407" s="33"/>
      <c r="C407" s="33"/>
      <c r="D407" s="33"/>
      <c r="E407" s="33"/>
      <c r="F407" s="33"/>
      <c r="G407" s="33"/>
      <c r="H407" s="33"/>
    </row>
    <row r="408" spans="1:8" ht="19.95" customHeight="1">
      <c r="A408" s="33"/>
      <c r="B408" s="33"/>
      <c r="C408" s="33"/>
      <c r="D408" s="33"/>
      <c r="E408" s="33"/>
      <c r="F408" s="33"/>
      <c r="G408" s="33"/>
      <c r="H408" s="33"/>
    </row>
    <row r="409" spans="1:8" ht="19.95" customHeight="1">
      <c r="A409" s="33"/>
      <c r="B409" s="33"/>
      <c r="C409" s="33"/>
      <c r="D409" s="33"/>
      <c r="E409" s="33"/>
      <c r="F409" s="33"/>
      <c r="G409" s="33"/>
      <c r="H409" s="33"/>
    </row>
    <row r="410" spans="1:8" ht="19.95" customHeight="1">
      <c r="A410" s="33"/>
      <c r="B410" s="33"/>
      <c r="C410" s="33"/>
      <c r="D410" s="33"/>
      <c r="E410" s="33"/>
      <c r="F410" s="33"/>
      <c r="G410" s="33"/>
      <c r="H410" s="33"/>
    </row>
    <row r="411" spans="1:8" ht="19.95" customHeight="1">
      <c r="A411" s="33"/>
      <c r="B411" s="33"/>
      <c r="C411" s="33"/>
      <c r="D411" s="33"/>
      <c r="E411" s="33"/>
      <c r="F411" s="33"/>
      <c r="G411" s="33"/>
      <c r="H411" s="33"/>
    </row>
    <row r="412" spans="1:8" ht="19.95" customHeight="1">
      <c r="A412" s="33"/>
      <c r="B412" s="33"/>
      <c r="C412" s="33"/>
      <c r="D412" s="33"/>
      <c r="E412" s="33"/>
      <c r="F412" s="33"/>
      <c r="G412" s="33"/>
      <c r="H412" s="33"/>
    </row>
    <row r="413" spans="1:8" ht="19.95" customHeight="1">
      <c r="A413" s="33"/>
      <c r="B413" s="33"/>
      <c r="C413" s="33"/>
      <c r="D413" s="33"/>
      <c r="E413" s="33"/>
      <c r="F413" s="33"/>
      <c r="G413" s="33"/>
      <c r="H413" s="33"/>
    </row>
    <row r="414" spans="1:8" ht="19.95" customHeight="1">
      <c r="A414" s="33"/>
      <c r="B414" s="33"/>
      <c r="C414" s="33"/>
      <c r="D414" s="33"/>
      <c r="E414" s="33"/>
      <c r="F414" s="33"/>
      <c r="G414" s="33"/>
      <c r="H414" s="33"/>
    </row>
    <row r="415" spans="1:8" ht="19.95" customHeight="1">
      <c r="A415" s="33"/>
      <c r="B415" s="33"/>
      <c r="C415" s="33"/>
      <c r="D415" s="33"/>
      <c r="E415" s="33"/>
      <c r="F415" s="33"/>
      <c r="G415" s="33"/>
      <c r="H415" s="33"/>
    </row>
    <row r="416" spans="1:8" ht="19.95" customHeight="1">
      <c r="A416" s="33"/>
      <c r="B416" s="33"/>
      <c r="C416" s="33"/>
      <c r="D416" s="33"/>
      <c r="E416" s="33"/>
      <c r="F416" s="33"/>
      <c r="G416" s="33"/>
      <c r="H416" s="33"/>
    </row>
    <row r="417" spans="1:8" ht="19.95" customHeight="1">
      <c r="A417" s="33"/>
      <c r="B417" s="33"/>
      <c r="C417" s="33"/>
      <c r="D417" s="33"/>
      <c r="E417" s="33"/>
      <c r="F417" s="33"/>
      <c r="G417" s="33"/>
      <c r="H417" s="33"/>
    </row>
    <row r="418" spans="1:8" ht="19.95" customHeight="1">
      <c r="A418" s="33"/>
      <c r="B418" s="33"/>
      <c r="C418" s="33"/>
      <c r="D418" s="33"/>
      <c r="E418" s="33"/>
      <c r="F418" s="33"/>
      <c r="G418" s="33"/>
      <c r="H418" s="33"/>
    </row>
    <row r="419" spans="1:8" ht="19.95" customHeight="1">
      <c r="A419" s="33"/>
      <c r="B419" s="33"/>
      <c r="C419" s="33"/>
      <c r="D419" s="33"/>
      <c r="E419" s="33"/>
      <c r="F419" s="33"/>
      <c r="G419" s="33"/>
      <c r="H419" s="33"/>
    </row>
    <row r="420" spans="1:8" ht="19.95" customHeight="1">
      <c r="A420" s="33"/>
      <c r="B420" s="33"/>
      <c r="C420" s="33"/>
      <c r="D420" s="33"/>
      <c r="E420" s="33"/>
      <c r="F420" s="33"/>
      <c r="G420" s="33"/>
      <c r="H420" s="33"/>
    </row>
    <row r="421" spans="1:8" ht="19.95" customHeight="1">
      <c r="A421" s="33"/>
      <c r="B421" s="33"/>
      <c r="C421" s="33"/>
      <c r="D421" s="33"/>
      <c r="E421" s="33"/>
      <c r="F421" s="33"/>
      <c r="G421" s="33"/>
      <c r="H421" s="33"/>
    </row>
    <row r="422" spans="1:8" ht="19.95" customHeight="1">
      <c r="A422" s="33"/>
      <c r="B422" s="33"/>
      <c r="C422" s="33"/>
      <c r="D422" s="33"/>
      <c r="E422" s="33"/>
      <c r="F422" s="33"/>
      <c r="G422" s="33"/>
      <c r="H422" s="33"/>
    </row>
    <row r="423" spans="1:8" ht="19.95" customHeight="1">
      <c r="A423" s="33"/>
      <c r="B423" s="33"/>
      <c r="C423" s="33"/>
      <c r="D423" s="33"/>
      <c r="E423" s="33"/>
      <c r="F423" s="33"/>
      <c r="G423" s="33"/>
      <c r="H423" s="33"/>
    </row>
    <row r="424" spans="1:8" ht="19.95" customHeight="1">
      <c r="A424" s="33"/>
      <c r="B424" s="33"/>
      <c r="C424" s="33"/>
      <c r="D424" s="33"/>
      <c r="E424" s="33"/>
      <c r="F424" s="33"/>
      <c r="G424" s="33"/>
      <c r="H424" s="33"/>
    </row>
    <row r="425" spans="1:8" ht="19.95" customHeight="1">
      <c r="A425" s="33"/>
      <c r="B425" s="33"/>
      <c r="C425" s="33"/>
      <c r="D425" s="33"/>
      <c r="E425" s="33"/>
      <c r="F425" s="33"/>
      <c r="G425" s="33"/>
      <c r="H425" s="33"/>
    </row>
    <row r="426" spans="1:8" ht="19.95" customHeight="1">
      <c r="A426" s="33"/>
      <c r="B426" s="33"/>
      <c r="C426" s="33"/>
      <c r="D426" s="33"/>
      <c r="E426" s="33"/>
      <c r="F426" s="33"/>
      <c r="G426" s="33"/>
      <c r="H426" s="33"/>
    </row>
    <row r="427" spans="1:8" ht="19.95" customHeight="1">
      <c r="A427" s="33"/>
      <c r="B427" s="33"/>
      <c r="C427" s="33"/>
      <c r="D427" s="33"/>
      <c r="E427" s="33"/>
      <c r="F427" s="33"/>
      <c r="G427" s="33"/>
      <c r="H427" s="33"/>
    </row>
    <row r="428" spans="1:8" ht="19.95" customHeight="1">
      <c r="A428" s="33"/>
      <c r="B428" s="33"/>
      <c r="C428" s="33"/>
      <c r="D428" s="33"/>
      <c r="E428" s="33"/>
      <c r="F428" s="33"/>
      <c r="G428" s="33"/>
      <c r="H428" s="33"/>
    </row>
    <row r="429" spans="1:8" ht="19.95" customHeight="1">
      <c r="A429" s="33"/>
      <c r="B429" s="33"/>
      <c r="C429" s="33"/>
      <c r="D429" s="33"/>
      <c r="E429" s="33"/>
      <c r="F429" s="33"/>
      <c r="G429" s="33"/>
      <c r="H429" s="33"/>
    </row>
    <row r="430" spans="1:8" ht="19.95" customHeight="1">
      <c r="A430" s="33"/>
      <c r="B430" s="33"/>
      <c r="C430" s="33"/>
      <c r="D430" s="33"/>
      <c r="E430" s="33"/>
      <c r="F430" s="33"/>
      <c r="G430" s="33"/>
      <c r="H430" s="33"/>
    </row>
    <row r="431" spans="1:8" ht="19.95" customHeight="1">
      <c r="A431" s="33"/>
      <c r="B431" s="33"/>
      <c r="C431" s="33"/>
      <c r="D431" s="33"/>
      <c r="E431" s="33"/>
      <c r="F431" s="33"/>
      <c r="G431" s="33"/>
      <c r="H431" s="33"/>
    </row>
    <row r="432" spans="1:8" ht="19.95" customHeight="1">
      <c r="A432" s="33"/>
      <c r="B432" s="33"/>
      <c r="C432" s="33"/>
      <c r="D432" s="33"/>
      <c r="E432" s="33"/>
      <c r="F432" s="33"/>
      <c r="G432" s="33"/>
      <c r="H432" s="33"/>
    </row>
    <row r="433" spans="1:8" ht="19.95" customHeight="1">
      <c r="A433" s="33"/>
      <c r="B433" s="33"/>
      <c r="C433" s="33"/>
      <c r="D433" s="33"/>
      <c r="E433" s="33"/>
      <c r="F433" s="33"/>
      <c r="G433" s="33"/>
      <c r="H433" s="33"/>
    </row>
    <row r="434" spans="1:8" ht="19.95" customHeight="1">
      <c r="A434" s="33"/>
      <c r="B434" s="33"/>
      <c r="C434" s="33"/>
      <c r="D434" s="33"/>
      <c r="E434" s="33"/>
      <c r="F434" s="33"/>
      <c r="G434" s="33"/>
      <c r="H434" s="33"/>
    </row>
    <row r="435" spans="1:8" ht="19.95" customHeight="1">
      <c r="A435" s="33"/>
      <c r="B435" s="33"/>
      <c r="C435" s="33"/>
      <c r="D435" s="33"/>
      <c r="E435" s="33"/>
      <c r="F435" s="33"/>
      <c r="G435" s="33"/>
      <c r="H435" s="33"/>
    </row>
    <row r="436" spans="1:8" ht="19.95" customHeight="1">
      <c r="A436" s="33"/>
      <c r="B436" s="33"/>
      <c r="C436" s="33"/>
      <c r="D436" s="33"/>
      <c r="E436" s="33"/>
      <c r="F436" s="33"/>
      <c r="G436" s="33"/>
      <c r="H436" s="33"/>
    </row>
    <row r="437" spans="1:8" ht="19.95" customHeight="1">
      <c r="A437" s="33"/>
      <c r="B437" s="33"/>
      <c r="C437" s="33"/>
      <c r="D437" s="33"/>
      <c r="E437" s="33"/>
      <c r="F437" s="33"/>
      <c r="G437" s="33"/>
      <c r="H437" s="33"/>
    </row>
    <row r="438" spans="1:8" ht="19.95" customHeight="1">
      <c r="A438" s="33"/>
      <c r="B438" s="33"/>
      <c r="C438" s="33"/>
      <c r="D438" s="33"/>
      <c r="E438" s="33"/>
      <c r="F438" s="33"/>
      <c r="G438" s="33"/>
      <c r="H438" s="33"/>
    </row>
    <row r="439" spans="1:8" ht="19.95" customHeight="1">
      <c r="A439" s="33"/>
      <c r="B439" s="33"/>
      <c r="C439" s="33"/>
      <c r="D439" s="33"/>
      <c r="E439" s="33"/>
      <c r="F439" s="33"/>
      <c r="G439" s="33"/>
      <c r="H439" s="33"/>
    </row>
    <row r="440" spans="1:8" ht="19.95" customHeight="1">
      <c r="A440" s="33"/>
      <c r="B440" s="33"/>
      <c r="C440" s="33"/>
      <c r="D440" s="33"/>
      <c r="E440" s="33"/>
      <c r="F440" s="33"/>
      <c r="G440" s="33"/>
      <c r="H440" s="33"/>
    </row>
    <row r="441" spans="1:8" ht="19.95" customHeight="1">
      <c r="A441" s="33"/>
      <c r="B441" s="33"/>
      <c r="C441" s="33"/>
      <c r="D441" s="33"/>
      <c r="E441" s="33"/>
      <c r="F441" s="33"/>
      <c r="G441" s="33"/>
      <c r="H441" s="33"/>
    </row>
    <row r="442" spans="1:8" ht="19.95" customHeight="1">
      <c r="A442" s="33"/>
      <c r="B442" s="33"/>
      <c r="C442" s="33"/>
      <c r="D442" s="33"/>
      <c r="E442" s="33"/>
      <c r="F442" s="33"/>
      <c r="G442" s="33"/>
      <c r="H442" s="33"/>
    </row>
    <row r="443" spans="1:8" ht="19.95" customHeight="1">
      <c r="A443" s="33"/>
      <c r="B443" s="33"/>
      <c r="C443" s="33"/>
      <c r="D443" s="33"/>
      <c r="E443" s="33"/>
      <c r="F443" s="33"/>
      <c r="G443" s="33"/>
      <c r="H443" s="33"/>
    </row>
    <row r="444" spans="1:8" ht="19.95" customHeight="1">
      <c r="A444" s="33"/>
      <c r="B444" s="33"/>
      <c r="C444" s="33"/>
      <c r="D444" s="33"/>
      <c r="E444" s="33"/>
      <c r="F444" s="33"/>
      <c r="G444" s="33"/>
      <c r="H444" s="33"/>
    </row>
    <row r="445" spans="1:8" ht="19.95" customHeight="1">
      <c r="A445" s="33"/>
      <c r="B445" s="33"/>
      <c r="C445" s="33"/>
      <c r="D445" s="33"/>
      <c r="E445" s="33"/>
      <c r="F445" s="33"/>
      <c r="G445" s="33"/>
      <c r="H445" s="33"/>
    </row>
    <row r="446" spans="1:8" ht="19.95" customHeight="1">
      <c r="A446" s="33"/>
      <c r="B446" s="33"/>
      <c r="C446" s="33"/>
      <c r="D446" s="33"/>
      <c r="E446" s="33"/>
      <c r="F446" s="33"/>
      <c r="G446" s="33"/>
      <c r="H446" s="33"/>
    </row>
    <row r="447" spans="1:8" ht="19.95" customHeight="1">
      <c r="A447" s="33"/>
      <c r="B447" s="33"/>
      <c r="C447" s="33"/>
      <c r="D447" s="33"/>
      <c r="E447" s="33"/>
      <c r="F447" s="33"/>
      <c r="G447" s="33"/>
      <c r="H447" s="33"/>
    </row>
    <row r="448" spans="1:8" ht="19.95" customHeight="1">
      <c r="A448" s="33"/>
      <c r="B448" s="33"/>
      <c r="C448" s="33"/>
      <c r="D448" s="33"/>
      <c r="E448" s="33"/>
      <c r="F448" s="33"/>
      <c r="G448" s="33"/>
      <c r="H448" s="33"/>
    </row>
    <row r="449" spans="1:8" ht="19.95" customHeight="1">
      <c r="A449" s="33"/>
      <c r="B449" s="33"/>
      <c r="C449" s="33"/>
      <c r="D449" s="33"/>
      <c r="E449" s="33"/>
      <c r="F449" s="33"/>
      <c r="G449" s="33"/>
      <c r="H449" s="33"/>
    </row>
    <row r="450" spans="1:8" ht="19.95" customHeight="1">
      <c r="A450" s="33"/>
      <c r="B450" s="33"/>
      <c r="C450" s="33"/>
      <c r="D450" s="33"/>
      <c r="E450" s="33"/>
      <c r="F450" s="33"/>
      <c r="G450" s="33"/>
      <c r="H450" s="33"/>
    </row>
    <row r="451" spans="1:8" ht="19.95" customHeight="1">
      <c r="A451" s="33"/>
      <c r="B451" s="33"/>
      <c r="C451" s="33"/>
      <c r="D451" s="33"/>
      <c r="E451" s="33"/>
      <c r="F451" s="33"/>
      <c r="G451" s="33"/>
      <c r="H451" s="33"/>
    </row>
    <row r="452" spans="1:8" ht="19.95" customHeight="1">
      <c r="A452" s="33"/>
      <c r="B452" s="33"/>
      <c r="C452" s="33"/>
      <c r="D452" s="33"/>
      <c r="E452" s="33"/>
      <c r="F452" s="33"/>
      <c r="G452" s="33"/>
      <c r="H452" s="33"/>
    </row>
    <row r="453" spans="1:8" ht="19.95" customHeight="1">
      <c r="A453" s="33"/>
      <c r="B453" s="33"/>
      <c r="C453" s="33"/>
      <c r="D453" s="33"/>
      <c r="E453" s="33"/>
      <c r="F453" s="33"/>
      <c r="G453" s="33"/>
      <c r="H453" s="33"/>
    </row>
    <row r="454" spans="1:8" ht="19.95" customHeight="1">
      <c r="A454" s="33"/>
      <c r="B454" s="33"/>
      <c r="C454" s="33"/>
      <c r="D454" s="33"/>
      <c r="E454" s="33"/>
      <c r="F454" s="33"/>
      <c r="G454" s="33"/>
      <c r="H454" s="33"/>
    </row>
    <row r="455" spans="1:8" ht="19.95" customHeight="1">
      <c r="A455" s="33"/>
      <c r="B455" s="33"/>
      <c r="C455" s="33"/>
      <c r="D455" s="33"/>
      <c r="E455" s="33"/>
      <c r="F455" s="33"/>
      <c r="G455" s="33"/>
      <c r="H455" s="33"/>
    </row>
    <row r="456" spans="1:8" ht="19.95" customHeight="1">
      <c r="A456" s="33"/>
      <c r="B456" s="33"/>
      <c r="C456" s="33"/>
      <c r="D456" s="33"/>
      <c r="E456" s="33"/>
      <c r="F456" s="33"/>
      <c r="G456" s="33"/>
      <c r="H456" s="33"/>
    </row>
    <row r="457" spans="1:8" ht="19.95" customHeight="1">
      <c r="A457" s="33"/>
      <c r="B457" s="33"/>
      <c r="C457" s="33"/>
      <c r="D457" s="33"/>
      <c r="E457" s="33"/>
      <c r="F457" s="33"/>
      <c r="G457" s="33"/>
      <c r="H457" s="33"/>
    </row>
    <row r="458" spans="1:8" ht="19.95" customHeight="1">
      <c r="A458" s="33"/>
      <c r="B458" s="33"/>
      <c r="C458" s="33"/>
      <c r="D458" s="33"/>
      <c r="E458" s="33"/>
      <c r="F458" s="33"/>
      <c r="G458" s="33"/>
      <c r="H458" s="33"/>
    </row>
    <row r="459" spans="1:8" ht="19.95" customHeight="1">
      <c r="A459" s="33"/>
      <c r="B459" s="33"/>
      <c r="C459" s="33"/>
      <c r="D459" s="33"/>
      <c r="E459" s="33"/>
      <c r="F459" s="33"/>
      <c r="G459" s="33"/>
      <c r="H459" s="33"/>
    </row>
    <row r="460" spans="1:8" ht="19.95" customHeight="1">
      <c r="A460" s="33"/>
      <c r="B460" s="33"/>
      <c r="C460" s="33"/>
      <c r="D460" s="33"/>
      <c r="E460" s="33"/>
      <c r="F460" s="33"/>
      <c r="G460" s="33"/>
      <c r="H460" s="33"/>
    </row>
    <row r="461" spans="1:8" ht="19.95" customHeight="1">
      <c r="A461" s="33"/>
      <c r="B461" s="33"/>
      <c r="C461" s="33"/>
      <c r="D461" s="33"/>
      <c r="E461" s="33"/>
      <c r="F461" s="33"/>
      <c r="G461" s="33"/>
      <c r="H461" s="33"/>
    </row>
    <row r="462" spans="1:8" ht="19.95" customHeight="1">
      <c r="A462" s="33"/>
      <c r="B462" s="33"/>
      <c r="C462" s="33"/>
      <c r="D462" s="33"/>
      <c r="E462" s="33"/>
      <c r="F462" s="33"/>
      <c r="G462" s="33"/>
      <c r="H462" s="33"/>
    </row>
    <row r="463" spans="1:8" ht="19.95" customHeight="1">
      <c r="A463" s="33"/>
      <c r="B463" s="33"/>
      <c r="C463" s="33"/>
      <c r="D463" s="33"/>
      <c r="E463" s="33"/>
      <c r="F463" s="33"/>
      <c r="G463" s="33"/>
      <c r="H463" s="33"/>
    </row>
    <row r="464" spans="1:8" ht="19.95" customHeight="1">
      <c r="A464" s="33"/>
      <c r="B464" s="33"/>
      <c r="C464" s="33"/>
      <c r="D464" s="33"/>
      <c r="E464" s="33"/>
      <c r="F464" s="33"/>
      <c r="G464" s="33"/>
      <c r="H464" s="33"/>
    </row>
    <row r="465" spans="1:8" ht="19.95" customHeight="1">
      <c r="A465" s="33"/>
      <c r="B465" s="33"/>
      <c r="C465" s="33"/>
      <c r="D465" s="33"/>
      <c r="E465" s="33"/>
      <c r="F465" s="33"/>
      <c r="G465" s="33"/>
      <c r="H465" s="33"/>
    </row>
    <row r="466" spans="1:8" ht="19.95" customHeight="1">
      <c r="A466" s="33"/>
      <c r="B466" s="33"/>
      <c r="C466" s="33"/>
      <c r="D466" s="33"/>
      <c r="E466" s="33"/>
      <c r="F466" s="33"/>
      <c r="G466" s="33"/>
      <c r="H466" s="33"/>
    </row>
    <row r="467" spans="1:8" ht="19.95" customHeight="1">
      <c r="A467" s="33"/>
      <c r="B467" s="33"/>
      <c r="C467" s="33"/>
      <c r="D467" s="33"/>
      <c r="E467" s="33"/>
      <c r="F467" s="33"/>
      <c r="G467" s="33"/>
      <c r="H467" s="33"/>
    </row>
    <row r="468" spans="1:8" ht="19.95" customHeight="1">
      <c r="A468" s="33"/>
      <c r="B468" s="33"/>
      <c r="C468" s="33"/>
      <c r="D468" s="33"/>
      <c r="E468" s="33"/>
      <c r="F468" s="33"/>
      <c r="G468" s="33"/>
      <c r="H468" s="33"/>
    </row>
    <row r="469" spans="1:8" ht="19.95" customHeight="1">
      <c r="A469" s="33"/>
      <c r="B469" s="33"/>
      <c r="C469" s="33"/>
      <c r="D469" s="33"/>
      <c r="E469" s="33"/>
      <c r="F469" s="33"/>
      <c r="G469" s="33"/>
      <c r="H469" s="33"/>
    </row>
    <row r="470" spans="1:8" ht="19.95" customHeight="1">
      <c r="A470" s="33"/>
      <c r="B470" s="33"/>
      <c r="C470" s="33"/>
      <c r="D470" s="33"/>
      <c r="E470" s="33"/>
      <c r="F470" s="33"/>
      <c r="G470" s="33"/>
      <c r="H470" s="33"/>
    </row>
    <row r="471" spans="1:8" ht="19.95" customHeight="1">
      <c r="A471" s="33"/>
      <c r="B471" s="33"/>
      <c r="C471" s="33"/>
      <c r="D471" s="33"/>
      <c r="E471" s="33"/>
      <c r="F471" s="33"/>
      <c r="G471" s="33"/>
      <c r="H471" s="33"/>
    </row>
    <row r="472" spans="1:8" ht="19.95" customHeight="1">
      <c r="A472" s="33"/>
      <c r="B472" s="33"/>
      <c r="C472" s="33"/>
      <c r="D472" s="33"/>
      <c r="E472" s="33"/>
      <c r="F472" s="33"/>
      <c r="G472" s="33"/>
      <c r="H472" s="33"/>
    </row>
    <row r="473" spans="1:8" ht="19.95" customHeight="1">
      <c r="A473" s="33"/>
      <c r="B473" s="33"/>
      <c r="C473" s="33"/>
      <c r="D473" s="33"/>
      <c r="E473" s="33"/>
      <c r="F473" s="33"/>
      <c r="G473" s="33"/>
      <c r="H473" s="33"/>
    </row>
    <row r="474" spans="1:8" ht="19.95" customHeight="1">
      <c r="A474" s="33"/>
      <c r="B474" s="33"/>
      <c r="C474" s="33"/>
      <c r="D474" s="33"/>
      <c r="E474" s="33"/>
      <c r="F474" s="33"/>
      <c r="G474" s="33"/>
      <c r="H474" s="33"/>
    </row>
    <row r="475" spans="1:8" ht="19.95" customHeight="1">
      <c r="A475" s="33"/>
      <c r="B475" s="33"/>
      <c r="C475" s="33"/>
      <c r="D475" s="33"/>
      <c r="E475" s="33"/>
      <c r="F475" s="33"/>
      <c r="G475" s="33"/>
      <c r="H475" s="33"/>
    </row>
    <row r="476" spans="1:8" ht="19.95" customHeight="1">
      <c r="A476" s="33"/>
      <c r="B476" s="33"/>
      <c r="C476" s="33"/>
      <c r="D476" s="33"/>
      <c r="E476" s="33"/>
      <c r="F476" s="33"/>
      <c r="G476" s="33"/>
      <c r="H476" s="33"/>
    </row>
    <row r="477" spans="1:8" ht="19.95" customHeight="1">
      <c r="A477" s="33"/>
      <c r="B477" s="33"/>
      <c r="C477" s="33"/>
      <c r="D477" s="33"/>
      <c r="E477" s="33"/>
      <c r="F477" s="33"/>
      <c r="G477" s="33"/>
      <c r="H477" s="33"/>
    </row>
    <row r="478" spans="1:8" ht="19.95" customHeight="1">
      <c r="A478" s="33"/>
      <c r="B478" s="33"/>
      <c r="C478" s="33"/>
      <c r="D478" s="33"/>
      <c r="E478" s="33"/>
      <c r="F478" s="33"/>
      <c r="G478" s="33"/>
      <c r="H478" s="33"/>
    </row>
    <row r="479" spans="1:8" ht="19.95" customHeight="1">
      <c r="A479" s="33"/>
      <c r="B479" s="33"/>
      <c r="C479" s="33"/>
      <c r="D479" s="33"/>
      <c r="E479" s="33"/>
      <c r="F479" s="33"/>
      <c r="G479" s="33"/>
      <c r="H479" s="33"/>
    </row>
    <row r="480" spans="1:8" ht="19.95" customHeight="1">
      <c r="A480" s="33"/>
      <c r="B480" s="33"/>
      <c r="C480" s="33"/>
      <c r="D480" s="33"/>
      <c r="E480" s="33"/>
      <c r="F480" s="33"/>
      <c r="G480" s="33"/>
      <c r="H480" s="33"/>
    </row>
    <row r="481" spans="1:8" ht="19.95" customHeight="1">
      <c r="A481" s="33"/>
      <c r="B481" s="33"/>
      <c r="C481" s="33"/>
      <c r="D481" s="33"/>
      <c r="E481" s="33"/>
      <c r="F481" s="33"/>
      <c r="G481" s="33"/>
      <c r="H481" s="33"/>
    </row>
    <row r="482" spans="1:8" ht="19.95" customHeight="1">
      <c r="A482" s="33"/>
      <c r="B482" s="33"/>
      <c r="C482" s="33"/>
      <c r="D482" s="33"/>
      <c r="E482" s="33"/>
      <c r="F482" s="33"/>
      <c r="G482" s="33"/>
      <c r="H482" s="33"/>
    </row>
    <row r="483" spans="1:8" ht="19.95" customHeight="1">
      <c r="A483" s="33"/>
      <c r="B483" s="33"/>
      <c r="C483" s="33"/>
      <c r="D483" s="33"/>
      <c r="E483" s="33"/>
      <c r="F483" s="33"/>
      <c r="G483" s="33"/>
      <c r="H483" s="33"/>
    </row>
    <row r="484" spans="1:8" ht="19.95" customHeight="1">
      <c r="A484" s="33"/>
      <c r="B484" s="33"/>
      <c r="C484" s="33"/>
      <c r="D484" s="33"/>
      <c r="E484" s="33"/>
      <c r="F484" s="33"/>
      <c r="G484" s="33"/>
      <c r="H484" s="33"/>
    </row>
    <row r="485" spans="1:8" ht="19.95" customHeight="1">
      <c r="A485" s="33"/>
      <c r="B485" s="33"/>
      <c r="C485" s="33"/>
      <c r="D485" s="33"/>
      <c r="E485" s="33"/>
      <c r="F485" s="33"/>
      <c r="G485" s="33"/>
      <c r="H485" s="33"/>
    </row>
    <row r="486" spans="1:8" ht="19.95" customHeight="1">
      <c r="A486" s="33"/>
      <c r="B486" s="33"/>
      <c r="C486" s="33"/>
      <c r="D486" s="33"/>
      <c r="E486" s="33"/>
      <c r="F486" s="33"/>
      <c r="G486" s="33"/>
      <c r="H486" s="33"/>
    </row>
    <row r="487" spans="1:8" ht="19.95" customHeight="1">
      <c r="A487" s="33"/>
      <c r="B487" s="33"/>
      <c r="C487" s="33"/>
      <c r="D487" s="33"/>
      <c r="E487" s="33"/>
      <c r="F487" s="33"/>
      <c r="G487" s="33"/>
      <c r="H487" s="33"/>
    </row>
    <row r="488" spans="1:8" ht="19.95" customHeight="1">
      <c r="A488" s="33"/>
      <c r="B488" s="33"/>
      <c r="C488" s="33"/>
      <c r="D488" s="33"/>
      <c r="E488" s="33"/>
      <c r="F488" s="33"/>
      <c r="G488" s="33"/>
      <c r="H488" s="33"/>
    </row>
    <row r="489" spans="1:8" ht="19.95" customHeight="1">
      <c r="A489" s="33"/>
      <c r="B489" s="33"/>
      <c r="C489" s="33"/>
      <c r="D489" s="33"/>
      <c r="E489" s="33"/>
      <c r="F489" s="33"/>
      <c r="G489" s="33"/>
      <c r="H489" s="33"/>
    </row>
    <row r="490" spans="1:8" ht="19.95" customHeight="1">
      <c r="A490" s="33"/>
      <c r="B490" s="33"/>
      <c r="C490" s="33"/>
      <c r="D490" s="33"/>
      <c r="E490" s="33"/>
      <c r="F490" s="33"/>
      <c r="G490" s="33"/>
      <c r="H490" s="33"/>
    </row>
    <row r="491" spans="1:8" ht="19.95" customHeight="1">
      <c r="A491" s="33"/>
      <c r="B491" s="33"/>
      <c r="C491" s="33"/>
      <c r="D491" s="33"/>
      <c r="E491" s="33"/>
      <c r="F491" s="33"/>
      <c r="G491" s="33"/>
      <c r="H491" s="33"/>
    </row>
    <row r="492" spans="1:8" ht="19.95" customHeight="1">
      <c r="A492" s="33"/>
      <c r="B492" s="33"/>
      <c r="C492" s="33"/>
      <c r="D492" s="33"/>
      <c r="E492" s="33"/>
      <c r="F492" s="33"/>
      <c r="G492" s="33"/>
      <c r="H492" s="33"/>
    </row>
    <row r="493" spans="1:8" ht="19.95" customHeight="1">
      <c r="A493" s="33"/>
      <c r="B493" s="33"/>
      <c r="C493" s="33"/>
      <c r="D493" s="33"/>
      <c r="E493" s="33"/>
      <c r="F493" s="33"/>
      <c r="G493" s="33"/>
      <c r="H493" s="33"/>
    </row>
    <row r="494" spans="1:8" ht="19.95" customHeight="1">
      <c r="A494" s="33"/>
      <c r="B494" s="33"/>
      <c r="C494" s="33"/>
      <c r="D494" s="33"/>
      <c r="E494" s="33"/>
      <c r="F494" s="33"/>
      <c r="G494" s="33"/>
      <c r="H494" s="33"/>
    </row>
    <row r="495" spans="1:8" ht="19.95" customHeight="1">
      <c r="A495" s="33"/>
      <c r="B495" s="33"/>
      <c r="C495" s="33"/>
      <c r="D495" s="33"/>
      <c r="E495" s="33"/>
      <c r="F495" s="33"/>
      <c r="G495" s="33"/>
      <c r="H495" s="33"/>
    </row>
    <row r="496" spans="1:8" ht="19.95" customHeight="1">
      <c r="A496" s="33"/>
      <c r="B496" s="33"/>
      <c r="C496" s="33"/>
      <c r="D496" s="33"/>
      <c r="E496" s="33"/>
      <c r="F496" s="33"/>
      <c r="G496" s="33"/>
      <c r="H496" s="33"/>
    </row>
    <row r="497" spans="1:8" ht="19.95" customHeight="1">
      <c r="A497" s="33"/>
      <c r="B497" s="33"/>
      <c r="C497" s="33"/>
      <c r="D497" s="33"/>
      <c r="E497" s="33"/>
      <c r="F497" s="33"/>
      <c r="G497" s="33"/>
      <c r="H497" s="33"/>
    </row>
    <row r="498" spans="1:8" ht="19.95" customHeight="1">
      <c r="A498" s="33"/>
      <c r="B498" s="33"/>
      <c r="C498" s="33"/>
      <c r="D498" s="33"/>
      <c r="E498" s="33"/>
      <c r="F498" s="33"/>
      <c r="G498" s="33"/>
      <c r="H498" s="33"/>
    </row>
    <row r="499" spans="1:8" ht="19.95" customHeight="1">
      <c r="A499" s="33"/>
      <c r="B499" s="33"/>
      <c r="C499" s="33"/>
      <c r="D499" s="33"/>
      <c r="E499" s="33"/>
      <c r="F499" s="33"/>
      <c r="G499" s="33"/>
      <c r="H499" s="33"/>
    </row>
    <row r="500" spans="1:8" ht="19.95" customHeight="1">
      <c r="A500" s="33"/>
      <c r="B500" s="33"/>
      <c r="C500" s="33"/>
      <c r="D500" s="33"/>
      <c r="E500" s="33"/>
      <c r="F500" s="33"/>
      <c r="G500" s="33"/>
      <c r="H500" s="33"/>
    </row>
    <row r="501" spans="1:8" ht="19.95" customHeight="1">
      <c r="A501" s="33"/>
      <c r="B501" s="33"/>
      <c r="C501" s="33"/>
      <c r="D501" s="33"/>
      <c r="E501" s="33"/>
      <c r="F501" s="33"/>
      <c r="G501" s="33"/>
      <c r="H501" s="33"/>
    </row>
    <row r="502" spans="1:8" ht="19.95" customHeight="1">
      <c r="A502" s="33"/>
      <c r="B502" s="33"/>
      <c r="C502" s="33"/>
      <c r="D502" s="33"/>
      <c r="E502" s="33"/>
      <c r="F502" s="33"/>
      <c r="G502" s="33"/>
      <c r="H502" s="33"/>
    </row>
    <row r="503" spans="1:8" ht="19.95" customHeight="1">
      <c r="A503" s="33"/>
      <c r="B503" s="33"/>
      <c r="C503" s="33"/>
      <c r="D503" s="33"/>
      <c r="E503" s="33"/>
      <c r="F503" s="33"/>
      <c r="G503" s="33"/>
      <c r="H503" s="33"/>
    </row>
    <row r="504" spans="1:8" ht="19.95" customHeight="1">
      <c r="A504" s="33"/>
      <c r="B504" s="33"/>
      <c r="C504" s="33"/>
      <c r="D504" s="33"/>
      <c r="E504" s="33"/>
      <c r="F504" s="33"/>
      <c r="G504" s="33"/>
      <c r="H504" s="33"/>
    </row>
    <row r="505" spans="1:8" ht="19.95" customHeight="1">
      <c r="A505" s="33"/>
      <c r="B505" s="33"/>
      <c r="C505" s="33"/>
      <c r="D505" s="33"/>
      <c r="E505" s="33"/>
      <c r="F505" s="33"/>
      <c r="G505" s="33"/>
      <c r="H505" s="33"/>
    </row>
    <row r="506" spans="1:8" ht="19.95" customHeight="1">
      <c r="A506" s="33"/>
      <c r="B506" s="33"/>
      <c r="C506" s="33"/>
      <c r="D506" s="33"/>
      <c r="E506" s="33"/>
      <c r="F506" s="33"/>
      <c r="G506" s="33"/>
      <c r="H506" s="33"/>
    </row>
    <row r="507" spans="1:8" ht="19.95" customHeight="1">
      <c r="A507" s="33"/>
      <c r="B507" s="33"/>
      <c r="C507" s="33"/>
      <c r="D507" s="33"/>
      <c r="E507" s="33"/>
      <c r="F507" s="33"/>
      <c r="G507" s="33"/>
      <c r="H507" s="33"/>
    </row>
    <row r="508" spans="1:8" ht="19.95" customHeight="1">
      <c r="A508" s="33"/>
      <c r="B508" s="33"/>
      <c r="C508" s="33"/>
      <c r="D508" s="33"/>
      <c r="E508" s="33"/>
      <c r="F508" s="33"/>
      <c r="G508" s="33"/>
      <c r="H508" s="33"/>
    </row>
    <row r="509" spans="1:8" ht="19.95" customHeight="1">
      <c r="A509" s="33"/>
      <c r="B509" s="33"/>
      <c r="C509" s="33"/>
      <c r="D509" s="33"/>
      <c r="E509" s="33"/>
      <c r="F509" s="33"/>
      <c r="G509" s="33"/>
      <c r="H509" s="33"/>
    </row>
    <row r="510" spans="1:8" ht="19.95" customHeight="1">
      <c r="A510" s="33"/>
      <c r="B510" s="33"/>
      <c r="C510" s="33"/>
      <c r="D510" s="33"/>
      <c r="E510" s="33"/>
      <c r="F510" s="33"/>
      <c r="G510" s="33"/>
      <c r="H510" s="33"/>
    </row>
    <row r="511" spans="1:8" ht="19.95" customHeight="1">
      <c r="A511" s="33"/>
      <c r="B511" s="33"/>
      <c r="C511" s="33"/>
      <c r="D511" s="33"/>
      <c r="E511" s="33"/>
      <c r="F511" s="33"/>
      <c r="G511" s="33"/>
      <c r="H511" s="33"/>
    </row>
    <row r="512" spans="1:8" ht="19.95" customHeight="1">
      <c r="A512" s="33"/>
      <c r="B512" s="33"/>
      <c r="C512" s="33"/>
      <c r="D512" s="33"/>
      <c r="E512" s="33"/>
      <c r="F512" s="33"/>
      <c r="G512" s="33"/>
      <c r="H512" s="33"/>
    </row>
    <row r="513" spans="1:8" ht="19.95" customHeight="1">
      <c r="A513" s="33"/>
      <c r="B513" s="33"/>
      <c r="C513" s="33"/>
      <c r="D513" s="33"/>
      <c r="E513" s="33"/>
      <c r="F513" s="33"/>
      <c r="G513" s="33"/>
      <c r="H513" s="33"/>
    </row>
    <row r="514" spans="1:8" ht="19.95" customHeight="1">
      <c r="A514" s="33"/>
      <c r="B514" s="33"/>
      <c r="C514" s="33"/>
      <c r="D514" s="33"/>
      <c r="E514" s="33"/>
      <c r="F514" s="33"/>
      <c r="G514" s="33"/>
      <c r="H514" s="33"/>
    </row>
    <row r="515" spans="1:8" ht="19.95" customHeight="1">
      <c r="A515" s="33"/>
      <c r="B515" s="33"/>
      <c r="C515" s="33"/>
      <c r="D515" s="33"/>
      <c r="E515" s="33"/>
      <c r="F515" s="33"/>
      <c r="G515" s="33"/>
      <c r="H515" s="33"/>
    </row>
    <row r="516" spans="1:8" ht="19.95" customHeight="1">
      <c r="A516" s="33"/>
      <c r="B516" s="33"/>
      <c r="C516" s="33"/>
      <c r="D516" s="33"/>
      <c r="E516" s="33"/>
      <c r="F516" s="33"/>
      <c r="G516" s="33"/>
      <c r="H516" s="33"/>
    </row>
    <row r="517" spans="1:8" ht="19.95" customHeight="1">
      <c r="A517" s="33"/>
      <c r="B517" s="33"/>
      <c r="C517" s="33"/>
      <c r="D517" s="33"/>
      <c r="E517" s="33"/>
      <c r="F517" s="33"/>
      <c r="G517" s="33"/>
      <c r="H517" s="33"/>
    </row>
    <row r="518" spans="1:8" ht="19.95" customHeight="1">
      <c r="A518" s="33"/>
      <c r="B518" s="33"/>
      <c r="C518" s="33"/>
      <c r="D518" s="33"/>
      <c r="E518" s="33"/>
      <c r="F518" s="33"/>
      <c r="G518" s="33"/>
      <c r="H518" s="33"/>
    </row>
    <row r="519" spans="1:8" ht="19.95" customHeight="1">
      <c r="A519" s="33"/>
      <c r="B519" s="33"/>
      <c r="C519" s="33"/>
      <c r="D519" s="33"/>
      <c r="E519" s="33"/>
      <c r="F519" s="33"/>
      <c r="G519" s="33"/>
      <c r="H519" s="33"/>
    </row>
    <row r="520" spans="1:8" ht="19.95" customHeight="1">
      <c r="A520" s="33"/>
      <c r="B520" s="33"/>
      <c r="C520" s="33"/>
      <c r="D520" s="33"/>
      <c r="E520" s="33"/>
      <c r="F520" s="33"/>
      <c r="G520" s="33"/>
      <c r="H520" s="33"/>
    </row>
    <row r="521" spans="1:8" ht="19.95" customHeight="1">
      <c r="A521" s="33"/>
      <c r="B521" s="33"/>
      <c r="C521" s="33"/>
      <c r="D521" s="33"/>
      <c r="E521" s="33"/>
      <c r="F521" s="33"/>
      <c r="G521" s="33"/>
      <c r="H521" s="33"/>
    </row>
    <row r="522" spans="1:8" ht="19.95" customHeight="1">
      <c r="A522" s="33"/>
      <c r="B522" s="33"/>
      <c r="C522" s="33"/>
      <c r="D522" s="33"/>
      <c r="E522" s="33"/>
      <c r="F522" s="33"/>
      <c r="G522" s="33"/>
      <c r="H522" s="33"/>
    </row>
    <row r="523" spans="1:8" ht="19.95" customHeight="1">
      <c r="A523" s="33"/>
      <c r="B523" s="33"/>
      <c r="C523" s="33"/>
      <c r="D523" s="33"/>
      <c r="E523" s="33"/>
      <c r="F523" s="33"/>
      <c r="G523" s="33"/>
      <c r="H523" s="33"/>
    </row>
    <row r="524" spans="1:8" ht="19.95" customHeight="1">
      <c r="A524" s="33"/>
      <c r="B524" s="33"/>
      <c r="C524" s="33"/>
      <c r="D524" s="33"/>
      <c r="E524" s="33"/>
      <c r="F524" s="33"/>
      <c r="G524" s="33"/>
      <c r="H524" s="33"/>
    </row>
    <row r="525" spans="1:8" ht="19.95" customHeight="1">
      <c r="A525" s="33"/>
      <c r="B525" s="33"/>
      <c r="C525" s="33"/>
      <c r="D525" s="33"/>
      <c r="E525" s="33"/>
      <c r="F525" s="33"/>
      <c r="G525" s="33"/>
      <c r="H525" s="33"/>
    </row>
    <row r="526" spans="1:8" ht="19.95" customHeight="1">
      <c r="A526" s="33"/>
      <c r="B526" s="33"/>
      <c r="C526" s="33"/>
      <c r="D526" s="33"/>
      <c r="E526" s="33"/>
      <c r="F526" s="33"/>
      <c r="G526" s="33"/>
      <c r="H526" s="33"/>
    </row>
    <row r="527" spans="1:8" ht="19.95" customHeight="1">
      <c r="A527" s="33"/>
      <c r="B527" s="33"/>
      <c r="C527" s="33"/>
      <c r="D527" s="33"/>
      <c r="E527" s="33"/>
      <c r="F527" s="33"/>
      <c r="G527" s="33"/>
      <c r="H527" s="33"/>
    </row>
    <row r="528" spans="1:8" ht="19.95" customHeight="1">
      <c r="A528" s="33"/>
      <c r="B528" s="33"/>
      <c r="C528" s="33"/>
      <c r="D528" s="33"/>
      <c r="E528" s="33"/>
      <c r="F528" s="33"/>
      <c r="G528" s="33"/>
      <c r="H528" s="33"/>
    </row>
    <row r="529" spans="1:8" ht="19.95" customHeight="1">
      <c r="A529" s="33"/>
      <c r="B529" s="33"/>
      <c r="C529" s="33"/>
      <c r="D529" s="33"/>
      <c r="E529" s="33"/>
      <c r="F529" s="33"/>
      <c r="G529" s="33"/>
      <c r="H529" s="33"/>
    </row>
    <row r="530" spans="1:8" ht="19.95" customHeight="1">
      <c r="A530" s="33"/>
      <c r="B530" s="33"/>
      <c r="C530" s="33"/>
      <c r="D530" s="33"/>
      <c r="E530" s="33"/>
      <c r="F530" s="33"/>
      <c r="G530" s="33"/>
      <c r="H530" s="33"/>
    </row>
    <row r="531" spans="1:8" ht="19.95" customHeight="1">
      <c r="A531" s="33"/>
      <c r="B531" s="33"/>
      <c r="C531" s="33"/>
      <c r="D531" s="33"/>
      <c r="E531" s="33"/>
      <c r="F531" s="33"/>
      <c r="G531" s="33"/>
      <c r="H531" s="33"/>
    </row>
    <row r="532" spans="1:8" ht="19.95" customHeight="1">
      <c r="A532" s="33"/>
      <c r="B532" s="33"/>
      <c r="C532" s="33"/>
      <c r="D532" s="33"/>
      <c r="E532" s="33"/>
      <c r="F532" s="33"/>
      <c r="G532" s="33"/>
      <c r="H532" s="33"/>
    </row>
    <row r="533" spans="1:8" ht="19.95" customHeight="1">
      <c r="A533" s="33"/>
      <c r="B533" s="33"/>
      <c r="C533" s="33"/>
      <c r="D533" s="33"/>
      <c r="E533" s="33"/>
      <c r="F533" s="33"/>
      <c r="G533" s="33"/>
      <c r="H533" s="33"/>
    </row>
    <row r="534" spans="1:8" ht="19.95" customHeight="1">
      <c r="A534" s="33"/>
      <c r="B534" s="33"/>
      <c r="C534" s="33"/>
      <c r="D534" s="33"/>
      <c r="E534" s="33"/>
      <c r="F534" s="33"/>
      <c r="G534" s="33"/>
      <c r="H534" s="33"/>
    </row>
    <row r="535" spans="1:8" ht="19.95" customHeight="1">
      <c r="A535" s="33"/>
      <c r="B535" s="33"/>
      <c r="C535" s="33"/>
      <c r="D535" s="33"/>
      <c r="E535" s="33"/>
      <c r="F535" s="33"/>
      <c r="G535" s="33"/>
      <c r="H535" s="33"/>
    </row>
    <row r="536" spans="1:8" ht="19.95" customHeight="1">
      <c r="A536" s="33"/>
      <c r="B536" s="33"/>
      <c r="C536" s="33"/>
      <c r="D536" s="33"/>
      <c r="E536" s="33"/>
      <c r="F536" s="33"/>
      <c r="G536" s="33"/>
      <c r="H536" s="33"/>
    </row>
    <row r="537" spans="1:8" ht="19.95" customHeight="1">
      <c r="A537" s="33"/>
      <c r="B537" s="33"/>
      <c r="C537" s="33"/>
      <c r="D537" s="33"/>
      <c r="E537" s="33"/>
      <c r="F537" s="33"/>
      <c r="G537" s="33"/>
      <c r="H537" s="33"/>
    </row>
    <row r="538" spans="1:8" ht="19.95" customHeight="1">
      <c r="A538" s="33"/>
      <c r="B538" s="33"/>
      <c r="C538" s="33"/>
      <c r="D538" s="33"/>
      <c r="E538" s="33"/>
      <c r="F538" s="33"/>
      <c r="G538" s="33"/>
      <c r="H538" s="33"/>
    </row>
    <row r="539" spans="1:8" ht="19.95" customHeight="1">
      <c r="A539" s="33"/>
      <c r="B539" s="33"/>
      <c r="C539" s="33"/>
      <c r="D539" s="33"/>
      <c r="E539" s="33"/>
      <c r="F539" s="33"/>
      <c r="G539" s="33"/>
      <c r="H539" s="33"/>
    </row>
    <row r="540" spans="1:8" ht="19.95" customHeight="1">
      <c r="A540" s="33"/>
      <c r="B540" s="33"/>
      <c r="C540" s="33"/>
      <c r="D540" s="33"/>
      <c r="E540" s="33"/>
      <c r="F540" s="33"/>
      <c r="G540" s="33"/>
      <c r="H540" s="33"/>
    </row>
    <row r="541" spans="1:8" ht="19.95" customHeight="1">
      <c r="A541" s="33"/>
      <c r="B541" s="33"/>
      <c r="C541" s="33"/>
      <c r="D541" s="33"/>
      <c r="E541" s="33"/>
      <c r="F541" s="33"/>
      <c r="G541" s="33"/>
      <c r="H541" s="33"/>
    </row>
    <row r="542" spans="1:8" ht="19.95" customHeight="1">
      <c r="A542" s="33"/>
      <c r="B542" s="33"/>
      <c r="C542" s="33"/>
      <c r="D542" s="33"/>
      <c r="E542" s="33"/>
      <c r="F542" s="33"/>
      <c r="G542" s="33"/>
      <c r="H542" s="33"/>
    </row>
    <row r="543" spans="1:8" ht="19.95" customHeight="1">
      <c r="A543" s="33"/>
      <c r="B543" s="33"/>
      <c r="C543" s="33"/>
      <c r="D543" s="33"/>
      <c r="E543" s="33"/>
      <c r="F543" s="33"/>
      <c r="G543" s="33"/>
      <c r="H543" s="33"/>
    </row>
    <row r="544" spans="1:8" ht="19.95" customHeight="1">
      <c r="A544" s="33"/>
      <c r="B544" s="33"/>
      <c r="C544" s="33"/>
      <c r="D544" s="33"/>
      <c r="E544" s="33"/>
      <c r="F544" s="33"/>
      <c r="G544" s="33"/>
      <c r="H544" s="33"/>
    </row>
    <row r="545" spans="1:8" ht="19.95" customHeight="1">
      <c r="A545" s="33"/>
      <c r="B545" s="33"/>
      <c r="C545" s="33"/>
      <c r="D545" s="33"/>
      <c r="E545" s="33"/>
      <c r="F545" s="33"/>
      <c r="G545" s="33"/>
      <c r="H545" s="33"/>
    </row>
    <row r="546" spans="1:8" ht="19.95" customHeight="1">
      <c r="A546" s="33"/>
      <c r="B546" s="33"/>
      <c r="C546" s="33"/>
      <c r="D546" s="33"/>
      <c r="E546" s="33"/>
      <c r="F546" s="33"/>
      <c r="G546" s="33"/>
      <c r="H546" s="33"/>
    </row>
    <row r="547" spans="1:8" ht="19.95" customHeight="1">
      <c r="A547" s="33"/>
      <c r="B547" s="33"/>
      <c r="C547" s="33"/>
      <c r="D547" s="33"/>
      <c r="E547" s="33"/>
      <c r="F547" s="33"/>
      <c r="G547" s="33"/>
      <c r="H547" s="33"/>
    </row>
    <row r="548" spans="1:8" ht="19.95" customHeight="1">
      <c r="A548" s="33"/>
      <c r="B548" s="33"/>
      <c r="C548" s="33"/>
      <c r="D548" s="33"/>
      <c r="E548" s="33"/>
      <c r="F548" s="33"/>
      <c r="G548" s="33"/>
      <c r="H548" s="33"/>
    </row>
    <row r="549" spans="1:8" ht="19.95" customHeight="1">
      <c r="A549" s="33"/>
      <c r="B549" s="33"/>
      <c r="C549" s="33"/>
      <c r="D549" s="33"/>
      <c r="E549" s="33"/>
      <c r="F549" s="33"/>
      <c r="G549" s="33"/>
      <c r="H549" s="33"/>
    </row>
    <row r="550" spans="1:8" ht="19.95" customHeight="1">
      <c r="A550" s="33"/>
      <c r="B550" s="33"/>
      <c r="C550" s="33"/>
      <c r="D550" s="33"/>
      <c r="E550" s="33"/>
      <c r="F550" s="33"/>
      <c r="G550" s="33"/>
      <c r="H550" s="33"/>
    </row>
    <row r="551" spans="1:8" ht="19.95" customHeight="1">
      <c r="A551" s="33"/>
      <c r="B551" s="33"/>
      <c r="C551" s="33"/>
      <c r="D551" s="33"/>
      <c r="E551" s="33"/>
      <c r="F551" s="33"/>
      <c r="G551" s="33"/>
      <c r="H551" s="33"/>
    </row>
    <row r="552" spans="1:8" ht="19.95" customHeight="1">
      <c r="A552" s="33"/>
      <c r="B552" s="33"/>
      <c r="C552" s="33"/>
      <c r="D552" s="33"/>
      <c r="E552" s="33"/>
      <c r="F552" s="33"/>
      <c r="G552" s="33"/>
      <c r="H552" s="33"/>
    </row>
    <row r="553" spans="1:8" ht="19.95" customHeight="1">
      <c r="A553" s="33"/>
      <c r="B553" s="33"/>
      <c r="C553" s="33"/>
      <c r="D553" s="33"/>
      <c r="E553" s="33"/>
      <c r="F553" s="33"/>
      <c r="G553" s="33"/>
      <c r="H553" s="33"/>
    </row>
    <row r="554" spans="1:8" ht="19.95" customHeight="1">
      <c r="A554" s="33"/>
      <c r="B554" s="33"/>
      <c r="C554" s="33"/>
      <c r="D554" s="33"/>
      <c r="E554" s="33"/>
      <c r="F554" s="33"/>
      <c r="G554" s="33"/>
      <c r="H554" s="33"/>
    </row>
    <row r="555" spans="1:8" ht="19.95" customHeight="1">
      <c r="A555" s="33"/>
      <c r="B555" s="33"/>
      <c r="C555" s="33"/>
      <c r="D555" s="33"/>
      <c r="E555" s="33"/>
      <c r="F555" s="33"/>
      <c r="G555" s="33"/>
      <c r="H555" s="33"/>
    </row>
    <row r="556" spans="1:8" ht="19.95" customHeight="1">
      <c r="A556" s="33"/>
      <c r="B556" s="33"/>
      <c r="C556" s="33"/>
      <c r="D556" s="33"/>
      <c r="E556" s="33"/>
      <c r="F556" s="33"/>
      <c r="G556" s="33"/>
      <c r="H556" s="33"/>
    </row>
    <row r="557" spans="1:8" ht="19.95" customHeight="1">
      <c r="A557" s="33"/>
      <c r="B557" s="33"/>
      <c r="C557" s="33"/>
      <c r="D557" s="33"/>
      <c r="E557" s="33"/>
      <c r="F557" s="33"/>
      <c r="G557" s="33"/>
      <c r="H557" s="33"/>
    </row>
    <row r="558" spans="1:8" ht="19.95" customHeight="1">
      <c r="A558" s="33"/>
      <c r="B558" s="33"/>
      <c r="C558" s="33"/>
      <c r="D558" s="33"/>
      <c r="E558" s="33"/>
      <c r="F558" s="33"/>
      <c r="G558" s="33"/>
      <c r="H558" s="33"/>
    </row>
    <row r="559" spans="1:8" ht="19.95" customHeight="1">
      <c r="A559" s="33"/>
      <c r="B559" s="33"/>
      <c r="C559" s="33"/>
      <c r="D559" s="33"/>
      <c r="E559" s="33"/>
      <c r="F559" s="33"/>
      <c r="G559" s="33"/>
      <c r="H559" s="33"/>
    </row>
    <row r="560" spans="1:8" ht="19.95" customHeight="1">
      <c r="A560" s="33"/>
      <c r="B560" s="33"/>
      <c r="C560" s="33"/>
      <c r="D560" s="33"/>
      <c r="E560" s="33"/>
      <c r="F560" s="33"/>
      <c r="G560" s="33"/>
      <c r="H560" s="33"/>
    </row>
    <row r="561" spans="1:8" ht="19.95" customHeight="1">
      <c r="A561" s="33"/>
      <c r="B561" s="33"/>
      <c r="C561" s="33"/>
      <c r="D561" s="33"/>
      <c r="E561" s="33"/>
      <c r="F561" s="33"/>
      <c r="G561" s="33"/>
      <c r="H561" s="33"/>
    </row>
    <row r="562" spans="1:8" ht="19.95" customHeight="1">
      <c r="A562" s="33"/>
      <c r="B562" s="33"/>
      <c r="C562" s="33"/>
      <c r="D562" s="33"/>
      <c r="E562" s="33"/>
      <c r="F562" s="33"/>
      <c r="G562" s="33"/>
      <c r="H562" s="33"/>
    </row>
    <row r="563" spans="1:8" ht="19.95" customHeight="1">
      <c r="A563" s="33"/>
      <c r="B563" s="33"/>
      <c r="C563" s="33"/>
      <c r="D563" s="33"/>
      <c r="E563" s="33"/>
      <c r="F563" s="33"/>
      <c r="G563" s="33"/>
      <c r="H563" s="33"/>
    </row>
    <row r="564" spans="1:8" ht="19.95" customHeight="1">
      <c r="A564" s="33"/>
      <c r="B564" s="33"/>
      <c r="C564" s="33"/>
      <c r="D564" s="33"/>
      <c r="E564" s="33"/>
      <c r="F564" s="33"/>
      <c r="G564" s="33"/>
      <c r="H564" s="33"/>
    </row>
    <row r="565" spans="1:8" ht="19.95" customHeight="1">
      <c r="A565" s="33"/>
      <c r="B565" s="33"/>
      <c r="C565" s="33"/>
      <c r="D565" s="33"/>
      <c r="E565" s="33"/>
      <c r="F565" s="33"/>
      <c r="G565" s="33"/>
      <c r="H565" s="33"/>
    </row>
    <row r="566" spans="1:8" ht="19.95" customHeight="1">
      <c r="A566" s="33"/>
      <c r="B566" s="33"/>
      <c r="C566" s="33"/>
      <c r="D566" s="33"/>
      <c r="E566" s="33"/>
      <c r="F566" s="33"/>
      <c r="G566" s="33"/>
      <c r="H566" s="33"/>
    </row>
    <row r="567" spans="1:8" ht="19.95" customHeight="1">
      <c r="A567" s="33"/>
      <c r="B567" s="33"/>
      <c r="C567" s="33"/>
      <c r="D567" s="33"/>
      <c r="E567" s="33"/>
      <c r="F567" s="33"/>
      <c r="G567" s="33"/>
      <c r="H567" s="33"/>
    </row>
    <row r="568" spans="1:8" ht="19.95" customHeight="1">
      <c r="A568" s="33"/>
      <c r="B568" s="33"/>
      <c r="C568" s="33"/>
      <c r="D568" s="33"/>
      <c r="E568" s="33"/>
      <c r="F568" s="33"/>
      <c r="G568" s="33"/>
      <c r="H568" s="33"/>
    </row>
    <row r="569" spans="1:8" ht="19.95" customHeight="1">
      <c r="A569" s="33"/>
      <c r="B569" s="33"/>
      <c r="C569" s="33"/>
      <c r="D569" s="33"/>
      <c r="E569" s="33"/>
      <c r="F569" s="33"/>
      <c r="G569" s="33"/>
      <c r="H569" s="33"/>
    </row>
    <row r="570" spans="1:8" ht="19.95" customHeight="1">
      <c r="A570" s="33"/>
      <c r="B570" s="33"/>
      <c r="C570" s="33"/>
      <c r="D570" s="33"/>
      <c r="E570" s="33"/>
      <c r="F570" s="33"/>
      <c r="G570" s="33"/>
      <c r="H570" s="33"/>
    </row>
    <row r="571" spans="1:8" ht="19.95" customHeight="1">
      <c r="A571" s="33"/>
      <c r="B571" s="33"/>
      <c r="C571" s="33"/>
      <c r="D571" s="33"/>
      <c r="E571" s="33"/>
      <c r="F571" s="33"/>
      <c r="G571" s="33"/>
      <c r="H571" s="33"/>
    </row>
    <row r="572" spans="1:8" ht="19.95" customHeight="1">
      <c r="A572" s="33"/>
      <c r="B572" s="33"/>
      <c r="C572" s="33"/>
      <c r="D572" s="33"/>
      <c r="E572" s="33"/>
      <c r="F572" s="33"/>
      <c r="G572" s="33"/>
      <c r="H572" s="33"/>
    </row>
    <row r="573" spans="1:8" ht="19.95" customHeight="1">
      <c r="A573" s="33"/>
      <c r="B573" s="33"/>
      <c r="C573" s="33"/>
      <c r="D573" s="33"/>
      <c r="E573" s="33"/>
      <c r="F573" s="33"/>
      <c r="G573" s="33"/>
      <c r="H573" s="33"/>
    </row>
    <row r="574" spans="1:8" ht="19.95" customHeight="1">
      <c r="A574" s="33"/>
      <c r="B574" s="33"/>
      <c r="C574" s="33"/>
      <c r="D574" s="33"/>
      <c r="E574" s="33"/>
      <c r="F574" s="33"/>
      <c r="G574" s="33"/>
      <c r="H574" s="33"/>
    </row>
    <row r="575" spans="1:8" ht="19.95" customHeight="1">
      <c r="A575" s="33"/>
      <c r="B575" s="33"/>
      <c r="C575" s="33"/>
      <c r="D575" s="33"/>
      <c r="E575" s="33"/>
      <c r="F575" s="33"/>
      <c r="G575" s="33"/>
      <c r="H575" s="33"/>
    </row>
    <row r="576" spans="1:8" ht="19.95" customHeight="1">
      <c r="A576" s="33"/>
      <c r="B576" s="33"/>
      <c r="C576" s="33"/>
      <c r="D576" s="33"/>
      <c r="E576" s="33"/>
      <c r="F576" s="33"/>
      <c r="G576" s="33"/>
      <c r="H576" s="33"/>
    </row>
    <row r="577" spans="1:8" ht="19.95" customHeight="1">
      <c r="A577" s="33"/>
      <c r="B577" s="33"/>
      <c r="C577" s="33"/>
      <c r="D577" s="33"/>
      <c r="E577" s="33"/>
      <c r="F577" s="33"/>
      <c r="G577" s="33"/>
      <c r="H577" s="33"/>
    </row>
    <row r="578" spans="1:8" ht="19.95" customHeight="1">
      <c r="A578" s="33"/>
      <c r="B578" s="33"/>
      <c r="C578" s="33"/>
      <c r="D578" s="33"/>
      <c r="E578" s="33"/>
      <c r="F578" s="33"/>
      <c r="G578" s="33"/>
      <c r="H578" s="33"/>
    </row>
    <row r="579" spans="1:8" ht="19.95" customHeight="1">
      <c r="A579" s="33"/>
      <c r="B579" s="33"/>
      <c r="C579" s="33"/>
      <c r="D579" s="33"/>
      <c r="E579" s="33"/>
      <c r="F579" s="33"/>
      <c r="G579" s="33"/>
      <c r="H579" s="33"/>
    </row>
    <row r="580" spans="1:8" ht="19.95" customHeight="1">
      <c r="A580" s="33"/>
      <c r="B580" s="33"/>
      <c r="C580" s="33"/>
      <c r="D580" s="33"/>
      <c r="E580" s="33"/>
      <c r="F580" s="33"/>
      <c r="G580" s="33"/>
      <c r="H580" s="33"/>
    </row>
    <row r="581" spans="1:8" ht="19.95" customHeight="1">
      <c r="A581" s="33"/>
      <c r="B581" s="33"/>
      <c r="C581" s="33"/>
      <c r="D581" s="33"/>
      <c r="E581" s="33"/>
      <c r="F581" s="33"/>
      <c r="G581" s="33"/>
      <c r="H581" s="33"/>
    </row>
    <row r="582" spans="1:8" ht="19.95" customHeight="1">
      <c r="A582" s="33"/>
      <c r="B582" s="33"/>
      <c r="C582" s="33"/>
      <c r="D582" s="33"/>
      <c r="E582" s="33"/>
      <c r="F582" s="33"/>
      <c r="G582" s="33"/>
      <c r="H582" s="33"/>
    </row>
    <row r="583" spans="1:8" ht="19.95" customHeight="1">
      <c r="A583" s="33"/>
      <c r="B583" s="33"/>
      <c r="C583" s="33"/>
      <c r="D583" s="33"/>
      <c r="E583" s="33"/>
      <c r="F583" s="33"/>
      <c r="G583" s="33"/>
      <c r="H583" s="33"/>
    </row>
    <row r="584" spans="1:8" ht="19.95" customHeight="1">
      <c r="A584" s="33"/>
      <c r="B584" s="33"/>
      <c r="C584" s="33"/>
      <c r="D584" s="33"/>
      <c r="E584" s="33"/>
      <c r="F584" s="33"/>
      <c r="G584" s="33"/>
      <c r="H584" s="33"/>
    </row>
    <row r="585" spans="1:8" ht="19.95" customHeight="1">
      <c r="A585" s="33"/>
      <c r="B585" s="33"/>
      <c r="C585" s="33"/>
      <c r="D585" s="33"/>
      <c r="E585" s="33"/>
      <c r="F585" s="33"/>
      <c r="G585" s="33"/>
      <c r="H585" s="33"/>
    </row>
    <row r="586" spans="1:8" ht="19.95" customHeight="1">
      <c r="A586" s="33"/>
      <c r="B586" s="33"/>
      <c r="C586" s="33"/>
      <c r="D586" s="33"/>
      <c r="E586" s="33"/>
      <c r="F586" s="33"/>
      <c r="G586" s="33"/>
      <c r="H586" s="33"/>
    </row>
    <row r="587" spans="1:8" ht="19.95" customHeight="1">
      <c r="A587" s="33"/>
      <c r="B587" s="33"/>
      <c r="C587" s="33"/>
      <c r="D587" s="33"/>
      <c r="E587" s="33"/>
      <c r="F587" s="33"/>
      <c r="G587" s="33"/>
      <c r="H587" s="33"/>
    </row>
    <row r="588" spans="1:8" ht="19.95" customHeight="1">
      <c r="A588" s="33"/>
      <c r="B588" s="33"/>
      <c r="C588" s="33"/>
      <c r="D588" s="33"/>
      <c r="E588" s="33"/>
      <c r="F588" s="33"/>
      <c r="G588" s="33"/>
      <c r="H588" s="33"/>
    </row>
    <row r="589" spans="1:8" ht="19.95" customHeight="1">
      <c r="A589" s="33"/>
      <c r="B589" s="33"/>
      <c r="C589" s="33"/>
      <c r="D589" s="33"/>
      <c r="E589" s="33"/>
      <c r="F589" s="33"/>
      <c r="G589" s="33"/>
      <c r="H589" s="33"/>
    </row>
    <row r="590" spans="1:8" ht="19.95" customHeight="1">
      <c r="A590" s="33"/>
      <c r="B590" s="33"/>
      <c r="C590" s="33"/>
      <c r="D590" s="33"/>
      <c r="E590" s="33"/>
      <c r="F590" s="33"/>
      <c r="G590" s="33"/>
      <c r="H590" s="33"/>
    </row>
    <row r="591" spans="1:8" ht="19.95" customHeight="1">
      <c r="A591" s="33"/>
      <c r="B591" s="33"/>
      <c r="C591" s="33"/>
      <c r="D591" s="33"/>
      <c r="E591" s="33"/>
      <c r="F591" s="33"/>
      <c r="G591" s="33"/>
      <c r="H591" s="33"/>
    </row>
    <row r="592" spans="1:8" ht="19.95" customHeight="1">
      <c r="A592" s="33"/>
      <c r="B592" s="33"/>
      <c r="C592" s="33"/>
      <c r="D592" s="33"/>
      <c r="E592" s="33"/>
      <c r="F592" s="33"/>
      <c r="G592" s="33"/>
      <c r="H592" s="33"/>
    </row>
    <row r="593" spans="1:8" ht="19.95" customHeight="1">
      <c r="A593" s="33"/>
      <c r="B593" s="33"/>
      <c r="C593" s="33"/>
      <c r="D593" s="33"/>
      <c r="E593" s="33"/>
      <c r="F593" s="33"/>
      <c r="G593" s="33"/>
      <c r="H593" s="33"/>
    </row>
    <row r="594" spans="1:8" ht="19.95" customHeight="1">
      <c r="A594" s="33"/>
      <c r="B594" s="33"/>
      <c r="C594" s="33"/>
      <c r="D594" s="33"/>
      <c r="E594" s="33"/>
      <c r="F594" s="33"/>
      <c r="G594" s="33"/>
      <c r="H594" s="33"/>
    </row>
    <row r="595" spans="1:8" ht="19.95" customHeight="1">
      <c r="A595" s="33"/>
      <c r="B595" s="33"/>
      <c r="C595" s="33"/>
      <c r="D595" s="33"/>
      <c r="E595" s="33"/>
      <c r="F595" s="33"/>
      <c r="G595" s="33"/>
      <c r="H595" s="33"/>
    </row>
    <row r="596" spans="1:8" ht="19.95" customHeight="1">
      <c r="A596" s="33"/>
      <c r="B596" s="33"/>
      <c r="C596" s="33"/>
      <c r="D596" s="33"/>
      <c r="E596" s="33"/>
      <c r="F596" s="33"/>
      <c r="G596" s="33"/>
      <c r="H596" s="33"/>
    </row>
    <row r="597" spans="1:8" ht="19.95" customHeight="1">
      <c r="A597" s="33"/>
      <c r="B597" s="33"/>
      <c r="C597" s="33"/>
      <c r="D597" s="33"/>
      <c r="E597" s="33"/>
      <c r="F597" s="33"/>
      <c r="G597" s="33"/>
      <c r="H597" s="33"/>
    </row>
    <row r="598" spans="1:8" ht="19.95" customHeight="1">
      <c r="A598" s="33"/>
      <c r="B598" s="33"/>
      <c r="C598" s="33"/>
      <c r="D598" s="33"/>
      <c r="E598" s="33"/>
      <c r="F598" s="33"/>
      <c r="G598" s="33"/>
      <c r="H598" s="33"/>
    </row>
    <row r="599" spans="1:8" ht="19.95" customHeight="1">
      <c r="A599" s="33"/>
      <c r="B599" s="33"/>
      <c r="C599" s="33"/>
      <c r="D599" s="33"/>
      <c r="E599" s="33"/>
      <c r="F599" s="33"/>
      <c r="G599" s="33"/>
      <c r="H599" s="33"/>
    </row>
    <row r="600" spans="1:8" ht="19.95" customHeight="1">
      <c r="A600" s="33"/>
      <c r="B600" s="33"/>
      <c r="C600" s="33"/>
      <c r="D600" s="33"/>
      <c r="E600" s="33"/>
      <c r="F600" s="33"/>
      <c r="G600" s="33"/>
      <c r="H600" s="33"/>
    </row>
    <row r="601" spans="1:8" ht="19.95" customHeight="1">
      <c r="A601" s="33"/>
      <c r="B601" s="33"/>
      <c r="C601" s="33"/>
      <c r="D601" s="33"/>
      <c r="E601" s="33"/>
      <c r="F601" s="33"/>
      <c r="G601" s="33"/>
      <c r="H601" s="33"/>
    </row>
    <row r="602" spans="1:8" ht="19.95" customHeight="1">
      <c r="A602" s="33"/>
      <c r="B602" s="33"/>
      <c r="C602" s="33"/>
      <c r="D602" s="33"/>
      <c r="E602" s="33"/>
      <c r="F602" s="33"/>
      <c r="G602" s="33"/>
      <c r="H602" s="33"/>
    </row>
    <row r="603" spans="1:8" ht="19.95" customHeight="1">
      <c r="A603" s="33"/>
      <c r="B603" s="33"/>
      <c r="C603" s="33"/>
      <c r="D603" s="33"/>
      <c r="E603" s="33"/>
      <c r="F603" s="33"/>
      <c r="G603" s="33"/>
      <c r="H603" s="33"/>
    </row>
    <row r="604" spans="1:8" ht="19.95" customHeight="1">
      <c r="A604" s="33"/>
      <c r="B604" s="33"/>
      <c r="C604" s="33"/>
      <c r="D604" s="33"/>
      <c r="E604" s="33"/>
      <c r="F604" s="33"/>
      <c r="G604" s="33"/>
      <c r="H604" s="33"/>
    </row>
    <row r="605" spans="1:8" ht="19.95" customHeight="1">
      <c r="A605" s="33"/>
      <c r="B605" s="33"/>
      <c r="C605" s="33"/>
      <c r="D605" s="33"/>
      <c r="E605" s="33"/>
      <c r="F605" s="33"/>
      <c r="G605" s="33"/>
      <c r="H605" s="33"/>
    </row>
    <row r="606" spans="1:8" ht="19.95" customHeight="1">
      <c r="A606" s="33"/>
      <c r="B606" s="33"/>
      <c r="C606" s="33"/>
      <c r="D606" s="33"/>
      <c r="E606" s="33"/>
      <c r="F606" s="33"/>
      <c r="G606" s="33"/>
      <c r="H606" s="33"/>
    </row>
    <row r="607" spans="1:8" ht="19.95" customHeight="1">
      <c r="A607" s="33"/>
      <c r="B607" s="33"/>
      <c r="C607" s="33"/>
      <c r="D607" s="33"/>
      <c r="E607" s="33"/>
      <c r="F607" s="33"/>
      <c r="G607" s="33"/>
      <c r="H607" s="33"/>
    </row>
    <row r="608" spans="1:8" ht="19.95" customHeight="1">
      <c r="A608" s="33"/>
      <c r="B608" s="33"/>
      <c r="C608" s="33"/>
      <c r="D608" s="33"/>
      <c r="E608" s="33"/>
      <c r="F608" s="33"/>
      <c r="G608" s="33"/>
      <c r="H608" s="33"/>
    </row>
    <row r="609" spans="1:8" ht="19.95" customHeight="1">
      <c r="A609" s="33"/>
      <c r="B609" s="33"/>
      <c r="C609" s="33"/>
      <c r="D609" s="33"/>
      <c r="E609" s="33"/>
      <c r="F609" s="33"/>
      <c r="G609" s="33"/>
      <c r="H609" s="33"/>
    </row>
    <row r="610" spans="1:8" ht="19.95" customHeight="1">
      <c r="A610" s="33"/>
      <c r="B610" s="33"/>
      <c r="C610" s="33"/>
      <c r="D610" s="33"/>
      <c r="E610" s="33"/>
      <c r="F610" s="33"/>
      <c r="G610" s="33"/>
      <c r="H610" s="33"/>
    </row>
    <row r="611" spans="1:8" ht="19.95" customHeight="1">
      <c r="A611" s="33"/>
      <c r="B611" s="33"/>
      <c r="C611" s="33"/>
      <c r="D611" s="33"/>
      <c r="E611" s="33"/>
      <c r="F611" s="33"/>
      <c r="G611" s="33"/>
      <c r="H611" s="33"/>
    </row>
    <row r="612" spans="1:8" ht="19.95" customHeight="1">
      <c r="A612" s="33"/>
      <c r="B612" s="33"/>
      <c r="C612" s="33"/>
      <c r="D612" s="33"/>
      <c r="E612" s="33"/>
      <c r="F612" s="33"/>
      <c r="G612" s="33"/>
      <c r="H612" s="33"/>
    </row>
    <row r="613" spans="1:8" ht="19.95" customHeight="1">
      <c r="A613" s="33"/>
      <c r="B613" s="33"/>
      <c r="C613" s="33"/>
      <c r="D613" s="33"/>
      <c r="E613" s="33"/>
      <c r="F613" s="33"/>
      <c r="G613" s="33"/>
      <c r="H613" s="33"/>
    </row>
    <row r="614" spans="1:8" ht="19.95" customHeight="1">
      <c r="A614" s="33"/>
      <c r="B614" s="33"/>
      <c r="C614" s="33"/>
      <c r="D614" s="33"/>
      <c r="E614" s="33"/>
      <c r="F614" s="33"/>
      <c r="G614" s="33"/>
      <c r="H614" s="33"/>
    </row>
    <row r="615" spans="1:8" ht="19.95" customHeight="1">
      <c r="A615" s="33"/>
      <c r="B615" s="33"/>
      <c r="C615" s="33"/>
      <c r="D615" s="33"/>
      <c r="E615" s="33"/>
      <c r="F615" s="33"/>
      <c r="G615" s="33"/>
      <c r="H615" s="33"/>
    </row>
    <row r="616" spans="1:8" ht="19.95" customHeight="1">
      <c r="A616" s="33"/>
      <c r="B616" s="33"/>
      <c r="C616" s="33"/>
      <c r="D616" s="33"/>
      <c r="E616" s="33"/>
      <c r="F616" s="33"/>
      <c r="G616" s="33"/>
      <c r="H616" s="33"/>
    </row>
    <row r="617" spans="1:8" ht="19.95" customHeight="1">
      <c r="A617" s="33"/>
      <c r="B617" s="33"/>
      <c r="C617" s="33"/>
      <c r="D617" s="33"/>
      <c r="E617" s="33"/>
      <c r="F617" s="33"/>
      <c r="G617" s="33"/>
      <c r="H617" s="33"/>
    </row>
    <row r="618" spans="1:8" ht="19.95" customHeight="1">
      <c r="A618" s="33"/>
      <c r="B618" s="33"/>
      <c r="C618" s="33"/>
      <c r="D618" s="33"/>
      <c r="E618" s="33"/>
      <c r="F618" s="33"/>
      <c r="G618" s="33"/>
      <c r="H618" s="33"/>
    </row>
    <row r="619" spans="1:8" ht="19.95" customHeight="1">
      <c r="A619" s="33"/>
      <c r="B619" s="33"/>
      <c r="C619" s="33"/>
      <c r="D619" s="33"/>
      <c r="E619" s="33"/>
      <c r="F619" s="33"/>
      <c r="G619" s="33"/>
      <c r="H619" s="33"/>
    </row>
    <row r="620" spans="1:8" ht="19.95" customHeight="1">
      <c r="A620" s="33"/>
      <c r="B620" s="33"/>
      <c r="C620" s="33"/>
      <c r="D620" s="33"/>
      <c r="E620" s="33"/>
      <c r="F620" s="33"/>
      <c r="G620" s="33"/>
      <c r="H620" s="33"/>
    </row>
    <row r="621" spans="1:8" ht="19.95" customHeight="1">
      <c r="A621" s="33"/>
      <c r="B621" s="33"/>
      <c r="C621" s="33"/>
      <c r="D621" s="33"/>
      <c r="E621" s="33"/>
      <c r="F621" s="33"/>
      <c r="G621" s="33"/>
      <c r="H621" s="33"/>
    </row>
    <row r="622" spans="1:8" ht="19.95" customHeight="1">
      <c r="A622" s="33"/>
      <c r="B622" s="33"/>
      <c r="C622" s="33"/>
      <c r="D622" s="33"/>
      <c r="E622" s="33"/>
      <c r="F622" s="33"/>
      <c r="G622" s="33"/>
      <c r="H622" s="33"/>
    </row>
    <row r="623" spans="1:8" ht="19.95" customHeight="1">
      <c r="A623" s="33"/>
      <c r="B623" s="33"/>
      <c r="C623" s="33"/>
      <c r="D623" s="33"/>
      <c r="E623" s="33"/>
      <c r="F623" s="33"/>
      <c r="G623" s="33"/>
      <c r="H623" s="33"/>
    </row>
    <row r="624" spans="1:8" ht="19.95" customHeight="1">
      <c r="A624" s="33"/>
      <c r="B624" s="33"/>
      <c r="C624" s="33"/>
      <c r="D624" s="33"/>
      <c r="E624" s="33"/>
      <c r="F624" s="33"/>
      <c r="G624" s="33"/>
      <c r="H624" s="33"/>
    </row>
    <row r="625" spans="1:8" ht="19.95" customHeight="1">
      <c r="A625" s="33"/>
      <c r="B625" s="33"/>
      <c r="C625" s="33"/>
      <c r="D625" s="33"/>
      <c r="E625" s="33"/>
      <c r="F625" s="33"/>
      <c r="G625" s="33"/>
      <c r="H625" s="33"/>
    </row>
    <row r="626" spans="1:8" ht="19.95" customHeight="1">
      <c r="A626" s="33"/>
      <c r="B626" s="33"/>
      <c r="C626" s="33"/>
      <c r="D626" s="33"/>
      <c r="E626" s="33"/>
      <c r="F626" s="33"/>
      <c r="G626" s="33"/>
      <c r="H626" s="33"/>
    </row>
    <row r="627" spans="1:8" ht="19.95" customHeight="1">
      <c r="A627" s="33"/>
      <c r="B627" s="33"/>
      <c r="C627" s="33"/>
      <c r="D627" s="33"/>
      <c r="E627" s="33"/>
      <c r="F627" s="33"/>
      <c r="G627" s="33"/>
      <c r="H627" s="33"/>
    </row>
    <row r="628" spans="1:8" ht="19.95" customHeight="1">
      <c r="A628" s="33"/>
      <c r="B628" s="33"/>
      <c r="C628" s="33"/>
      <c r="D628" s="33"/>
      <c r="E628" s="33"/>
      <c r="F628" s="33"/>
      <c r="G628" s="33"/>
      <c r="H628" s="33"/>
    </row>
    <row r="629" spans="1:8" ht="19.95" customHeight="1">
      <c r="A629" s="33"/>
      <c r="B629" s="33"/>
      <c r="C629" s="33"/>
      <c r="D629" s="33"/>
      <c r="E629" s="33"/>
      <c r="F629" s="33"/>
      <c r="G629" s="33"/>
      <c r="H629" s="33"/>
    </row>
    <row r="630" spans="1:8" ht="19.95" customHeight="1">
      <c r="A630" s="33"/>
      <c r="B630" s="33"/>
      <c r="C630" s="33"/>
      <c r="D630" s="33"/>
      <c r="E630" s="33"/>
      <c r="F630" s="33"/>
      <c r="G630" s="33"/>
      <c r="H630" s="33"/>
    </row>
    <row r="631" spans="1:8" ht="19.95" customHeight="1">
      <c r="A631" s="33"/>
      <c r="B631" s="33"/>
      <c r="C631" s="33"/>
      <c r="D631" s="33"/>
      <c r="E631" s="33"/>
      <c r="F631" s="33"/>
      <c r="G631" s="33"/>
      <c r="H631" s="33"/>
    </row>
    <row r="632" spans="1:8" ht="19.95" customHeight="1">
      <c r="A632" s="33"/>
      <c r="B632" s="33"/>
      <c r="C632" s="33"/>
      <c r="D632" s="33"/>
      <c r="E632" s="33"/>
      <c r="F632" s="33"/>
      <c r="G632" s="33"/>
      <c r="H632" s="33"/>
    </row>
    <row r="633" spans="1:8" ht="19.95" customHeight="1">
      <c r="A633" s="33"/>
      <c r="B633" s="33"/>
      <c r="C633" s="33"/>
      <c r="D633" s="33"/>
      <c r="E633" s="33"/>
      <c r="F633" s="33"/>
      <c r="G633" s="33"/>
      <c r="H633" s="33"/>
    </row>
    <row r="634" spans="1:8" ht="19.95" customHeight="1">
      <c r="A634" s="33"/>
      <c r="B634" s="33"/>
      <c r="C634" s="33"/>
      <c r="D634" s="33"/>
      <c r="E634" s="33"/>
      <c r="F634" s="33"/>
      <c r="G634" s="33"/>
      <c r="H634" s="33"/>
    </row>
    <row r="635" spans="1:8" ht="19.95" customHeight="1">
      <c r="A635" s="33"/>
      <c r="B635" s="33"/>
      <c r="C635" s="33"/>
      <c r="D635" s="33"/>
      <c r="E635" s="33"/>
      <c r="F635" s="33"/>
      <c r="G635" s="33"/>
      <c r="H635" s="33"/>
    </row>
    <row r="636" spans="1:8" ht="19.95" customHeight="1">
      <c r="A636" s="33"/>
      <c r="B636" s="33"/>
      <c r="C636" s="33"/>
      <c r="D636" s="33"/>
      <c r="E636" s="33"/>
      <c r="F636" s="33"/>
      <c r="G636" s="33"/>
      <c r="H636" s="33"/>
    </row>
    <row r="637" spans="1:8" ht="19.95" customHeight="1">
      <c r="A637" s="33"/>
      <c r="B637" s="33"/>
      <c r="C637" s="33"/>
      <c r="D637" s="33"/>
      <c r="E637" s="33"/>
      <c r="F637" s="33"/>
      <c r="G637" s="33"/>
      <c r="H637" s="33"/>
    </row>
    <row r="638" spans="1:8" ht="19.95" customHeight="1">
      <c r="A638" s="33"/>
      <c r="B638" s="33"/>
      <c r="C638" s="33"/>
      <c r="D638" s="33"/>
      <c r="E638" s="33"/>
      <c r="F638" s="33"/>
      <c r="G638" s="33"/>
      <c r="H638" s="33"/>
    </row>
    <row r="639" spans="1:8" ht="19.95" customHeight="1">
      <c r="A639" s="33"/>
      <c r="B639" s="33"/>
      <c r="C639" s="33"/>
      <c r="D639" s="33"/>
      <c r="E639" s="33"/>
      <c r="F639" s="33"/>
      <c r="G639" s="33"/>
      <c r="H639" s="33"/>
    </row>
    <row r="640" spans="1:8" ht="19.95" customHeight="1">
      <c r="A640" s="33"/>
      <c r="B640" s="33"/>
      <c r="C640" s="33"/>
      <c r="D640" s="33"/>
      <c r="E640" s="33"/>
      <c r="F640" s="33"/>
      <c r="G640" s="33"/>
      <c r="H640" s="33"/>
    </row>
    <row r="641" spans="1:8" ht="19.95" customHeight="1">
      <c r="A641" s="33"/>
      <c r="B641" s="33"/>
      <c r="C641" s="33"/>
      <c r="D641" s="33"/>
      <c r="E641" s="33"/>
      <c r="F641" s="33"/>
      <c r="G641" s="33"/>
      <c r="H641" s="33"/>
    </row>
    <row r="642" spans="1:8" ht="19.95" customHeight="1">
      <c r="A642" s="33"/>
      <c r="B642" s="33"/>
      <c r="C642" s="33"/>
      <c r="D642" s="33"/>
      <c r="E642" s="33"/>
      <c r="F642" s="33"/>
      <c r="G642" s="33"/>
      <c r="H642" s="33"/>
    </row>
    <row r="643" spans="1:8" ht="19.95" customHeight="1">
      <c r="A643" s="33"/>
      <c r="B643" s="33"/>
      <c r="C643" s="33"/>
      <c r="D643" s="33"/>
      <c r="E643" s="33"/>
      <c r="F643" s="33"/>
      <c r="G643" s="33"/>
      <c r="H643" s="33"/>
    </row>
    <row r="644" spans="1:8" ht="19.95" customHeight="1">
      <c r="A644" s="33"/>
      <c r="B644" s="33"/>
      <c r="C644" s="33"/>
      <c r="D644" s="33"/>
      <c r="E644" s="33"/>
      <c r="F644" s="33"/>
      <c r="G644" s="33"/>
      <c r="H644" s="33"/>
    </row>
    <row r="645" spans="1:8" ht="19.95" customHeight="1">
      <c r="A645" s="33"/>
      <c r="B645" s="33"/>
      <c r="C645" s="33"/>
      <c r="D645" s="33"/>
      <c r="E645" s="33"/>
      <c r="F645" s="33"/>
      <c r="G645" s="33"/>
      <c r="H645" s="33"/>
    </row>
    <row r="646" spans="1:8" ht="19.95" customHeight="1">
      <c r="A646" s="33"/>
      <c r="B646" s="33"/>
      <c r="C646" s="33"/>
      <c r="D646" s="33"/>
      <c r="E646" s="33"/>
      <c r="F646" s="33"/>
      <c r="G646" s="33"/>
      <c r="H646" s="33"/>
    </row>
    <row r="647" spans="1:8" ht="19.95" customHeight="1">
      <c r="A647" s="33"/>
      <c r="B647" s="33"/>
      <c r="C647" s="33"/>
      <c r="D647" s="33"/>
      <c r="E647" s="33"/>
      <c r="F647" s="33"/>
      <c r="G647" s="33"/>
      <c r="H647" s="33"/>
    </row>
    <row r="648" spans="1:8" ht="19.95" customHeight="1">
      <c r="A648" s="33"/>
      <c r="B648" s="33"/>
      <c r="C648" s="33"/>
      <c r="D648" s="33"/>
      <c r="E648" s="33"/>
      <c r="F648" s="33"/>
      <c r="G648" s="33"/>
      <c r="H648" s="33"/>
    </row>
    <row r="649" spans="1:8" ht="19.95" customHeight="1">
      <c r="A649" s="33"/>
      <c r="B649" s="33"/>
      <c r="C649" s="33"/>
      <c r="D649" s="33"/>
      <c r="E649" s="33"/>
      <c r="F649" s="33"/>
      <c r="G649" s="33"/>
      <c r="H649" s="33"/>
    </row>
    <row r="650" spans="1:8" ht="19.95" customHeight="1">
      <c r="A650" s="33"/>
      <c r="B650" s="33"/>
      <c r="C650" s="33"/>
      <c r="D650" s="33"/>
      <c r="E650" s="33"/>
      <c r="F650" s="33"/>
      <c r="G650" s="33"/>
      <c r="H650" s="33"/>
    </row>
    <row r="651" spans="1:8" ht="19.95" customHeight="1">
      <c r="A651" s="33"/>
      <c r="B651" s="33"/>
      <c r="C651" s="33"/>
      <c r="D651" s="33"/>
      <c r="E651" s="33"/>
      <c r="F651" s="33"/>
      <c r="G651" s="33"/>
      <c r="H651" s="33"/>
    </row>
    <row r="652" spans="1:8" ht="19.95" customHeight="1">
      <c r="A652" s="33"/>
      <c r="B652" s="33"/>
      <c r="C652" s="33"/>
      <c r="D652" s="33"/>
      <c r="E652" s="33"/>
      <c r="F652" s="33"/>
      <c r="G652" s="33"/>
      <c r="H652" s="33"/>
    </row>
    <row r="653" spans="1:8" ht="19.95" customHeight="1">
      <c r="A653" s="33"/>
      <c r="B653" s="33"/>
      <c r="C653" s="33"/>
      <c r="D653" s="33"/>
      <c r="E653" s="33"/>
      <c r="F653" s="33"/>
      <c r="G653" s="33"/>
      <c r="H653" s="33"/>
    </row>
    <row r="654" spans="1:8" ht="19.95" customHeight="1">
      <c r="A654" s="33"/>
      <c r="B654" s="33"/>
      <c r="C654" s="33"/>
      <c r="D654" s="33"/>
      <c r="E654" s="33"/>
      <c r="F654" s="33"/>
      <c r="G654" s="33"/>
      <c r="H654" s="33"/>
    </row>
    <row r="655" spans="1:8" ht="19.95" customHeight="1">
      <c r="A655" s="33"/>
      <c r="B655" s="33"/>
      <c r="C655" s="33"/>
      <c r="D655" s="33"/>
      <c r="E655" s="33"/>
      <c r="F655" s="33"/>
      <c r="G655" s="33"/>
      <c r="H655" s="33"/>
    </row>
    <row r="656" spans="1:8" ht="19.95" customHeight="1">
      <c r="A656" s="33"/>
      <c r="B656" s="33"/>
      <c r="C656" s="33"/>
      <c r="D656" s="33"/>
      <c r="E656" s="33"/>
      <c r="F656" s="33"/>
      <c r="G656" s="33"/>
      <c r="H656" s="33"/>
    </row>
    <row r="657" spans="1:8" ht="19.95" customHeight="1">
      <c r="A657" s="33"/>
      <c r="B657" s="33"/>
      <c r="C657" s="33"/>
      <c r="D657" s="33"/>
      <c r="E657" s="33"/>
      <c r="F657" s="33"/>
      <c r="G657" s="33"/>
      <c r="H657" s="33"/>
    </row>
    <row r="658" spans="1:8" ht="19.95" customHeight="1">
      <c r="A658" s="33"/>
      <c r="B658" s="33"/>
      <c r="C658" s="33"/>
      <c r="D658" s="33"/>
      <c r="E658" s="33"/>
      <c r="F658" s="33"/>
      <c r="G658" s="33"/>
      <c r="H658" s="33"/>
    </row>
    <row r="659" spans="1:8" ht="19.95" customHeight="1">
      <c r="A659" s="33"/>
      <c r="B659" s="33"/>
      <c r="C659" s="33"/>
      <c r="D659" s="33"/>
      <c r="E659" s="33"/>
      <c r="F659" s="33"/>
      <c r="G659" s="33"/>
      <c r="H659" s="33"/>
    </row>
    <row r="660" spans="1:8" ht="19.95" customHeight="1">
      <c r="A660" s="33"/>
      <c r="B660" s="33"/>
      <c r="C660" s="33"/>
      <c r="D660" s="33"/>
      <c r="E660" s="33"/>
      <c r="F660" s="33"/>
      <c r="G660" s="33"/>
      <c r="H660" s="33"/>
    </row>
    <row r="661" spans="1:8" ht="19.95" customHeight="1">
      <c r="A661" s="33"/>
      <c r="B661" s="33"/>
      <c r="C661" s="33"/>
      <c r="D661" s="33"/>
      <c r="E661" s="33"/>
      <c r="F661" s="33"/>
      <c r="G661" s="33"/>
      <c r="H661" s="33"/>
    </row>
    <row r="662" spans="1:8" ht="19.95" customHeight="1">
      <c r="A662" s="33"/>
      <c r="B662" s="33"/>
      <c r="C662" s="33"/>
      <c r="D662" s="33"/>
      <c r="E662" s="33"/>
      <c r="F662" s="33"/>
      <c r="G662" s="33"/>
      <c r="H662" s="33"/>
    </row>
    <row r="663" spans="1:8" ht="19.95" customHeight="1">
      <c r="A663" s="33"/>
      <c r="B663" s="33"/>
      <c r="C663" s="33"/>
      <c r="D663" s="33"/>
      <c r="E663" s="33"/>
      <c r="F663" s="33"/>
      <c r="G663" s="33"/>
      <c r="H663" s="33"/>
    </row>
    <row r="664" spans="1:8" ht="19.95" customHeight="1">
      <c r="A664" s="33"/>
      <c r="B664" s="33"/>
      <c r="C664" s="33"/>
      <c r="D664" s="33"/>
      <c r="E664" s="33"/>
      <c r="F664" s="33"/>
      <c r="G664" s="33"/>
      <c r="H664" s="33"/>
    </row>
    <row r="665" spans="1:8" ht="19.95" customHeight="1">
      <c r="A665" s="33"/>
      <c r="B665" s="33"/>
      <c r="C665" s="33"/>
      <c r="D665" s="33"/>
      <c r="E665" s="33"/>
      <c r="F665" s="33"/>
      <c r="G665" s="33"/>
      <c r="H665" s="33"/>
    </row>
    <row r="666" spans="1:8" ht="19.95" customHeight="1">
      <c r="A666" s="33"/>
      <c r="B666" s="33"/>
      <c r="C666" s="33"/>
      <c r="D666" s="33"/>
      <c r="E666" s="33"/>
      <c r="F666" s="33"/>
      <c r="G666" s="33"/>
      <c r="H666" s="33"/>
    </row>
    <row r="667" spans="1:8" ht="19.95" customHeight="1">
      <c r="A667" s="33"/>
      <c r="B667" s="33"/>
      <c r="C667" s="33"/>
      <c r="D667" s="33"/>
      <c r="E667" s="33"/>
      <c r="F667" s="33"/>
      <c r="G667" s="33"/>
      <c r="H667" s="33"/>
    </row>
    <row r="668" spans="1:8" ht="19.95" customHeight="1">
      <c r="A668" s="33"/>
      <c r="B668" s="33"/>
      <c r="C668" s="33"/>
      <c r="D668" s="33"/>
      <c r="E668" s="33"/>
      <c r="F668" s="33"/>
      <c r="G668" s="33"/>
      <c r="H668" s="33"/>
    </row>
    <row r="669" spans="1:8" ht="19.95" customHeight="1">
      <c r="A669" s="33"/>
      <c r="B669" s="33"/>
      <c r="C669" s="33"/>
      <c r="D669" s="33"/>
      <c r="E669" s="33"/>
      <c r="F669" s="33"/>
      <c r="G669" s="33"/>
      <c r="H669" s="33"/>
    </row>
    <row r="670" spans="1:8" ht="19.95" customHeight="1">
      <c r="A670" s="33"/>
      <c r="B670" s="33"/>
      <c r="C670" s="33"/>
      <c r="D670" s="33"/>
      <c r="E670" s="33"/>
      <c r="F670" s="33"/>
      <c r="G670" s="33"/>
      <c r="H670" s="33"/>
    </row>
    <row r="671" spans="1:8" ht="19.95" customHeight="1">
      <c r="A671" s="33"/>
      <c r="B671" s="33"/>
      <c r="C671" s="33"/>
      <c r="D671" s="33"/>
      <c r="E671" s="33"/>
      <c r="F671" s="33"/>
      <c r="G671" s="33"/>
      <c r="H671" s="33"/>
    </row>
    <row r="672" spans="1:8" ht="19.95" customHeight="1">
      <c r="A672" s="33"/>
      <c r="B672" s="33"/>
      <c r="C672" s="33"/>
      <c r="D672" s="33"/>
      <c r="E672" s="33"/>
      <c r="F672" s="33"/>
      <c r="G672" s="33"/>
      <c r="H672" s="33"/>
    </row>
    <row r="673" spans="1:8" ht="19.95" customHeight="1">
      <c r="A673" s="33"/>
      <c r="B673" s="33"/>
      <c r="C673" s="33"/>
      <c r="D673" s="33"/>
      <c r="E673" s="33"/>
      <c r="F673" s="33"/>
      <c r="G673" s="33"/>
      <c r="H673" s="33"/>
    </row>
    <row r="674" spans="1:8" ht="19.95" customHeight="1">
      <c r="A674" s="33"/>
      <c r="B674" s="33"/>
      <c r="C674" s="33"/>
      <c r="D674" s="33"/>
      <c r="E674" s="33"/>
      <c r="F674" s="33"/>
      <c r="G674" s="33"/>
      <c r="H674" s="33"/>
    </row>
    <row r="675" spans="1:8" ht="19.95" customHeight="1">
      <c r="A675" s="33"/>
      <c r="B675" s="33"/>
      <c r="C675" s="33"/>
      <c r="D675" s="33"/>
      <c r="E675" s="33"/>
      <c r="F675" s="33"/>
      <c r="G675" s="33"/>
      <c r="H675" s="33"/>
    </row>
    <row r="676" spans="1:8" ht="19.95" customHeight="1">
      <c r="A676" s="33"/>
      <c r="B676" s="33"/>
      <c r="C676" s="33"/>
      <c r="D676" s="33"/>
      <c r="E676" s="33"/>
      <c r="F676" s="33"/>
      <c r="G676" s="33"/>
      <c r="H676" s="33"/>
    </row>
    <row r="677" spans="1:8" ht="19.95" customHeight="1">
      <c r="A677" s="33"/>
      <c r="B677" s="33"/>
      <c r="C677" s="33"/>
      <c r="D677" s="33"/>
      <c r="E677" s="33"/>
      <c r="F677" s="33"/>
      <c r="G677" s="33"/>
      <c r="H677" s="33"/>
    </row>
    <row r="678" spans="1:8" ht="19.95" customHeight="1">
      <c r="A678" s="33"/>
      <c r="B678" s="33"/>
      <c r="C678" s="33"/>
      <c r="D678" s="33"/>
      <c r="E678" s="33"/>
      <c r="F678" s="33"/>
      <c r="G678" s="33"/>
      <c r="H678" s="33"/>
    </row>
    <row r="679" spans="1:8" ht="19.95" customHeight="1">
      <c r="A679" s="33"/>
      <c r="B679" s="33"/>
      <c r="C679" s="33"/>
      <c r="D679" s="33"/>
      <c r="E679" s="33"/>
      <c r="F679" s="33"/>
      <c r="G679" s="33"/>
      <c r="H679" s="33"/>
    </row>
    <row r="680" spans="1:8" ht="19.95" customHeight="1">
      <c r="A680" s="33"/>
      <c r="B680" s="33"/>
      <c r="C680" s="33"/>
      <c r="D680" s="33"/>
      <c r="E680" s="33"/>
      <c r="F680" s="33"/>
      <c r="G680" s="33"/>
      <c r="H680" s="33"/>
    </row>
    <row r="681" spans="1:8" ht="19.95" customHeight="1">
      <c r="A681" s="33"/>
      <c r="B681" s="33"/>
      <c r="C681" s="33"/>
      <c r="D681" s="33"/>
      <c r="E681" s="33"/>
      <c r="F681" s="33"/>
      <c r="G681" s="33"/>
      <c r="H681" s="33"/>
    </row>
    <row r="682" spans="1:8" ht="19.95" customHeight="1">
      <c r="A682" s="33"/>
      <c r="B682" s="33"/>
      <c r="C682" s="33"/>
      <c r="D682" s="33"/>
      <c r="E682" s="33"/>
      <c r="F682" s="33"/>
      <c r="G682" s="33"/>
      <c r="H682" s="33"/>
    </row>
    <row r="683" spans="1:8" ht="19.95" customHeight="1">
      <c r="A683" s="33"/>
      <c r="B683" s="33"/>
      <c r="C683" s="33"/>
      <c r="D683" s="33"/>
      <c r="E683" s="33"/>
      <c r="F683" s="33"/>
      <c r="G683" s="33"/>
      <c r="H683" s="33"/>
    </row>
    <row r="684" spans="1:8" ht="19.95" customHeight="1">
      <c r="A684" s="33"/>
      <c r="B684" s="33"/>
      <c r="C684" s="33"/>
      <c r="D684" s="33"/>
      <c r="E684" s="33"/>
      <c r="F684" s="33"/>
      <c r="G684" s="33"/>
      <c r="H684" s="33"/>
    </row>
    <row r="685" spans="1:8" ht="19.95" customHeight="1">
      <c r="A685" s="33"/>
      <c r="B685" s="33"/>
      <c r="C685" s="33"/>
      <c r="D685" s="33"/>
      <c r="E685" s="33"/>
      <c r="F685" s="33"/>
      <c r="G685" s="33"/>
      <c r="H685" s="33"/>
    </row>
    <row r="686" spans="1:8" ht="19.95" customHeight="1">
      <c r="A686" s="33"/>
      <c r="B686" s="33"/>
      <c r="C686" s="33"/>
      <c r="D686" s="33"/>
      <c r="E686" s="33"/>
      <c r="F686" s="33"/>
      <c r="G686" s="33"/>
      <c r="H686" s="33"/>
    </row>
    <row r="687" spans="1:8" ht="19.95" customHeight="1">
      <c r="A687" s="33"/>
      <c r="B687" s="33"/>
      <c r="C687" s="33"/>
      <c r="D687" s="33"/>
      <c r="E687" s="33"/>
      <c r="F687" s="33"/>
      <c r="G687" s="33"/>
      <c r="H687" s="33"/>
    </row>
    <row r="688" spans="1:8" ht="19.95" customHeight="1">
      <c r="A688" s="33"/>
      <c r="B688" s="33"/>
      <c r="C688" s="33"/>
      <c r="D688" s="33"/>
      <c r="E688" s="33"/>
      <c r="F688" s="33"/>
      <c r="G688" s="33"/>
      <c r="H688" s="33"/>
    </row>
    <row r="689" spans="1:8" ht="19.95" customHeight="1">
      <c r="A689" s="33"/>
      <c r="B689" s="33"/>
      <c r="C689" s="33"/>
      <c r="D689" s="33"/>
      <c r="E689" s="33"/>
      <c r="F689" s="33"/>
      <c r="G689" s="33"/>
      <c r="H689" s="33"/>
    </row>
    <row r="690" spans="1:8" ht="19.95" customHeight="1">
      <c r="A690" s="33"/>
      <c r="B690" s="33"/>
      <c r="C690" s="33"/>
      <c r="D690" s="33"/>
      <c r="E690" s="33"/>
      <c r="F690" s="33"/>
      <c r="G690" s="33"/>
      <c r="H690" s="33"/>
    </row>
    <row r="691" spans="1:8" ht="19.95" customHeight="1">
      <c r="A691" s="33"/>
      <c r="B691" s="33"/>
      <c r="C691" s="33"/>
      <c r="D691" s="33"/>
      <c r="E691" s="33"/>
      <c r="F691" s="33"/>
      <c r="G691" s="33"/>
      <c r="H691" s="33"/>
    </row>
    <row r="692" spans="1:8" ht="19.95" customHeight="1">
      <c r="A692" s="33"/>
      <c r="B692" s="33"/>
      <c r="C692" s="33"/>
      <c r="D692" s="33"/>
      <c r="E692" s="33"/>
      <c r="F692" s="33"/>
      <c r="G692" s="33"/>
      <c r="H692" s="33"/>
    </row>
    <row r="693" spans="1:8" ht="19.95" customHeight="1">
      <c r="A693" s="33"/>
      <c r="B693" s="33"/>
      <c r="C693" s="33"/>
      <c r="D693" s="33"/>
      <c r="E693" s="33"/>
      <c r="F693" s="33"/>
      <c r="G693" s="33"/>
      <c r="H693" s="33"/>
    </row>
    <row r="694" spans="1:8" ht="19.95" customHeight="1">
      <c r="A694" s="33"/>
      <c r="B694" s="33"/>
      <c r="C694" s="33"/>
      <c r="D694" s="33"/>
      <c r="E694" s="33"/>
      <c r="F694" s="33"/>
      <c r="G694" s="33"/>
      <c r="H694" s="33"/>
    </row>
    <row r="695" spans="1:8" ht="19.95" customHeight="1">
      <c r="A695" s="33"/>
      <c r="B695" s="33"/>
      <c r="C695" s="33"/>
      <c r="D695" s="33"/>
      <c r="E695" s="33"/>
      <c r="F695" s="33"/>
      <c r="G695" s="33"/>
      <c r="H695" s="33"/>
    </row>
    <row r="696" spans="1:8" ht="19.95" customHeight="1">
      <c r="A696" s="33"/>
      <c r="B696" s="33"/>
      <c r="C696" s="33"/>
      <c r="D696" s="33"/>
      <c r="E696" s="33"/>
      <c r="F696" s="33"/>
      <c r="G696" s="33"/>
      <c r="H696" s="33"/>
    </row>
    <row r="697" spans="1:8" ht="19.95" customHeight="1">
      <c r="A697" s="33"/>
      <c r="B697" s="33"/>
      <c r="C697" s="33"/>
      <c r="D697" s="33"/>
      <c r="E697" s="33"/>
      <c r="F697" s="33"/>
      <c r="G697" s="33"/>
      <c r="H697" s="33"/>
    </row>
    <row r="698" spans="1:8" ht="19.95" customHeight="1">
      <c r="A698" s="33"/>
      <c r="B698" s="33"/>
      <c r="C698" s="33"/>
      <c r="D698" s="33"/>
      <c r="E698" s="33"/>
      <c r="F698" s="33"/>
      <c r="G698" s="33"/>
      <c r="H698" s="33"/>
    </row>
    <row r="699" spans="1:8" ht="19.95" customHeight="1">
      <c r="A699" s="33"/>
      <c r="B699" s="33"/>
      <c r="C699" s="33"/>
      <c r="D699" s="33"/>
      <c r="E699" s="33"/>
      <c r="F699" s="33"/>
      <c r="G699" s="33"/>
      <c r="H699" s="33"/>
    </row>
    <row r="700" spans="1:8" ht="19.95" customHeight="1">
      <c r="A700" s="33"/>
      <c r="B700" s="33"/>
      <c r="C700" s="33"/>
      <c r="D700" s="33"/>
      <c r="E700" s="33"/>
      <c r="F700" s="33"/>
      <c r="G700" s="33"/>
      <c r="H700" s="33"/>
    </row>
  </sheetData>
  <mergeCells count="201">
    <mergeCell ref="A175:D175"/>
    <mergeCell ref="E175:F175"/>
    <mergeCell ref="G175:H175"/>
    <mergeCell ref="A173:D173"/>
    <mergeCell ref="E173:F173"/>
    <mergeCell ref="G173:H173"/>
    <mergeCell ref="A174:D174"/>
    <mergeCell ref="E174:F174"/>
    <mergeCell ref="G174:H174"/>
    <mergeCell ref="A171:D171"/>
    <mergeCell ref="E171:F171"/>
    <mergeCell ref="G171:H171"/>
    <mergeCell ref="A172:D172"/>
    <mergeCell ref="E172:F172"/>
    <mergeCell ref="G172:H172"/>
    <mergeCell ref="A169:D169"/>
    <mergeCell ref="E169:F169"/>
    <mergeCell ref="G169:H169"/>
    <mergeCell ref="A170:D170"/>
    <mergeCell ref="E170:F170"/>
    <mergeCell ref="G170:H170"/>
    <mergeCell ref="A167:D167"/>
    <mergeCell ref="E167:F167"/>
    <mergeCell ref="G167:H167"/>
    <mergeCell ref="A168:D168"/>
    <mergeCell ref="E168:F168"/>
    <mergeCell ref="G168:H168"/>
    <mergeCell ref="A165:D165"/>
    <mergeCell ref="E165:F165"/>
    <mergeCell ref="G165:H165"/>
    <mergeCell ref="A166:D166"/>
    <mergeCell ref="E166:F166"/>
    <mergeCell ref="G166:H166"/>
    <mergeCell ref="A163:D163"/>
    <mergeCell ref="E163:F163"/>
    <mergeCell ref="G163:H163"/>
    <mergeCell ref="A164:D164"/>
    <mergeCell ref="E164:F164"/>
    <mergeCell ref="G164:H164"/>
    <mergeCell ref="A158:H158"/>
    <mergeCell ref="A159:H159"/>
    <mergeCell ref="A160:H160"/>
    <mergeCell ref="A161:H161"/>
    <mergeCell ref="A162:D162"/>
    <mergeCell ref="E162:F162"/>
    <mergeCell ref="G162:H162"/>
    <mergeCell ref="A153:H153"/>
    <mergeCell ref="A154:H154"/>
    <mergeCell ref="A155:H155"/>
    <mergeCell ref="A156:H156"/>
    <mergeCell ref="A157:H157"/>
    <mergeCell ref="A148:H148"/>
    <mergeCell ref="A149:H149"/>
    <mergeCell ref="A150:H150"/>
    <mergeCell ref="A151:H151"/>
    <mergeCell ref="A152:H152"/>
    <mergeCell ref="A143:H143"/>
    <mergeCell ref="A144:H144"/>
    <mergeCell ref="A145:H145"/>
    <mergeCell ref="A146:H146"/>
    <mergeCell ref="A147:H147"/>
    <mergeCell ref="A138:H138"/>
    <mergeCell ref="A139:H139"/>
    <mergeCell ref="A140:H140"/>
    <mergeCell ref="A141:H141"/>
    <mergeCell ref="A142:H142"/>
    <mergeCell ref="A133:E133"/>
    <mergeCell ref="A134:H134"/>
    <mergeCell ref="A135:H135"/>
    <mergeCell ref="A136:H136"/>
    <mergeCell ref="A137:H137"/>
    <mergeCell ref="A128:E128"/>
    <mergeCell ref="A129:E129"/>
    <mergeCell ref="A130:E130"/>
    <mergeCell ref="A131:E131"/>
    <mergeCell ref="A132:E132"/>
    <mergeCell ref="A123:H123"/>
    <mergeCell ref="A124:H124"/>
    <mergeCell ref="A125:H125"/>
    <mergeCell ref="A126:H126"/>
    <mergeCell ref="A127:H127"/>
    <mergeCell ref="A118:H118"/>
    <mergeCell ref="A119:H119"/>
    <mergeCell ref="A120:H120"/>
    <mergeCell ref="A121:H121"/>
    <mergeCell ref="A122:H122"/>
    <mergeCell ref="A113:H113"/>
    <mergeCell ref="A114:H114"/>
    <mergeCell ref="A115:H115"/>
    <mergeCell ref="A116:H116"/>
    <mergeCell ref="A117:H117"/>
    <mergeCell ref="A108:H108"/>
    <mergeCell ref="A109:H109"/>
    <mergeCell ref="A110:H110"/>
    <mergeCell ref="A111:H111"/>
    <mergeCell ref="A112:H112"/>
    <mergeCell ref="A103:H103"/>
    <mergeCell ref="A104:H104"/>
    <mergeCell ref="A105:H105"/>
    <mergeCell ref="A106:H106"/>
    <mergeCell ref="A107:H107"/>
    <mergeCell ref="A98:H98"/>
    <mergeCell ref="A99:H99"/>
    <mergeCell ref="A100:H100"/>
    <mergeCell ref="A101:H101"/>
    <mergeCell ref="A102:H102"/>
    <mergeCell ref="A93:E93"/>
    <mergeCell ref="A94:E94"/>
    <mergeCell ref="A95:E95"/>
    <mergeCell ref="A96:E96"/>
    <mergeCell ref="A97:E97"/>
    <mergeCell ref="A88:H88"/>
    <mergeCell ref="A89:H89"/>
    <mergeCell ref="A90:H90"/>
    <mergeCell ref="A91:H91"/>
    <mergeCell ref="A92:H92"/>
    <mergeCell ref="A83:H83"/>
    <mergeCell ref="A84:H84"/>
    <mergeCell ref="A85:H85"/>
    <mergeCell ref="A86:H86"/>
    <mergeCell ref="A87:H87"/>
    <mergeCell ref="A78:H78"/>
    <mergeCell ref="A79:H79"/>
    <mergeCell ref="A80:H80"/>
    <mergeCell ref="A81:H81"/>
    <mergeCell ref="A82:H82"/>
    <mergeCell ref="A73:H73"/>
    <mergeCell ref="A74:H74"/>
    <mergeCell ref="A75:H75"/>
    <mergeCell ref="A76:H76"/>
    <mergeCell ref="A77:H77"/>
    <mergeCell ref="A68:H68"/>
    <mergeCell ref="A69:H69"/>
    <mergeCell ref="A70:H70"/>
    <mergeCell ref="A71:H71"/>
    <mergeCell ref="A72:H72"/>
    <mergeCell ref="A63:H63"/>
    <mergeCell ref="A64:H64"/>
    <mergeCell ref="A65:H65"/>
    <mergeCell ref="A66:H66"/>
    <mergeCell ref="A67:H67"/>
    <mergeCell ref="A58:E58"/>
    <mergeCell ref="A59:E59"/>
    <mergeCell ref="A60:E60"/>
    <mergeCell ref="A61:E61"/>
    <mergeCell ref="A62:E62"/>
    <mergeCell ref="A53:H53"/>
    <mergeCell ref="A54:H54"/>
    <mergeCell ref="A55:H55"/>
    <mergeCell ref="A56:H56"/>
    <mergeCell ref="A57:E57"/>
    <mergeCell ref="A48:H48"/>
    <mergeCell ref="A49:H49"/>
    <mergeCell ref="A50:H50"/>
    <mergeCell ref="A51:H51"/>
    <mergeCell ref="A52:H52"/>
    <mergeCell ref="A44:H44"/>
    <mergeCell ref="A45:H45"/>
    <mergeCell ref="A46:H46"/>
    <mergeCell ref="A47:H47"/>
    <mergeCell ref="A38:E38"/>
    <mergeCell ref="A39:E39"/>
    <mergeCell ref="A40:E40"/>
    <mergeCell ref="A41:E41"/>
    <mergeCell ref="A42:E42"/>
    <mergeCell ref="A35:H35"/>
    <mergeCell ref="A36:E36"/>
    <mergeCell ref="A37:E37"/>
    <mergeCell ref="A28:H28"/>
    <mergeCell ref="A29:H29"/>
    <mergeCell ref="A30:H30"/>
    <mergeCell ref="A31:H31"/>
    <mergeCell ref="A32:H32"/>
    <mergeCell ref="A43:E43"/>
    <mergeCell ref="A26:H26"/>
    <mergeCell ref="A27:H27"/>
    <mergeCell ref="A18:H18"/>
    <mergeCell ref="A19:H19"/>
    <mergeCell ref="A20:H20"/>
    <mergeCell ref="A21:H21"/>
    <mergeCell ref="A22:H22"/>
    <mergeCell ref="A33:H33"/>
    <mergeCell ref="A34:H34"/>
    <mergeCell ref="A17:H17"/>
    <mergeCell ref="A8:H8"/>
    <mergeCell ref="A9:H9"/>
    <mergeCell ref="A10:E10"/>
    <mergeCell ref="A11:E11"/>
    <mergeCell ref="A12:E12"/>
    <mergeCell ref="A23:H23"/>
    <mergeCell ref="A24:H24"/>
    <mergeCell ref="A25:H25"/>
    <mergeCell ref="A1:H1"/>
    <mergeCell ref="A2:B2"/>
    <mergeCell ref="C2:F2"/>
    <mergeCell ref="A6:H6"/>
    <mergeCell ref="A7:H7"/>
    <mergeCell ref="A13:E13"/>
    <mergeCell ref="A14:E14"/>
    <mergeCell ref="A15:E15"/>
    <mergeCell ref="A16:E16"/>
  </mergeCells>
  <phoneticPr fontId="7" type="noConversion"/>
  <pageMargins left="0.30555555555555558" right="0.30555555555555558" top="0.30555555555555558" bottom="0.30555555555555558" header="0.3" footer="0.3"/>
  <pageSetup paperSize="9" scale="86" fitToHeight="0" orientation="portrait" r:id="rId1"/>
  <rowBreaks count="1" manualBreakCount="1">
    <brk id="34" max="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5D7D9B"/>
    <pageSetUpPr fitToPage="1"/>
  </sheetPr>
  <dimension ref="A1:E59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176</v>
      </c>
      <c r="B2" s="41"/>
      <c r="C2" s="42"/>
      <c r="D2" s="42"/>
      <c r="E2" s="41"/>
    </row>
    <row r="3" spans="1:5" ht="25.05" customHeight="1">
      <c r="A3" s="41" t="s">
        <v>299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177</v>
      </c>
      <c r="B8" s="44"/>
      <c r="C8" s="45"/>
      <c r="D8" s="45"/>
      <c r="E8" s="44"/>
    </row>
    <row r="9" spans="1:5" ht="25.05" customHeight="1">
      <c r="A9" s="2" t="s">
        <v>178</v>
      </c>
      <c r="B9" s="2" t="s">
        <v>179</v>
      </c>
      <c r="C9" s="5"/>
      <c r="D9" s="1" t="s">
        <v>10</v>
      </c>
      <c r="E9" s="2" t="s">
        <v>180</v>
      </c>
    </row>
    <row r="10" spans="1:5" ht="25.05" customHeight="1">
      <c r="A10" s="2" t="s">
        <v>181</v>
      </c>
      <c r="B10" s="2" t="s">
        <v>182</v>
      </c>
      <c r="C10" s="5"/>
      <c r="D10" s="1" t="s">
        <v>10</v>
      </c>
      <c r="E10" s="2" t="s">
        <v>183</v>
      </c>
    </row>
    <row r="11" spans="1:5" ht="25.05" customHeight="1">
      <c r="A11" s="2" t="s">
        <v>184</v>
      </c>
      <c r="B11" s="2" t="s">
        <v>185</v>
      </c>
      <c r="C11" s="5">
        <v>1.4</v>
      </c>
      <c r="D11" s="1"/>
      <c r="E11" s="2" t="s">
        <v>186</v>
      </c>
    </row>
    <row r="12" spans="1:5" ht="25.05" customHeight="1">
      <c r="A12" s="2" t="s">
        <v>187</v>
      </c>
      <c r="B12" s="2" t="s">
        <v>188</v>
      </c>
      <c r="C12" s="5">
        <v>1.6</v>
      </c>
      <c r="D12" s="1"/>
      <c r="E12" s="2" t="s">
        <v>186</v>
      </c>
    </row>
    <row r="13" spans="1:5" ht="25.05" customHeight="1">
      <c r="A13" s="2" t="s">
        <v>11</v>
      </c>
      <c r="B13" s="2" t="s">
        <v>189</v>
      </c>
      <c r="C13" s="13" t="str">
        <f>IF(AND(COUNT(C9:C10)=2,MIN(C9:C10)&gt;=0),SUM(C9:C10),"待输入")</f>
        <v>待输入</v>
      </c>
      <c r="D13" s="1" t="s">
        <v>10</v>
      </c>
      <c r="E13" s="2" t="s">
        <v>190</v>
      </c>
    </row>
    <row r="14" spans="1:5" ht="25.05" customHeight="1">
      <c r="A14" s="2" t="s">
        <v>191</v>
      </c>
      <c r="B14" s="2" t="s">
        <v>192</v>
      </c>
      <c r="C14" s="13" t="str">
        <f>IF(AND(ISNUMBER(C13),COUNT(C11:C12)=2,MIN(C11:C12)&gt;0),C9*C11+C10*C12,"待输入")</f>
        <v>待输入</v>
      </c>
      <c r="D14" s="1" t="s">
        <v>10</v>
      </c>
      <c r="E14" s="2" t="s">
        <v>193</v>
      </c>
    </row>
    <row r="15" spans="1:5" ht="7.05" customHeight="1">
      <c r="A15" s="2"/>
      <c r="B15" s="2"/>
      <c r="C15" s="1"/>
      <c r="D15" s="1"/>
      <c r="E15" s="2"/>
    </row>
    <row r="16" spans="1:5" ht="25.05" customHeight="1">
      <c r="A16" s="43" t="s">
        <v>194</v>
      </c>
      <c r="B16" s="44"/>
      <c r="C16" s="45"/>
      <c r="D16" s="45"/>
      <c r="E16" s="44"/>
    </row>
    <row r="17" spans="1:5" ht="25.05" customHeight="1">
      <c r="A17" s="2" t="s">
        <v>195</v>
      </c>
      <c r="B17" s="2" t="s">
        <v>41</v>
      </c>
      <c r="C17" s="6">
        <v>1500</v>
      </c>
      <c r="D17" s="1" t="s">
        <v>16</v>
      </c>
      <c r="E17" s="2" t="s">
        <v>196</v>
      </c>
    </row>
    <row r="18" spans="1:5" ht="25.05" customHeight="1">
      <c r="A18" s="2" t="s">
        <v>14</v>
      </c>
      <c r="B18" s="2" t="s">
        <v>15</v>
      </c>
      <c r="C18" s="6">
        <v>2200</v>
      </c>
      <c r="D18" s="1" t="s">
        <v>16</v>
      </c>
      <c r="E18" s="2" t="s">
        <v>196</v>
      </c>
    </row>
    <row r="19" spans="1:5" ht="25.05" customHeight="1">
      <c r="A19" s="2" t="s">
        <v>289</v>
      </c>
      <c r="B19" s="2" t="s">
        <v>23</v>
      </c>
      <c r="C19" s="14" t="str">
        <f>IF(AND(ISNUMBER(C13),C13&gt;=0,ISNUMBER((PI()/4*(C18/1000)^2*C20)),(PI()/4*(C18/1000)^2*C20)&gt;0),ROUNDUP(C13/(PI()/4*(C18/1000)^2*C20),0),"待输入")</f>
        <v>待输入</v>
      </c>
      <c r="D19" s="1" t="s">
        <v>24</v>
      </c>
      <c r="E19" s="2" t="s">
        <v>293</v>
      </c>
    </row>
    <row r="20" spans="1:5" ht="25.05" customHeight="1">
      <c r="A20" s="2" t="s">
        <v>197</v>
      </c>
      <c r="B20" s="2" t="s">
        <v>22</v>
      </c>
      <c r="C20" s="5">
        <v>3000</v>
      </c>
      <c r="D20" s="1" t="s">
        <v>8</v>
      </c>
      <c r="E20" s="2" t="s">
        <v>196</v>
      </c>
    </row>
    <row r="21" spans="1:5" ht="25.05" customHeight="1">
      <c r="A21" s="2" t="s">
        <v>198</v>
      </c>
      <c r="B21" s="2" t="s">
        <v>60</v>
      </c>
      <c r="C21" s="5">
        <v>48</v>
      </c>
      <c r="D21" s="1" t="s">
        <v>61</v>
      </c>
      <c r="E21" s="2" t="s">
        <v>199</v>
      </c>
    </row>
    <row r="22" spans="1:5" ht="25.05" customHeight="1">
      <c r="A22" s="2" t="s">
        <v>200</v>
      </c>
      <c r="B22" s="2" t="s">
        <v>146</v>
      </c>
      <c r="C22" s="6">
        <v>24</v>
      </c>
      <c r="D22" s="1" t="s">
        <v>24</v>
      </c>
      <c r="E22" s="2" t="s">
        <v>201</v>
      </c>
    </row>
    <row r="23" spans="1:5" ht="25.05" customHeight="1">
      <c r="A23" s="2" t="s">
        <v>202</v>
      </c>
      <c r="B23" s="2" t="s">
        <v>149</v>
      </c>
      <c r="C23" s="6">
        <v>20</v>
      </c>
      <c r="D23" s="1" t="s">
        <v>16</v>
      </c>
      <c r="E23" s="2" t="s">
        <v>201</v>
      </c>
    </row>
    <row r="24" spans="1:5" ht="25.05" customHeight="1">
      <c r="A24" s="2" t="s">
        <v>203</v>
      </c>
      <c r="B24" s="2" t="s">
        <v>204</v>
      </c>
      <c r="C24" s="10">
        <v>4.0000000000000001E-3</v>
      </c>
      <c r="D24" s="1"/>
      <c r="E24" s="2" t="s">
        <v>205</v>
      </c>
    </row>
    <row r="25" spans="1:5" ht="25.05" customHeight="1">
      <c r="A25" s="2" t="s">
        <v>206</v>
      </c>
      <c r="B25" s="2" t="s">
        <v>207</v>
      </c>
      <c r="C25" s="5">
        <v>0.35</v>
      </c>
      <c r="D25" s="1"/>
      <c r="E25" s="2" t="s">
        <v>208</v>
      </c>
    </row>
    <row r="26" spans="1:5" ht="25.05" customHeight="1">
      <c r="A26" s="2" t="s">
        <v>209</v>
      </c>
      <c r="B26" s="2" t="s">
        <v>210</v>
      </c>
      <c r="C26" s="13">
        <f>IF(AND(ISNUMBER(C17),C17&gt;0),PI()/4*C17^2,"待输入")</f>
        <v>1767145.8676442585</v>
      </c>
      <c r="D26" s="1" t="s">
        <v>110</v>
      </c>
      <c r="E26" s="2" t="s">
        <v>211</v>
      </c>
    </row>
    <row r="27" spans="1:5" ht="25.05" customHeight="1">
      <c r="A27" s="2" t="s">
        <v>212</v>
      </c>
      <c r="B27" s="2" t="s">
        <v>154</v>
      </c>
      <c r="C27" s="13">
        <f>IF(AND(ISNUMBER(C22),C22&gt;0,ISNUMBER(C23),C23&gt;0),C22*PI()/4*C23^2,"待输入")</f>
        <v>7539.8223686155034</v>
      </c>
      <c r="D27" s="1" t="s">
        <v>110</v>
      </c>
      <c r="E27" s="2" t="s">
        <v>213</v>
      </c>
    </row>
    <row r="28" spans="1:5" ht="25.05" customHeight="1">
      <c r="A28" s="2" t="s">
        <v>214</v>
      </c>
      <c r="B28" s="2" t="s">
        <v>215</v>
      </c>
      <c r="C28" s="13">
        <f>IF(AND(ISNUMBER(C24),C24&gt;0,ISNUMBER(C26),C26&gt;0),C24*C26,"待输入")</f>
        <v>7068.5834705770339</v>
      </c>
      <c r="D28" s="1" t="s">
        <v>110</v>
      </c>
      <c r="E28" s="2" t="s">
        <v>216</v>
      </c>
    </row>
    <row r="29" spans="1:5" ht="25.05" customHeight="1">
      <c r="A29" s="2" t="s">
        <v>217</v>
      </c>
      <c r="B29" s="2" t="s">
        <v>218</v>
      </c>
      <c r="C29" s="16">
        <f>IF(AND(ISNUMBER(C26),C26&gt;0,ISNUMBER(C27),C27&gt;0),C27/C26,"待输入")</f>
        <v>4.2666666666666669E-3</v>
      </c>
      <c r="D29" s="1"/>
      <c r="E29" s="2" t="s">
        <v>219</v>
      </c>
    </row>
    <row r="30" spans="1:5" ht="25.05" customHeight="1">
      <c r="A30" s="2" t="s">
        <v>220</v>
      </c>
      <c r="B30" s="2"/>
      <c r="C30" s="13" t="str">
        <f>IF(AND(ISNUMBER(C28),ISNUMBER(C27)),IF(C28&lt;=C27,"OK","NG"),"待输入")</f>
        <v>OK</v>
      </c>
      <c r="D30" s="1"/>
      <c r="E30" s="2"/>
    </row>
    <row r="31" spans="1:5" ht="25.05" customHeight="1">
      <c r="A31" s="2" t="s">
        <v>221</v>
      </c>
      <c r="B31" s="2" t="s">
        <v>29</v>
      </c>
      <c r="C31" s="13" t="str">
        <f>IF(AND(ISNUMBER(C18),C18&gt;0,ISNUMBER(C19),C19&gt;0,ISNUMBER(C20),C20&gt;0),C19*PI()/4*(C18/1000)^2*C20,"待输入")</f>
        <v>待输入</v>
      </c>
      <c r="D31" s="1" t="s">
        <v>10</v>
      </c>
      <c r="E31" s="2" t="s">
        <v>222</v>
      </c>
    </row>
    <row r="32" spans="1:5" ht="25.05" customHeight="1">
      <c r="A32" s="2" t="s">
        <v>223</v>
      </c>
      <c r="B32" s="2"/>
      <c r="C32" s="13" t="str">
        <f>IF(AND(ISNUMBER(C13),ISNUMBER(C31)),IF(C13&lt;=C31,"OK","NG"),"待输入")</f>
        <v>待输入</v>
      </c>
      <c r="D32" s="1"/>
      <c r="E32" s="2"/>
    </row>
    <row r="33" spans="1:5" ht="25.05" customHeight="1">
      <c r="A33" s="2" t="s">
        <v>224</v>
      </c>
      <c r="B33" s="2" t="s">
        <v>225</v>
      </c>
      <c r="C33" s="13">
        <f>IF(AND(ISNUMBER(C21),C21&gt;0,ISNUMBER(C25),C25&gt;0,ISNUMBER(C26),C26&gt;0),C25*C21*C26/1000,"待输入")</f>
        <v>29688.050576423539</v>
      </c>
      <c r="D33" s="1" t="s">
        <v>10</v>
      </c>
      <c r="E33" s="2" t="s">
        <v>226</v>
      </c>
    </row>
    <row r="34" spans="1:5" ht="25.05" customHeight="1">
      <c r="A34" s="2" t="s">
        <v>227</v>
      </c>
      <c r="B34" s="2" t="s">
        <v>228</v>
      </c>
      <c r="C34" s="13" t="str">
        <f>IF(AND(ISNUMBER(C19),C19&gt;0),IF(ISNUMBER(C14),C14/C19,"待输入"),"待输入")</f>
        <v>待输入</v>
      </c>
      <c r="D34" s="1" t="s">
        <v>10</v>
      </c>
      <c r="E34" s="2" t="s">
        <v>229</v>
      </c>
    </row>
    <row r="35" spans="1:5" ht="25.05" customHeight="1">
      <c r="A35" s="2" t="s">
        <v>230</v>
      </c>
      <c r="B35" s="2"/>
      <c r="C35" s="13" t="str">
        <f>IF(AND(ISNUMBER(C34),ISNUMBER(C33)),IF(C34&lt;=C33,"OK","NG"),"待输入")</f>
        <v>待输入</v>
      </c>
      <c r="D35" s="1"/>
      <c r="E35" s="2"/>
    </row>
    <row r="36" spans="1:5" ht="25.05" customHeight="1">
      <c r="A36" s="18" t="s">
        <v>301</v>
      </c>
      <c r="B36" s="18" t="s">
        <v>302</v>
      </c>
      <c r="C36" s="24" t="str">
        <f>IF('A Bored Pile Checking'!C9="","",'A Bored Pile Checking'!C9)</f>
        <v/>
      </c>
      <c r="D36" s="25" t="s">
        <v>303</v>
      </c>
      <c r="E36" s="18" t="s">
        <v>393</v>
      </c>
    </row>
    <row r="37" spans="1:5" ht="25.05" customHeight="1">
      <c r="A37" s="43" t="s">
        <v>231</v>
      </c>
      <c r="B37" s="44"/>
      <c r="C37" s="45"/>
      <c r="D37" s="45"/>
      <c r="E37" s="44"/>
    </row>
    <row r="38" spans="1:5" ht="31.05" customHeight="1">
      <c r="A38" s="2" t="s">
        <v>59</v>
      </c>
      <c r="B38" s="2" t="s">
        <v>232</v>
      </c>
      <c r="C38" s="28">
        <f>IF('A Bored Pile Checking'!C33="","",'A Bored Pile Checking'!C33)</f>
        <v>45</v>
      </c>
      <c r="D38" s="1" t="s">
        <v>61</v>
      </c>
      <c r="E38" s="26" t="s">
        <v>407</v>
      </c>
    </row>
    <row r="39" spans="1:5" ht="25.05" customHeight="1">
      <c r="A39" s="2" t="s">
        <v>54</v>
      </c>
      <c r="B39" s="2" t="s">
        <v>55</v>
      </c>
      <c r="C39" s="27" t="str">
        <f>IF('A Bored Pile Checking'!C30="","",'A Bored Pile Checking'!C30)</f>
        <v/>
      </c>
      <c r="D39" s="1" t="s">
        <v>16</v>
      </c>
      <c r="E39" s="26" t="s">
        <v>408</v>
      </c>
    </row>
    <row r="40" spans="1:5" ht="25.05" customHeight="1">
      <c r="A40" s="18" t="s">
        <v>305</v>
      </c>
      <c r="B40" s="2" t="s">
        <v>56</v>
      </c>
      <c r="C40" s="20" t="str">
        <f>IF(C39="","",C39)</f>
        <v/>
      </c>
      <c r="D40" s="1" t="s">
        <v>16</v>
      </c>
      <c r="E40" s="18" t="s">
        <v>306</v>
      </c>
    </row>
    <row r="41" spans="1:5" ht="25.05" customHeight="1">
      <c r="A41" s="2" t="s">
        <v>57</v>
      </c>
      <c r="B41" s="2" t="s">
        <v>58</v>
      </c>
      <c r="C41" s="21" t="str">
        <f>IF(AND(ISNUMBER(C39),C39&gt;0),4*C39,"待输入")</f>
        <v>待输入</v>
      </c>
      <c r="D41" s="1" t="s">
        <v>16</v>
      </c>
      <c r="E41" s="18" t="s">
        <v>394</v>
      </c>
    </row>
    <row r="42" spans="1:5" ht="25.05" customHeight="1">
      <c r="A42" s="2" t="s">
        <v>233</v>
      </c>
      <c r="B42" s="2" t="s">
        <v>73</v>
      </c>
      <c r="C42" s="20" t="str">
        <f>IF(AND(ISNUMBER(C36),C36&gt;0),C36/10*1000,"待输入")</f>
        <v>待输入</v>
      </c>
      <c r="D42" s="1" t="s">
        <v>16</v>
      </c>
      <c r="E42" s="18" t="s">
        <v>313</v>
      </c>
    </row>
    <row r="43" spans="1:5" ht="25.05" customHeight="1">
      <c r="A43" s="18" t="s">
        <v>310</v>
      </c>
      <c r="B43" s="18" t="s">
        <v>311</v>
      </c>
      <c r="C43" s="20">
        <f>IF('A Bored Pile Checking'!C38="","",'A Bored Pile Checking'!C38)</f>
        <v>75</v>
      </c>
      <c r="D43" s="1" t="s">
        <v>16</v>
      </c>
      <c r="E43" s="18" t="s">
        <v>395</v>
      </c>
    </row>
    <row r="44" spans="1:5" ht="25.05" customHeight="1">
      <c r="A44" s="2" t="s">
        <v>234</v>
      </c>
      <c r="B44" s="2" t="s">
        <v>71</v>
      </c>
      <c r="C44" s="13" t="str">
        <f>IF(AND(COUNT(C42:C43)=2,C42&gt;C43,C43&gt;=0),C42-C43,"待输入")</f>
        <v>待输入</v>
      </c>
      <c r="D44" s="1" t="s">
        <v>16</v>
      </c>
      <c r="E44" s="18" t="s">
        <v>309</v>
      </c>
    </row>
    <row r="45" spans="1:5" ht="25.05" customHeight="1">
      <c r="A45" s="2" t="s">
        <v>62</v>
      </c>
      <c r="B45" s="2" t="s">
        <v>63</v>
      </c>
      <c r="C45" s="5">
        <v>0.8</v>
      </c>
      <c r="D45" s="1"/>
      <c r="E45" s="2" t="s">
        <v>235</v>
      </c>
    </row>
    <row r="46" spans="1:5" ht="25.05" customHeight="1">
      <c r="A46" s="2" t="s">
        <v>236</v>
      </c>
      <c r="B46" s="2" t="s">
        <v>66</v>
      </c>
      <c r="C46" s="13">
        <f>IF(AND(ISNUMBER(C38),C38&gt;0,ISNUMBER(C45),C45&gt;0),C45*SQRT(C38),"待输入")</f>
        <v>5.3665631459994962</v>
      </c>
      <c r="D46" s="1" t="s">
        <v>61</v>
      </c>
      <c r="E46" s="26" t="s">
        <v>409</v>
      </c>
    </row>
    <row r="47" spans="1:5" ht="25.05" customHeight="1">
      <c r="A47" s="2" t="s">
        <v>237</v>
      </c>
      <c r="B47" s="2" t="s">
        <v>75</v>
      </c>
      <c r="C47" s="13" t="str">
        <f>IF(AND(ISNUMBER(C41),C41&gt;0,ISNUMBER(C44),C44&gt;0),IF(ISNUMBER(C14),C14*1000/(C41*C44),"待输入"),"待输入")</f>
        <v>待输入</v>
      </c>
      <c r="D47" s="1" t="s">
        <v>61</v>
      </c>
      <c r="E47" s="2" t="s">
        <v>238</v>
      </c>
    </row>
    <row r="48" spans="1:5" ht="25.05" customHeight="1">
      <c r="A48" s="2" t="s">
        <v>239</v>
      </c>
      <c r="B48" s="2"/>
      <c r="C48" s="13" t="str">
        <f>IF(AND(ISNUMBER(C47),ISNUMBER(C46)),IF(C47&lt;=C46,"OK","NG"),"待输入")</f>
        <v>待输入</v>
      </c>
      <c r="D48" s="1"/>
      <c r="E48" s="2" t="s">
        <v>240</v>
      </c>
    </row>
    <row r="49" spans="1:5" ht="25.05" customHeight="1">
      <c r="A49" s="2" t="s">
        <v>241</v>
      </c>
      <c r="B49" s="2" t="s">
        <v>69</v>
      </c>
      <c r="C49" s="13" t="str">
        <f>IF(AND(ISNUMBER(C41),C41&gt;0,ISNUMBER(C46),C46&gt;0),IF(ISNUMBER(C14),C14*1000/(C41*C46),"待输入"),"待输入")</f>
        <v>待输入</v>
      </c>
      <c r="D49" s="1" t="s">
        <v>16</v>
      </c>
      <c r="E49" s="2" t="s">
        <v>242</v>
      </c>
    </row>
    <row r="50" spans="1:5" ht="31.05" customHeight="1">
      <c r="A50" s="2"/>
      <c r="B50" s="2"/>
      <c r="C50" s="1"/>
      <c r="D50" s="1"/>
      <c r="E50" s="2"/>
    </row>
    <row r="51" spans="1:5" ht="13.95" customHeight="1">
      <c r="A51" s="41" t="s">
        <v>243</v>
      </c>
      <c r="B51" s="41"/>
      <c r="C51" s="41"/>
      <c r="D51" s="41"/>
      <c r="E51" s="41"/>
    </row>
    <row r="52" spans="1:5" ht="13.95" customHeight="1">
      <c r="A52" s="41"/>
      <c r="B52" s="41"/>
      <c r="C52" s="41"/>
      <c r="D52" s="41"/>
      <c r="E52" s="41"/>
    </row>
    <row r="53" spans="1:5" ht="13.95" customHeight="1">
      <c r="A53" s="41"/>
      <c r="B53" s="41"/>
      <c r="C53" s="41"/>
      <c r="D53" s="41"/>
      <c r="E53" s="41"/>
    </row>
    <row r="54" spans="1:5" ht="31.05" customHeight="1">
      <c r="A54" s="2"/>
      <c r="B54" s="2"/>
      <c r="C54" s="1"/>
      <c r="D54" s="1"/>
      <c r="E54" s="2"/>
    </row>
    <row r="55" spans="1:5" ht="25.05" customHeight="1">
      <c r="A55" s="43" t="s">
        <v>244</v>
      </c>
      <c r="B55" s="44"/>
      <c r="C55" s="45"/>
      <c r="D55" s="45"/>
      <c r="E55" s="44"/>
    </row>
    <row r="56" spans="1:5" ht="25.05" customHeight="1">
      <c r="A56" s="2" t="s">
        <v>2</v>
      </c>
      <c r="B56" s="2" t="s">
        <v>245</v>
      </c>
      <c r="C56" s="1" t="s">
        <v>246</v>
      </c>
      <c r="D56" s="1" t="s">
        <v>5</v>
      </c>
      <c r="E56" s="2" t="s">
        <v>247</v>
      </c>
    </row>
    <row r="57" spans="1:5" ht="25.05" customHeight="1">
      <c r="A57" s="2" t="s">
        <v>248</v>
      </c>
      <c r="B57" s="11">
        <v>4.4999999999999997E-3</v>
      </c>
      <c r="C57" s="16">
        <f>C29</f>
        <v>4.2666666666666669E-3</v>
      </c>
      <c r="D57" s="1"/>
      <c r="E57" s="2" t="s">
        <v>249</v>
      </c>
    </row>
    <row r="58" spans="1:5" ht="25.05" customHeight="1">
      <c r="A58" s="2" t="s">
        <v>250</v>
      </c>
      <c r="B58" s="12">
        <v>6.2</v>
      </c>
      <c r="C58" s="17">
        <f>C46</f>
        <v>5.3665631459994962</v>
      </c>
      <c r="D58" s="1" t="s">
        <v>61</v>
      </c>
      <c r="E58" s="26" t="s">
        <v>410</v>
      </c>
    </row>
    <row r="59" spans="1:5" ht="25.05" customHeight="1">
      <c r="A59" s="2" t="s">
        <v>251</v>
      </c>
      <c r="B59" s="12">
        <v>29689</v>
      </c>
      <c r="C59" s="17">
        <f>C33</f>
        <v>29688.050576423539</v>
      </c>
      <c r="D59" s="1" t="s">
        <v>10</v>
      </c>
      <c r="E59" s="2" t="s">
        <v>252</v>
      </c>
    </row>
  </sheetData>
  <mergeCells count="8">
    <mergeCell ref="A37:E37"/>
    <mergeCell ref="A51:E53"/>
    <mergeCell ref="A55:E55"/>
    <mergeCell ref="A2:E2"/>
    <mergeCell ref="A3:E3"/>
    <mergeCell ref="A4:E4"/>
    <mergeCell ref="A8:E8"/>
    <mergeCell ref="A16:E16"/>
  </mergeCells>
  <phoneticPr fontId="7" type="noConversion"/>
  <conditionalFormatting sqref="C7:C59">
    <cfRule type="expression" dxfId="3" priority="1">
      <formula>C7="NG"</formula>
    </cfRule>
    <cfRule type="expression" dxfId="2" priority="2">
      <formula>C7="待输入"</formula>
    </cfRule>
  </conditionalFormatting>
  <dataValidations count="1">
    <dataValidation type="whole" operator="greaterThan" sqref="C22" xr:uid="{00000000-0002-0000-0500-000000000000}">
      <formula1>0</formula1>
    </dataValidation>
  </dataValidations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5D7D9B"/>
    <pageSetUpPr fitToPage="1"/>
  </sheetPr>
  <dimension ref="A1:E58"/>
  <sheetViews>
    <sheetView showGridLines="0" workbookViewId="0">
      <pane ySplit="6" topLeftCell="A7" activePane="bottomLeft" state="frozen"/>
      <selection pane="bottomLeft"/>
    </sheetView>
  </sheetViews>
  <sheetFormatPr defaultRowHeight="13.8"/>
  <cols>
    <col min="1" max="1" width="43" customWidth="1"/>
    <col min="2" max="2" width="12" customWidth="1"/>
    <col min="3" max="3" width="20" customWidth="1"/>
    <col min="4" max="4" width="14" customWidth="1"/>
    <col min="5" max="5" width="66" customWidth="1"/>
  </cols>
  <sheetData>
    <row r="1" spans="1:5" ht="7.05" customHeight="1">
      <c r="A1" s="2"/>
      <c r="B1" s="2"/>
      <c r="C1" s="1"/>
      <c r="D1" s="1"/>
      <c r="E1" s="2"/>
    </row>
    <row r="2" spans="1:5" ht="25.05" customHeight="1">
      <c r="A2" s="40" t="s">
        <v>253</v>
      </c>
      <c r="B2" s="41"/>
      <c r="C2" s="42"/>
      <c r="D2" s="42"/>
      <c r="E2" s="41"/>
    </row>
    <row r="3" spans="1:5" ht="25.05" customHeight="1">
      <c r="A3" s="41" t="s">
        <v>300</v>
      </c>
      <c r="B3" s="41"/>
      <c r="C3" s="42"/>
      <c r="D3" s="42"/>
      <c r="E3" s="41"/>
    </row>
    <row r="4" spans="1:5" ht="25.05" customHeight="1">
      <c r="A4" s="41" t="s">
        <v>1</v>
      </c>
      <c r="B4" s="41"/>
      <c r="C4" s="42"/>
      <c r="D4" s="42"/>
      <c r="E4" s="41"/>
    </row>
    <row r="5" spans="1:5" ht="7.05" customHeight="1">
      <c r="A5" s="2"/>
      <c r="B5" s="2"/>
      <c r="C5" s="1"/>
      <c r="D5" s="1"/>
      <c r="E5" s="2"/>
    </row>
    <row r="6" spans="1:5" ht="25.05" customHeight="1">
      <c r="A6" s="3" t="s">
        <v>2</v>
      </c>
      <c r="B6" s="3" t="s">
        <v>3</v>
      </c>
      <c r="C6" s="4" t="s">
        <v>4</v>
      </c>
      <c r="D6" s="4" t="s">
        <v>5</v>
      </c>
      <c r="E6" s="3" t="s">
        <v>6</v>
      </c>
    </row>
    <row r="7" spans="1:5" ht="7.05" customHeight="1">
      <c r="A7" s="2"/>
      <c r="B7" s="2"/>
      <c r="C7" s="1"/>
      <c r="D7" s="1"/>
      <c r="E7" s="2"/>
    </row>
    <row r="8" spans="1:5" ht="25.05" customHeight="1">
      <c r="A8" s="43" t="s">
        <v>177</v>
      </c>
      <c r="B8" s="44"/>
      <c r="C8" s="45"/>
      <c r="D8" s="45"/>
      <c r="E8" s="44"/>
    </row>
    <row r="9" spans="1:5" ht="25.05" customHeight="1">
      <c r="A9" s="2" t="s">
        <v>178</v>
      </c>
      <c r="B9" s="2" t="s">
        <v>179</v>
      </c>
      <c r="C9" s="13" t="str">
        <f>IF('B Bored Pile Checking'!C9="","",'B Bored Pile Checking'!C9)</f>
        <v/>
      </c>
      <c r="D9" s="1" t="s">
        <v>10</v>
      </c>
      <c r="E9" s="2" t="s">
        <v>180</v>
      </c>
    </row>
    <row r="10" spans="1:5" ht="25.05" customHeight="1">
      <c r="A10" s="2" t="s">
        <v>181</v>
      </c>
      <c r="B10" s="2" t="s">
        <v>182</v>
      </c>
      <c r="C10" s="13" t="str">
        <f>IF('B Bored Pile Checking'!C10="","",'B Bored Pile Checking'!C10)</f>
        <v/>
      </c>
      <c r="D10" s="1" t="s">
        <v>10</v>
      </c>
      <c r="E10" s="2" t="s">
        <v>183</v>
      </c>
    </row>
    <row r="11" spans="1:5" ht="25.05" customHeight="1">
      <c r="A11" s="2" t="s">
        <v>184</v>
      </c>
      <c r="B11" s="2" t="s">
        <v>185</v>
      </c>
      <c r="C11" s="13">
        <f>IF('B Bored Pile Checking'!C11="","",'B Bored Pile Checking'!C11)</f>
        <v>1.4</v>
      </c>
      <c r="D11" s="1"/>
      <c r="E11" s="2" t="s">
        <v>186</v>
      </c>
    </row>
    <row r="12" spans="1:5" ht="25.05" customHeight="1">
      <c r="A12" s="2" t="s">
        <v>187</v>
      </c>
      <c r="B12" s="2" t="s">
        <v>188</v>
      </c>
      <c r="C12" s="13">
        <f>IF('B Bored Pile Checking'!C12="","",'B Bored Pile Checking'!C12)</f>
        <v>1.6</v>
      </c>
      <c r="D12" s="1"/>
      <c r="E12" s="2" t="s">
        <v>186</v>
      </c>
    </row>
    <row r="13" spans="1:5" ht="25.05" customHeight="1">
      <c r="A13" s="2" t="s">
        <v>11</v>
      </c>
      <c r="B13" s="2" t="s">
        <v>189</v>
      </c>
      <c r="C13" s="13" t="str">
        <f>'B Bored Pile Checking'!C13</f>
        <v>待输入</v>
      </c>
      <c r="D13" s="1" t="s">
        <v>10</v>
      </c>
      <c r="E13" s="2" t="s">
        <v>190</v>
      </c>
    </row>
    <row r="14" spans="1:5" ht="25.05" customHeight="1">
      <c r="A14" s="2" t="s">
        <v>191</v>
      </c>
      <c r="B14" s="2" t="s">
        <v>192</v>
      </c>
      <c r="C14" s="13" t="str">
        <f>'B Bored Pile Checking'!C14</f>
        <v>待输入</v>
      </c>
      <c r="D14" s="1" t="s">
        <v>10</v>
      </c>
      <c r="E14" s="2" t="s">
        <v>193</v>
      </c>
    </row>
    <row r="15" spans="1:5" ht="7.05" customHeight="1">
      <c r="A15" s="2"/>
      <c r="B15" s="2"/>
      <c r="C15" s="1"/>
      <c r="D15" s="1"/>
      <c r="E15" s="2"/>
    </row>
    <row r="16" spans="1:5" ht="25.05" customHeight="1">
      <c r="A16" s="43" t="s">
        <v>194</v>
      </c>
      <c r="B16" s="44"/>
      <c r="C16" s="45"/>
      <c r="D16" s="45"/>
      <c r="E16" s="44"/>
    </row>
    <row r="17" spans="1:5" ht="31.05" customHeight="1">
      <c r="A17" s="2" t="s">
        <v>100</v>
      </c>
      <c r="B17" s="2" t="s">
        <v>101</v>
      </c>
      <c r="C17" s="7" t="s">
        <v>102</v>
      </c>
      <c r="D17" s="1" t="s">
        <v>103</v>
      </c>
      <c r="E17" s="2" t="s">
        <v>104</v>
      </c>
    </row>
    <row r="18" spans="1:5" ht="25.05" customHeight="1">
      <c r="A18" s="2" t="s">
        <v>105</v>
      </c>
      <c r="B18" s="2" t="s">
        <v>106</v>
      </c>
      <c r="C18" s="5">
        <v>430</v>
      </c>
      <c r="D18" s="1" t="s">
        <v>61</v>
      </c>
      <c r="E18" s="2" t="s">
        <v>254</v>
      </c>
    </row>
    <row r="19" spans="1:5" ht="25.05" customHeight="1">
      <c r="A19" s="2" t="s">
        <v>153</v>
      </c>
      <c r="B19" s="2" t="s">
        <v>109</v>
      </c>
      <c r="C19" s="6">
        <v>28400</v>
      </c>
      <c r="D19" s="1" t="s">
        <v>110</v>
      </c>
      <c r="E19" s="2" t="s">
        <v>255</v>
      </c>
    </row>
    <row r="20" spans="1:5" ht="25.05" customHeight="1">
      <c r="A20" s="2" t="s">
        <v>112</v>
      </c>
      <c r="B20" s="2" t="s">
        <v>63</v>
      </c>
      <c r="C20" s="5">
        <v>0.5</v>
      </c>
      <c r="D20" s="1"/>
      <c r="E20" s="2" t="s">
        <v>256</v>
      </c>
    </row>
    <row r="21" spans="1:5" ht="25.05" customHeight="1">
      <c r="A21" s="2" t="s">
        <v>114</v>
      </c>
      <c r="B21" s="2" t="s">
        <v>115</v>
      </c>
      <c r="C21" s="13">
        <f>IF(AND(ISNUMBER(C18),C18&gt;0,ISNUMBER(C19),C19&gt;0,ISNUMBER(C20),C20&gt;0),C18*C19*C20/1000,"待输入")</f>
        <v>6106</v>
      </c>
      <c r="D21" s="1" t="s">
        <v>10</v>
      </c>
      <c r="E21" s="2"/>
    </row>
    <row r="22" spans="1:5" ht="25.05" customHeight="1">
      <c r="A22" s="2" t="s">
        <v>289</v>
      </c>
      <c r="B22" s="2" t="s">
        <v>23</v>
      </c>
      <c r="C22" s="14" t="str">
        <f>IF(AND(ISNUMBER(C13),C13&gt;=0,ISNUMBER(C21),C21&gt;0),ROUNDUP(C13/C21,0),"待输入")</f>
        <v>待输入</v>
      </c>
      <c r="D22" s="1" t="s">
        <v>24</v>
      </c>
      <c r="E22" s="2" t="s">
        <v>294</v>
      </c>
    </row>
    <row r="23" spans="1:5" ht="25.05" customHeight="1">
      <c r="A23" s="2" t="s">
        <v>257</v>
      </c>
      <c r="B23" s="2" t="s">
        <v>121</v>
      </c>
      <c r="C23" s="13" t="str">
        <f>IF(AND(ISNUMBER(C21),C21&gt;0,ISNUMBER(C22),C22&gt;0),C21*C22,"待输入")</f>
        <v>待输入</v>
      </c>
      <c r="D23" s="1" t="s">
        <v>10</v>
      </c>
      <c r="E23" s="2"/>
    </row>
    <row r="24" spans="1:5" ht="25.05" customHeight="1">
      <c r="A24" s="2" t="s">
        <v>258</v>
      </c>
      <c r="B24" s="2"/>
      <c r="C24" s="13" t="str">
        <f>IF(AND(ISNUMBER(C13),ISNUMBER(C23)),IF(C13&lt;=C23,"OK","NG"),"待输入")</f>
        <v>待输入</v>
      </c>
      <c r="D24" s="1"/>
      <c r="E24" s="2"/>
    </row>
    <row r="25" spans="1:5" ht="7.05" customHeight="1">
      <c r="A25" s="2"/>
      <c r="B25" s="2"/>
      <c r="C25" s="1"/>
      <c r="D25" s="1"/>
      <c r="E25" s="2"/>
    </row>
    <row r="26" spans="1:5" ht="25.05" customHeight="1">
      <c r="A26" s="2" t="s">
        <v>127</v>
      </c>
      <c r="B26" s="2" t="s">
        <v>128</v>
      </c>
      <c r="C26" s="6">
        <v>6700</v>
      </c>
      <c r="D26" s="1" t="s">
        <v>16</v>
      </c>
      <c r="E26" s="2" t="s">
        <v>259</v>
      </c>
    </row>
    <row r="27" spans="1:5" ht="25.05" customHeight="1">
      <c r="A27" s="2" t="s">
        <v>260</v>
      </c>
      <c r="B27" s="2" t="s">
        <v>261</v>
      </c>
      <c r="C27" s="6">
        <v>550</v>
      </c>
      <c r="D27" s="1" t="s">
        <v>16</v>
      </c>
      <c r="E27" s="2" t="s">
        <v>259</v>
      </c>
    </row>
    <row r="28" spans="1:5" ht="25.05" customHeight="1">
      <c r="A28" s="2" t="s">
        <v>262</v>
      </c>
      <c r="B28" s="2" t="s">
        <v>263</v>
      </c>
      <c r="C28" s="6">
        <v>1918</v>
      </c>
      <c r="D28" s="1" t="s">
        <v>16</v>
      </c>
      <c r="E28" s="2" t="s">
        <v>259</v>
      </c>
    </row>
    <row r="29" spans="1:5" ht="25.05" customHeight="1">
      <c r="A29" s="2" t="s">
        <v>264</v>
      </c>
      <c r="B29" s="2" t="s">
        <v>265</v>
      </c>
      <c r="C29" s="5">
        <v>0.7</v>
      </c>
      <c r="D29" s="1" t="s">
        <v>61</v>
      </c>
      <c r="E29" s="2" t="s">
        <v>259</v>
      </c>
    </row>
    <row r="30" spans="1:5" ht="25.05" customHeight="1">
      <c r="A30" s="2" t="s">
        <v>266</v>
      </c>
      <c r="B30" s="2" t="s">
        <v>267</v>
      </c>
      <c r="C30" s="5">
        <v>0.48</v>
      </c>
      <c r="D30" s="1" t="s">
        <v>61</v>
      </c>
      <c r="E30" s="2" t="s">
        <v>259</v>
      </c>
    </row>
    <row r="31" spans="1:5" ht="25.05" customHeight="1">
      <c r="A31" s="2" t="s">
        <v>268</v>
      </c>
      <c r="B31" s="2" t="s">
        <v>269</v>
      </c>
      <c r="C31" s="13">
        <f>IF(AND(ISNUMBER(C26),C26&gt;0,ISNUMBER(C27),C27&gt;0,ISNUMBER(C29),C29&gt;0),C29*PI()*C27*C26/1000,"待输入")</f>
        <v>8103.7382499348714</v>
      </c>
      <c r="D31" s="1" t="s">
        <v>10</v>
      </c>
      <c r="E31" s="18" t="s">
        <v>396</v>
      </c>
    </row>
    <row r="32" spans="1:5" ht="25.05" customHeight="1">
      <c r="A32" s="2" t="s">
        <v>270</v>
      </c>
      <c r="B32" s="2" t="s">
        <v>271</v>
      </c>
      <c r="C32" s="13">
        <f>IF(AND(ISNUMBER(C26),C26&gt;0,ISNUMBER(C28),C28&gt;0,ISNUMBER(C30),C30&gt;0),C30*C28*C26/1000,"待输入")</f>
        <v>6168.2879999999996</v>
      </c>
      <c r="D32" s="1" t="s">
        <v>10</v>
      </c>
      <c r="E32" s="2" t="s">
        <v>272</v>
      </c>
    </row>
    <row r="33" spans="1:5" ht="25.05" customHeight="1">
      <c r="A33" s="2" t="s">
        <v>273</v>
      </c>
      <c r="B33" s="2"/>
      <c r="C33" s="13" t="str">
        <f>IF(AND(ISNUMBER(C21),ISNUMBER(C31)),IF(C21&lt;=C31,"OK","NG"),"待输入")</f>
        <v>OK</v>
      </c>
      <c r="D33" s="1"/>
      <c r="E33" s="2" t="s">
        <v>274</v>
      </c>
    </row>
    <row r="34" spans="1:5" ht="25.05" customHeight="1">
      <c r="A34" s="2" t="s">
        <v>275</v>
      </c>
      <c r="B34" s="2"/>
      <c r="C34" s="13" t="str">
        <f>IF(AND(ISNUMBER(C21),ISNUMBER(C32)),IF(C21&lt;=C32,"OK","NG"),"待输入")</f>
        <v>OK</v>
      </c>
      <c r="D34" s="1"/>
      <c r="E34" s="2"/>
    </row>
    <row r="35" spans="1:5" ht="25.05" customHeight="1">
      <c r="A35" s="2" t="s">
        <v>276</v>
      </c>
      <c r="B35" s="2" t="s">
        <v>277</v>
      </c>
      <c r="C35" s="13">
        <f>IF(AND(ISNUMBER(C21),C21&gt;0,ISNUMBER(C31),C31&gt;0,ISNUMBER(C32),C32&gt;0),MIN(C21,C31,C32),"待输入")</f>
        <v>6106</v>
      </c>
      <c r="D35" s="1" t="s">
        <v>10</v>
      </c>
      <c r="E35" s="2" t="s">
        <v>278</v>
      </c>
    </row>
    <row r="36" spans="1:5" ht="25.05" customHeight="1">
      <c r="A36" s="2" t="s">
        <v>279</v>
      </c>
      <c r="B36" s="2" t="s">
        <v>280</v>
      </c>
      <c r="C36" s="13" t="str">
        <f>IF(AND(ISNUMBER(C22),C22&gt;0,ISNUMBER(C35),C35&gt;0),C22*C35,"待输入")</f>
        <v>待输入</v>
      </c>
      <c r="D36" s="1" t="s">
        <v>10</v>
      </c>
      <c r="E36" s="2"/>
    </row>
    <row r="37" spans="1:5" ht="25.05" customHeight="1">
      <c r="A37" s="2" t="s">
        <v>281</v>
      </c>
      <c r="B37" s="2"/>
      <c r="C37" s="13" t="str">
        <f>IF(AND(ISNUMBER(C13),ISNUMBER(C36)),IF(C13&lt;=C36,"OK","NG"),"待输入")</f>
        <v>待输入</v>
      </c>
      <c r="D37" s="1"/>
      <c r="E37" s="2"/>
    </row>
    <row r="38" spans="1:5" ht="25.05" customHeight="1">
      <c r="A38" s="2" t="s">
        <v>282</v>
      </c>
      <c r="B38" s="2" t="s">
        <v>283</v>
      </c>
      <c r="C38" s="13">
        <f>IF(AND(ISNUMBER(C21),C21&gt;0,ISNUMBER(C27),C27&gt;0,ISNUMBER(C29),C29&gt;0),C21*1000/(C29*PI()*C27),"待输入")</f>
        <v>5048.3121169824044</v>
      </c>
      <c r="D38" s="1" t="s">
        <v>16</v>
      </c>
      <c r="E38" s="2" t="s">
        <v>284</v>
      </c>
    </row>
    <row r="39" spans="1:5" ht="25.05" customHeight="1">
      <c r="A39" s="2" t="s">
        <v>285</v>
      </c>
      <c r="B39" s="2" t="s">
        <v>286</v>
      </c>
      <c r="C39" s="13">
        <f>IF(AND(ISNUMBER(C21),C21&gt;0,ISNUMBER(C28),C28&gt;0,ISNUMBER(C30),C30&gt;0),C21*1000/(C30*C28),"待输入")</f>
        <v>6632.342718109142</v>
      </c>
      <c r="D39" s="1" t="s">
        <v>16</v>
      </c>
      <c r="E39" s="2" t="s">
        <v>284</v>
      </c>
    </row>
    <row r="40" spans="1:5" ht="7.05" customHeight="1">
      <c r="A40" s="2"/>
      <c r="B40" s="2"/>
      <c r="C40" s="1"/>
      <c r="D40" s="1"/>
      <c r="E40" s="2"/>
    </row>
    <row r="41" spans="1:5" ht="25.05" customHeight="1">
      <c r="A41" s="18" t="s">
        <v>301</v>
      </c>
      <c r="B41" s="18" t="s">
        <v>302</v>
      </c>
      <c r="C41" s="24" t="str">
        <f>IF('A Bored Pile Checking'!C9="","",'A Bored Pile Checking'!C9)</f>
        <v/>
      </c>
      <c r="D41" s="25" t="s">
        <v>303</v>
      </c>
      <c r="E41" s="18" t="s">
        <v>393</v>
      </c>
    </row>
    <row r="42" spans="1:5" ht="25.05" customHeight="1">
      <c r="A42" s="43" t="s">
        <v>231</v>
      </c>
      <c r="B42" s="44"/>
      <c r="C42" s="45"/>
      <c r="D42" s="45"/>
      <c r="E42" s="44"/>
    </row>
    <row r="43" spans="1:5" ht="31.05" customHeight="1">
      <c r="A43" s="2" t="s">
        <v>59</v>
      </c>
      <c r="B43" s="2" t="s">
        <v>232</v>
      </c>
      <c r="C43" s="28">
        <f>IF('A Bored Pile Checking'!C33="","",'A Bored Pile Checking'!C33)</f>
        <v>45</v>
      </c>
      <c r="D43" s="1" t="s">
        <v>61</v>
      </c>
      <c r="E43" s="26" t="s">
        <v>407</v>
      </c>
    </row>
    <row r="44" spans="1:5" ht="25.05" customHeight="1">
      <c r="A44" s="2" t="s">
        <v>54</v>
      </c>
      <c r="B44" s="2" t="s">
        <v>55</v>
      </c>
      <c r="C44" s="27" t="str">
        <f>IF('A Bored Pile Checking'!C30="","",'A Bored Pile Checking'!C30)</f>
        <v/>
      </c>
      <c r="D44" s="1" t="s">
        <v>16</v>
      </c>
      <c r="E44" s="26" t="s">
        <v>408</v>
      </c>
    </row>
    <row r="45" spans="1:5" ht="25.05" customHeight="1">
      <c r="A45" s="18" t="s">
        <v>305</v>
      </c>
      <c r="B45" s="2" t="s">
        <v>56</v>
      </c>
      <c r="C45" s="20" t="str">
        <f>IF(C44="","",C44)</f>
        <v/>
      </c>
      <c r="D45" s="1" t="s">
        <v>16</v>
      </c>
      <c r="E45" s="18" t="s">
        <v>306</v>
      </c>
    </row>
    <row r="46" spans="1:5" ht="25.05" customHeight="1">
      <c r="A46" s="2" t="s">
        <v>57</v>
      </c>
      <c r="B46" s="2" t="s">
        <v>58</v>
      </c>
      <c r="C46" s="21" t="str">
        <f>IF(AND(ISNUMBER(C44),C44&gt;0),4*C44,"待输入")</f>
        <v>待输入</v>
      </c>
      <c r="D46" s="1" t="s">
        <v>16</v>
      </c>
      <c r="E46" s="18" t="s">
        <v>394</v>
      </c>
    </row>
    <row r="47" spans="1:5" ht="25.05" customHeight="1">
      <c r="A47" s="2" t="s">
        <v>233</v>
      </c>
      <c r="B47" s="2" t="s">
        <v>73</v>
      </c>
      <c r="C47" s="20" t="str">
        <f>IF(AND(ISNUMBER(C41),C41&gt;0),C41/10*1000,"待输入")</f>
        <v>待输入</v>
      </c>
      <c r="D47" s="1" t="s">
        <v>16</v>
      </c>
      <c r="E47" s="18" t="s">
        <v>313</v>
      </c>
    </row>
    <row r="48" spans="1:5" ht="25.05" customHeight="1">
      <c r="A48" s="18" t="s">
        <v>310</v>
      </c>
      <c r="B48" s="18" t="s">
        <v>311</v>
      </c>
      <c r="C48" s="20">
        <f>IF('A Bored Pile Checking'!C38="","",'A Bored Pile Checking'!C38)</f>
        <v>75</v>
      </c>
      <c r="D48" s="1" t="s">
        <v>16</v>
      </c>
      <c r="E48" s="18" t="s">
        <v>395</v>
      </c>
    </row>
    <row r="49" spans="1:5" ht="25.05" customHeight="1">
      <c r="A49" s="2" t="s">
        <v>234</v>
      </c>
      <c r="B49" s="2" t="s">
        <v>71</v>
      </c>
      <c r="C49" s="13" t="str">
        <f>IF(AND(COUNT(C47:C48)=2,C47&gt;C48,C48&gt;=0),C47-C48,"待输入")</f>
        <v>待输入</v>
      </c>
      <c r="D49" s="1" t="s">
        <v>16</v>
      </c>
      <c r="E49" s="18" t="s">
        <v>309</v>
      </c>
    </row>
    <row r="50" spans="1:5" ht="25.05" customHeight="1">
      <c r="A50" s="2" t="s">
        <v>62</v>
      </c>
      <c r="B50" s="2" t="s">
        <v>63</v>
      </c>
      <c r="C50" s="13">
        <f>IF('B Bored Pile Checking'!C45="","",'B Bored Pile Checking'!C45)</f>
        <v>0.8</v>
      </c>
      <c r="D50" s="1"/>
      <c r="E50" s="2" t="s">
        <v>235</v>
      </c>
    </row>
    <row r="51" spans="1:5" ht="25.05" customHeight="1">
      <c r="A51" s="2" t="s">
        <v>236</v>
      </c>
      <c r="B51" s="2" t="s">
        <v>66</v>
      </c>
      <c r="C51" s="13">
        <f>IF(AND(ISNUMBER(C43),C43&gt;0,ISNUMBER(C50),C50&gt;0),C50*SQRT(C43),"待输入")</f>
        <v>5.3665631459994962</v>
      </c>
      <c r="D51" s="1" t="s">
        <v>61</v>
      </c>
      <c r="E51" s="26" t="s">
        <v>409</v>
      </c>
    </row>
    <row r="52" spans="1:5" ht="25.05" customHeight="1">
      <c r="A52" s="2" t="s">
        <v>237</v>
      </c>
      <c r="B52" s="2" t="s">
        <v>75</v>
      </c>
      <c r="C52" s="13" t="str">
        <f>IF(AND(ISNUMBER(C46),C46&gt;0,ISNUMBER(C49),C49&gt;0),IF(ISNUMBER(C14),C14*1000/(C46*C49),"待输入"),"待输入")</f>
        <v>待输入</v>
      </c>
      <c r="D52" s="1" t="s">
        <v>61</v>
      </c>
      <c r="E52" s="2" t="s">
        <v>238</v>
      </c>
    </row>
    <row r="53" spans="1:5" ht="25.05" customHeight="1">
      <c r="A53" s="2" t="s">
        <v>239</v>
      </c>
      <c r="B53" s="2"/>
      <c r="C53" s="13" t="str">
        <f>IF(AND(ISNUMBER(C52),ISNUMBER(C51)),IF(C52&lt;=C51,"OK","NG"),"待输入")</f>
        <v>待输入</v>
      </c>
      <c r="D53" s="1"/>
      <c r="E53" s="2" t="s">
        <v>240</v>
      </c>
    </row>
    <row r="54" spans="1:5" ht="25.05" customHeight="1">
      <c r="A54" s="2" t="s">
        <v>241</v>
      </c>
      <c r="B54" s="2" t="s">
        <v>69</v>
      </c>
      <c r="C54" s="13" t="str">
        <f>IF(AND(ISNUMBER(C46),C46&gt;0,ISNUMBER(C51),C51&gt;0),IF(ISNUMBER(C14),C14*1000/(C46*C51),"待输入"),"待输入")</f>
        <v>待输入</v>
      </c>
      <c r="D54" s="1" t="s">
        <v>16</v>
      </c>
      <c r="E54" s="2" t="s">
        <v>242</v>
      </c>
    </row>
    <row r="55" spans="1:5" ht="31.05" customHeight="1">
      <c r="A55" s="2"/>
      <c r="B55" s="2"/>
      <c r="C55" s="1"/>
      <c r="D55" s="1"/>
      <c r="E55" s="2"/>
    </row>
    <row r="56" spans="1:5" ht="13.95" customHeight="1">
      <c r="A56" s="41" t="s">
        <v>243</v>
      </c>
      <c r="B56" s="41"/>
      <c r="C56" s="41"/>
      <c r="D56" s="41"/>
      <c r="E56" s="41"/>
    </row>
    <row r="57" spans="1:5" ht="13.95" customHeight="1">
      <c r="A57" s="41"/>
      <c r="B57" s="41"/>
      <c r="C57" s="41"/>
      <c r="D57" s="41"/>
      <c r="E57" s="41"/>
    </row>
    <row r="58" spans="1:5" ht="13.95" customHeight="1">
      <c r="A58" s="41"/>
      <c r="B58" s="41"/>
      <c r="C58" s="41"/>
      <c r="D58" s="41"/>
      <c r="E58" s="41"/>
    </row>
  </sheetData>
  <mergeCells count="7">
    <mergeCell ref="A42:E42"/>
    <mergeCell ref="A56:E58"/>
    <mergeCell ref="A2:E2"/>
    <mergeCell ref="A3:E3"/>
    <mergeCell ref="A4:E4"/>
    <mergeCell ref="A8:E8"/>
    <mergeCell ref="A16:E16"/>
  </mergeCells>
  <phoneticPr fontId="7" type="noConversion"/>
  <conditionalFormatting sqref="C7:C58">
    <cfRule type="expression" dxfId="1" priority="1">
      <formula>C7="NG"</formula>
    </cfRule>
    <cfRule type="expression" dxfId="0" priority="2">
      <formula>C7="待输入"</formula>
    </cfRule>
  </conditionalFormatting>
  <pageMargins left="0.34722222222222221" right="0.34722222222222221" top="0.41666666666666669" bottom="0.41666666666666669" header="0.3" footer="0.3"/>
  <pageSetup paperSize="9" scale="83" fitToHeight="0" orientation="landscape" r:id="rId1"/>
  <headerFoot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274760"/>
    <pageSetUpPr fitToPage="1"/>
  </sheetPr>
  <dimension ref="A1:J700"/>
  <sheetViews>
    <sheetView showGridLines="0" workbookViewId="0">
      <pane ySplit="5" topLeftCell="A6" activePane="bottomLeft" state="frozen"/>
      <selection pane="bottomLeft" sqref="A1:H1"/>
    </sheetView>
  </sheetViews>
  <sheetFormatPr defaultRowHeight="13.8"/>
  <cols>
    <col min="1" max="8" width="13" customWidth="1"/>
    <col min="10" max="10" width="0" hidden="1" customWidth="1"/>
  </cols>
  <sheetData>
    <row r="1" spans="1:10" ht="25.05" customHeight="1">
      <c r="A1" s="34" t="s">
        <v>411</v>
      </c>
      <c r="B1" s="34"/>
      <c r="C1" s="34"/>
      <c r="D1" s="34"/>
      <c r="E1" s="34"/>
      <c r="F1" s="34"/>
      <c r="G1" s="34"/>
      <c r="H1" s="34"/>
    </row>
    <row r="2" spans="1:10" ht="19.95" customHeight="1">
      <c r="A2" s="35" t="s">
        <v>406</v>
      </c>
      <c r="B2" s="35"/>
      <c r="C2" s="36" t="str">
        <f>CHOOSE(J2,"Bored pile","Socket H-pile")</f>
        <v>Bored pile</v>
      </c>
      <c r="D2" s="36"/>
      <c r="E2" s="36"/>
      <c r="F2" s="36"/>
      <c r="G2" s="33"/>
      <c r="H2" s="33"/>
      <c r="J2">
        <v>1</v>
      </c>
    </row>
    <row r="3" spans="1:10" ht="16.95" customHeight="1">
      <c r="A3" s="33"/>
      <c r="B3" s="33"/>
      <c r="C3" s="33"/>
      <c r="D3" s="33"/>
      <c r="E3" s="33"/>
      <c r="F3" s="33"/>
      <c r="G3" s="33"/>
      <c r="H3" s="33"/>
    </row>
    <row r="4" spans="1:10" ht="16.95" customHeight="1">
      <c r="A4" s="33"/>
      <c r="B4" s="33"/>
      <c r="C4" s="33"/>
      <c r="D4" s="33"/>
      <c r="E4" s="33"/>
      <c r="F4" s="33"/>
      <c r="G4" s="33"/>
      <c r="H4" s="33"/>
    </row>
    <row r="5" spans="1:10" ht="4.95" customHeight="1">
      <c r="A5" s="33"/>
      <c r="B5" s="33"/>
      <c r="C5" s="33"/>
      <c r="D5" s="33"/>
      <c r="E5" s="33"/>
      <c r="F5" s="33"/>
      <c r="G5" s="33"/>
      <c r="H5" s="33"/>
    </row>
    <row r="6" spans="1:10" ht="19.95" customHeight="1">
      <c r="A6" s="39" t="str">
        <f>"Bored Pile ("&amp;IF(ISNUMBER('B Bored Pile Checking'!C17),TEXT('B Bored Pile Checking'!C17,"0"),IF('B Bored Pile Checking'!C17="","[待输入]",'B Bored Pile Checking'!C17))&amp;" mm Ø with "&amp;IF(ISNUMBER('B Bored Pile Checking'!C18),TEXT('B Bored Pile Checking'!C18,"0"),IF('B Bored Pile Checking'!C18="","[待输入]",'B Bored Pile Checking'!C18))&amp;" mm bell-out, fcu = "&amp;IF(ISNUMBER('B Bored Pile Checking'!C21),TEXT('B Bored Pile Checking'!C21,"0"),IF('B Bored Pile Checking'!C21="","[待输入]",'B Bored Pile Checking'!C21))&amp;" N/mm²)"</f>
        <v>Bored Pile (1500 mm Ø with 2200 mm bell-out, fcu = 48 N/mm²)</v>
      </c>
      <c r="B6" s="39"/>
      <c r="C6" s="39"/>
      <c r="D6" s="39"/>
      <c r="E6" s="39"/>
      <c r="F6" s="39"/>
      <c r="G6" s="39"/>
      <c r="H6" s="39"/>
    </row>
    <row r="7" spans="1:10" ht="19.95" customHeight="1">
      <c r="A7" s="39" t="str">
        <f>"Column load, Nsls = DL + LL = "&amp;IF(ISNUMBER('B Bored Pile Checking'!C9),TEXT('B Bored Pile Checking'!C9,"#,##0.00"),IF('B Bored Pile Checking'!C9="","[待输入]",'B Bored Pile Checking'!C9))&amp;" + "&amp;IF(ISNUMBER('B Bored Pile Checking'!C10),TEXT('B Bored Pile Checking'!C10,"#,##0.00"),IF('B Bored Pile Checking'!C10="","[待输入]",'B Bored Pile Checking'!C10))&amp;" = "&amp;IF(ISNUMBER('B Bored Pile Checking'!C13),TEXT('B Bored Pile Checking'!C13,"#,##0.00"),IF('B Bored Pile Checking'!C13="","[待输入]",'B Bored Pile Checking'!C13))&amp;" kN"</f>
        <v>Column load, Nsls = DL + LL = [待输入] + [待输入] = 待输入 kN</v>
      </c>
      <c r="B7" s="39"/>
      <c r="C7" s="39"/>
      <c r="D7" s="39"/>
      <c r="E7" s="39"/>
      <c r="F7" s="39"/>
      <c r="G7" s="39"/>
      <c r="H7" s="39"/>
    </row>
    <row r="8" spans="1:10" ht="19.95" customHeight="1">
      <c r="A8" s="39" t="str">
        <f>"Nuls = 1.4 × DL + 1.6 × LL = "&amp;IF(ISNUMBER('B Bored Pile Checking'!C14),TEXT('B Bored Pile Checking'!C14,"#,##0.00"),IF('B Bored Pile Checking'!C14="","[待输入]",'B Bored Pile Checking'!C14))&amp;" kN"</f>
        <v>Nuls = 1.4 × DL + 1.6 × LL = 待输入 kN</v>
      </c>
      <c r="B8" s="39"/>
      <c r="C8" s="39"/>
      <c r="D8" s="39"/>
      <c r="E8" s="39"/>
      <c r="F8" s="39"/>
      <c r="G8" s="39"/>
      <c r="H8" s="39"/>
    </row>
    <row r="9" spans="1:10" ht="24" customHeight="1">
      <c r="A9" s="37" t="s">
        <v>397</v>
      </c>
      <c r="B9" s="37"/>
      <c r="C9" s="37"/>
      <c r="D9" s="37"/>
      <c r="E9" s="37"/>
      <c r="F9" s="37"/>
      <c r="G9" s="37"/>
      <c r="H9" s="37"/>
    </row>
    <row r="10" spans="1:10" ht="19.95" customHeight="1">
      <c r="A10" s="39" t="str">
        <f>"Provide "&amp;IF(ISNUMBER('B Bored Pile Checking'!C19),TEXT('B Bored Pile Checking'!C19,"0"),IF('B Bored Pile Checking'!C19="","[待输入]",'B Bored Pile Checking'!C19))&amp;" nos. of pile per column (rounded up from Nsls / pile capacity)"</f>
        <v>Provide 待输入 nos. of pile per column (rounded up from Nsls / pile capacity)</v>
      </c>
      <c r="B10" s="39"/>
      <c r="C10" s="39"/>
      <c r="D10" s="39"/>
      <c r="E10" s="39"/>
      <c r="F10" s="39"/>
      <c r="G10" s="39"/>
      <c r="H10" s="39"/>
    </row>
    <row r="11" spans="1:10" ht="19.95" customHeight="1">
      <c r="A11" s="39" t="str">
        <f>"Qb = "&amp;IF(ISNUMBER('B Bored Pile Checking'!C20),TEXT('B Bored Pile Checking'!C20,"#,##0"),IF('B Bored Pile Checking'!C20="","[待输入]",'B Bored Pile Checking'!C20))&amp;" kPa"</f>
        <v>Qb = 3,000 kPa</v>
      </c>
      <c r="B11" s="39"/>
      <c r="C11" s="39"/>
      <c r="D11" s="39"/>
      <c r="E11" s="39"/>
      <c r="F11" s="39"/>
      <c r="G11" s="39"/>
      <c r="H11" s="39"/>
    </row>
    <row r="12" spans="1:10" ht="19.95" customHeight="1">
      <c r="A12" s="38" t="s">
        <v>329</v>
      </c>
      <c r="B12" s="38"/>
      <c r="C12" s="38"/>
      <c r="D12" s="38"/>
      <c r="E12" s="38"/>
      <c r="F12" s="38"/>
      <c r="G12" s="38"/>
      <c r="H12" s="38"/>
    </row>
    <row r="13" spans="1:10" ht="19.95" customHeight="1">
      <c r="A13" s="39" t="str">
        <f>"= "&amp;IF(ISNUMBER('B Bored Pile Checking'!C19),TEXT('B Bored Pile Checking'!C19,"0"),IF('B Bored Pile Checking'!C19="","[待输入]",'B Bored Pile Checking'!C19))&amp;" × π × "&amp;TEXT('B Bored Pile Checking'!C18/1000,"0.0")&amp;"² / 4 × "&amp;IF(ISNUMBER('B Bored Pile Checking'!C20),TEXT('B Bored Pile Checking'!C20,"#,##0"),IF('B Bored Pile Checking'!C20="","[待输入]",'B Bored Pile Checking'!C20))&amp;" = "&amp;IF(ISNUMBER('B Bored Pile Checking'!C31),TEXT('B Bored Pile Checking'!C31,"#,##0"),IF('B Bored Pile Checking'!C31="","[待输入]",'B Bored Pile Checking'!C31))&amp;" kN"</f>
        <v>= 待输入 × π × 2.2² / 4 × 3,000 = 待输入 kN</v>
      </c>
      <c r="B13" s="39"/>
      <c r="C13" s="39"/>
      <c r="D13" s="39"/>
      <c r="E13" s="39"/>
      <c r="F13" s="39"/>
      <c r="G13" s="39"/>
      <c r="H13" s="39"/>
    </row>
    <row r="14" spans="1:10" ht="19.95" customHeight="1">
      <c r="A14" s="39" t="str">
        <f>"Qallow ≥ Nsls = "&amp;IF(ISNUMBER('B Bored Pile Checking'!C13),TEXT('B Bored Pile Checking'!C13,"#,##0.00"),IF('B Bored Pile Checking'!C13="","[待输入]",'B Bored Pile Checking'!C13))&amp;" kN     ∴ "&amp;IF(ISNUMBER('B Bored Pile Checking'!C32),TEXT('B Bored Pile Checking'!C32,"#,##0.00"),IF('B Bored Pile Checking'!C32="","[待输入]",'B Bored Pile Checking'!C32))</f>
        <v>Qallow ≥ Nsls = 待输入 kN     ∴ 待输入</v>
      </c>
      <c r="B14" s="39"/>
      <c r="C14" s="39"/>
      <c r="D14" s="39"/>
      <c r="E14" s="39"/>
      <c r="F14" s="39"/>
      <c r="G14" s="39"/>
      <c r="H14" s="39"/>
    </row>
    <row r="15" spans="1:10" ht="24" customHeight="1">
      <c r="A15" s="37" t="s">
        <v>398</v>
      </c>
      <c r="B15" s="37"/>
      <c r="C15" s="37"/>
      <c r="D15" s="37"/>
      <c r="E15" s="37"/>
      <c r="F15" s="37"/>
      <c r="G15" s="37"/>
      <c r="H15" s="37"/>
    </row>
    <row r="16" spans="1:10" ht="19.95" customHeight="1">
      <c r="A16" s="39" t="str">
        <f>"Pile diameter = "&amp;IF(ISNUMBER('B Bored Pile Checking'!C17),TEXT('B Bored Pile Checking'!C17,"0"),IF('B Bored Pile Checking'!C17="","[待输入]",'B Bored Pile Checking'!C17))&amp;" mm"</f>
        <v>Pile diameter = 1500 mm</v>
      </c>
      <c r="B16" s="39"/>
      <c r="C16" s="39"/>
      <c r="D16" s="39"/>
      <c r="E16" s="39"/>
      <c r="F16" s="39"/>
      <c r="G16" s="39"/>
      <c r="H16" s="39"/>
    </row>
    <row r="17" spans="1:8" ht="19.95" customHeight="1">
      <c r="A17" s="38" t="s">
        <v>437</v>
      </c>
      <c r="B17" s="38"/>
      <c r="C17" s="38"/>
      <c r="D17" s="38"/>
      <c r="E17" s="38"/>
      <c r="F17" s="38"/>
      <c r="G17" s="38"/>
      <c r="H17" s="38"/>
    </row>
    <row r="18" spans="1:8" ht="19.95" customHeight="1">
      <c r="A18" s="39" t="str">
        <f>"= 0.35 × "&amp;IF(ISNUMBER('B Bored Pile Checking'!C21),TEXT('B Bored Pile Checking'!C21,"0"),IF('B Bored Pile Checking'!C21="","[待输入]",'B Bored Pile Checking'!C21))&amp;" × π × "&amp;IF(ISNUMBER('B Bored Pile Checking'!C17),TEXT('B Bored Pile Checking'!C17,"0"),IF('B Bored Pile Checking'!C17="","[待输入]",'B Bored Pile Checking'!C17))&amp;"² / 4 / 1000 = "&amp;IF(ISNUMBER('B Bored Pile Checking'!C33),TEXT('B Bored Pile Checking'!C33,"#,##0"),IF('B Bored Pile Checking'!C33="","[待输入]",'B Bored Pile Checking'!C33))&amp;" kN"</f>
        <v>= 0.35 × 48 × π × 1500² / 4 / 1000 = 29,688 kN</v>
      </c>
      <c r="B18" s="39"/>
      <c r="C18" s="39"/>
      <c r="D18" s="39"/>
      <c r="E18" s="39"/>
      <c r="F18" s="39"/>
      <c r="G18" s="39"/>
      <c r="H18" s="39"/>
    </row>
    <row r="19" spans="1:8" ht="19.95" customHeight="1">
      <c r="A19" s="39" t="str">
        <f>"Nconc ≥ Nuls / n = "&amp;IF(ISNUMBER('B Bored Pile Checking'!C34),TEXT('B Bored Pile Checking'!C34,"#,##0.00"),IF('B Bored Pile Checking'!C34="","[待输入]",'B Bored Pile Checking'!C34))&amp;" kN     ∴ "&amp;IF(ISNUMBER('B Bored Pile Checking'!C35),TEXT('B Bored Pile Checking'!C35,"#,##0.00"),IF('B Bored Pile Checking'!C35="","[待输入]",'B Bored Pile Checking'!C35))</f>
        <v>Nconc ≥ Nuls / n = 待输入 kN     ∴ 待输入</v>
      </c>
      <c r="B19" s="39"/>
      <c r="C19" s="39"/>
      <c r="D19" s="39"/>
      <c r="E19" s="39"/>
      <c r="F19" s="39"/>
      <c r="G19" s="39"/>
      <c r="H19" s="39"/>
    </row>
    <row r="20" spans="1:8" ht="19.95" customHeight="1">
      <c r="A20" s="38" t="s">
        <v>399</v>
      </c>
      <c r="B20" s="38"/>
      <c r="C20" s="38"/>
      <c r="D20" s="38"/>
      <c r="E20" s="38"/>
      <c r="F20" s="38"/>
      <c r="G20" s="38"/>
      <c r="H20" s="38"/>
    </row>
    <row r="21" spans="1:8" ht="19.95" customHeight="1">
      <c r="A21" s="39" t="str">
        <f>"As,req = 0.4% × Ac = "&amp;IF(ISNUMBER('B Bored Pile Checking'!C28),TEXT('B Bored Pile Checking'!C28,"#,##0"),IF('B Bored Pile Checking'!C28="","[待输入]",'B Bored Pile Checking'!C28))&amp;" mm²"</f>
        <v>As,req = 0.4% × Ac = 7,069 mm²</v>
      </c>
      <c r="B21" s="39"/>
      <c r="C21" s="39"/>
      <c r="D21" s="39"/>
      <c r="E21" s="39"/>
      <c r="F21" s="39"/>
      <c r="G21" s="39"/>
      <c r="H21" s="39"/>
    </row>
    <row r="22" spans="1:8" ht="19.95" customHeight="1">
      <c r="A22" s="39" t="str">
        <f>"Provide "&amp;IF(ISNUMBER('B Bored Pile Checking'!C22),TEXT('B Bored Pile Checking'!C22,"0"),IF('B Bored Pile Checking'!C22="","[待输入]",'B Bored Pile Checking'!C22))&amp;"T"&amp;IF(ISNUMBER('B Bored Pile Checking'!C23),TEXT('B Bored Pile Checking'!C23,"0"),IF('B Bored Pile Checking'!C23="","[待输入]",'B Bored Pile Checking'!C23))&amp;", As,prov = "&amp;IF(ISNUMBER('B Bored Pile Checking'!C27),TEXT('B Bored Pile Checking'!C27,"#,##0"),IF('B Bored Pile Checking'!C27="","[待输入]",'B Bored Pile Checking'!C27))&amp;" mm², "&amp;IF(ISNUMBER('B Bored Pile Checking'!C29),TEXT('B Bored Pile Checking'!C29,"0.00%"),IF('B Bored Pile Checking'!C29="","[待输入]",'B Bored Pile Checking'!C29))&amp;"     ∴ "&amp;IF(ISNUMBER('B Bored Pile Checking'!C30),TEXT('B Bored Pile Checking'!C30,"#,##0.00"),IF('B Bored Pile Checking'!C30="","[待输入]",'B Bored Pile Checking'!C30))</f>
        <v>Provide 24T20, As,prov = 7,540 mm², 0.43%     ∴ OK</v>
      </c>
      <c r="B22" s="39"/>
      <c r="C22" s="39"/>
      <c r="D22" s="39"/>
      <c r="E22" s="39"/>
      <c r="F22" s="39"/>
      <c r="G22" s="39"/>
      <c r="H22" s="39"/>
    </row>
    <row r="23" spans="1:8" ht="19.95" customHeight="1">
      <c r="A23" s="39" t="str">
        <f>"Provide h = "&amp;IF(ISNUMBER('A Bored Pile Checking'!C9),TEXT('A Bored Pile Checking'!C9,"0"),IF('A Bored Pile Checking'!C9="","[待输入]",'A Bored Pile Checking'!C9))&amp;" / 10 × 1000 = "&amp;IF(ISNUMBER('B Bored Pile Checking'!C42),TEXT('B Bored Pile Checking'!C42,"0"),IF('B Bored Pile Checking'!C42="","[待输入]",'B Bored Pile Checking'!C42))&amp;" mm THK. pile cap; cover = "&amp;IF(ISNUMBER('B Bored Pile Checking'!C43),TEXT('B Bored Pile Checking'!C43,"0"),IF('B Bored Pile Checking'!C43="","[待输入]",'B Bored Pile Checking'!C43))&amp;" mm."</f>
        <v>Provide h = [待输入] / 10 × 1000 = 待输入 mm THK. pile cap; cover = 75 mm.</v>
      </c>
      <c r="B23" s="39"/>
      <c r="C23" s="39"/>
      <c r="D23" s="39"/>
      <c r="E23" s="39"/>
      <c r="F23" s="39"/>
      <c r="G23" s="39"/>
      <c r="H23" s="39"/>
    </row>
    <row r="24" spans="1:8" ht="19.95" customHeight="1">
      <c r="A24" s="39" t="str">
        <f>"d = h - cover = "&amp;IF(ISNUMBER('B Bored Pile Checking'!C44),TEXT('B Bored Pile Checking'!C44,"0"),IF('B Bored Pile Checking'!C44="","[待输入]",'B Bored Pile Checking'!C44))&amp;" mm;  v = Nuls × 1000 / (4c × d)"</f>
        <v>d = h - cover = 待输入 mm;  v = Nuls × 1000 / (4c × d)</v>
      </c>
      <c r="B24" s="39"/>
      <c r="C24" s="39"/>
      <c r="D24" s="39"/>
      <c r="E24" s="39"/>
      <c r="F24" s="39"/>
      <c r="G24" s="39"/>
      <c r="H24" s="39"/>
    </row>
    <row r="25" spans="1:8" ht="19.95" customHeight="1">
      <c r="A25" s="39" t="str">
        <f>"v = "&amp;IF(ISNUMBER('B Bored Pile Checking'!C14),TEXT('B Bored Pile Checking'!C14,"#,##0.00"),IF('B Bored Pile Checking'!C14="","[待输入]",'B Bored Pile Checking'!C14))&amp;" × 1000 / (4 × "&amp;IF(ISNUMBER('B Bored Pile Checking'!C39),TEXT('B Bored Pile Checking'!C39,"0"),IF('B Bored Pile Checking'!C39="","[待输入]",'B Bored Pile Checking'!C39))&amp;" × "&amp;IF(ISNUMBER('B Bored Pile Checking'!C44),TEXT('B Bored Pile Checking'!C44,"0"),IF('B Bored Pile Checking'!C44="","[待输入]",'B Bored Pile Checking'!C44))&amp;") = "&amp;IF(ISNUMBER('B Bored Pile Checking'!C47),TEXT('B Bored Pile Checking'!C47,"0.000"),IF('B Bored Pile Checking'!C47="","[待输入]",'B Bored Pile Checking'!C47))&amp;" N/mm²"</f>
        <v>v = 待输入 × 1000 / (4 × [待输入] × 待输入) = 待输入 N/mm²</v>
      </c>
      <c r="B25" s="39"/>
      <c r="C25" s="39"/>
      <c r="D25" s="39"/>
      <c r="E25" s="39"/>
      <c r="F25" s="39"/>
      <c r="G25" s="39"/>
      <c r="H25" s="39"/>
    </row>
    <row r="26" spans="1:8" ht="19.95" customHeight="1">
      <c r="A26" s="39" t="str">
        <f>"v &lt; 0.8√fcu,cap = 0.8√"&amp;IF(ISNUMBER('B Bored Pile Checking'!C38),TEXT('B Bored Pile Checking'!C38,"0"),"[待输入]")&amp;" = "&amp;IF(ISNUMBER('B Bored Pile Checking'!C46),TEXT('B Bored Pile Checking'!C46,"0.000"),"[待输入]")&amp;" N/mm²     ∴ "&amp;'B Bored Pile Checking'!C48</f>
        <v>v &lt; 0.8√fcu,cap = 0.8√45 = 5.367 N/mm²     ∴ 待输入</v>
      </c>
      <c r="B26" s="39"/>
      <c r="C26" s="39"/>
      <c r="D26" s="39"/>
      <c r="E26" s="39"/>
      <c r="F26" s="39"/>
      <c r="G26" s="39"/>
      <c r="H26" s="39"/>
    </row>
    <row r="27" spans="1:8" ht="19.95" hidden="1" customHeight="1">
      <c r="A27" s="39" t="str">
        <f>"Socket H-pile ("&amp;IF(ISNUMBER('B Socket H Checking'!C17),TEXT('B Socket H Checking'!C17,"#,##0.00"),IF('B Socket H Checking'!C17="","[待输入]",'B Socket H Checking'!C17))&amp;" kg/m UC S450J0 with "&amp;TEXT('B Socket H Checking'!C26/1000,"0.0")&amp;" m socket)"</f>
        <v>Socket H-pile (305 × 305 × 223 kg/m UC S450J0 with 6.7 m socket)</v>
      </c>
      <c r="B27" s="39"/>
      <c r="C27" s="39"/>
      <c r="D27" s="39"/>
      <c r="E27" s="39"/>
      <c r="F27" s="39"/>
      <c r="G27" s="39"/>
      <c r="H27" s="39"/>
    </row>
    <row r="28" spans="1:8" ht="19.95" hidden="1" customHeight="1">
      <c r="A28" s="39" t="str">
        <f>"Column load, Nsls = DL + LL = "&amp;IF(ISNUMBER('B Socket H Checking'!C13),TEXT('B Socket H Checking'!C13,"#,##0.00"),IF('B Socket H Checking'!C13="","[待输入]",'B Socket H Checking'!C13))&amp;" kN"</f>
        <v>Column load, Nsls = DL + LL = 待输入 kN</v>
      </c>
      <c r="B28" s="39"/>
      <c r="C28" s="39"/>
      <c r="D28" s="39"/>
      <c r="E28" s="39"/>
      <c r="F28" s="39"/>
      <c r="G28" s="39"/>
      <c r="H28" s="39"/>
    </row>
    <row r="29" spans="1:8" ht="19.95" hidden="1" customHeight="1">
      <c r="A29" s="39" t="str">
        <f>"Nuls = 1.4 × DL + 1.6 × LL = "&amp;IF(ISNUMBER('B Socket H Checking'!C14),TEXT('B Socket H Checking'!C14,"#,##0.00"),IF('B Socket H Checking'!C14="","[待输入]",'B Socket H Checking'!C14))&amp;" kN"</f>
        <v>Nuls = 1.4 × DL + 1.6 × LL = 待输入 kN</v>
      </c>
      <c r="B29" s="39"/>
      <c r="C29" s="39"/>
      <c r="D29" s="39"/>
      <c r="E29" s="39"/>
      <c r="F29" s="39"/>
      <c r="G29" s="39"/>
      <c r="H29" s="39"/>
    </row>
    <row r="30" spans="1:8" ht="24" hidden="1" customHeight="1">
      <c r="A30" s="37" t="s">
        <v>400</v>
      </c>
      <c r="B30" s="37"/>
      <c r="C30" s="37"/>
      <c r="D30" s="37"/>
      <c r="E30" s="37"/>
      <c r="F30" s="37"/>
      <c r="G30" s="37"/>
      <c r="H30" s="37"/>
    </row>
    <row r="31" spans="1:8" ht="19.95" hidden="1" customHeight="1">
      <c r="A31" s="39" t="str">
        <f>"Provide "&amp;IF(ISNUMBER('B Socket H Checking'!C22),TEXT('B Socket H Checking'!C22,"0"),IF('B Socket H Checking'!C22="","[待输入]",'B Socket H Checking'!C22))&amp;" nos. of pile per column (rounded up from Nsls / capacity per pile)"</f>
        <v>Provide 待输入 nos. of pile per column (rounded up from Nsls / capacity per pile)</v>
      </c>
      <c r="B31" s="39"/>
      <c r="C31" s="39"/>
      <c r="D31" s="39"/>
      <c r="E31" s="39"/>
      <c r="F31" s="39"/>
      <c r="G31" s="39"/>
      <c r="H31" s="39"/>
    </row>
    <row r="32" spans="1:8" ht="19.95" hidden="1" customHeight="1">
      <c r="A32" s="38" t="s">
        <v>401</v>
      </c>
      <c r="B32" s="38"/>
      <c r="C32" s="38"/>
      <c r="D32" s="38"/>
      <c r="E32" s="38"/>
      <c r="F32" s="38"/>
      <c r="G32" s="38"/>
      <c r="H32" s="38"/>
    </row>
    <row r="33" spans="1:8" ht="19.95" hidden="1" customHeight="1">
      <c r="A33" s="39" t="str">
        <f>"= "&amp;IF(ISNUMBER('B Socket H Checking'!C22),TEXT('B Socket H Checking'!C22,"0"),IF('B Socket H Checking'!C22="","[待输入]",'B Socket H Checking'!C22))&amp;" × 0.5 × "&amp;IF(ISNUMBER('B Socket H Checking'!C18),TEXT('B Socket H Checking'!C18,"0"),IF('B Socket H Checking'!C18="","[待输入]",'B Socket H Checking'!C18))&amp;" × "&amp;TEXT('B Socket H Checking'!C19/1000,"0.0")&amp;" = "&amp;IF(ISNUMBER('B Socket H Checking'!C23),TEXT('B Socket H Checking'!C23,"#,##0"),IF('B Socket H Checking'!C23="","[待输入]",'B Socket H Checking'!C23))&amp;" kN"</f>
        <v>= 待输入 × 0.5 × 430 × 28.4 = 待输入 kN</v>
      </c>
      <c r="B33" s="39"/>
      <c r="C33" s="39"/>
      <c r="D33" s="39"/>
      <c r="E33" s="39"/>
      <c r="F33" s="39"/>
      <c r="G33" s="39"/>
      <c r="H33" s="39"/>
    </row>
    <row r="34" spans="1:8" ht="19.95" hidden="1" customHeight="1">
      <c r="A34" s="39" t="str">
        <f>"Pc,total ≥ Nsls = "&amp;IF(ISNUMBER('B Socket H Checking'!C13),TEXT('B Socket H Checking'!C13,"#,##0.00"),IF('B Socket H Checking'!C13="","[待输入]",'B Socket H Checking'!C13))&amp;" kN     ∴ "&amp;IF(ISNUMBER('B Socket H Checking'!C24),TEXT('B Socket H Checking'!C24,"#,##0.00"),IF('B Socket H Checking'!C24="","[待输入]",'B Socket H Checking'!C24))</f>
        <v>Pc,total ≥ Nsls = 待输入 kN     ∴ 待输入</v>
      </c>
      <c r="B34" s="39"/>
      <c r="C34" s="39"/>
      <c r="D34" s="39"/>
      <c r="E34" s="39"/>
      <c r="F34" s="39"/>
      <c r="G34" s="39"/>
      <c r="H34" s="39"/>
    </row>
    <row r="35" spans="1:8" ht="24" hidden="1" customHeight="1">
      <c r="A35" s="37" t="s">
        <v>402</v>
      </c>
      <c r="B35" s="37"/>
      <c r="C35" s="37"/>
      <c r="D35" s="37"/>
      <c r="E35" s="37"/>
      <c r="F35" s="37"/>
      <c r="G35" s="37"/>
      <c r="H35" s="37"/>
    </row>
    <row r="36" spans="1:8" ht="19.95" hidden="1" customHeight="1">
      <c r="A36" s="39" t="str">
        <f>"Rock socket length, Ls = "&amp;IF(ISNUMBER('B Socket H Checking'!C26),TEXT('B Socket H Checking'!C26,"0"),IF('B Socket H Checking'!C26="","[待输入]",'B Socket H Checking'!C26))&amp;" mm"</f>
        <v>Rock socket length, Ls = 6700 mm</v>
      </c>
      <c r="B36" s="39"/>
      <c r="C36" s="39"/>
      <c r="D36" s="39"/>
      <c r="E36" s="39"/>
      <c r="F36" s="39"/>
      <c r="G36" s="39"/>
      <c r="H36" s="39"/>
    </row>
    <row r="37" spans="1:8" ht="19.95" hidden="1" customHeight="1">
      <c r="A37" s="39" t="str">
        <f>"Diameter of bored hole in rock, Ds = "&amp;IF(ISNUMBER('B Socket H Checking'!C27),TEXT('B Socket H Checking'!C27,"0"),IF('B Socket H Checking'!C27="","[待输入]",'B Socket H Checking'!C27))&amp;" mm"</f>
        <v>Diameter of bored hole in rock, Ds = 550 mm</v>
      </c>
      <c r="B37" s="39"/>
      <c r="C37" s="39"/>
      <c r="D37" s="39"/>
      <c r="E37" s="39"/>
      <c r="F37" s="39"/>
      <c r="G37" s="39"/>
      <c r="H37" s="39"/>
    </row>
    <row r="38" spans="1:8" ht="19.95" hidden="1" customHeight="1">
      <c r="A38" s="39" t="str">
        <f>"Perimeter of steel section, sp = "&amp;IF(ISNUMBER('B Socket H Checking'!C28),TEXT('B Socket H Checking'!C28,"0"),IF('B Socket H Checking'!C28="","[待输入]",'B Socket H Checking'!C28))&amp;" mm"</f>
        <v>Perimeter of steel section, sp = 1918 mm</v>
      </c>
      <c r="B38" s="39"/>
      <c r="C38" s="39"/>
      <c r="D38" s="39"/>
      <c r="E38" s="39"/>
      <c r="F38" s="39"/>
      <c r="G38" s="39"/>
      <c r="H38" s="39"/>
    </row>
    <row r="39" spans="1:8" ht="19.95" hidden="1" customHeight="1">
      <c r="A39" s="39" t="str">
        <f>"Allowable friction between rock and grout, pb = "&amp;IF(ISNUMBER('B Socket H Checking'!C29),TEXT('B Socket H Checking'!C29,"0.0"),IF('B Socket H Checking'!C29="","[待输入]",'B Socket H Checking'!C29))&amp;" MPa"</f>
        <v>Allowable friction between rock and grout, pb = 0.7 MPa</v>
      </c>
      <c r="B39" s="39"/>
      <c r="C39" s="39"/>
      <c r="D39" s="39"/>
      <c r="E39" s="39"/>
      <c r="F39" s="39"/>
      <c r="G39" s="39"/>
      <c r="H39" s="39"/>
    </row>
    <row r="40" spans="1:8" ht="19.95" hidden="1" customHeight="1">
      <c r="A40" s="39" t="str">
        <f>"Pb = pb π Ds Ls = "&amp;IF(ISNUMBER('B Socket H Checking'!C29),TEXT('B Socket H Checking'!C29,"0.0"),IF('B Socket H Checking'!C29="","[待输入]",'B Socket H Checking'!C29))&amp;" × π × "&amp;IF(ISNUMBER('B Socket H Checking'!C27),TEXT('B Socket H Checking'!C27,"0"),IF('B Socket H Checking'!C27="","[待输入]",'B Socket H Checking'!C27))&amp;" × "&amp;IF(ISNUMBER('B Socket H Checking'!C26),TEXT('B Socket H Checking'!C26,"0"),IF('B Socket H Checking'!C26="","[待输入]",'B Socket H Checking'!C26))&amp;" / 1000 = "&amp;IF(ISNUMBER('B Socket H Checking'!C31),TEXT('B Socket H Checking'!C31,"#,##0"),IF('B Socket H Checking'!C31="","[待输入]",'B Socket H Checking'!C31))&amp;" kN"</f>
        <v>Pb = pb π Ds Ls = 0.7 × π × 550 × 6700 / 1000 = 8,104 kN</v>
      </c>
      <c r="B40" s="39"/>
      <c r="C40" s="39"/>
      <c r="D40" s="39"/>
      <c r="E40" s="39"/>
      <c r="F40" s="39"/>
      <c r="G40" s="39"/>
      <c r="H40" s="39"/>
    </row>
    <row r="41" spans="1:8" ht="19.95" hidden="1" customHeight="1">
      <c r="A41" s="39" t="str">
        <f>"Pb ≥ 0.5 fy Ap = "&amp;IF(ISNUMBER('B Socket H Checking'!C21),TEXT('B Socket H Checking'!C21,"#,##0"),IF('B Socket H Checking'!C21="","[待输入]",'B Socket H Checking'!C21))&amp;" kN     ∴ "&amp;IF(ISNUMBER('B Socket H Checking'!C33),TEXT('B Socket H Checking'!C33,"#,##0.00"),IF('B Socket H Checking'!C33="","[待输入]",'B Socket H Checking'!C33))</f>
        <v>Pb ≥ 0.5 fy Ap = 6,106 kN     ∴ OK</v>
      </c>
      <c r="B41" s="39"/>
      <c r="C41" s="39"/>
      <c r="D41" s="39"/>
      <c r="E41" s="39"/>
      <c r="F41" s="39"/>
      <c r="G41" s="39"/>
      <c r="H41" s="39"/>
    </row>
    <row r="42" spans="1:8" ht="19.95" hidden="1" customHeight="1">
      <c r="A42" s="39" t="str">
        <f>"Bond strength between grout and steel, pba = "&amp;IF(ISNUMBER('B Socket H Checking'!C30),TEXT('B Socket H Checking'!C30,"0.00"),IF('B Socket H Checking'!C30="","[待输入]",'B Socket H Checking'!C30))&amp;" MPa"</f>
        <v>Bond strength between grout and steel, pba = 0.48 MPa</v>
      </c>
      <c r="B42" s="39"/>
      <c r="C42" s="39"/>
      <c r="D42" s="39"/>
      <c r="E42" s="39"/>
      <c r="F42" s="39"/>
      <c r="G42" s="39"/>
      <c r="H42" s="39"/>
    </row>
    <row r="43" spans="1:8" ht="19.95" hidden="1" customHeight="1">
      <c r="A43" s="39" t="str">
        <f>"Pba = pba sp Ls = "&amp;IF(ISNUMBER('B Socket H Checking'!C30),TEXT('B Socket H Checking'!C30,"0.00"),IF('B Socket H Checking'!C30="","[待输入]",'B Socket H Checking'!C30))&amp;" × "&amp;IF(ISNUMBER('B Socket H Checking'!C28),TEXT('B Socket H Checking'!C28,"0"),IF('B Socket H Checking'!C28="","[待输入]",'B Socket H Checking'!C28))&amp;" × "&amp;IF(ISNUMBER('B Socket H Checking'!C26),TEXT('B Socket H Checking'!C26,"0"),IF('B Socket H Checking'!C26="","[待输入]",'B Socket H Checking'!C26))&amp;" / 1000 = "&amp;IF(ISNUMBER('B Socket H Checking'!C32),TEXT('B Socket H Checking'!C32,"#,##0"),IF('B Socket H Checking'!C32="","[待输入]",'B Socket H Checking'!C32))&amp;" kN"</f>
        <v>Pba = pba sp Ls = 0.48 × 1918 × 6700 / 1000 = 6,168 kN</v>
      </c>
      <c r="B43" s="39"/>
      <c r="C43" s="39"/>
      <c r="D43" s="39"/>
      <c r="E43" s="39"/>
      <c r="F43" s="39"/>
      <c r="G43" s="39"/>
      <c r="H43" s="39"/>
    </row>
    <row r="44" spans="1:8" ht="19.95" hidden="1" customHeight="1">
      <c r="A44" s="39" t="str">
        <f>"Pba ≥ 0.5 fy Ap = "&amp;IF(ISNUMBER('B Socket H Checking'!C21),TEXT('B Socket H Checking'!C21,"#,##0"),IF('B Socket H Checking'!C21="","[待输入]",'B Socket H Checking'!C21))&amp;" kN     ∴ "&amp;IF(ISNUMBER('B Socket H Checking'!C34),TEXT('B Socket H Checking'!C34,"#,##0.00"),IF('B Socket H Checking'!C34="","[待输入]",'B Socket H Checking'!C34))</f>
        <v>Pba ≥ 0.5 fy Ap = 6,106 kN     ∴ OK</v>
      </c>
      <c r="B44" s="39"/>
      <c r="C44" s="39"/>
      <c r="D44" s="39"/>
      <c r="E44" s="39"/>
      <c r="F44" s="39"/>
      <c r="G44" s="39"/>
      <c r="H44" s="39"/>
    </row>
    <row r="45" spans="1:8" ht="24" hidden="1" customHeight="1">
      <c r="A45" s="37" t="s">
        <v>336</v>
      </c>
      <c r="B45" s="37"/>
      <c r="C45" s="37"/>
      <c r="D45" s="37"/>
      <c r="E45" s="37"/>
      <c r="F45" s="37"/>
      <c r="G45" s="37"/>
      <c r="H45" s="37"/>
    </row>
    <row r="46" spans="1:8" ht="19.95" hidden="1" customHeight="1">
      <c r="A46" s="38" t="s">
        <v>438</v>
      </c>
      <c r="B46" s="38"/>
      <c r="C46" s="38"/>
      <c r="D46" s="38"/>
      <c r="E46" s="38"/>
      <c r="F46" s="38"/>
      <c r="G46" s="38"/>
      <c r="H46" s="38"/>
    </row>
    <row r="47" spans="1:8" ht="19.95" hidden="1" customHeight="1">
      <c r="A47" s="39" t="str">
        <f>"= 1.4 × "&amp;IF(ISNUMBER('B Socket H Checking'!C9),TEXT('B Socket H Checking'!C9,"#,##0.00"),IF('B Socket H Checking'!C9="","[待输入]",'B Socket H Checking'!C9))&amp;" + 1.6 × "&amp;IF(ISNUMBER('B Socket H Checking'!C10),TEXT('B Socket H Checking'!C10,"#,##0.00"),IF('B Socket H Checking'!C10="","[待输入]",'B Socket H Checking'!C10))&amp;" = "&amp;IF(ISNUMBER('B Socket H Checking'!C14),TEXT('B Socket H Checking'!C14,"#,##0.00"),IF('B Socket H Checking'!C14="","[待输入]",'B Socket H Checking'!C14))&amp;" kN"</f>
        <v>= 1.4 × [待输入] + 1.6 × [待输入] = 待输入 kN</v>
      </c>
      <c r="B47" s="39"/>
      <c r="C47" s="39"/>
      <c r="D47" s="39"/>
      <c r="E47" s="39"/>
      <c r="F47" s="39"/>
      <c r="G47" s="39"/>
      <c r="H47" s="39"/>
    </row>
    <row r="48" spans="1:8" ht="19.95" hidden="1" customHeight="1">
      <c r="A48" s="39" t="str">
        <f>"u = 4c = 4 × "&amp;IF(ISNUMBER('B Socket H Checking'!C44),TEXT('B Socket H Checking'!C44,"0"),IF('B Socket H Checking'!C44="","[待输入]",'B Socket H Checking'!C44))&amp;" = "&amp;IF(ISNUMBER('B Socket H Checking'!C46),TEXT('B Socket H Checking'!C46,"0"),IF('B Socket H Checking'!C46="","[待输入]",'B Socket H Checking'!C46))&amp;" mm"</f>
        <v>u = 4c = 4 × [待输入] = 待输入 mm</v>
      </c>
      <c r="B48" s="39"/>
      <c r="C48" s="39"/>
      <c r="D48" s="39"/>
      <c r="E48" s="39"/>
      <c r="F48" s="39"/>
      <c r="G48" s="39"/>
      <c r="H48" s="39"/>
    </row>
    <row r="49" spans="1:8" ht="19.95" hidden="1" customHeight="1">
      <c r="A49" s="38" t="s">
        <v>439</v>
      </c>
      <c r="B49" s="38"/>
      <c r="C49" s="38"/>
      <c r="D49" s="38"/>
      <c r="E49" s="38"/>
      <c r="F49" s="38"/>
      <c r="G49" s="38"/>
      <c r="H49" s="38"/>
    </row>
    <row r="50" spans="1:8" ht="19.95" hidden="1" customHeight="1">
      <c r="A50" s="39" t="str">
        <f>"where fcu = "&amp;IF(ISNUMBER('B Socket H Checking'!C43),TEXT('B Socket H Checking'!C43,"0"),IF('B Socket H Checking'!C43="","[待输入]",'B Socket H Checking'!C43))&amp;" N/mm²;  0.8√fcu = "&amp;IF(ISNUMBER('B Socket H Checking'!C51),TEXT('B Socket H Checking'!C51,"0.000"),IF('B Socket H Checking'!C51="","[待输入]",'B Socket H Checking'!C51))&amp;" N/mm²"</f>
        <v>where fcu = 45 N/mm²;  0.8√fcu = 5.367 N/mm²</v>
      </c>
      <c r="B50" s="39"/>
      <c r="C50" s="39"/>
      <c r="D50" s="39"/>
      <c r="E50" s="39"/>
      <c r="F50" s="39"/>
      <c r="G50" s="39"/>
      <c r="H50" s="39"/>
    </row>
    <row r="51" spans="1:8" ht="19.95" hidden="1" customHeight="1">
      <c r="A51" s="38" t="s">
        <v>440</v>
      </c>
      <c r="B51" s="38"/>
      <c r="C51" s="38"/>
      <c r="D51" s="38"/>
      <c r="E51" s="38"/>
      <c r="F51" s="38"/>
      <c r="G51" s="38"/>
      <c r="H51" s="38"/>
    </row>
    <row r="52" spans="1:8" ht="19.95" hidden="1" customHeight="1">
      <c r="A52" s="39" t="str">
        <f>"= "&amp;IF(ISNUMBER('B Socket H Checking'!C14),TEXT('B Socket H Checking'!C14,"#,##0.00"),IF('B Socket H Checking'!C14="","[待输入]",'B Socket H Checking'!C14))&amp;" × 10³ / ("&amp;IF(ISNUMBER('B Socket H Checking'!C46),TEXT('B Socket H Checking'!C46,"0"),IF('B Socket H Checking'!C46="","[待输入]",'B Socket H Checking'!C46))&amp;" × 0.8 × √"&amp;IF(ISNUMBER('B Socket H Checking'!C43),TEXT('B Socket H Checking'!C43,"0"),IF('B Socket H Checking'!C43="","[待输入]",'B Socket H Checking'!C43))&amp;") = "&amp;IF(ISNUMBER('B Socket H Checking'!C54),TEXT('B Socket H Checking'!C54,"#,##0.00"),IF('B Socket H Checking'!C54="","[待输入]",'B Socket H Checking'!C54))&amp;" mm"</f>
        <v>= 待输入 × 10³ / (待输入 × 0.8 × √45) = 待输入 mm</v>
      </c>
      <c r="B52" s="39"/>
      <c r="C52" s="39"/>
      <c r="D52" s="39"/>
      <c r="E52" s="39"/>
      <c r="F52" s="39"/>
      <c r="G52" s="39"/>
      <c r="H52" s="39"/>
    </row>
    <row r="53" spans="1:8" ht="19.95" hidden="1" customHeight="1">
      <c r="A53" s="39" t="str">
        <f>"h = number of floors / 10 = "&amp;IF(ISNUMBER('B Socket H Checking'!C41),TEXT('B Socket H Checking'!C41,"0"),IF('B Socket H Checking'!C41="","[待输入]",'B Socket H Checking'!C41))&amp;" / 10 m = "&amp;IF(ISNUMBER('B Socket H Checking'!C47),TEXT('B Socket H Checking'!C47,"0"),IF('B Socket H Checking'!C47="","[待输入]",'B Socket H Checking'!C47))&amp;" mm"</f>
        <v>h = number of floors / 10 = [待输入] / 10 m = 待输入 mm</v>
      </c>
      <c r="B53" s="39"/>
      <c r="C53" s="39"/>
      <c r="D53" s="39"/>
      <c r="E53" s="39"/>
      <c r="F53" s="39"/>
      <c r="G53" s="39"/>
      <c r="H53" s="39"/>
    </row>
    <row r="54" spans="1:8" ht="19.95" hidden="1" customHeight="1">
      <c r="A54" s="39" t="str">
        <f>"Cover = "&amp;IF(ISNUMBER('B Socket H Checking'!C48),TEXT('B Socket H Checking'!C48,"0"),IF('B Socket H Checking'!C48="","[待输入]",'B Socket H Checking'!C48))&amp;" mm"</f>
        <v>Cover = 75 mm</v>
      </c>
      <c r="B54" s="39"/>
      <c r="C54" s="39"/>
      <c r="D54" s="39"/>
      <c r="E54" s="39"/>
      <c r="F54" s="39"/>
      <c r="G54" s="39"/>
      <c r="H54" s="39"/>
    </row>
    <row r="55" spans="1:8" ht="19.95" hidden="1" customHeight="1">
      <c r="A55" s="39" t="str">
        <f>"d = h - cover = "&amp;IF(ISNUMBER('B Socket H Checking'!C47),TEXT('B Socket H Checking'!C47,"0"),IF('B Socket H Checking'!C47="","[待输入]",'B Socket H Checking'!C47))&amp;" - "&amp;IF(ISNUMBER('B Socket H Checking'!C48),TEXT('B Socket H Checking'!C48,"0"),IF('B Socket H Checking'!C48="","[待输入]",'B Socket H Checking'!C48))&amp;" = "&amp;IF(ISNUMBER('B Socket H Checking'!C49),TEXT('B Socket H Checking'!C49,"0"),IF('B Socket H Checking'!C49="","[待输入]",'B Socket H Checking'!C49))&amp;" mm"</f>
        <v>d = h - cover = 待输入 - 75 = 待输入 mm</v>
      </c>
      <c r="B55" s="39"/>
      <c r="C55" s="39"/>
      <c r="D55" s="39"/>
      <c r="E55" s="39"/>
      <c r="F55" s="39"/>
      <c r="G55" s="39"/>
      <c r="H55" s="39"/>
    </row>
    <row r="56" spans="1:8" ht="19.95" hidden="1" customHeight="1">
      <c r="A56" s="39" t="str">
        <f>"v = "&amp;IF(ISNUMBER('B Socket H Checking'!C14),TEXT('B Socket H Checking'!C14,"#,##0.00"),IF('B Socket H Checking'!C14="","[待输入]",'B Socket H Checking'!C14))&amp;" × 10³ / ("&amp;IF(ISNUMBER('B Socket H Checking'!C46),TEXT('B Socket H Checking'!C46,"0"),IF('B Socket H Checking'!C46="","[待输入]",'B Socket H Checking'!C46))&amp;" × "&amp;IF(ISNUMBER('B Socket H Checking'!C49),TEXT('B Socket H Checking'!C49,"0"),IF('B Socket H Checking'!C49="","[待输入]",'B Socket H Checking'!C49))&amp;") = "&amp;IF(ISNUMBER('B Socket H Checking'!C52),TEXT('B Socket H Checking'!C52,"0.000"),IF('B Socket H Checking'!C52="","[待输入]",'B Socket H Checking'!C52))&amp;" N/mm²"</f>
        <v>v = 待输入 × 10³ / (待输入 × 待输入) = 待输入 N/mm²</v>
      </c>
      <c r="B56" s="39"/>
      <c r="C56" s="39"/>
      <c r="D56" s="39"/>
      <c r="E56" s="39"/>
      <c r="F56" s="39"/>
      <c r="G56" s="39"/>
      <c r="H56" s="39"/>
    </row>
    <row r="57" spans="1:8" ht="19.95" hidden="1" customHeight="1">
      <c r="A57" s="39" t="str">
        <f>"v &lt; 0.8√fcu = "&amp;IF(ISNUMBER('B Socket H Checking'!C51),TEXT('B Socket H Checking'!C51,"0.000"),IF('B Socket H Checking'!C51="","[待输入]",'B Socket H Checking'!C51))&amp;" N/mm²     ∴ "&amp;IF(ISNUMBER('B Socket H Checking'!C53),TEXT('B Socket H Checking'!C53,"#,##0.00"),IF('B Socket H Checking'!C53="","[待输入]",'B Socket H Checking'!C53))</f>
        <v>v &lt; 0.8√fcu = 5.367 N/mm²     ∴ 待输入</v>
      </c>
      <c r="B57" s="39"/>
      <c r="C57" s="39"/>
      <c r="D57" s="39"/>
      <c r="E57" s="39"/>
      <c r="F57" s="39"/>
      <c r="G57" s="39"/>
      <c r="H57" s="39"/>
    </row>
    <row r="58" spans="1:8" ht="19.95" customHeight="1">
      <c r="A58" s="33"/>
      <c r="B58" s="33"/>
      <c r="C58" s="33"/>
      <c r="D58" s="33"/>
      <c r="E58" s="33"/>
      <c r="F58" s="33"/>
      <c r="G58" s="33"/>
      <c r="H58" s="33"/>
    </row>
    <row r="59" spans="1:8" ht="19.95" customHeight="1">
      <c r="A59" s="33"/>
      <c r="B59" s="33"/>
      <c r="C59" s="33"/>
      <c r="D59" s="33"/>
      <c r="E59" s="33"/>
      <c r="F59" s="33"/>
      <c r="G59" s="33"/>
      <c r="H59" s="33"/>
    </row>
    <row r="60" spans="1:8" ht="19.95" customHeight="1">
      <c r="A60" s="33"/>
      <c r="B60" s="33"/>
      <c r="C60" s="33"/>
      <c r="D60" s="33"/>
      <c r="E60" s="33"/>
      <c r="F60" s="33"/>
      <c r="G60" s="33"/>
      <c r="H60" s="33"/>
    </row>
    <row r="61" spans="1:8" ht="19.95" customHeight="1">
      <c r="A61" s="33"/>
      <c r="B61" s="33"/>
      <c r="C61" s="33"/>
      <c r="D61" s="33"/>
      <c r="E61" s="33"/>
      <c r="F61" s="33"/>
      <c r="G61" s="33"/>
      <c r="H61" s="33"/>
    </row>
    <row r="62" spans="1:8" ht="19.95" customHeight="1">
      <c r="A62" s="33"/>
      <c r="B62" s="33"/>
      <c r="C62" s="33"/>
      <c r="D62" s="33"/>
      <c r="E62" s="33"/>
      <c r="F62" s="33"/>
      <c r="G62" s="33"/>
      <c r="H62" s="33"/>
    </row>
    <row r="63" spans="1:8" ht="19.95" customHeight="1">
      <c r="A63" s="33"/>
      <c r="B63" s="33"/>
      <c r="C63" s="33"/>
      <c r="D63" s="33"/>
      <c r="E63" s="33"/>
      <c r="F63" s="33"/>
      <c r="G63" s="33"/>
      <c r="H63" s="33"/>
    </row>
    <row r="64" spans="1:8" ht="19.95" customHeight="1">
      <c r="A64" s="33"/>
      <c r="B64" s="33"/>
      <c r="C64" s="33"/>
      <c r="D64" s="33"/>
      <c r="E64" s="33"/>
      <c r="F64" s="33"/>
      <c r="G64" s="33"/>
      <c r="H64" s="33"/>
    </row>
    <row r="65" spans="1:8" ht="19.95" customHeight="1">
      <c r="A65" s="33"/>
      <c r="B65" s="33"/>
      <c r="C65" s="33"/>
      <c r="D65" s="33"/>
      <c r="E65" s="33"/>
      <c r="F65" s="33"/>
      <c r="G65" s="33"/>
      <c r="H65" s="33"/>
    </row>
    <row r="66" spans="1:8" ht="19.95" customHeight="1">
      <c r="A66" s="33"/>
      <c r="B66" s="33"/>
      <c r="C66" s="33"/>
      <c r="D66" s="33"/>
      <c r="E66" s="33"/>
      <c r="F66" s="33"/>
      <c r="G66" s="33"/>
      <c r="H66" s="33"/>
    </row>
    <row r="67" spans="1:8" ht="19.95" customHeight="1">
      <c r="A67" s="33"/>
      <c r="B67" s="33"/>
      <c r="C67" s="33"/>
      <c r="D67" s="33"/>
      <c r="E67" s="33"/>
      <c r="F67" s="33"/>
      <c r="G67" s="33"/>
      <c r="H67" s="33"/>
    </row>
    <row r="68" spans="1:8" ht="19.95" customHeight="1">
      <c r="A68" s="33"/>
      <c r="B68" s="33"/>
      <c r="C68" s="33"/>
      <c r="D68" s="33"/>
      <c r="E68" s="33"/>
      <c r="F68" s="33"/>
      <c r="G68" s="33"/>
      <c r="H68" s="33"/>
    </row>
    <row r="69" spans="1:8" ht="19.95" customHeight="1">
      <c r="A69" s="33"/>
      <c r="B69" s="33"/>
      <c r="C69" s="33"/>
      <c r="D69" s="33"/>
      <c r="E69" s="33"/>
      <c r="F69" s="33"/>
      <c r="G69" s="33"/>
      <c r="H69" s="33"/>
    </row>
    <row r="70" spans="1:8" ht="19.95" customHeight="1">
      <c r="A70" s="33"/>
      <c r="B70" s="33"/>
      <c r="C70" s="33"/>
      <c r="D70" s="33"/>
      <c r="E70" s="33"/>
      <c r="F70" s="33"/>
      <c r="G70" s="33"/>
      <c r="H70" s="33"/>
    </row>
    <row r="71" spans="1:8" ht="19.95" customHeight="1">
      <c r="A71" s="33"/>
      <c r="B71" s="33"/>
      <c r="C71" s="33"/>
      <c r="D71" s="33"/>
      <c r="E71" s="33"/>
      <c r="F71" s="33"/>
      <c r="G71" s="33"/>
      <c r="H71" s="33"/>
    </row>
    <row r="72" spans="1:8" ht="19.95" customHeight="1">
      <c r="A72" s="33"/>
      <c r="B72" s="33"/>
      <c r="C72" s="33"/>
      <c r="D72" s="33"/>
      <c r="E72" s="33"/>
      <c r="F72" s="33"/>
      <c r="G72" s="33"/>
      <c r="H72" s="33"/>
    </row>
    <row r="73" spans="1:8" ht="19.95" customHeight="1">
      <c r="A73" s="33"/>
      <c r="B73" s="33"/>
      <c r="C73" s="33"/>
      <c r="D73" s="33"/>
      <c r="E73" s="33"/>
      <c r="F73" s="33"/>
      <c r="G73" s="33"/>
      <c r="H73" s="33"/>
    </row>
    <row r="74" spans="1:8" ht="19.95" customHeight="1">
      <c r="A74" s="33"/>
      <c r="B74" s="33"/>
      <c r="C74" s="33"/>
      <c r="D74" s="33"/>
      <c r="E74" s="33"/>
      <c r="F74" s="33"/>
      <c r="G74" s="33"/>
      <c r="H74" s="33"/>
    </row>
    <row r="75" spans="1:8" ht="19.95" customHeight="1">
      <c r="A75" s="33"/>
      <c r="B75" s="33"/>
      <c r="C75" s="33"/>
      <c r="D75" s="33"/>
      <c r="E75" s="33"/>
      <c r="F75" s="33"/>
      <c r="G75" s="33"/>
      <c r="H75" s="33"/>
    </row>
    <row r="76" spans="1:8" ht="19.95" customHeight="1">
      <c r="A76" s="33"/>
      <c r="B76" s="33"/>
      <c r="C76" s="33"/>
      <c r="D76" s="33"/>
      <c r="E76" s="33"/>
      <c r="F76" s="33"/>
      <c r="G76" s="33"/>
      <c r="H76" s="33"/>
    </row>
    <row r="77" spans="1:8" ht="19.95" customHeight="1">
      <c r="A77" s="33"/>
      <c r="B77" s="33"/>
      <c r="C77" s="33"/>
      <c r="D77" s="33"/>
      <c r="E77" s="33"/>
      <c r="F77" s="33"/>
      <c r="G77" s="33"/>
      <c r="H77" s="33"/>
    </row>
    <row r="78" spans="1:8" ht="19.95" customHeight="1">
      <c r="A78" s="33"/>
      <c r="B78" s="33"/>
      <c r="C78" s="33"/>
      <c r="D78" s="33"/>
      <c r="E78" s="33"/>
      <c r="F78" s="33"/>
      <c r="G78" s="33"/>
      <c r="H78" s="33"/>
    </row>
    <row r="79" spans="1:8" ht="19.95" customHeight="1">
      <c r="A79" s="33"/>
      <c r="B79" s="33"/>
      <c r="C79" s="33"/>
      <c r="D79" s="33"/>
      <c r="E79" s="33"/>
      <c r="F79" s="33"/>
      <c r="G79" s="33"/>
      <c r="H79" s="33"/>
    </row>
    <row r="80" spans="1:8" ht="19.95" customHeight="1">
      <c r="A80" s="33"/>
      <c r="B80" s="33"/>
      <c r="C80" s="33"/>
      <c r="D80" s="33"/>
      <c r="E80" s="33"/>
      <c r="F80" s="33"/>
      <c r="G80" s="33"/>
      <c r="H80" s="33"/>
    </row>
    <row r="81" spans="1:8" ht="19.95" customHeight="1">
      <c r="A81" s="33"/>
      <c r="B81" s="33"/>
      <c r="C81" s="33"/>
      <c r="D81" s="33"/>
      <c r="E81" s="33"/>
      <c r="F81" s="33"/>
      <c r="G81" s="33"/>
      <c r="H81" s="33"/>
    </row>
    <row r="82" spans="1:8" ht="19.95" customHeight="1">
      <c r="A82" s="33"/>
      <c r="B82" s="33"/>
      <c r="C82" s="33"/>
      <c r="D82" s="33"/>
      <c r="E82" s="33"/>
      <c r="F82" s="33"/>
      <c r="G82" s="33"/>
      <c r="H82" s="33"/>
    </row>
    <row r="83" spans="1:8" ht="19.95" customHeight="1">
      <c r="A83" s="33"/>
      <c r="B83" s="33"/>
      <c r="C83" s="33"/>
      <c r="D83" s="33"/>
      <c r="E83" s="33"/>
      <c r="F83" s="33"/>
      <c r="G83" s="33"/>
      <c r="H83" s="33"/>
    </row>
    <row r="84" spans="1:8" ht="19.95" customHeight="1">
      <c r="A84" s="33"/>
      <c r="B84" s="33"/>
      <c r="C84" s="33"/>
      <c r="D84" s="33"/>
      <c r="E84" s="33"/>
      <c r="F84" s="33"/>
      <c r="G84" s="33"/>
      <c r="H84" s="33"/>
    </row>
    <row r="85" spans="1:8" ht="19.95" customHeight="1">
      <c r="A85" s="33"/>
      <c r="B85" s="33"/>
      <c r="C85" s="33"/>
      <c r="D85" s="33"/>
      <c r="E85" s="33"/>
      <c r="F85" s="33"/>
      <c r="G85" s="33"/>
      <c r="H85" s="33"/>
    </row>
    <row r="86" spans="1:8" ht="19.95" customHeight="1">
      <c r="A86" s="33"/>
      <c r="B86" s="33"/>
      <c r="C86" s="33"/>
      <c r="D86" s="33"/>
      <c r="E86" s="33"/>
      <c r="F86" s="33"/>
      <c r="G86" s="33"/>
      <c r="H86" s="33"/>
    </row>
    <row r="87" spans="1:8" ht="19.95" customHeight="1">
      <c r="A87" s="33"/>
      <c r="B87" s="33"/>
      <c r="C87" s="33"/>
      <c r="D87" s="33"/>
      <c r="E87" s="33"/>
      <c r="F87" s="33"/>
      <c r="G87" s="33"/>
      <c r="H87" s="33"/>
    </row>
    <row r="88" spans="1:8" ht="19.95" customHeight="1">
      <c r="A88" s="33"/>
      <c r="B88" s="33"/>
      <c r="C88" s="33"/>
      <c r="D88" s="33"/>
      <c r="E88" s="33"/>
      <c r="F88" s="33"/>
      <c r="G88" s="33"/>
      <c r="H88" s="33"/>
    </row>
    <row r="89" spans="1:8" ht="19.95" customHeight="1">
      <c r="A89" s="33"/>
      <c r="B89" s="33"/>
      <c r="C89" s="33"/>
      <c r="D89" s="33"/>
      <c r="E89" s="33"/>
      <c r="F89" s="33"/>
      <c r="G89" s="33"/>
      <c r="H89" s="33"/>
    </row>
    <row r="90" spans="1:8" ht="19.95" customHeight="1">
      <c r="A90" s="33"/>
      <c r="B90" s="33"/>
      <c r="C90" s="33"/>
      <c r="D90" s="33"/>
      <c r="E90" s="33"/>
      <c r="F90" s="33"/>
      <c r="G90" s="33"/>
      <c r="H90" s="33"/>
    </row>
    <row r="91" spans="1:8" ht="19.95" customHeight="1">
      <c r="A91" s="33"/>
      <c r="B91" s="33"/>
      <c r="C91" s="33"/>
      <c r="D91" s="33"/>
      <c r="E91" s="33"/>
      <c r="F91" s="33"/>
      <c r="G91" s="33"/>
      <c r="H91" s="33"/>
    </row>
    <row r="92" spans="1:8" ht="19.95" customHeight="1">
      <c r="A92" s="33"/>
      <c r="B92" s="33"/>
      <c r="C92" s="33"/>
      <c r="D92" s="33"/>
      <c r="E92" s="33"/>
      <c r="F92" s="33"/>
      <c r="G92" s="33"/>
      <c r="H92" s="33"/>
    </row>
    <row r="93" spans="1:8" ht="19.95" customHeight="1">
      <c r="A93" s="33"/>
      <c r="B93" s="33"/>
      <c r="C93" s="33"/>
      <c r="D93" s="33"/>
      <c r="E93" s="33"/>
      <c r="F93" s="33"/>
      <c r="G93" s="33"/>
      <c r="H93" s="33"/>
    </row>
    <row r="94" spans="1:8" ht="19.95" customHeight="1">
      <c r="A94" s="33"/>
      <c r="B94" s="33"/>
      <c r="C94" s="33"/>
      <c r="D94" s="33"/>
      <c r="E94" s="33"/>
      <c r="F94" s="33"/>
      <c r="G94" s="33"/>
      <c r="H94" s="33"/>
    </row>
    <row r="95" spans="1:8" ht="19.95" customHeight="1">
      <c r="A95" s="33"/>
      <c r="B95" s="33"/>
      <c r="C95" s="33"/>
      <c r="D95" s="33"/>
      <c r="E95" s="33"/>
      <c r="F95" s="33"/>
      <c r="G95" s="33"/>
      <c r="H95" s="33"/>
    </row>
    <row r="96" spans="1:8" ht="19.95" customHeight="1">
      <c r="A96" s="33"/>
      <c r="B96" s="33"/>
      <c r="C96" s="33"/>
      <c r="D96" s="33"/>
      <c r="E96" s="33"/>
      <c r="F96" s="33"/>
      <c r="G96" s="33"/>
      <c r="H96" s="33"/>
    </row>
    <row r="97" spans="1:8" ht="19.95" customHeight="1">
      <c r="A97" s="33"/>
      <c r="B97" s="33"/>
      <c r="C97" s="33"/>
      <c r="D97" s="33"/>
      <c r="E97" s="33"/>
      <c r="F97" s="33"/>
      <c r="G97" s="33"/>
      <c r="H97" s="33"/>
    </row>
    <row r="98" spans="1:8" ht="19.95" customHeight="1">
      <c r="A98" s="33"/>
      <c r="B98" s="33"/>
      <c r="C98" s="33"/>
      <c r="D98" s="33"/>
      <c r="E98" s="33"/>
      <c r="F98" s="33"/>
      <c r="G98" s="33"/>
      <c r="H98" s="33"/>
    </row>
    <row r="99" spans="1:8" ht="19.95" customHeight="1">
      <c r="A99" s="33"/>
      <c r="B99" s="33"/>
      <c r="C99" s="33"/>
      <c r="D99" s="33"/>
      <c r="E99" s="33"/>
      <c r="F99" s="33"/>
      <c r="G99" s="33"/>
      <c r="H99" s="33"/>
    </row>
    <row r="100" spans="1:8" ht="19.95" customHeight="1">
      <c r="A100" s="33"/>
      <c r="B100" s="33"/>
      <c r="C100" s="33"/>
      <c r="D100" s="33"/>
      <c r="E100" s="33"/>
      <c r="F100" s="33"/>
      <c r="G100" s="33"/>
      <c r="H100" s="33"/>
    </row>
    <row r="101" spans="1:8" ht="19.95" customHeight="1">
      <c r="A101" s="33"/>
      <c r="B101" s="33"/>
      <c r="C101" s="33"/>
      <c r="D101" s="33"/>
      <c r="E101" s="33"/>
      <c r="F101" s="33"/>
      <c r="G101" s="33"/>
      <c r="H101" s="33"/>
    </row>
    <row r="102" spans="1:8" ht="19.95" customHeight="1">
      <c r="A102" s="33"/>
      <c r="B102" s="33"/>
      <c r="C102" s="33"/>
      <c r="D102" s="33"/>
      <c r="E102" s="33"/>
      <c r="F102" s="33"/>
      <c r="G102" s="33"/>
      <c r="H102" s="33"/>
    </row>
    <row r="103" spans="1:8" ht="19.95" customHeight="1">
      <c r="A103" s="33"/>
      <c r="B103" s="33"/>
      <c r="C103" s="33"/>
      <c r="D103" s="33"/>
      <c r="E103" s="33"/>
      <c r="F103" s="33"/>
      <c r="G103" s="33"/>
      <c r="H103" s="33"/>
    </row>
    <row r="104" spans="1:8" ht="19.95" customHeight="1">
      <c r="A104" s="33"/>
      <c r="B104" s="33"/>
      <c r="C104" s="33"/>
      <c r="D104" s="33"/>
      <c r="E104" s="33"/>
      <c r="F104" s="33"/>
      <c r="G104" s="33"/>
      <c r="H104" s="33"/>
    </row>
    <row r="105" spans="1:8" ht="19.95" customHeight="1">
      <c r="A105" s="33"/>
      <c r="B105" s="33"/>
      <c r="C105" s="33"/>
      <c r="D105" s="33"/>
      <c r="E105" s="33"/>
      <c r="F105" s="33"/>
      <c r="G105" s="33"/>
      <c r="H105" s="33"/>
    </row>
    <row r="106" spans="1:8" ht="19.95" customHeight="1">
      <c r="A106" s="33"/>
      <c r="B106" s="33"/>
      <c r="C106" s="33"/>
      <c r="D106" s="33"/>
      <c r="E106" s="33"/>
      <c r="F106" s="33"/>
      <c r="G106" s="33"/>
      <c r="H106" s="33"/>
    </row>
    <row r="107" spans="1:8" ht="19.95" customHeight="1">
      <c r="A107" s="33"/>
      <c r="B107" s="33"/>
      <c r="C107" s="33"/>
      <c r="D107" s="33"/>
      <c r="E107" s="33"/>
      <c r="F107" s="33"/>
      <c r="G107" s="33"/>
      <c r="H107" s="33"/>
    </row>
    <row r="108" spans="1:8" ht="19.95" customHeight="1">
      <c r="A108" s="33"/>
      <c r="B108" s="33"/>
      <c r="C108" s="33"/>
      <c r="D108" s="33"/>
      <c r="E108" s="33"/>
      <c r="F108" s="33"/>
      <c r="G108" s="33"/>
      <c r="H108" s="33"/>
    </row>
    <row r="109" spans="1:8" ht="19.95" customHeight="1">
      <c r="A109" s="33"/>
      <c r="B109" s="33"/>
      <c r="C109" s="33"/>
      <c r="D109" s="33"/>
      <c r="E109" s="33"/>
      <c r="F109" s="33"/>
      <c r="G109" s="33"/>
      <c r="H109" s="33"/>
    </row>
    <row r="110" spans="1:8" ht="19.95" customHeight="1">
      <c r="A110" s="33"/>
      <c r="B110" s="33"/>
      <c r="C110" s="33"/>
      <c r="D110" s="33"/>
      <c r="E110" s="33"/>
      <c r="F110" s="33"/>
      <c r="G110" s="33"/>
      <c r="H110" s="33"/>
    </row>
    <row r="111" spans="1:8" ht="19.95" customHeight="1">
      <c r="A111" s="33"/>
      <c r="B111" s="33"/>
      <c r="C111" s="33"/>
      <c r="D111" s="33"/>
      <c r="E111" s="33"/>
      <c r="F111" s="33"/>
      <c r="G111" s="33"/>
      <c r="H111" s="33"/>
    </row>
    <row r="112" spans="1:8" ht="19.95" customHeight="1">
      <c r="A112" s="33"/>
      <c r="B112" s="33"/>
      <c r="C112" s="33"/>
      <c r="D112" s="33"/>
      <c r="E112" s="33"/>
      <c r="F112" s="33"/>
      <c r="G112" s="33"/>
      <c r="H112" s="33"/>
    </row>
    <row r="113" spans="1:8" ht="19.95" customHeight="1">
      <c r="A113" s="33"/>
      <c r="B113" s="33"/>
      <c r="C113" s="33"/>
      <c r="D113" s="33"/>
      <c r="E113" s="33"/>
      <c r="F113" s="33"/>
      <c r="G113" s="33"/>
      <c r="H113" s="33"/>
    </row>
    <row r="114" spans="1:8" ht="19.95" customHeight="1">
      <c r="A114" s="33"/>
      <c r="B114" s="33"/>
      <c r="C114" s="33"/>
      <c r="D114" s="33"/>
      <c r="E114" s="33"/>
      <c r="F114" s="33"/>
      <c r="G114" s="33"/>
      <c r="H114" s="33"/>
    </row>
    <row r="115" spans="1:8" ht="19.95" customHeight="1">
      <c r="A115" s="33"/>
      <c r="B115" s="33"/>
      <c r="C115" s="33"/>
      <c r="D115" s="33"/>
      <c r="E115" s="33"/>
      <c r="F115" s="33"/>
      <c r="G115" s="33"/>
      <c r="H115" s="33"/>
    </row>
    <row r="116" spans="1:8" ht="19.95" customHeight="1">
      <c r="A116" s="33"/>
      <c r="B116" s="33"/>
      <c r="C116" s="33"/>
      <c r="D116" s="33"/>
      <c r="E116" s="33"/>
      <c r="F116" s="33"/>
      <c r="G116" s="33"/>
      <c r="H116" s="33"/>
    </row>
    <row r="117" spans="1:8" ht="19.95" customHeight="1">
      <c r="A117" s="33"/>
      <c r="B117" s="33"/>
      <c r="C117" s="33"/>
      <c r="D117" s="33"/>
      <c r="E117" s="33"/>
      <c r="F117" s="33"/>
      <c r="G117" s="33"/>
      <c r="H117" s="33"/>
    </row>
    <row r="118" spans="1:8" ht="19.95" customHeight="1">
      <c r="A118" s="33"/>
      <c r="B118" s="33"/>
      <c r="C118" s="33"/>
      <c r="D118" s="33"/>
      <c r="E118" s="33"/>
      <c r="F118" s="33"/>
      <c r="G118" s="33"/>
      <c r="H118" s="33"/>
    </row>
    <row r="119" spans="1:8" ht="19.95" customHeight="1">
      <c r="A119" s="33"/>
      <c r="B119" s="33"/>
      <c r="C119" s="33"/>
      <c r="D119" s="33"/>
      <c r="E119" s="33"/>
      <c r="F119" s="33"/>
      <c r="G119" s="33"/>
      <c r="H119" s="33"/>
    </row>
    <row r="120" spans="1:8" ht="19.95" customHeight="1">
      <c r="A120" s="33"/>
      <c r="B120" s="33"/>
      <c r="C120" s="33"/>
      <c r="D120" s="33"/>
      <c r="E120" s="33"/>
      <c r="F120" s="33"/>
      <c r="G120" s="33"/>
      <c r="H120" s="33"/>
    </row>
    <row r="121" spans="1:8" ht="19.95" customHeight="1">
      <c r="A121" s="33"/>
      <c r="B121" s="33"/>
      <c r="C121" s="33"/>
      <c r="D121" s="33"/>
      <c r="E121" s="33"/>
      <c r="F121" s="33"/>
      <c r="G121" s="33"/>
      <c r="H121" s="33"/>
    </row>
    <row r="122" spans="1:8" ht="19.95" customHeight="1">
      <c r="A122" s="33"/>
      <c r="B122" s="33"/>
      <c r="C122" s="33"/>
      <c r="D122" s="33"/>
      <c r="E122" s="33"/>
      <c r="F122" s="33"/>
      <c r="G122" s="33"/>
      <c r="H122" s="33"/>
    </row>
    <row r="123" spans="1:8" ht="19.95" customHeight="1">
      <c r="A123" s="33"/>
      <c r="B123" s="33"/>
      <c r="C123" s="33"/>
      <c r="D123" s="33"/>
      <c r="E123" s="33"/>
      <c r="F123" s="33"/>
      <c r="G123" s="33"/>
      <c r="H123" s="33"/>
    </row>
    <row r="124" spans="1:8" ht="19.95" customHeight="1">
      <c r="A124" s="33"/>
      <c r="B124" s="33"/>
      <c r="C124" s="33"/>
      <c r="D124" s="33"/>
      <c r="E124" s="33"/>
      <c r="F124" s="33"/>
      <c r="G124" s="33"/>
      <c r="H124" s="33"/>
    </row>
    <row r="125" spans="1:8" ht="19.95" customHeight="1">
      <c r="A125" s="33"/>
      <c r="B125" s="33"/>
      <c r="C125" s="33"/>
      <c r="D125" s="33"/>
      <c r="E125" s="33"/>
      <c r="F125" s="33"/>
      <c r="G125" s="33"/>
      <c r="H125" s="33"/>
    </row>
    <row r="126" spans="1:8" ht="19.95" customHeight="1">
      <c r="A126" s="33"/>
      <c r="B126" s="33"/>
      <c r="C126" s="33"/>
      <c r="D126" s="33"/>
      <c r="E126" s="33"/>
      <c r="F126" s="33"/>
      <c r="G126" s="33"/>
      <c r="H126" s="33"/>
    </row>
    <row r="127" spans="1:8" ht="19.95" customHeight="1">
      <c r="A127" s="33"/>
      <c r="B127" s="33"/>
      <c r="C127" s="33"/>
      <c r="D127" s="33"/>
      <c r="E127" s="33"/>
      <c r="F127" s="33"/>
      <c r="G127" s="33"/>
      <c r="H127" s="33"/>
    </row>
    <row r="128" spans="1:8" ht="19.95" customHeight="1">
      <c r="A128" s="33"/>
      <c r="B128" s="33"/>
      <c r="C128" s="33"/>
      <c r="D128" s="33"/>
      <c r="E128" s="33"/>
      <c r="F128" s="33"/>
      <c r="G128" s="33"/>
      <c r="H128" s="33"/>
    </row>
    <row r="129" spans="1:8" ht="19.95" customHeight="1">
      <c r="A129" s="33"/>
      <c r="B129" s="33"/>
      <c r="C129" s="33"/>
      <c r="D129" s="33"/>
      <c r="E129" s="33"/>
      <c r="F129" s="33"/>
      <c r="G129" s="33"/>
      <c r="H129" s="33"/>
    </row>
    <row r="130" spans="1:8" ht="19.95" customHeight="1">
      <c r="A130" s="33"/>
      <c r="B130" s="33"/>
      <c r="C130" s="33"/>
      <c r="D130" s="33"/>
      <c r="E130" s="33"/>
      <c r="F130" s="33"/>
      <c r="G130" s="33"/>
      <c r="H130" s="33"/>
    </row>
    <row r="131" spans="1:8" ht="19.95" customHeight="1">
      <c r="A131" s="33"/>
      <c r="B131" s="33"/>
      <c r="C131" s="33"/>
      <c r="D131" s="33"/>
      <c r="E131" s="33"/>
      <c r="F131" s="33"/>
      <c r="G131" s="33"/>
      <c r="H131" s="33"/>
    </row>
    <row r="132" spans="1:8" ht="19.95" customHeight="1">
      <c r="A132" s="33"/>
      <c r="B132" s="33"/>
      <c r="C132" s="33"/>
      <c r="D132" s="33"/>
      <c r="E132" s="33"/>
      <c r="F132" s="33"/>
      <c r="G132" s="33"/>
      <c r="H132" s="33"/>
    </row>
    <row r="133" spans="1:8" ht="19.95" customHeight="1">
      <c r="A133" s="33"/>
      <c r="B133" s="33"/>
      <c r="C133" s="33"/>
      <c r="D133" s="33"/>
      <c r="E133" s="33"/>
      <c r="F133" s="33"/>
      <c r="G133" s="33"/>
      <c r="H133" s="33"/>
    </row>
    <row r="134" spans="1:8" ht="19.95" customHeight="1">
      <c r="A134" s="33"/>
      <c r="B134" s="33"/>
      <c r="C134" s="33"/>
      <c r="D134" s="33"/>
      <c r="E134" s="33"/>
      <c r="F134" s="33"/>
      <c r="G134" s="33"/>
      <c r="H134" s="33"/>
    </row>
    <row r="135" spans="1:8" ht="19.95" customHeight="1">
      <c r="A135" s="33"/>
      <c r="B135" s="33"/>
      <c r="C135" s="33"/>
      <c r="D135" s="33"/>
      <c r="E135" s="33"/>
      <c r="F135" s="33"/>
      <c r="G135" s="33"/>
      <c r="H135" s="33"/>
    </row>
    <row r="136" spans="1:8" ht="19.95" customHeight="1">
      <c r="A136" s="33"/>
      <c r="B136" s="33"/>
      <c r="C136" s="33"/>
      <c r="D136" s="33"/>
      <c r="E136" s="33"/>
      <c r="F136" s="33"/>
      <c r="G136" s="33"/>
      <c r="H136" s="33"/>
    </row>
    <row r="137" spans="1:8" ht="19.95" customHeight="1">
      <c r="A137" s="33"/>
      <c r="B137" s="33"/>
      <c r="C137" s="33"/>
      <c r="D137" s="33"/>
      <c r="E137" s="33"/>
      <c r="F137" s="33"/>
      <c r="G137" s="33"/>
      <c r="H137" s="33"/>
    </row>
    <row r="138" spans="1:8" ht="19.95" customHeight="1">
      <c r="A138" s="33"/>
      <c r="B138" s="33"/>
      <c r="C138" s="33"/>
      <c r="D138" s="33"/>
      <c r="E138" s="33"/>
      <c r="F138" s="33"/>
      <c r="G138" s="33"/>
      <c r="H138" s="33"/>
    </row>
    <row r="139" spans="1:8" ht="19.95" customHeight="1">
      <c r="A139" s="33"/>
      <c r="B139" s="33"/>
      <c r="C139" s="33"/>
      <c r="D139" s="33"/>
      <c r="E139" s="33"/>
      <c r="F139" s="33"/>
      <c r="G139" s="33"/>
      <c r="H139" s="33"/>
    </row>
    <row r="140" spans="1:8" ht="19.95" customHeight="1">
      <c r="A140" s="33"/>
      <c r="B140" s="33"/>
      <c r="C140" s="33"/>
      <c r="D140" s="33"/>
      <c r="E140" s="33"/>
      <c r="F140" s="33"/>
      <c r="G140" s="33"/>
      <c r="H140" s="33"/>
    </row>
    <row r="141" spans="1:8" ht="19.95" customHeight="1">
      <c r="A141" s="33"/>
      <c r="B141" s="33"/>
      <c r="C141" s="33"/>
      <c r="D141" s="33"/>
      <c r="E141" s="33"/>
      <c r="F141" s="33"/>
      <c r="G141" s="33"/>
      <c r="H141" s="33"/>
    </row>
    <row r="142" spans="1:8" ht="19.95" customHeight="1">
      <c r="A142" s="33"/>
      <c r="B142" s="33"/>
      <c r="C142" s="33"/>
      <c r="D142" s="33"/>
      <c r="E142" s="33"/>
      <c r="F142" s="33"/>
      <c r="G142" s="33"/>
      <c r="H142" s="33"/>
    </row>
    <row r="143" spans="1:8" ht="19.95" customHeight="1">
      <c r="A143" s="33"/>
      <c r="B143" s="33"/>
      <c r="C143" s="33"/>
      <c r="D143" s="33"/>
      <c r="E143" s="33"/>
      <c r="F143" s="33"/>
      <c r="G143" s="33"/>
      <c r="H143" s="33"/>
    </row>
    <row r="144" spans="1:8" ht="19.95" customHeight="1">
      <c r="A144" s="33"/>
      <c r="B144" s="33"/>
      <c r="C144" s="33"/>
      <c r="D144" s="33"/>
      <c r="E144" s="33"/>
      <c r="F144" s="33"/>
      <c r="G144" s="33"/>
      <c r="H144" s="33"/>
    </row>
    <row r="145" spans="1:8" ht="19.95" customHeight="1">
      <c r="A145" s="33"/>
      <c r="B145" s="33"/>
      <c r="C145" s="33"/>
      <c r="D145" s="33"/>
      <c r="E145" s="33"/>
      <c r="F145" s="33"/>
      <c r="G145" s="33"/>
      <c r="H145" s="33"/>
    </row>
    <row r="146" spans="1:8" ht="19.95" customHeight="1">
      <c r="A146" s="33"/>
      <c r="B146" s="33"/>
      <c r="C146" s="33"/>
      <c r="D146" s="33"/>
      <c r="E146" s="33"/>
      <c r="F146" s="33"/>
      <c r="G146" s="33"/>
      <c r="H146" s="33"/>
    </row>
    <row r="147" spans="1:8" ht="19.95" customHeight="1">
      <c r="A147" s="33"/>
      <c r="B147" s="33"/>
      <c r="C147" s="33"/>
      <c r="D147" s="33"/>
      <c r="E147" s="33"/>
      <c r="F147" s="33"/>
      <c r="G147" s="33"/>
      <c r="H147" s="33"/>
    </row>
    <row r="148" spans="1:8" ht="19.95" customHeight="1">
      <c r="A148" s="33"/>
      <c r="B148" s="33"/>
      <c r="C148" s="33"/>
      <c r="D148" s="33"/>
      <c r="E148" s="33"/>
      <c r="F148" s="33"/>
      <c r="G148" s="33"/>
      <c r="H148" s="33"/>
    </row>
    <row r="149" spans="1:8" ht="19.95" customHeight="1">
      <c r="A149" s="33"/>
      <c r="B149" s="33"/>
      <c r="C149" s="33"/>
      <c r="D149" s="33"/>
      <c r="E149" s="33"/>
      <c r="F149" s="33"/>
      <c r="G149" s="33"/>
      <c r="H149" s="33"/>
    </row>
    <row r="150" spans="1:8" ht="19.95" customHeight="1">
      <c r="A150" s="33"/>
      <c r="B150" s="33"/>
      <c r="C150" s="33"/>
      <c r="D150" s="33"/>
      <c r="E150" s="33"/>
      <c r="F150" s="33"/>
      <c r="G150" s="33"/>
      <c r="H150" s="33"/>
    </row>
    <row r="151" spans="1:8" ht="19.95" customHeight="1">
      <c r="A151" s="33"/>
      <c r="B151" s="33"/>
      <c r="C151" s="33"/>
      <c r="D151" s="33"/>
      <c r="E151" s="33"/>
      <c r="F151" s="33"/>
      <c r="G151" s="33"/>
      <c r="H151" s="33"/>
    </row>
    <row r="152" spans="1:8" ht="19.95" customHeight="1">
      <c r="A152" s="33"/>
      <c r="B152" s="33"/>
      <c r="C152" s="33"/>
      <c r="D152" s="33"/>
      <c r="E152" s="33"/>
      <c r="F152" s="33"/>
      <c r="G152" s="33"/>
      <c r="H152" s="33"/>
    </row>
    <row r="153" spans="1:8" ht="19.95" customHeight="1">
      <c r="A153" s="33"/>
      <c r="B153" s="33"/>
      <c r="C153" s="33"/>
      <c r="D153" s="33"/>
      <c r="E153" s="33"/>
      <c r="F153" s="33"/>
      <c r="G153" s="33"/>
      <c r="H153" s="33"/>
    </row>
    <row r="154" spans="1:8" ht="19.95" customHeight="1">
      <c r="A154" s="33"/>
      <c r="B154" s="33"/>
      <c r="C154" s="33"/>
      <c r="D154" s="33"/>
      <c r="E154" s="33"/>
      <c r="F154" s="33"/>
      <c r="G154" s="33"/>
      <c r="H154" s="33"/>
    </row>
    <row r="155" spans="1:8" ht="19.95" customHeight="1">
      <c r="A155" s="33"/>
      <c r="B155" s="33"/>
      <c r="C155" s="33"/>
      <c r="D155" s="33"/>
      <c r="E155" s="33"/>
      <c r="F155" s="33"/>
      <c r="G155" s="33"/>
      <c r="H155" s="33"/>
    </row>
    <row r="156" spans="1:8" ht="19.95" customHeight="1">
      <c r="A156" s="33"/>
      <c r="B156" s="33"/>
      <c r="C156" s="33"/>
      <c r="D156" s="33"/>
      <c r="E156" s="33"/>
      <c r="F156" s="33"/>
      <c r="G156" s="33"/>
      <c r="H156" s="33"/>
    </row>
    <row r="157" spans="1:8" ht="19.95" customHeight="1">
      <c r="A157" s="33"/>
      <c r="B157" s="33"/>
      <c r="C157" s="33"/>
      <c r="D157" s="33"/>
      <c r="E157" s="33"/>
      <c r="F157" s="33"/>
      <c r="G157" s="33"/>
      <c r="H157" s="33"/>
    </row>
    <row r="158" spans="1:8" ht="19.95" customHeight="1">
      <c r="A158" s="33"/>
      <c r="B158" s="33"/>
      <c r="C158" s="33"/>
      <c r="D158" s="33"/>
      <c r="E158" s="33"/>
      <c r="F158" s="33"/>
      <c r="G158" s="33"/>
      <c r="H158" s="33"/>
    </row>
    <row r="159" spans="1:8" ht="19.95" customHeight="1">
      <c r="A159" s="33"/>
      <c r="B159" s="33"/>
      <c r="C159" s="33"/>
      <c r="D159" s="33"/>
      <c r="E159" s="33"/>
      <c r="F159" s="33"/>
      <c r="G159" s="33"/>
      <c r="H159" s="33"/>
    </row>
    <row r="160" spans="1:8" ht="19.95" customHeight="1">
      <c r="A160" s="33"/>
      <c r="B160" s="33"/>
      <c r="C160" s="33"/>
      <c r="D160" s="33"/>
      <c r="E160" s="33"/>
      <c r="F160" s="33"/>
      <c r="G160" s="33"/>
      <c r="H160" s="33"/>
    </row>
    <row r="161" spans="1:8" ht="19.95" customHeight="1">
      <c r="A161" s="33"/>
      <c r="B161" s="33"/>
      <c r="C161" s="33"/>
      <c r="D161" s="33"/>
      <c r="E161" s="33"/>
      <c r="F161" s="33"/>
      <c r="G161" s="33"/>
      <c r="H161" s="33"/>
    </row>
    <row r="162" spans="1:8" ht="19.95" customHeight="1">
      <c r="A162" s="33"/>
      <c r="B162" s="33"/>
      <c r="C162" s="33"/>
      <c r="D162" s="33"/>
      <c r="E162" s="33"/>
      <c r="F162" s="33"/>
      <c r="G162" s="33"/>
      <c r="H162" s="33"/>
    </row>
    <row r="163" spans="1:8" ht="19.95" customHeight="1">
      <c r="A163" s="33"/>
      <c r="B163" s="33"/>
      <c r="C163" s="33"/>
      <c r="D163" s="33"/>
      <c r="E163" s="33"/>
      <c r="F163" s="33"/>
      <c r="G163" s="33"/>
      <c r="H163" s="33"/>
    </row>
    <row r="164" spans="1:8" ht="19.95" customHeight="1">
      <c r="A164" s="33"/>
      <c r="B164" s="33"/>
      <c r="C164" s="33"/>
      <c r="D164" s="33"/>
      <c r="E164" s="33"/>
      <c r="F164" s="33"/>
      <c r="G164" s="33"/>
      <c r="H164" s="33"/>
    </row>
    <row r="165" spans="1:8" ht="19.95" customHeight="1">
      <c r="A165" s="33"/>
      <c r="B165" s="33"/>
      <c r="C165" s="33"/>
      <c r="D165" s="33"/>
      <c r="E165" s="33"/>
      <c r="F165" s="33"/>
      <c r="G165" s="33"/>
      <c r="H165" s="33"/>
    </row>
    <row r="166" spans="1:8" ht="19.95" customHeight="1">
      <c r="A166" s="33"/>
      <c r="B166" s="33"/>
      <c r="C166" s="33"/>
      <c r="D166" s="33"/>
      <c r="E166" s="33"/>
      <c r="F166" s="33"/>
      <c r="G166" s="33"/>
      <c r="H166" s="33"/>
    </row>
    <row r="167" spans="1:8" ht="19.95" customHeight="1">
      <c r="A167" s="33"/>
      <c r="B167" s="33"/>
      <c r="C167" s="33"/>
      <c r="D167" s="33"/>
      <c r="E167" s="33"/>
      <c r="F167" s="33"/>
      <c r="G167" s="33"/>
      <c r="H167" s="33"/>
    </row>
    <row r="168" spans="1:8" ht="19.95" customHeight="1">
      <c r="A168" s="33"/>
      <c r="B168" s="33"/>
      <c r="C168" s="33"/>
      <c r="D168" s="33"/>
      <c r="E168" s="33"/>
      <c r="F168" s="33"/>
      <c r="G168" s="33"/>
      <c r="H168" s="33"/>
    </row>
    <row r="169" spans="1:8" ht="19.95" customHeight="1">
      <c r="A169" s="33"/>
      <c r="B169" s="33"/>
      <c r="C169" s="33"/>
      <c r="D169" s="33"/>
      <c r="E169" s="33"/>
      <c r="F169" s="33"/>
      <c r="G169" s="33"/>
      <c r="H169" s="33"/>
    </row>
    <row r="170" spans="1:8" ht="19.95" customHeight="1">
      <c r="A170" s="33"/>
      <c r="B170" s="33"/>
      <c r="C170" s="33"/>
      <c r="D170" s="33"/>
      <c r="E170" s="33"/>
      <c r="F170" s="33"/>
      <c r="G170" s="33"/>
      <c r="H170" s="33"/>
    </row>
    <row r="171" spans="1:8" ht="19.95" customHeight="1">
      <c r="A171" s="33"/>
      <c r="B171" s="33"/>
      <c r="C171" s="33"/>
      <c r="D171" s="33"/>
      <c r="E171" s="33"/>
      <c r="F171" s="33"/>
      <c r="G171" s="33"/>
      <c r="H171" s="33"/>
    </row>
    <row r="172" spans="1:8" ht="19.95" customHeight="1">
      <c r="A172" s="33"/>
      <c r="B172" s="33"/>
      <c r="C172" s="33"/>
      <c r="D172" s="33"/>
      <c r="E172" s="33"/>
      <c r="F172" s="33"/>
      <c r="G172" s="33"/>
      <c r="H172" s="33"/>
    </row>
    <row r="173" spans="1:8" ht="19.95" customHeight="1">
      <c r="A173" s="33"/>
      <c r="B173" s="33"/>
      <c r="C173" s="33"/>
      <c r="D173" s="33"/>
      <c r="E173" s="33"/>
      <c r="F173" s="33"/>
      <c r="G173" s="33"/>
      <c r="H173" s="33"/>
    </row>
    <row r="174" spans="1:8" ht="19.95" customHeight="1">
      <c r="A174" s="33"/>
      <c r="B174" s="33"/>
      <c r="C174" s="33"/>
      <c r="D174" s="33"/>
      <c r="E174" s="33"/>
      <c r="F174" s="33"/>
      <c r="G174" s="33"/>
      <c r="H174" s="33"/>
    </row>
    <row r="175" spans="1:8" ht="19.95" customHeight="1">
      <c r="A175" s="33"/>
      <c r="B175" s="33"/>
      <c r="C175" s="33"/>
      <c r="D175" s="33"/>
      <c r="E175" s="33"/>
      <c r="F175" s="33"/>
      <c r="G175" s="33"/>
      <c r="H175" s="33"/>
    </row>
    <row r="176" spans="1:8" ht="19.95" customHeight="1">
      <c r="A176" s="33"/>
      <c r="B176" s="33"/>
      <c r="C176" s="33"/>
      <c r="D176" s="33"/>
      <c r="E176" s="33"/>
      <c r="F176" s="33"/>
      <c r="G176" s="33"/>
      <c r="H176" s="33"/>
    </row>
    <row r="177" spans="1:8" ht="19.95" customHeight="1">
      <c r="A177" s="33"/>
      <c r="B177" s="33"/>
      <c r="C177" s="33"/>
      <c r="D177" s="33"/>
      <c r="E177" s="33"/>
      <c r="F177" s="33"/>
      <c r="G177" s="33"/>
      <c r="H177" s="33"/>
    </row>
    <row r="178" spans="1:8" ht="19.95" customHeight="1">
      <c r="A178" s="33"/>
      <c r="B178" s="33"/>
      <c r="C178" s="33"/>
      <c r="D178" s="33"/>
      <c r="E178" s="33"/>
      <c r="F178" s="33"/>
      <c r="G178" s="33"/>
      <c r="H178" s="33"/>
    </row>
    <row r="179" spans="1:8" ht="19.95" customHeight="1">
      <c r="A179" s="33"/>
      <c r="B179" s="33"/>
      <c r="C179" s="33"/>
      <c r="D179" s="33"/>
      <c r="E179" s="33"/>
      <c r="F179" s="33"/>
      <c r="G179" s="33"/>
      <c r="H179" s="33"/>
    </row>
    <row r="180" spans="1:8" ht="19.95" customHeight="1">
      <c r="A180" s="33"/>
      <c r="B180" s="33"/>
      <c r="C180" s="33"/>
      <c r="D180" s="33"/>
      <c r="E180" s="33"/>
      <c r="F180" s="33"/>
      <c r="G180" s="33"/>
      <c r="H180" s="33"/>
    </row>
    <row r="181" spans="1:8" ht="19.95" customHeight="1">
      <c r="A181" s="33"/>
      <c r="B181" s="33"/>
      <c r="C181" s="33"/>
      <c r="D181" s="33"/>
      <c r="E181" s="33"/>
      <c r="F181" s="33"/>
      <c r="G181" s="33"/>
      <c r="H181" s="33"/>
    </row>
    <row r="182" spans="1:8" ht="19.95" customHeight="1">
      <c r="A182" s="33"/>
      <c r="B182" s="33"/>
      <c r="C182" s="33"/>
      <c r="D182" s="33"/>
      <c r="E182" s="33"/>
      <c r="F182" s="33"/>
      <c r="G182" s="33"/>
      <c r="H182" s="33"/>
    </row>
    <row r="183" spans="1:8" ht="19.95" customHeight="1">
      <c r="A183" s="33"/>
      <c r="B183" s="33"/>
      <c r="C183" s="33"/>
      <c r="D183" s="33"/>
      <c r="E183" s="33"/>
      <c r="F183" s="33"/>
      <c r="G183" s="33"/>
      <c r="H183" s="33"/>
    </row>
    <row r="184" spans="1:8" ht="19.95" customHeight="1">
      <c r="A184" s="33"/>
      <c r="B184" s="33"/>
      <c r="C184" s="33"/>
      <c r="D184" s="33"/>
      <c r="E184" s="33"/>
      <c r="F184" s="33"/>
      <c r="G184" s="33"/>
      <c r="H184" s="33"/>
    </row>
    <row r="185" spans="1:8" ht="19.95" customHeight="1">
      <c r="A185" s="33"/>
      <c r="B185" s="33"/>
      <c r="C185" s="33"/>
      <c r="D185" s="33"/>
      <c r="E185" s="33"/>
      <c r="F185" s="33"/>
      <c r="G185" s="33"/>
      <c r="H185" s="33"/>
    </row>
    <row r="186" spans="1:8" ht="19.95" customHeight="1">
      <c r="A186" s="33"/>
      <c r="B186" s="33"/>
      <c r="C186" s="33"/>
      <c r="D186" s="33"/>
      <c r="E186" s="33"/>
      <c r="F186" s="33"/>
      <c r="G186" s="33"/>
      <c r="H186" s="33"/>
    </row>
    <row r="187" spans="1:8" ht="19.95" customHeight="1">
      <c r="A187" s="33"/>
      <c r="B187" s="33"/>
      <c r="C187" s="33"/>
      <c r="D187" s="33"/>
      <c r="E187" s="33"/>
      <c r="F187" s="33"/>
      <c r="G187" s="33"/>
      <c r="H187" s="33"/>
    </row>
    <row r="188" spans="1:8" ht="19.95" customHeight="1">
      <c r="A188" s="33"/>
      <c r="B188" s="33"/>
      <c r="C188" s="33"/>
      <c r="D188" s="33"/>
      <c r="E188" s="33"/>
      <c r="F188" s="33"/>
      <c r="G188" s="33"/>
      <c r="H188" s="33"/>
    </row>
    <row r="189" spans="1:8" ht="19.95" customHeight="1">
      <c r="A189" s="33"/>
      <c r="B189" s="33"/>
      <c r="C189" s="33"/>
      <c r="D189" s="33"/>
      <c r="E189" s="33"/>
      <c r="F189" s="33"/>
      <c r="G189" s="33"/>
      <c r="H189" s="33"/>
    </row>
    <row r="190" spans="1:8" ht="19.95" customHeight="1">
      <c r="A190" s="33"/>
      <c r="B190" s="33"/>
      <c r="C190" s="33"/>
      <c r="D190" s="33"/>
      <c r="E190" s="33"/>
      <c r="F190" s="33"/>
      <c r="G190" s="33"/>
      <c r="H190" s="33"/>
    </row>
    <row r="191" spans="1:8" ht="19.95" customHeight="1">
      <c r="A191" s="33"/>
      <c r="B191" s="33"/>
      <c r="C191" s="33"/>
      <c r="D191" s="33"/>
      <c r="E191" s="33"/>
      <c r="F191" s="33"/>
      <c r="G191" s="33"/>
      <c r="H191" s="33"/>
    </row>
    <row r="192" spans="1:8" ht="19.95" customHeight="1">
      <c r="A192" s="33"/>
      <c r="B192" s="33"/>
      <c r="C192" s="33"/>
      <c r="D192" s="33"/>
      <c r="E192" s="33"/>
      <c r="F192" s="33"/>
      <c r="G192" s="33"/>
      <c r="H192" s="33"/>
    </row>
    <row r="193" spans="1:8" ht="19.95" customHeight="1">
      <c r="A193" s="33"/>
      <c r="B193" s="33"/>
      <c r="C193" s="33"/>
      <c r="D193" s="33"/>
      <c r="E193" s="33"/>
      <c r="F193" s="33"/>
      <c r="G193" s="33"/>
      <c r="H193" s="33"/>
    </row>
    <row r="194" spans="1:8" ht="19.95" customHeight="1">
      <c r="A194" s="33"/>
      <c r="B194" s="33"/>
      <c r="C194" s="33"/>
      <c r="D194" s="33"/>
      <c r="E194" s="33"/>
      <c r="F194" s="33"/>
      <c r="G194" s="33"/>
      <c r="H194" s="33"/>
    </row>
    <row r="195" spans="1:8" ht="19.95" customHeight="1">
      <c r="A195" s="33"/>
      <c r="B195" s="33"/>
      <c r="C195" s="33"/>
      <c r="D195" s="33"/>
      <c r="E195" s="33"/>
      <c r="F195" s="33"/>
      <c r="G195" s="33"/>
      <c r="H195" s="33"/>
    </row>
    <row r="196" spans="1:8" ht="19.95" customHeight="1">
      <c r="A196" s="33"/>
      <c r="B196" s="33"/>
      <c r="C196" s="33"/>
      <c r="D196" s="33"/>
      <c r="E196" s="33"/>
      <c r="F196" s="33"/>
      <c r="G196" s="33"/>
      <c r="H196" s="33"/>
    </row>
    <row r="197" spans="1:8" ht="19.95" customHeight="1">
      <c r="A197" s="33"/>
      <c r="B197" s="33"/>
      <c r="C197" s="33"/>
      <c r="D197" s="33"/>
      <c r="E197" s="33"/>
      <c r="F197" s="33"/>
      <c r="G197" s="33"/>
      <c r="H197" s="33"/>
    </row>
    <row r="198" spans="1:8" ht="19.95" customHeight="1">
      <c r="A198" s="33"/>
      <c r="B198" s="33"/>
      <c r="C198" s="33"/>
      <c r="D198" s="33"/>
      <c r="E198" s="33"/>
      <c r="F198" s="33"/>
      <c r="G198" s="33"/>
      <c r="H198" s="33"/>
    </row>
    <row r="199" spans="1:8" ht="19.95" customHeight="1">
      <c r="A199" s="33"/>
      <c r="B199" s="33"/>
      <c r="C199" s="33"/>
      <c r="D199" s="33"/>
      <c r="E199" s="33"/>
      <c r="F199" s="33"/>
      <c r="G199" s="33"/>
      <c r="H199" s="33"/>
    </row>
    <row r="200" spans="1:8" ht="19.95" customHeight="1">
      <c r="A200" s="33"/>
      <c r="B200" s="33"/>
      <c r="C200" s="33"/>
      <c r="D200" s="33"/>
      <c r="E200" s="33"/>
      <c r="F200" s="33"/>
      <c r="G200" s="33"/>
      <c r="H200" s="33"/>
    </row>
    <row r="201" spans="1:8" ht="19.95" customHeight="1">
      <c r="A201" s="33"/>
      <c r="B201" s="33"/>
      <c r="C201" s="33"/>
      <c r="D201" s="33"/>
      <c r="E201" s="33"/>
      <c r="F201" s="33"/>
      <c r="G201" s="33"/>
      <c r="H201" s="33"/>
    </row>
    <row r="202" spans="1:8" ht="19.95" customHeight="1">
      <c r="A202" s="33"/>
      <c r="B202" s="33"/>
      <c r="C202" s="33"/>
      <c r="D202" s="33"/>
      <c r="E202" s="33"/>
      <c r="F202" s="33"/>
      <c r="G202" s="33"/>
      <c r="H202" s="33"/>
    </row>
    <row r="203" spans="1:8" ht="19.95" customHeight="1">
      <c r="A203" s="33"/>
      <c r="B203" s="33"/>
      <c r="C203" s="33"/>
      <c r="D203" s="33"/>
      <c r="E203" s="33"/>
      <c r="F203" s="33"/>
      <c r="G203" s="33"/>
      <c r="H203" s="33"/>
    </row>
    <row r="204" spans="1:8" ht="19.95" customHeight="1">
      <c r="A204" s="33"/>
      <c r="B204" s="33"/>
      <c r="C204" s="33"/>
      <c r="D204" s="33"/>
      <c r="E204" s="33"/>
      <c r="F204" s="33"/>
      <c r="G204" s="33"/>
      <c r="H204" s="33"/>
    </row>
    <row r="205" spans="1:8" ht="19.95" customHeight="1">
      <c r="A205" s="33"/>
      <c r="B205" s="33"/>
      <c r="C205" s="33"/>
      <c r="D205" s="33"/>
      <c r="E205" s="33"/>
      <c r="F205" s="33"/>
      <c r="G205" s="33"/>
      <c r="H205" s="33"/>
    </row>
    <row r="206" spans="1:8" ht="19.95" customHeight="1">
      <c r="A206" s="33"/>
      <c r="B206" s="33"/>
      <c r="C206" s="33"/>
      <c r="D206" s="33"/>
      <c r="E206" s="33"/>
      <c r="F206" s="33"/>
      <c r="G206" s="33"/>
      <c r="H206" s="33"/>
    </row>
    <row r="207" spans="1:8" ht="19.95" customHeight="1">
      <c r="A207" s="33"/>
      <c r="B207" s="33"/>
      <c r="C207" s="33"/>
      <c r="D207" s="33"/>
      <c r="E207" s="33"/>
      <c r="F207" s="33"/>
      <c r="G207" s="33"/>
      <c r="H207" s="33"/>
    </row>
    <row r="208" spans="1:8" ht="19.95" customHeight="1">
      <c r="A208" s="33"/>
      <c r="B208" s="33"/>
      <c r="C208" s="33"/>
      <c r="D208" s="33"/>
      <c r="E208" s="33"/>
      <c r="F208" s="33"/>
      <c r="G208" s="33"/>
      <c r="H208" s="33"/>
    </row>
    <row r="209" spans="1:8" ht="19.95" customHeight="1">
      <c r="A209" s="33"/>
      <c r="B209" s="33"/>
      <c r="C209" s="33"/>
      <c r="D209" s="33"/>
      <c r="E209" s="33"/>
      <c r="F209" s="33"/>
      <c r="G209" s="33"/>
      <c r="H209" s="33"/>
    </row>
    <row r="210" spans="1:8" ht="19.95" customHeight="1">
      <c r="A210" s="33"/>
      <c r="B210" s="33"/>
      <c r="C210" s="33"/>
      <c r="D210" s="33"/>
      <c r="E210" s="33"/>
      <c r="F210" s="33"/>
      <c r="G210" s="33"/>
      <c r="H210" s="33"/>
    </row>
    <row r="211" spans="1:8" ht="19.95" customHeight="1">
      <c r="A211" s="33"/>
      <c r="B211" s="33"/>
      <c r="C211" s="33"/>
      <c r="D211" s="33"/>
      <c r="E211" s="33"/>
      <c r="F211" s="33"/>
      <c r="G211" s="33"/>
      <c r="H211" s="33"/>
    </row>
    <row r="212" spans="1:8" ht="19.95" customHeight="1">
      <c r="A212" s="33"/>
      <c r="B212" s="33"/>
      <c r="C212" s="33"/>
      <c r="D212" s="33"/>
      <c r="E212" s="33"/>
      <c r="F212" s="33"/>
      <c r="G212" s="33"/>
      <c r="H212" s="33"/>
    </row>
    <row r="213" spans="1:8" ht="19.95" customHeight="1">
      <c r="A213" s="33"/>
      <c r="B213" s="33"/>
      <c r="C213" s="33"/>
      <c r="D213" s="33"/>
      <c r="E213" s="33"/>
      <c r="F213" s="33"/>
      <c r="G213" s="33"/>
      <c r="H213" s="33"/>
    </row>
    <row r="214" spans="1:8" ht="19.95" customHeight="1">
      <c r="A214" s="33"/>
      <c r="B214" s="33"/>
      <c r="C214" s="33"/>
      <c r="D214" s="33"/>
      <c r="E214" s="33"/>
      <c r="F214" s="33"/>
      <c r="G214" s="33"/>
      <c r="H214" s="33"/>
    </row>
    <row r="215" spans="1:8" ht="19.95" customHeight="1">
      <c r="A215" s="33"/>
      <c r="B215" s="33"/>
      <c r="C215" s="33"/>
      <c r="D215" s="33"/>
      <c r="E215" s="33"/>
      <c r="F215" s="33"/>
      <c r="G215" s="33"/>
      <c r="H215" s="33"/>
    </row>
    <row r="216" spans="1:8" ht="19.95" customHeight="1">
      <c r="A216" s="33"/>
      <c r="B216" s="33"/>
      <c r="C216" s="33"/>
      <c r="D216" s="33"/>
      <c r="E216" s="33"/>
      <c r="F216" s="33"/>
      <c r="G216" s="33"/>
      <c r="H216" s="33"/>
    </row>
    <row r="217" spans="1:8" ht="19.95" customHeight="1">
      <c r="A217" s="33"/>
      <c r="B217" s="33"/>
      <c r="C217" s="33"/>
      <c r="D217" s="33"/>
      <c r="E217" s="33"/>
      <c r="F217" s="33"/>
      <c r="G217" s="33"/>
      <c r="H217" s="33"/>
    </row>
    <row r="218" spans="1:8" ht="19.95" customHeight="1">
      <c r="A218" s="33"/>
      <c r="B218" s="33"/>
      <c r="C218" s="33"/>
      <c r="D218" s="33"/>
      <c r="E218" s="33"/>
      <c r="F218" s="33"/>
      <c r="G218" s="33"/>
      <c r="H218" s="33"/>
    </row>
    <row r="219" spans="1:8" ht="19.95" customHeight="1">
      <c r="A219" s="33"/>
      <c r="B219" s="33"/>
      <c r="C219" s="33"/>
      <c r="D219" s="33"/>
      <c r="E219" s="33"/>
      <c r="F219" s="33"/>
      <c r="G219" s="33"/>
      <c r="H219" s="33"/>
    </row>
    <row r="220" spans="1:8" ht="19.95" customHeight="1">
      <c r="A220" s="33"/>
      <c r="B220" s="33"/>
      <c r="C220" s="33"/>
      <c r="D220" s="33"/>
      <c r="E220" s="33"/>
      <c r="F220" s="33"/>
      <c r="G220" s="33"/>
      <c r="H220" s="33"/>
    </row>
    <row r="221" spans="1:8" ht="19.95" customHeight="1">
      <c r="A221" s="33"/>
      <c r="B221" s="33"/>
      <c r="C221" s="33"/>
      <c r="D221" s="33"/>
      <c r="E221" s="33"/>
      <c r="F221" s="33"/>
      <c r="G221" s="33"/>
      <c r="H221" s="33"/>
    </row>
    <row r="222" spans="1:8" ht="19.95" customHeight="1">
      <c r="A222" s="33"/>
      <c r="B222" s="33"/>
      <c r="C222" s="33"/>
      <c r="D222" s="33"/>
      <c r="E222" s="33"/>
      <c r="F222" s="33"/>
      <c r="G222" s="33"/>
      <c r="H222" s="33"/>
    </row>
    <row r="223" spans="1:8" ht="19.95" customHeight="1">
      <c r="A223" s="33"/>
      <c r="B223" s="33"/>
      <c r="C223" s="33"/>
      <c r="D223" s="33"/>
      <c r="E223" s="33"/>
      <c r="F223" s="33"/>
      <c r="G223" s="33"/>
      <c r="H223" s="33"/>
    </row>
    <row r="224" spans="1:8" ht="19.95" customHeight="1">
      <c r="A224" s="33"/>
      <c r="B224" s="33"/>
      <c r="C224" s="33"/>
      <c r="D224" s="33"/>
      <c r="E224" s="33"/>
      <c r="F224" s="33"/>
      <c r="G224" s="33"/>
      <c r="H224" s="33"/>
    </row>
    <row r="225" spans="1:8" ht="19.95" customHeight="1">
      <c r="A225" s="33"/>
      <c r="B225" s="33"/>
      <c r="C225" s="33"/>
      <c r="D225" s="33"/>
      <c r="E225" s="33"/>
      <c r="F225" s="33"/>
      <c r="G225" s="33"/>
      <c r="H225" s="33"/>
    </row>
    <row r="226" spans="1:8" ht="19.95" customHeight="1">
      <c r="A226" s="33"/>
      <c r="B226" s="33"/>
      <c r="C226" s="33"/>
      <c r="D226" s="33"/>
      <c r="E226" s="33"/>
      <c r="F226" s="33"/>
      <c r="G226" s="33"/>
      <c r="H226" s="33"/>
    </row>
    <row r="227" spans="1:8" ht="19.95" customHeight="1">
      <c r="A227" s="33"/>
      <c r="B227" s="33"/>
      <c r="C227" s="33"/>
      <c r="D227" s="33"/>
      <c r="E227" s="33"/>
      <c r="F227" s="33"/>
      <c r="G227" s="33"/>
      <c r="H227" s="33"/>
    </row>
    <row r="228" spans="1:8" ht="19.95" customHeight="1">
      <c r="A228" s="33"/>
      <c r="B228" s="33"/>
      <c r="C228" s="33"/>
      <c r="D228" s="33"/>
      <c r="E228" s="33"/>
      <c r="F228" s="33"/>
      <c r="G228" s="33"/>
      <c r="H228" s="33"/>
    </row>
    <row r="229" spans="1:8" ht="19.95" customHeight="1">
      <c r="A229" s="33"/>
      <c r="B229" s="33"/>
      <c r="C229" s="33"/>
      <c r="D229" s="33"/>
      <c r="E229" s="33"/>
      <c r="F229" s="33"/>
      <c r="G229" s="33"/>
      <c r="H229" s="33"/>
    </row>
    <row r="230" spans="1:8" ht="19.95" customHeight="1">
      <c r="A230" s="33"/>
      <c r="B230" s="33"/>
      <c r="C230" s="33"/>
      <c r="D230" s="33"/>
      <c r="E230" s="33"/>
      <c r="F230" s="33"/>
      <c r="G230" s="33"/>
      <c r="H230" s="33"/>
    </row>
    <row r="231" spans="1:8" ht="19.95" customHeight="1">
      <c r="A231" s="33"/>
      <c r="B231" s="33"/>
      <c r="C231" s="33"/>
      <c r="D231" s="33"/>
      <c r="E231" s="33"/>
      <c r="F231" s="33"/>
      <c r="G231" s="33"/>
      <c r="H231" s="33"/>
    </row>
    <row r="232" spans="1:8" ht="19.95" customHeight="1">
      <c r="A232" s="33"/>
      <c r="B232" s="33"/>
      <c r="C232" s="33"/>
      <c r="D232" s="33"/>
      <c r="E232" s="33"/>
      <c r="F232" s="33"/>
      <c r="G232" s="33"/>
      <c r="H232" s="33"/>
    </row>
    <row r="233" spans="1:8" ht="19.95" customHeight="1">
      <c r="A233" s="33"/>
      <c r="B233" s="33"/>
      <c r="C233" s="33"/>
      <c r="D233" s="33"/>
      <c r="E233" s="33"/>
      <c r="F233" s="33"/>
      <c r="G233" s="33"/>
      <c r="H233" s="33"/>
    </row>
    <row r="234" spans="1:8" ht="19.95" customHeight="1">
      <c r="A234" s="33"/>
      <c r="B234" s="33"/>
      <c r="C234" s="33"/>
      <c r="D234" s="33"/>
      <c r="E234" s="33"/>
      <c r="F234" s="33"/>
      <c r="G234" s="33"/>
      <c r="H234" s="33"/>
    </row>
    <row r="235" spans="1:8" ht="19.95" customHeight="1">
      <c r="A235" s="33"/>
      <c r="B235" s="33"/>
      <c r="C235" s="33"/>
      <c r="D235" s="33"/>
      <c r="E235" s="33"/>
      <c r="F235" s="33"/>
      <c r="G235" s="33"/>
      <c r="H235" s="33"/>
    </row>
    <row r="236" spans="1:8" ht="19.95" customHeight="1">
      <c r="A236" s="33"/>
      <c r="B236" s="33"/>
      <c r="C236" s="33"/>
      <c r="D236" s="33"/>
      <c r="E236" s="33"/>
      <c r="F236" s="33"/>
      <c r="G236" s="33"/>
      <c r="H236" s="33"/>
    </row>
    <row r="237" spans="1:8" ht="19.95" customHeight="1">
      <c r="A237" s="33"/>
      <c r="B237" s="33"/>
      <c r="C237" s="33"/>
      <c r="D237" s="33"/>
      <c r="E237" s="33"/>
      <c r="F237" s="33"/>
      <c r="G237" s="33"/>
      <c r="H237" s="33"/>
    </row>
    <row r="238" spans="1:8" ht="19.95" customHeight="1">
      <c r="A238" s="33"/>
      <c r="B238" s="33"/>
      <c r="C238" s="33"/>
      <c r="D238" s="33"/>
      <c r="E238" s="33"/>
      <c r="F238" s="33"/>
      <c r="G238" s="33"/>
      <c r="H238" s="33"/>
    </row>
    <row r="239" spans="1:8" ht="19.95" customHeight="1">
      <c r="A239" s="33"/>
      <c r="B239" s="33"/>
      <c r="C239" s="33"/>
      <c r="D239" s="33"/>
      <c r="E239" s="33"/>
      <c r="F239" s="33"/>
      <c r="G239" s="33"/>
      <c r="H239" s="33"/>
    </row>
    <row r="240" spans="1:8" ht="19.95" customHeight="1">
      <c r="A240" s="33"/>
      <c r="B240" s="33"/>
      <c r="C240" s="33"/>
      <c r="D240" s="33"/>
      <c r="E240" s="33"/>
      <c r="F240" s="33"/>
      <c r="G240" s="33"/>
      <c r="H240" s="33"/>
    </row>
    <row r="241" spans="1:8" ht="19.95" customHeight="1">
      <c r="A241" s="33"/>
      <c r="B241" s="33"/>
      <c r="C241" s="33"/>
      <c r="D241" s="33"/>
      <c r="E241" s="33"/>
      <c r="F241" s="33"/>
      <c r="G241" s="33"/>
      <c r="H241" s="33"/>
    </row>
    <row r="242" spans="1:8" ht="19.95" customHeight="1">
      <c r="A242" s="33"/>
      <c r="B242" s="33"/>
      <c r="C242" s="33"/>
      <c r="D242" s="33"/>
      <c r="E242" s="33"/>
      <c r="F242" s="33"/>
      <c r="G242" s="33"/>
      <c r="H242" s="33"/>
    </row>
    <row r="243" spans="1:8" ht="19.95" customHeight="1">
      <c r="A243" s="33"/>
      <c r="B243" s="33"/>
      <c r="C243" s="33"/>
      <c r="D243" s="33"/>
      <c r="E243" s="33"/>
      <c r="F243" s="33"/>
      <c r="G243" s="33"/>
      <c r="H243" s="33"/>
    </row>
    <row r="244" spans="1:8" ht="19.95" customHeight="1">
      <c r="A244" s="33"/>
      <c r="B244" s="33"/>
      <c r="C244" s="33"/>
      <c r="D244" s="33"/>
      <c r="E244" s="33"/>
      <c r="F244" s="33"/>
      <c r="G244" s="33"/>
      <c r="H244" s="33"/>
    </row>
    <row r="245" spans="1:8" ht="19.95" customHeight="1">
      <c r="A245" s="33"/>
      <c r="B245" s="33"/>
      <c r="C245" s="33"/>
      <c r="D245" s="33"/>
      <c r="E245" s="33"/>
      <c r="F245" s="33"/>
      <c r="G245" s="33"/>
      <c r="H245" s="33"/>
    </row>
    <row r="246" spans="1:8" ht="19.95" customHeight="1">
      <c r="A246" s="33"/>
      <c r="B246" s="33"/>
      <c r="C246" s="33"/>
      <c r="D246" s="33"/>
      <c r="E246" s="33"/>
      <c r="F246" s="33"/>
      <c r="G246" s="33"/>
      <c r="H246" s="33"/>
    </row>
    <row r="247" spans="1:8" ht="19.95" customHeight="1">
      <c r="A247" s="33"/>
      <c r="B247" s="33"/>
      <c r="C247" s="33"/>
      <c r="D247" s="33"/>
      <c r="E247" s="33"/>
      <c r="F247" s="33"/>
      <c r="G247" s="33"/>
      <c r="H247" s="33"/>
    </row>
    <row r="248" spans="1:8" ht="19.95" customHeight="1">
      <c r="A248" s="33"/>
      <c r="B248" s="33"/>
      <c r="C248" s="33"/>
      <c r="D248" s="33"/>
      <c r="E248" s="33"/>
      <c r="F248" s="33"/>
      <c r="G248" s="33"/>
      <c r="H248" s="33"/>
    </row>
    <row r="249" spans="1:8" ht="19.95" customHeight="1">
      <c r="A249" s="33"/>
      <c r="B249" s="33"/>
      <c r="C249" s="33"/>
      <c r="D249" s="33"/>
      <c r="E249" s="33"/>
      <c r="F249" s="33"/>
      <c r="G249" s="33"/>
      <c r="H249" s="33"/>
    </row>
    <row r="250" spans="1:8" ht="19.95" customHeight="1">
      <c r="A250" s="33"/>
      <c r="B250" s="33"/>
      <c r="C250" s="33"/>
      <c r="D250" s="33"/>
      <c r="E250" s="33"/>
      <c r="F250" s="33"/>
      <c r="G250" s="33"/>
      <c r="H250" s="33"/>
    </row>
    <row r="251" spans="1:8" ht="19.95" customHeight="1">
      <c r="A251" s="33"/>
      <c r="B251" s="33"/>
      <c r="C251" s="33"/>
      <c r="D251" s="33"/>
      <c r="E251" s="33"/>
      <c r="F251" s="33"/>
      <c r="G251" s="33"/>
      <c r="H251" s="33"/>
    </row>
    <row r="252" spans="1:8" ht="19.95" customHeight="1">
      <c r="A252" s="33"/>
      <c r="B252" s="33"/>
      <c r="C252" s="33"/>
      <c r="D252" s="33"/>
      <c r="E252" s="33"/>
      <c r="F252" s="33"/>
      <c r="G252" s="33"/>
      <c r="H252" s="33"/>
    </row>
    <row r="253" spans="1:8" ht="19.95" customHeight="1">
      <c r="A253" s="33"/>
      <c r="B253" s="33"/>
      <c r="C253" s="33"/>
      <c r="D253" s="33"/>
      <c r="E253" s="33"/>
      <c r="F253" s="33"/>
      <c r="G253" s="33"/>
      <c r="H253" s="33"/>
    </row>
    <row r="254" spans="1:8" ht="19.95" customHeight="1">
      <c r="A254" s="33"/>
      <c r="B254" s="33"/>
      <c r="C254" s="33"/>
      <c r="D254" s="33"/>
      <c r="E254" s="33"/>
      <c r="F254" s="33"/>
      <c r="G254" s="33"/>
      <c r="H254" s="33"/>
    </row>
    <row r="255" spans="1:8" ht="19.95" customHeight="1">
      <c r="A255" s="33"/>
      <c r="B255" s="33"/>
      <c r="C255" s="33"/>
      <c r="D255" s="33"/>
      <c r="E255" s="33"/>
      <c r="F255" s="33"/>
      <c r="G255" s="33"/>
      <c r="H255" s="33"/>
    </row>
    <row r="256" spans="1:8" ht="19.95" customHeight="1">
      <c r="A256" s="33"/>
      <c r="B256" s="33"/>
      <c r="C256" s="33"/>
      <c r="D256" s="33"/>
      <c r="E256" s="33"/>
      <c r="F256" s="33"/>
      <c r="G256" s="33"/>
      <c r="H256" s="33"/>
    </row>
    <row r="257" spans="1:8" ht="19.95" customHeight="1">
      <c r="A257" s="33"/>
      <c r="B257" s="33"/>
      <c r="C257" s="33"/>
      <c r="D257" s="33"/>
      <c r="E257" s="33"/>
      <c r="F257" s="33"/>
      <c r="G257" s="33"/>
      <c r="H257" s="33"/>
    </row>
    <row r="258" spans="1:8" ht="19.95" customHeight="1">
      <c r="A258" s="33"/>
      <c r="B258" s="33"/>
      <c r="C258" s="33"/>
      <c r="D258" s="33"/>
      <c r="E258" s="33"/>
      <c r="F258" s="33"/>
      <c r="G258" s="33"/>
      <c r="H258" s="33"/>
    </row>
    <row r="259" spans="1:8" ht="19.95" customHeight="1">
      <c r="A259" s="33"/>
      <c r="B259" s="33"/>
      <c r="C259" s="33"/>
      <c r="D259" s="33"/>
      <c r="E259" s="33"/>
      <c r="F259" s="33"/>
      <c r="G259" s="33"/>
      <c r="H259" s="33"/>
    </row>
    <row r="260" spans="1:8" ht="19.95" customHeight="1">
      <c r="A260" s="33"/>
      <c r="B260" s="33"/>
      <c r="C260" s="33"/>
      <c r="D260" s="33"/>
      <c r="E260" s="33"/>
      <c r="F260" s="33"/>
      <c r="G260" s="33"/>
      <c r="H260" s="33"/>
    </row>
    <row r="261" spans="1:8" ht="19.95" customHeight="1">
      <c r="A261" s="33"/>
      <c r="B261" s="33"/>
      <c r="C261" s="33"/>
      <c r="D261" s="33"/>
      <c r="E261" s="33"/>
      <c r="F261" s="33"/>
      <c r="G261" s="33"/>
      <c r="H261" s="33"/>
    </row>
    <row r="262" spans="1:8" ht="19.95" customHeight="1">
      <c r="A262" s="33"/>
      <c r="B262" s="33"/>
      <c r="C262" s="33"/>
      <c r="D262" s="33"/>
      <c r="E262" s="33"/>
      <c r="F262" s="33"/>
      <c r="G262" s="33"/>
      <c r="H262" s="33"/>
    </row>
    <row r="263" spans="1:8" ht="19.95" customHeight="1">
      <c r="A263" s="33"/>
      <c r="B263" s="33"/>
      <c r="C263" s="33"/>
      <c r="D263" s="33"/>
      <c r="E263" s="33"/>
      <c r="F263" s="33"/>
      <c r="G263" s="33"/>
      <c r="H263" s="33"/>
    </row>
    <row r="264" spans="1:8" ht="19.95" customHeight="1">
      <c r="A264" s="33"/>
      <c r="B264" s="33"/>
      <c r="C264" s="33"/>
      <c r="D264" s="33"/>
      <c r="E264" s="33"/>
      <c r="F264" s="33"/>
      <c r="G264" s="33"/>
      <c r="H264" s="33"/>
    </row>
    <row r="265" spans="1:8" ht="19.95" customHeight="1">
      <c r="A265" s="33"/>
      <c r="B265" s="33"/>
      <c r="C265" s="33"/>
      <c r="D265" s="33"/>
      <c r="E265" s="33"/>
      <c r="F265" s="33"/>
      <c r="G265" s="33"/>
      <c r="H265" s="33"/>
    </row>
    <row r="266" spans="1:8" ht="19.95" customHeight="1">
      <c r="A266" s="33"/>
      <c r="B266" s="33"/>
      <c r="C266" s="33"/>
      <c r="D266" s="33"/>
      <c r="E266" s="33"/>
      <c r="F266" s="33"/>
      <c r="G266" s="33"/>
      <c r="H266" s="33"/>
    </row>
    <row r="267" spans="1:8" ht="19.95" customHeight="1">
      <c r="A267" s="33"/>
      <c r="B267" s="33"/>
      <c r="C267" s="33"/>
      <c r="D267" s="33"/>
      <c r="E267" s="33"/>
      <c r="F267" s="33"/>
      <c r="G267" s="33"/>
      <c r="H267" s="33"/>
    </row>
    <row r="268" spans="1:8" ht="19.95" customHeight="1">
      <c r="A268" s="33"/>
      <c r="B268" s="33"/>
      <c r="C268" s="33"/>
      <c r="D268" s="33"/>
      <c r="E268" s="33"/>
      <c r="F268" s="33"/>
      <c r="G268" s="33"/>
      <c r="H268" s="33"/>
    </row>
    <row r="269" spans="1:8" ht="19.95" customHeight="1">
      <c r="A269" s="33"/>
      <c r="B269" s="33"/>
      <c r="C269" s="33"/>
      <c r="D269" s="33"/>
      <c r="E269" s="33"/>
      <c r="F269" s="33"/>
      <c r="G269" s="33"/>
      <c r="H269" s="33"/>
    </row>
    <row r="270" spans="1:8" ht="19.95" customHeight="1">
      <c r="A270" s="33"/>
      <c r="B270" s="33"/>
      <c r="C270" s="33"/>
      <c r="D270" s="33"/>
      <c r="E270" s="33"/>
      <c r="F270" s="33"/>
      <c r="G270" s="33"/>
      <c r="H270" s="33"/>
    </row>
    <row r="271" spans="1:8" ht="19.95" customHeight="1">
      <c r="A271" s="33"/>
      <c r="B271" s="33"/>
      <c r="C271" s="33"/>
      <c r="D271" s="33"/>
      <c r="E271" s="33"/>
      <c r="F271" s="33"/>
      <c r="G271" s="33"/>
      <c r="H271" s="33"/>
    </row>
    <row r="272" spans="1:8" ht="19.95" customHeight="1">
      <c r="A272" s="33"/>
      <c r="B272" s="33"/>
      <c r="C272" s="33"/>
      <c r="D272" s="33"/>
      <c r="E272" s="33"/>
      <c r="F272" s="33"/>
      <c r="G272" s="33"/>
      <c r="H272" s="33"/>
    </row>
    <row r="273" spans="1:8" ht="19.95" customHeight="1">
      <c r="A273" s="33"/>
      <c r="B273" s="33"/>
      <c r="C273" s="33"/>
      <c r="D273" s="33"/>
      <c r="E273" s="33"/>
      <c r="F273" s="33"/>
      <c r="G273" s="33"/>
      <c r="H273" s="33"/>
    </row>
    <row r="274" spans="1:8" ht="19.95" customHeight="1">
      <c r="A274" s="33"/>
      <c r="B274" s="33"/>
      <c r="C274" s="33"/>
      <c r="D274" s="33"/>
      <c r="E274" s="33"/>
      <c r="F274" s="33"/>
      <c r="G274" s="33"/>
      <c r="H274" s="33"/>
    </row>
    <row r="275" spans="1:8" ht="19.95" customHeight="1">
      <c r="A275" s="33"/>
      <c r="B275" s="33"/>
      <c r="C275" s="33"/>
      <c r="D275" s="33"/>
      <c r="E275" s="33"/>
      <c r="F275" s="33"/>
      <c r="G275" s="33"/>
      <c r="H275" s="33"/>
    </row>
    <row r="276" spans="1:8" ht="19.95" customHeight="1">
      <c r="A276" s="33"/>
      <c r="B276" s="33"/>
      <c r="C276" s="33"/>
      <c r="D276" s="33"/>
      <c r="E276" s="33"/>
      <c r="F276" s="33"/>
      <c r="G276" s="33"/>
      <c r="H276" s="33"/>
    </row>
    <row r="277" spans="1:8" ht="19.95" customHeight="1">
      <c r="A277" s="33"/>
      <c r="B277" s="33"/>
      <c r="C277" s="33"/>
      <c r="D277" s="33"/>
      <c r="E277" s="33"/>
      <c r="F277" s="33"/>
      <c r="G277" s="33"/>
      <c r="H277" s="33"/>
    </row>
    <row r="278" spans="1:8" ht="19.95" customHeight="1">
      <c r="A278" s="33"/>
      <c r="B278" s="33"/>
      <c r="C278" s="33"/>
      <c r="D278" s="33"/>
      <c r="E278" s="33"/>
      <c r="F278" s="33"/>
      <c r="G278" s="33"/>
      <c r="H278" s="33"/>
    </row>
    <row r="279" spans="1:8" ht="19.95" customHeight="1">
      <c r="A279" s="33"/>
      <c r="B279" s="33"/>
      <c r="C279" s="33"/>
      <c r="D279" s="33"/>
      <c r="E279" s="33"/>
      <c r="F279" s="33"/>
      <c r="G279" s="33"/>
      <c r="H279" s="33"/>
    </row>
    <row r="280" spans="1:8" ht="19.95" customHeight="1">
      <c r="A280" s="33"/>
      <c r="B280" s="33"/>
      <c r="C280" s="33"/>
      <c r="D280" s="33"/>
      <c r="E280" s="33"/>
      <c r="F280" s="33"/>
      <c r="G280" s="33"/>
      <c r="H280" s="33"/>
    </row>
    <row r="281" spans="1:8" ht="19.95" customHeight="1">
      <c r="A281" s="33"/>
      <c r="B281" s="33"/>
      <c r="C281" s="33"/>
      <c r="D281" s="33"/>
      <c r="E281" s="33"/>
      <c r="F281" s="33"/>
      <c r="G281" s="33"/>
      <c r="H281" s="33"/>
    </row>
    <row r="282" spans="1:8" ht="19.95" customHeight="1">
      <c r="A282" s="33"/>
      <c r="B282" s="33"/>
      <c r="C282" s="33"/>
      <c r="D282" s="33"/>
      <c r="E282" s="33"/>
      <c r="F282" s="33"/>
      <c r="G282" s="33"/>
      <c r="H282" s="33"/>
    </row>
    <row r="283" spans="1:8" ht="19.95" customHeight="1">
      <c r="A283" s="33"/>
      <c r="B283" s="33"/>
      <c r="C283" s="33"/>
      <c r="D283" s="33"/>
      <c r="E283" s="33"/>
      <c r="F283" s="33"/>
      <c r="G283" s="33"/>
      <c r="H283" s="33"/>
    </row>
    <row r="284" spans="1:8" ht="19.95" customHeight="1">
      <c r="A284" s="33"/>
      <c r="B284" s="33"/>
      <c r="C284" s="33"/>
      <c r="D284" s="33"/>
      <c r="E284" s="33"/>
      <c r="F284" s="33"/>
      <c r="G284" s="33"/>
      <c r="H284" s="33"/>
    </row>
    <row r="285" spans="1:8" ht="19.95" customHeight="1">
      <c r="A285" s="33"/>
      <c r="B285" s="33"/>
      <c r="C285" s="33"/>
      <c r="D285" s="33"/>
      <c r="E285" s="33"/>
      <c r="F285" s="33"/>
      <c r="G285" s="33"/>
      <c r="H285" s="33"/>
    </row>
    <row r="286" spans="1:8" ht="19.95" customHeight="1">
      <c r="A286" s="33"/>
      <c r="B286" s="33"/>
      <c r="C286" s="33"/>
      <c r="D286" s="33"/>
      <c r="E286" s="33"/>
      <c r="F286" s="33"/>
      <c r="G286" s="33"/>
      <c r="H286" s="33"/>
    </row>
    <row r="287" spans="1:8" ht="19.95" customHeight="1">
      <c r="A287" s="33"/>
      <c r="B287" s="33"/>
      <c r="C287" s="33"/>
      <c r="D287" s="33"/>
      <c r="E287" s="33"/>
      <c r="F287" s="33"/>
      <c r="G287" s="33"/>
      <c r="H287" s="33"/>
    </row>
    <row r="288" spans="1:8" ht="19.95" customHeight="1">
      <c r="A288" s="33"/>
      <c r="B288" s="33"/>
      <c r="C288" s="33"/>
      <c r="D288" s="33"/>
      <c r="E288" s="33"/>
      <c r="F288" s="33"/>
      <c r="G288" s="33"/>
      <c r="H288" s="33"/>
    </row>
    <row r="289" spans="1:8" ht="19.95" customHeight="1">
      <c r="A289" s="33"/>
      <c r="B289" s="33"/>
      <c r="C289" s="33"/>
      <c r="D289" s="33"/>
      <c r="E289" s="33"/>
      <c r="F289" s="33"/>
      <c r="G289" s="33"/>
      <c r="H289" s="33"/>
    </row>
    <row r="290" spans="1:8" ht="19.95" customHeight="1">
      <c r="A290" s="33"/>
      <c r="B290" s="33"/>
      <c r="C290" s="33"/>
      <c r="D290" s="33"/>
      <c r="E290" s="33"/>
      <c r="F290" s="33"/>
      <c r="G290" s="33"/>
      <c r="H290" s="33"/>
    </row>
    <row r="291" spans="1:8" ht="19.95" customHeight="1">
      <c r="A291" s="33"/>
      <c r="B291" s="33"/>
      <c r="C291" s="33"/>
      <c r="D291" s="33"/>
      <c r="E291" s="33"/>
      <c r="F291" s="33"/>
      <c r="G291" s="33"/>
      <c r="H291" s="33"/>
    </row>
    <row r="292" spans="1:8" ht="19.95" customHeight="1">
      <c r="A292" s="33"/>
      <c r="B292" s="33"/>
      <c r="C292" s="33"/>
      <c r="D292" s="33"/>
      <c r="E292" s="33"/>
      <c r="F292" s="33"/>
      <c r="G292" s="33"/>
      <c r="H292" s="33"/>
    </row>
    <row r="293" spans="1:8" ht="19.95" customHeight="1">
      <c r="A293" s="33"/>
      <c r="B293" s="33"/>
      <c r="C293" s="33"/>
      <c r="D293" s="33"/>
      <c r="E293" s="33"/>
      <c r="F293" s="33"/>
      <c r="G293" s="33"/>
      <c r="H293" s="33"/>
    </row>
    <row r="294" spans="1:8" ht="19.95" customHeight="1">
      <c r="A294" s="33"/>
      <c r="B294" s="33"/>
      <c r="C294" s="33"/>
      <c r="D294" s="33"/>
      <c r="E294" s="33"/>
      <c r="F294" s="33"/>
      <c r="G294" s="33"/>
      <c r="H294" s="33"/>
    </row>
    <row r="295" spans="1:8" ht="19.95" customHeight="1">
      <c r="A295" s="33"/>
      <c r="B295" s="33"/>
      <c r="C295" s="33"/>
      <c r="D295" s="33"/>
      <c r="E295" s="33"/>
      <c r="F295" s="33"/>
      <c r="G295" s="33"/>
      <c r="H295" s="33"/>
    </row>
    <row r="296" spans="1:8" ht="19.95" customHeight="1">
      <c r="A296" s="33"/>
      <c r="B296" s="33"/>
      <c r="C296" s="33"/>
      <c r="D296" s="33"/>
      <c r="E296" s="33"/>
      <c r="F296" s="33"/>
      <c r="G296" s="33"/>
      <c r="H296" s="33"/>
    </row>
    <row r="297" spans="1:8" ht="19.95" customHeight="1">
      <c r="A297" s="33"/>
      <c r="B297" s="33"/>
      <c r="C297" s="33"/>
      <c r="D297" s="33"/>
      <c r="E297" s="33"/>
      <c r="F297" s="33"/>
      <c r="G297" s="33"/>
      <c r="H297" s="33"/>
    </row>
    <row r="298" spans="1:8" ht="19.95" customHeight="1">
      <c r="A298" s="33"/>
      <c r="B298" s="33"/>
      <c r="C298" s="33"/>
      <c r="D298" s="33"/>
      <c r="E298" s="33"/>
      <c r="F298" s="33"/>
      <c r="G298" s="33"/>
      <c r="H298" s="33"/>
    </row>
    <row r="299" spans="1:8" ht="19.95" customHeight="1">
      <c r="A299" s="33"/>
      <c r="B299" s="33"/>
      <c r="C299" s="33"/>
      <c r="D299" s="33"/>
      <c r="E299" s="33"/>
      <c r="F299" s="33"/>
      <c r="G299" s="33"/>
      <c r="H299" s="33"/>
    </row>
    <row r="300" spans="1:8" ht="19.95" customHeight="1">
      <c r="A300" s="33"/>
      <c r="B300" s="33"/>
      <c r="C300" s="33"/>
      <c r="D300" s="33"/>
      <c r="E300" s="33"/>
      <c r="F300" s="33"/>
      <c r="G300" s="33"/>
      <c r="H300" s="33"/>
    </row>
    <row r="301" spans="1:8" ht="19.95" customHeight="1">
      <c r="A301" s="33"/>
      <c r="B301" s="33"/>
      <c r="C301" s="33"/>
      <c r="D301" s="33"/>
      <c r="E301" s="33"/>
      <c r="F301" s="33"/>
      <c r="G301" s="33"/>
      <c r="H301" s="33"/>
    </row>
    <row r="302" spans="1:8" ht="19.95" customHeight="1">
      <c r="A302" s="33"/>
      <c r="B302" s="33"/>
      <c r="C302" s="33"/>
      <c r="D302" s="33"/>
      <c r="E302" s="33"/>
      <c r="F302" s="33"/>
      <c r="G302" s="33"/>
      <c r="H302" s="33"/>
    </row>
    <row r="303" spans="1:8" ht="19.95" customHeight="1">
      <c r="A303" s="33"/>
      <c r="B303" s="33"/>
      <c r="C303" s="33"/>
      <c r="D303" s="33"/>
      <c r="E303" s="33"/>
      <c r="F303" s="33"/>
      <c r="G303" s="33"/>
      <c r="H303" s="33"/>
    </row>
    <row r="304" spans="1:8" ht="19.95" customHeight="1">
      <c r="A304" s="33"/>
      <c r="B304" s="33"/>
      <c r="C304" s="33"/>
      <c r="D304" s="33"/>
      <c r="E304" s="33"/>
      <c r="F304" s="33"/>
      <c r="G304" s="33"/>
      <c r="H304" s="33"/>
    </row>
    <row r="305" spans="1:8" ht="19.95" customHeight="1">
      <c r="A305" s="33"/>
      <c r="B305" s="33"/>
      <c r="C305" s="33"/>
      <c r="D305" s="33"/>
      <c r="E305" s="33"/>
      <c r="F305" s="33"/>
      <c r="G305" s="33"/>
      <c r="H305" s="33"/>
    </row>
    <row r="306" spans="1:8" ht="19.95" customHeight="1">
      <c r="A306" s="33"/>
      <c r="B306" s="33"/>
      <c r="C306" s="33"/>
      <c r="D306" s="33"/>
      <c r="E306" s="33"/>
      <c r="F306" s="33"/>
      <c r="G306" s="33"/>
      <c r="H306" s="33"/>
    </row>
    <row r="307" spans="1:8" ht="19.95" customHeight="1">
      <c r="A307" s="33"/>
      <c r="B307" s="33"/>
      <c r="C307" s="33"/>
      <c r="D307" s="33"/>
      <c r="E307" s="33"/>
      <c r="F307" s="33"/>
      <c r="G307" s="33"/>
      <c r="H307" s="33"/>
    </row>
    <row r="308" spans="1:8" ht="19.95" customHeight="1">
      <c r="A308" s="33"/>
      <c r="B308" s="33"/>
      <c r="C308" s="33"/>
      <c r="D308" s="33"/>
      <c r="E308" s="33"/>
      <c r="F308" s="33"/>
      <c r="G308" s="33"/>
      <c r="H308" s="33"/>
    </row>
    <row r="309" spans="1:8" ht="19.95" customHeight="1">
      <c r="A309" s="33"/>
      <c r="B309" s="33"/>
      <c r="C309" s="33"/>
      <c r="D309" s="33"/>
      <c r="E309" s="33"/>
      <c r="F309" s="33"/>
      <c r="G309" s="33"/>
      <c r="H309" s="33"/>
    </row>
    <row r="310" spans="1:8" ht="19.95" customHeight="1">
      <c r="A310" s="33"/>
      <c r="B310" s="33"/>
      <c r="C310" s="33"/>
      <c r="D310" s="33"/>
      <c r="E310" s="33"/>
      <c r="F310" s="33"/>
      <c r="G310" s="33"/>
      <c r="H310" s="33"/>
    </row>
    <row r="311" spans="1:8" ht="19.95" customHeight="1">
      <c r="A311" s="33"/>
      <c r="B311" s="33"/>
      <c r="C311" s="33"/>
      <c r="D311" s="33"/>
      <c r="E311" s="33"/>
      <c r="F311" s="33"/>
      <c r="G311" s="33"/>
      <c r="H311" s="33"/>
    </row>
    <row r="312" spans="1:8" ht="19.95" customHeight="1">
      <c r="A312" s="33"/>
      <c r="B312" s="33"/>
      <c r="C312" s="33"/>
      <c r="D312" s="33"/>
      <c r="E312" s="33"/>
      <c r="F312" s="33"/>
      <c r="G312" s="33"/>
      <c r="H312" s="33"/>
    </row>
    <row r="313" spans="1:8" ht="19.95" customHeight="1">
      <c r="A313" s="33"/>
      <c r="B313" s="33"/>
      <c r="C313" s="33"/>
      <c r="D313" s="33"/>
      <c r="E313" s="33"/>
      <c r="F313" s="33"/>
      <c r="G313" s="33"/>
      <c r="H313" s="33"/>
    </row>
    <row r="314" spans="1:8" ht="19.95" customHeight="1">
      <c r="A314" s="33"/>
      <c r="B314" s="33"/>
      <c r="C314" s="33"/>
      <c r="D314" s="33"/>
      <c r="E314" s="33"/>
      <c r="F314" s="33"/>
      <c r="G314" s="33"/>
      <c r="H314" s="33"/>
    </row>
    <row r="315" spans="1:8" ht="19.95" customHeight="1">
      <c r="A315" s="33"/>
      <c r="B315" s="33"/>
      <c r="C315" s="33"/>
      <c r="D315" s="33"/>
      <c r="E315" s="33"/>
      <c r="F315" s="33"/>
      <c r="G315" s="33"/>
      <c r="H315" s="33"/>
    </row>
    <row r="316" spans="1:8" ht="19.95" customHeight="1">
      <c r="A316" s="33"/>
      <c r="B316" s="33"/>
      <c r="C316" s="33"/>
      <c r="D316" s="33"/>
      <c r="E316" s="33"/>
      <c r="F316" s="33"/>
      <c r="G316" s="33"/>
      <c r="H316" s="33"/>
    </row>
    <row r="317" spans="1:8" ht="19.95" customHeight="1">
      <c r="A317" s="33"/>
      <c r="B317" s="33"/>
      <c r="C317" s="33"/>
      <c r="D317" s="33"/>
      <c r="E317" s="33"/>
      <c r="F317" s="33"/>
      <c r="G317" s="33"/>
      <c r="H317" s="33"/>
    </row>
    <row r="318" spans="1:8" ht="19.95" customHeight="1">
      <c r="A318" s="33"/>
      <c r="B318" s="33"/>
      <c r="C318" s="33"/>
      <c r="D318" s="33"/>
      <c r="E318" s="33"/>
      <c r="F318" s="33"/>
      <c r="G318" s="33"/>
      <c r="H318" s="33"/>
    </row>
    <row r="319" spans="1:8" ht="19.95" customHeight="1">
      <c r="A319" s="33"/>
      <c r="B319" s="33"/>
      <c r="C319" s="33"/>
      <c r="D319" s="33"/>
      <c r="E319" s="33"/>
      <c r="F319" s="33"/>
      <c r="G319" s="33"/>
      <c r="H319" s="33"/>
    </row>
    <row r="320" spans="1:8" ht="19.95" customHeight="1">
      <c r="A320" s="33"/>
      <c r="B320" s="33"/>
      <c r="C320" s="33"/>
      <c r="D320" s="33"/>
      <c r="E320" s="33"/>
      <c r="F320" s="33"/>
      <c r="G320" s="33"/>
      <c r="H320" s="33"/>
    </row>
    <row r="321" spans="1:8" ht="19.95" customHeight="1">
      <c r="A321" s="33"/>
      <c r="B321" s="33"/>
      <c r="C321" s="33"/>
      <c r="D321" s="33"/>
      <c r="E321" s="33"/>
      <c r="F321" s="33"/>
      <c r="G321" s="33"/>
      <c r="H321" s="33"/>
    </row>
    <row r="322" spans="1:8" ht="19.95" customHeight="1">
      <c r="A322" s="33"/>
      <c r="B322" s="33"/>
      <c r="C322" s="33"/>
      <c r="D322" s="33"/>
      <c r="E322" s="33"/>
      <c r="F322" s="33"/>
      <c r="G322" s="33"/>
      <c r="H322" s="33"/>
    </row>
    <row r="323" spans="1:8" ht="19.95" customHeight="1">
      <c r="A323" s="33"/>
      <c r="B323" s="33"/>
      <c r="C323" s="33"/>
      <c r="D323" s="33"/>
      <c r="E323" s="33"/>
      <c r="F323" s="33"/>
      <c r="G323" s="33"/>
      <c r="H323" s="33"/>
    </row>
    <row r="324" spans="1:8" ht="19.95" customHeight="1">
      <c r="A324" s="33"/>
      <c r="B324" s="33"/>
      <c r="C324" s="33"/>
      <c r="D324" s="33"/>
      <c r="E324" s="33"/>
      <c r="F324" s="33"/>
      <c r="G324" s="33"/>
      <c r="H324" s="33"/>
    </row>
    <row r="325" spans="1:8" ht="19.95" customHeight="1">
      <c r="A325" s="33"/>
      <c r="B325" s="33"/>
      <c r="C325" s="33"/>
      <c r="D325" s="33"/>
      <c r="E325" s="33"/>
      <c r="F325" s="33"/>
      <c r="G325" s="33"/>
      <c r="H325" s="33"/>
    </row>
    <row r="326" spans="1:8" ht="19.95" customHeight="1">
      <c r="A326" s="33"/>
      <c r="B326" s="33"/>
      <c r="C326" s="33"/>
      <c r="D326" s="33"/>
      <c r="E326" s="33"/>
      <c r="F326" s="33"/>
      <c r="G326" s="33"/>
      <c r="H326" s="33"/>
    </row>
    <row r="327" spans="1:8" ht="19.95" customHeight="1">
      <c r="A327" s="33"/>
      <c r="B327" s="33"/>
      <c r="C327" s="33"/>
      <c r="D327" s="33"/>
      <c r="E327" s="33"/>
      <c r="F327" s="33"/>
      <c r="G327" s="33"/>
      <c r="H327" s="33"/>
    </row>
    <row r="328" spans="1:8" ht="19.95" customHeight="1">
      <c r="A328" s="33"/>
      <c r="B328" s="33"/>
      <c r="C328" s="33"/>
      <c r="D328" s="33"/>
      <c r="E328" s="33"/>
      <c r="F328" s="33"/>
      <c r="G328" s="33"/>
      <c r="H328" s="33"/>
    </row>
    <row r="329" spans="1:8" ht="19.95" customHeight="1">
      <c r="A329" s="33"/>
      <c r="B329" s="33"/>
      <c r="C329" s="33"/>
      <c r="D329" s="33"/>
      <c r="E329" s="33"/>
      <c r="F329" s="33"/>
      <c r="G329" s="33"/>
      <c r="H329" s="33"/>
    </row>
    <row r="330" spans="1:8" ht="19.95" customHeight="1">
      <c r="A330" s="33"/>
      <c r="B330" s="33"/>
      <c r="C330" s="33"/>
      <c r="D330" s="33"/>
      <c r="E330" s="33"/>
      <c r="F330" s="33"/>
      <c r="G330" s="33"/>
      <c r="H330" s="33"/>
    </row>
    <row r="331" spans="1:8" ht="19.95" customHeight="1">
      <c r="A331" s="33"/>
      <c r="B331" s="33"/>
      <c r="C331" s="33"/>
      <c r="D331" s="33"/>
      <c r="E331" s="33"/>
      <c r="F331" s="33"/>
      <c r="G331" s="33"/>
      <c r="H331" s="33"/>
    </row>
    <row r="332" spans="1:8" ht="19.95" customHeight="1">
      <c r="A332" s="33"/>
      <c r="B332" s="33"/>
      <c r="C332" s="33"/>
      <c r="D332" s="33"/>
      <c r="E332" s="33"/>
      <c r="F332" s="33"/>
      <c r="G332" s="33"/>
      <c r="H332" s="33"/>
    </row>
    <row r="333" spans="1:8" ht="19.95" customHeight="1">
      <c r="A333" s="33"/>
      <c r="B333" s="33"/>
      <c r="C333" s="33"/>
      <c r="D333" s="33"/>
      <c r="E333" s="33"/>
      <c r="F333" s="33"/>
      <c r="G333" s="33"/>
      <c r="H333" s="33"/>
    </row>
    <row r="334" spans="1:8" ht="19.95" customHeight="1">
      <c r="A334" s="33"/>
      <c r="B334" s="33"/>
      <c r="C334" s="33"/>
      <c r="D334" s="33"/>
      <c r="E334" s="33"/>
      <c r="F334" s="33"/>
      <c r="G334" s="33"/>
      <c r="H334" s="33"/>
    </row>
    <row r="335" spans="1:8" ht="19.95" customHeight="1">
      <c r="A335" s="33"/>
      <c r="B335" s="33"/>
      <c r="C335" s="33"/>
      <c r="D335" s="33"/>
      <c r="E335" s="33"/>
      <c r="F335" s="33"/>
      <c r="G335" s="33"/>
      <c r="H335" s="33"/>
    </row>
    <row r="336" spans="1:8" ht="19.95" customHeight="1">
      <c r="A336" s="33"/>
      <c r="B336" s="33"/>
      <c r="C336" s="33"/>
      <c r="D336" s="33"/>
      <c r="E336" s="33"/>
      <c r="F336" s="33"/>
      <c r="G336" s="33"/>
      <c r="H336" s="33"/>
    </row>
    <row r="337" spans="1:8" ht="19.95" customHeight="1">
      <c r="A337" s="33"/>
      <c r="B337" s="33"/>
      <c r="C337" s="33"/>
      <c r="D337" s="33"/>
      <c r="E337" s="33"/>
      <c r="F337" s="33"/>
      <c r="G337" s="33"/>
      <c r="H337" s="33"/>
    </row>
    <row r="338" spans="1:8" ht="19.95" customHeight="1">
      <c r="A338" s="33"/>
      <c r="B338" s="33"/>
      <c r="C338" s="33"/>
      <c r="D338" s="33"/>
      <c r="E338" s="33"/>
      <c r="F338" s="33"/>
      <c r="G338" s="33"/>
      <c r="H338" s="33"/>
    </row>
    <row r="339" spans="1:8" ht="19.95" customHeight="1">
      <c r="A339" s="33"/>
      <c r="B339" s="33"/>
      <c r="C339" s="33"/>
      <c r="D339" s="33"/>
      <c r="E339" s="33"/>
      <c r="F339" s="33"/>
      <c r="G339" s="33"/>
      <c r="H339" s="33"/>
    </row>
    <row r="340" spans="1:8" ht="19.95" customHeight="1">
      <c r="A340" s="33"/>
      <c r="B340" s="33"/>
      <c r="C340" s="33"/>
      <c r="D340" s="33"/>
      <c r="E340" s="33"/>
      <c r="F340" s="33"/>
      <c r="G340" s="33"/>
      <c r="H340" s="33"/>
    </row>
    <row r="341" spans="1:8" ht="19.95" customHeight="1">
      <c r="A341" s="33"/>
      <c r="B341" s="33"/>
      <c r="C341" s="33"/>
      <c r="D341" s="33"/>
      <c r="E341" s="33"/>
      <c r="F341" s="33"/>
      <c r="G341" s="33"/>
      <c r="H341" s="33"/>
    </row>
    <row r="342" spans="1:8" ht="19.95" customHeight="1">
      <c r="A342" s="33"/>
      <c r="B342" s="33"/>
      <c r="C342" s="33"/>
      <c r="D342" s="33"/>
      <c r="E342" s="33"/>
      <c r="F342" s="33"/>
      <c r="G342" s="33"/>
      <c r="H342" s="33"/>
    </row>
    <row r="343" spans="1:8" ht="19.95" customHeight="1">
      <c r="A343" s="33"/>
      <c r="B343" s="33"/>
      <c r="C343" s="33"/>
      <c r="D343" s="33"/>
      <c r="E343" s="33"/>
      <c r="F343" s="33"/>
      <c r="G343" s="33"/>
      <c r="H343" s="33"/>
    </row>
    <row r="344" spans="1:8" ht="19.95" customHeight="1">
      <c r="A344" s="33"/>
      <c r="B344" s="33"/>
      <c r="C344" s="33"/>
      <c r="D344" s="33"/>
      <c r="E344" s="33"/>
      <c r="F344" s="33"/>
      <c r="G344" s="33"/>
      <c r="H344" s="33"/>
    </row>
    <row r="345" spans="1:8" ht="19.95" customHeight="1">
      <c r="A345" s="33"/>
      <c r="B345" s="33"/>
      <c r="C345" s="33"/>
      <c r="D345" s="33"/>
      <c r="E345" s="33"/>
      <c r="F345" s="33"/>
      <c r="G345" s="33"/>
      <c r="H345" s="33"/>
    </row>
    <row r="346" spans="1:8" ht="19.95" customHeight="1">
      <c r="A346" s="33"/>
      <c r="B346" s="33"/>
      <c r="C346" s="33"/>
      <c r="D346" s="33"/>
      <c r="E346" s="33"/>
      <c r="F346" s="33"/>
      <c r="G346" s="33"/>
      <c r="H346" s="33"/>
    </row>
    <row r="347" spans="1:8" ht="19.95" customHeight="1">
      <c r="A347" s="33"/>
      <c r="B347" s="33"/>
      <c r="C347" s="33"/>
      <c r="D347" s="33"/>
      <c r="E347" s="33"/>
      <c r="F347" s="33"/>
      <c r="G347" s="33"/>
      <c r="H347" s="33"/>
    </row>
    <row r="348" spans="1:8" ht="19.95" customHeight="1">
      <c r="A348" s="33"/>
      <c r="B348" s="33"/>
      <c r="C348" s="33"/>
      <c r="D348" s="33"/>
      <c r="E348" s="33"/>
      <c r="F348" s="33"/>
      <c r="G348" s="33"/>
      <c r="H348" s="33"/>
    </row>
    <row r="349" spans="1:8" ht="19.95" customHeight="1">
      <c r="A349" s="33"/>
      <c r="B349" s="33"/>
      <c r="C349" s="33"/>
      <c r="D349" s="33"/>
      <c r="E349" s="33"/>
      <c r="F349" s="33"/>
      <c r="G349" s="33"/>
      <c r="H349" s="33"/>
    </row>
    <row r="350" spans="1:8" ht="19.95" customHeight="1">
      <c r="A350" s="33"/>
      <c r="B350" s="33"/>
      <c r="C350" s="33"/>
      <c r="D350" s="33"/>
      <c r="E350" s="33"/>
      <c r="F350" s="33"/>
      <c r="G350" s="33"/>
      <c r="H350" s="33"/>
    </row>
    <row r="351" spans="1:8" ht="19.95" customHeight="1">
      <c r="A351" s="33"/>
      <c r="B351" s="33"/>
      <c r="C351" s="33"/>
      <c r="D351" s="33"/>
      <c r="E351" s="33"/>
      <c r="F351" s="33"/>
      <c r="G351" s="33"/>
      <c r="H351" s="33"/>
    </row>
    <row r="352" spans="1:8" ht="19.95" customHeight="1">
      <c r="A352" s="33"/>
      <c r="B352" s="33"/>
      <c r="C352" s="33"/>
      <c r="D352" s="33"/>
      <c r="E352" s="33"/>
      <c r="F352" s="33"/>
      <c r="G352" s="33"/>
      <c r="H352" s="33"/>
    </row>
    <row r="353" spans="1:8" ht="19.95" customHeight="1">
      <c r="A353" s="33"/>
      <c r="B353" s="33"/>
      <c r="C353" s="33"/>
      <c r="D353" s="33"/>
      <c r="E353" s="33"/>
      <c r="F353" s="33"/>
      <c r="G353" s="33"/>
      <c r="H353" s="33"/>
    </row>
    <row r="354" spans="1:8" ht="19.95" customHeight="1">
      <c r="A354" s="33"/>
      <c r="B354" s="33"/>
      <c r="C354" s="33"/>
      <c r="D354" s="33"/>
      <c r="E354" s="33"/>
      <c r="F354" s="33"/>
      <c r="G354" s="33"/>
      <c r="H354" s="33"/>
    </row>
    <row r="355" spans="1:8" ht="19.95" customHeight="1">
      <c r="A355" s="33"/>
      <c r="B355" s="33"/>
      <c r="C355" s="33"/>
      <c r="D355" s="33"/>
      <c r="E355" s="33"/>
      <c r="F355" s="33"/>
      <c r="G355" s="33"/>
      <c r="H355" s="33"/>
    </row>
    <row r="356" spans="1:8" ht="19.95" customHeight="1">
      <c r="A356" s="33"/>
      <c r="B356" s="33"/>
      <c r="C356" s="33"/>
      <c r="D356" s="33"/>
      <c r="E356" s="33"/>
      <c r="F356" s="33"/>
      <c r="G356" s="33"/>
      <c r="H356" s="33"/>
    </row>
    <row r="357" spans="1:8" ht="19.95" customHeight="1">
      <c r="A357" s="33"/>
      <c r="B357" s="33"/>
      <c r="C357" s="33"/>
      <c r="D357" s="33"/>
      <c r="E357" s="33"/>
      <c r="F357" s="33"/>
      <c r="G357" s="33"/>
      <c r="H357" s="33"/>
    </row>
    <row r="358" spans="1:8" ht="19.95" customHeight="1">
      <c r="A358" s="33"/>
      <c r="B358" s="33"/>
      <c r="C358" s="33"/>
      <c r="D358" s="33"/>
      <c r="E358" s="33"/>
      <c r="F358" s="33"/>
      <c r="G358" s="33"/>
      <c r="H358" s="33"/>
    </row>
    <row r="359" spans="1:8" ht="19.95" customHeight="1">
      <c r="A359" s="33"/>
      <c r="B359" s="33"/>
      <c r="C359" s="33"/>
      <c r="D359" s="33"/>
      <c r="E359" s="33"/>
      <c r="F359" s="33"/>
      <c r="G359" s="33"/>
      <c r="H359" s="33"/>
    </row>
    <row r="360" spans="1:8" ht="19.95" customHeight="1">
      <c r="A360" s="33"/>
      <c r="B360" s="33"/>
      <c r="C360" s="33"/>
      <c r="D360" s="33"/>
      <c r="E360" s="33"/>
      <c r="F360" s="33"/>
      <c r="G360" s="33"/>
      <c r="H360" s="33"/>
    </row>
    <row r="361" spans="1:8" ht="19.95" customHeight="1">
      <c r="A361" s="33"/>
      <c r="B361" s="33"/>
      <c r="C361" s="33"/>
      <c r="D361" s="33"/>
      <c r="E361" s="33"/>
      <c r="F361" s="33"/>
      <c r="G361" s="33"/>
      <c r="H361" s="33"/>
    </row>
    <row r="362" spans="1:8" ht="19.95" customHeight="1">
      <c r="A362" s="33"/>
      <c r="B362" s="33"/>
      <c r="C362" s="33"/>
      <c r="D362" s="33"/>
      <c r="E362" s="33"/>
      <c r="F362" s="33"/>
      <c r="G362" s="33"/>
      <c r="H362" s="33"/>
    </row>
    <row r="363" spans="1:8" ht="19.95" customHeight="1">
      <c r="A363" s="33"/>
      <c r="B363" s="33"/>
      <c r="C363" s="33"/>
      <c r="D363" s="33"/>
      <c r="E363" s="33"/>
      <c r="F363" s="33"/>
      <c r="G363" s="33"/>
      <c r="H363" s="33"/>
    </row>
    <row r="364" spans="1:8" ht="19.95" customHeight="1">
      <c r="A364" s="33"/>
      <c r="B364" s="33"/>
      <c r="C364" s="33"/>
      <c r="D364" s="33"/>
      <c r="E364" s="33"/>
      <c r="F364" s="33"/>
      <c r="G364" s="33"/>
      <c r="H364" s="33"/>
    </row>
    <row r="365" spans="1:8" ht="19.95" customHeight="1">
      <c r="A365" s="33"/>
      <c r="B365" s="33"/>
      <c r="C365" s="33"/>
      <c r="D365" s="33"/>
      <c r="E365" s="33"/>
      <c r="F365" s="33"/>
      <c r="G365" s="33"/>
      <c r="H365" s="33"/>
    </row>
    <row r="366" spans="1:8" ht="19.95" customHeight="1">
      <c r="A366" s="33"/>
      <c r="B366" s="33"/>
      <c r="C366" s="33"/>
      <c r="D366" s="33"/>
      <c r="E366" s="33"/>
      <c r="F366" s="33"/>
      <c r="G366" s="33"/>
      <c r="H366" s="33"/>
    </row>
    <row r="367" spans="1:8" ht="19.95" customHeight="1">
      <c r="A367" s="33"/>
      <c r="B367" s="33"/>
      <c r="C367" s="33"/>
      <c r="D367" s="33"/>
      <c r="E367" s="33"/>
      <c r="F367" s="33"/>
      <c r="G367" s="33"/>
      <c r="H367" s="33"/>
    </row>
    <row r="368" spans="1:8" ht="19.95" customHeight="1">
      <c r="A368" s="33"/>
      <c r="B368" s="33"/>
      <c r="C368" s="33"/>
      <c r="D368" s="33"/>
      <c r="E368" s="33"/>
      <c r="F368" s="33"/>
      <c r="G368" s="33"/>
      <c r="H368" s="33"/>
    </row>
    <row r="369" spans="1:8" ht="19.95" customHeight="1">
      <c r="A369" s="33"/>
      <c r="B369" s="33"/>
      <c r="C369" s="33"/>
      <c r="D369" s="33"/>
      <c r="E369" s="33"/>
      <c r="F369" s="33"/>
      <c r="G369" s="33"/>
      <c r="H369" s="33"/>
    </row>
    <row r="370" spans="1:8" ht="19.95" customHeight="1">
      <c r="A370" s="33"/>
      <c r="B370" s="33"/>
      <c r="C370" s="33"/>
      <c r="D370" s="33"/>
      <c r="E370" s="33"/>
      <c r="F370" s="33"/>
      <c r="G370" s="33"/>
      <c r="H370" s="33"/>
    </row>
    <row r="371" spans="1:8" ht="19.95" customHeight="1">
      <c r="A371" s="33"/>
      <c r="B371" s="33"/>
      <c r="C371" s="33"/>
      <c r="D371" s="33"/>
      <c r="E371" s="33"/>
      <c r="F371" s="33"/>
      <c r="G371" s="33"/>
      <c r="H371" s="33"/>
    </row>
    <row r="372" spans="1:8" ht="19.95" customHeight="1">
      <c r="A372" s="33"/>
      <c r="B372" s="33"/>
      <c r="C372" s="33"/>
      <c r="D372" s="33"/>
      <c r="E372" s="33"/>
      <c r="F372" s="33"/>
      <c r="G372" s="33"/>
      <c r="H372" s="33"/>
    </row>
    <row r="373" spans="1:8" ht="19.95" customHeight="1">
      <c r="A373" s="33"/>
      <c r="B373" s="33"/>
      <c r="C373" s="33"/>
      <c r="D373" s="33"/>
      <c r="E373" s="33"/>
      <c r="F373" s="33"/>
      <c r="G373" s="33"/>
      <c r="H373" s="33"/>
    </row>
    <row r="374" spans="1:8" ht="19.95" customHeight="1">
      <c r="A374" s="33"/>
      <c r="B374" s="33"/>
      <c r="C374" s="33"/>
      <c r="D374" s="33"/>
      <c r="E374" s="33"/>
      <c r="F374" s="33"/>
      <c r="G374" s="33"/>
      <c r="H374" s="33"/>
    </row>
    <row r="375" spans="1:8" ht="19.95" customHeight="1">
      <c r="A375" s="33"/>
      <c r="B375" s="33"/>
      <c r="C375" s="33"/>
      <c r="D375" s="33"/>
      <c r="E375" s="33"/>
      <c r="F375" s="33"/>
      <c r="G375" s="33"/>
      <c r="H375" s="33"/>
    </row>
    <row r="376" spans="1:8" ht="19.95" customHeight="1">
      <c r="A376" s="33"/>
      <c r="B376" s="33"/>
      <c r="C376" s="33"/>
      <c r="D376" s="33"/>
      <c r="E376" s="33"/>
      <c r="F376" s="33"/>
      <c r="G376" s="33"/>
      <c r="H376" s="33"/>
    </row>
    <row r="377" spans="1:8" ht="19.95" customHeight="1">
      <c r="A377" s="33"/>
      <c r="B377" s="33"/>
      <c r="C377" s="33"/>
      <c r="D377" s="33"/>
      <c r="E377" s="33"/>
      <c r="F377" s="33"/>
      <c r="G377" s="33"/>
      <c r="H377" s="33"/>
    </row>
    <row r="378" spans="1:8" ht="19.95" customHeight="1">
      <c r="A378" s="33"/>
      <c r="B378" s="33"/>
      <c r="C378" s="33"/>
      <c r="D378" s="33"/>
      <c r="E378" s="33"/>
      <c r="F378" s="33"/>
      <c r="G378" s="33"/>
      <c r="H378" s="33"/>
    </row>
    <row r="379" spans="1:8" ht="19.95" customHeight="1">
      <c r="A379" s="33"/>
      <c r="B379" s="33"/>
      <c r="C379" s="33"/>
      <c r="D379" s="33"/>
      <c r="E379" s="33"/>
      <c r="F379" s="33"/>
      <c r="G379" s="33"/>
      <c r="H379" s="33"/>
    </row>
    <row r="380" spans="1:8" ht="19.95" customHeight="1">
      <c r="A380" s="33"/>
      <c r="B380" s="33"/>
      <c r="C380" s="33"/>
      <c r="D380" s="33"/>
      <c r="E380" s="33"/>
      <c r="F380" s="33"/>
      <c r="G380" s="33"/>
      <c r="H380" s="33"/>
    </row>
    <row r="381" spans="1:8" ht="19.95" customHeight="1">
      <c r="A381" s="33"/>
      <c r="B381" s="33"/>
      <c r="C381" s="33"/>
      <c r="D381" s="33"/>
      <c r="E381" s="33"/>
      <c r="F381" s="33"/>
      <c r="G381" s="33"/>
      <c r="H381" s="33"/>
    </row>
    <row r="382" spans="1:8" ht="19.95" customHeight="1">
      <c r="A382" s="33"/>
      <c r="B382" s="33"/>
      <c r="C382" s="33"/>
      <c r="D382" s="33"/>
      <c r="E382" s="33"/>
      <c r="F382" s="33"/>
      <c r="G382" s="33"/>
      <c r="H382" s="33"/>
    </row>
    <row r="383" spans="1:8" ht="19.95" customHeight="1">
      <c r="A383" s="33"/>
      <c r="B383" s="33"/>
      <c r="C383" s="33"/>
      <c r="D383" s="33"/>
      <c r="E383" s="33"/>
      <c r="F383" s="33"/>
      <c r="G383" s="33"/>
      <c r="H383" s="33"/>
    </row>
    <row r="384" spans="1:8" ht="19.95" customHeight="1">
      <c r="A384" s="33"/>
      <c r="B384" s="33"/>
      <c r="C384" s="33"/>
      <c r="D384" s="33"/>
      <c r="E384" s="33"/>
      <c r="F384" s="33"/>
      <c r="G384" s="33"/>
      <c r="H384" s="33"/>
    </row>
    <row r="385" spans="1:8" ht="19.95" customHeight="1">
      <c r="A385" s="33"/>
      <c r="B385" s="33"/>
      <c r="C385" s="33"/>
      <c r="D385" s="33"/>
      <c r="E385" s="33"/>
      <c r="F385" s="33"/>
      <c r="G385" s="33"/>
      <c r="H385" s="33"/>
    </row>
    <row r="386" spans="1:8" ht="19.95" customHeight="1">
      <c r="A386" s="33"/>
      <c r="B386" s="33"/>
      <c r="C386" s="33"/>
      <c r="D386" s="33"/>
      <c r="E386" s="33"/>
      <c r="F386" s="33"/>
      <c r="G386" s="33"/>
      <c r="H386" s="33"/>
    </row>
    <row r="387" spans="1:8" ht="19.95" customHeight="1">
      <c r="A387" s="33"/>
      <c r="B387" s="33"/>
      <c r="C387" s="33"/>
      <c r="D387" s="33"/>
      <c r="E387" s="33"/>
      <c r="F387" s="33"/>
      <c r="G387" s="33"/>
      <c r="H387" s="33"/>
    </row>
    <row r="388" spans="1:8" ht="19.95" customHeight="1">
      <c r="A388" s="33"/>
      <c r="B388" s="33"/>
      <c r="C388" s="33"/>
      <c r="D388" s="33"/>
      <c r="E388" s="33"/>
      <c r="F388" s="33"/>
      <c r="G388" s="33"/>
      <c r="H388" s="33"/>
    </row>
    <row r="389" spans="1:8" ht="19.95" customHeight="1">
      <c r="A389" s="33"/>
      <c r="B389" s="33"/>
      <c r="C389" s="33"/>
      <c r="D389" s="33"/>
      <c r="E389" s="33"/>
      <c r="F389" s="33"/>
      <c r="G389" s="33"/>
      <c r="H389" s="33"/>
    </row>
    <row r="390" spans="1:8" ht="19.95" customHeight="1">
      <c r="A390" s="33"/>
      <c r="B390" s="33"/>
      <c r="C390" s="33"/>
      <c r="D390" s="33"/>
      <c r="E390" s="33"/>
      <c r="F390" s="33"/>
      <c r="G390" s="33"/>
      <c r="H390" s="33"/>
    </row>
    <row r="391" spans="1:8" ht="19.95" customHeight="1">
      <c r="A391" s="33"/>
      <c r="B391" s="33"/>
      <c r="C391" s="33"/>
      <c r="D391" s="33"/>
      <c r="E391" s="33"/>
      <c r="F391" s="33"/>
      <c r="G391" s="33"/>
      <c r="H391" s="33"/>
    </row>
    <row r="392" spans="1:8" ht="19.95" customHeight="1">
      <c r="A392" s="33"/>
      <c r="B392" s="33"/>
      <c r="C392" s="33"/>
      <c r="D392" s="33"/>
      <c r="E392" s="33"/>
      <c r="F392" s="33"/>
      <c r="G392" s="33"/>
      <c r="H392" s="33"/>
    </row>
    <row r="393" spans="1:8" ht="19.95" customHeight="1">
      <c r="A393" s="33"/>
      <c r="B393" s="33"/>
      <c r="C393" s="33"/>
      <c r="D393" s="33"/>
      <c r="E393" s="33"/>
      <c r="F393" s="33"/>
      <c r="G393" s="33"/>
      <c r="H393" s="33"/>
    </row>
    <row r="394" spans="1:8" ht="19.95" customHeight="1">
      <c r="A394" s="33"/>
      <c r="B394" s="33"/>
      <c r="C394" s="33"/>
      <c r="D394" s="33"/>
      <c r="E394" s="33"/>
      <c r="F394" s="33"/>
      <c r="G394" s="33"/>
      <c r="H394" s="33"/>
    </row>
    <row r="395" spans="1:8" ht="19.95" customHeight="1">
      <c r="A395" s="33"/>
      <c r="B395" s="33"/>
      <c r="C395" s="33"/>
      <c r="D395" s="33"/>
      <c r="E395" s="33"/>
      <c r="F395" s="33"/>
      <c r="G395" s="33"/>
      <c r="H395" s="33"/>
    </row>
    <row r="396" spans="1:8" ht="19.95" customHeight="1">
      <c r="A396" s="33"/>
      <c r="B396" s="33"/>
      <c r="C396" s="33"/>
      <c r="D396" s="33"/>
      <c r="E396" s="33"/>
      <c r="F396" s="33"/>
      <c r="G396" s="33"/>
      <c r="H396" s="33"/>
    </row>
    <row r="397" spans="1:8" ht="19.95" customHeight="1">
      <c r="A397" s="33"/>
      <c r="B397" s="33"/>
      <c r="C397" s="33"/>
      <c r="D397" s="33"/>
      <c r="E397" s="33"/>
      <c r="F397" s="33"/>
      <c r="G397" s="33"/>
      <c r="H397" s="33"/>
    </row>
    <row r="398" spans="1:8" ht="19.95" customHeight="1">
      <c r="A398" s="33"/>
      <c r="B398" s="33"/>
      <c r="C398" s="33"/>
      <c r="D398" s="33"/>
      <c r="E398" s="33"/>
      <c r="F398" s="33"/>
      <c r="G398" s="33"/>
      <c r="H398" s="33"/>
    </row>
    <row r="399" spans="1:8" ht="19.95" customHeight="1">
      <c r="A399" s="33"/>
      <c r="B399" s="33"/>
      <c r="C399" s="33"/>
      <c r="D399" s="33"/>
      <c r="E399" s="33"/>
      <c r="F399" s="33"/>
      <c r="G399" s="33"/>
      <c r="H399" s="33"/>
    </row>
    <row r="400" spans="1:8" ht="19.95" customHeight="1">
      <c r="A400" s="33"/>
      <c r="B400" s="33"/>
      <c r="C400" s="33"/>
      <c r="D400" s="33"/>
      <c r="E400" s="33"/>
      <c r="F400" s="33"/>
      <c r="G400" s="33"/>
      <c r="H400" s="33"/>
    </row>
    <row r="401" spans="1:8" ht="19.95" customHeight="1">
      <c r="A401" s="33"/>
      <c r="B401" s="33"/>
      <c r="C401" s="33"/>
      <c r="D401" s="33"/>
      <c r="E401" s="33"/>
      <c r="F401" s="33"/>
      <c r="G401" s="33"/>
      <c r="H401" s="33"/>
    </row>
    <row r="402" spans="1:8" ht="19.95" customHeight="1">
      <c r="A402" s="33"/>
      <c r="B402" s="33"/>
      <c r="C402" s="33"/>
      <c r="D402" s="33"/>
      <c r="E402" s="33"/>
      <c r="F402" s="33"/>
      <c r="G402" s="33"/>
      <c r="H402" s="33"/>
    </row>
    <row r="403" spans="1:8" ht="19.95" customHeight="1">
      <c r="A403" s="33"/>
      <c r="B403" s="33"/>
      <c r="C403" s="33"/>
      <c r="D403" s="33"/>
      <c r="E403" s="33"/>
      <c r="F403" s="33"/>
      <c r="G403" s="33"/>
      <c r="H403" s="33"/>
    </row>
    <row r="404" spans="1:8" ht="19.95" customHeight="1">
      <c r="A404" s="33"/>
      <c r="B404" s="33"/>
      <c r="C404" s="33"/>
      <c r="D404" s="33"/>
      <c r="E404" s="33"/>
      <c r="F404" s="33"/>
      <c r="G404" s="33"/>
      <c r="H404" s="33"/>
    </row>
    <row r="405" spans="1:8" ht="19.95" customHeight="1">
      <c r="A405" s="33"/>
      <c r="B405" s="33"/>
      <c r="C405" s="33"/>
      <c r="D405" s="33"/>
      <c r="E405" s="33"/>
      <c r="F405" s="33"/>
      <c r="G405" s="33"/>
      <c r="H405" s="33"/>
    </row>
    <row r="406" spans="1:8" ht="19.95" customHeight="1">
      <c r="A406" s="33"/>
      <c r="B406" s="33"/>
      <c r="C406" s="33"/>
      <c r="D406" s="33"/>
      <c r="E406" s="33"/>
      <c r="F406" s="33"/>
      <c r="G406" s="33"/>
      <c r="H406" s="33"/>
    </row>
    <row r="407" spans="1:8" ht="19.95" customHeight="1">
      <c r="A407" s="33"/>
      <c r="B407" s="33"/>
      <c r="C407" s="33"/>
      <c r="D407" s="33"/>
      <c r="E407" s="33"/>
      <c r="F407" s="33"/>
      <c r="G407" s="33"/>
      <c r="H407" s="33"/>
    </row>
    <row r="408" spans="1:8" ht="19.95" customHeight="1">
      <c r="A408" s="33"/>
      <c r="B408" s="33"/>
      <c r="C408" s="33"/>
      <c r="D408" s="33"/>
      <c r="E408" s="33"/>
      <c r="F408" s="33"/>
      <c r="G408" s="33"/>
      <c r="H408" s="33"/>
    </row>
    <row r="409" spans="1:8" ht="19.95" customHeight="1">
      <c r="A409" s="33"/>
      <c r="B409" s="33"/>
      <c r="C409" s="33"/>
      <c r="D409" s="33"/>
      <c r="E409" s="33"/>
      <c r="F409" s="33"/>
      <c r="G409" s="33"/>
      <c r="H409" s="33"/>
    </row>
    <row r="410" spans="1:8" ht="19.95" customHeight="1">
      <c r="A410" s="33"/>
      <c r="B410" s="33"/>
      <c r="C410" s="33"/>
      <c r="D410" s="33"/>
      <c r="E410" s="33"/>
      <c r="F410" s="33"/>
      <c r="G410" s="33"/>
      <c r="H410" s="33"/>
    </row>
    <row r="411" spans="1:8" ht="19.95" customHeight="1">
      <c r="A411" s="33"/>
      <c r="B411" s="33"/>
      <c r="C411" s="33"/>
      <c r="D411" s="33"/>
      <c r="E411" s="33"/>
      <c r="F411" s="33"/>
      <c r="G411" s="33"/>
      <c r="H411" s="33"/>
    </row>
    <row r="412" spans="1:8" ht="19.95" customHeight="1">
      <c r="A412" s="33"/>
      <c r="B412" s="33"/>
      <c r="C412" s="33"/>
      <c r="D412" s="33"/>
      <c r="E412" s="33"/>
      <c r="F412" s="33"/>
      <c r="G412" s="33"/>
      <c r="H412" s="33"/>
    </row>
    <row r="413" spans="1:8" ht="19.95" customHeight="1">
      <c r="A413" s="33"/>
      <c r="B413" s="33"/>
      <c r="C413" s="33"/>
      <c r="D413" s="33"/>
      <c r="E413" s="33"/>
      <c r="F413" s="33"/>
      <c r="G413" s="33"/>
      <c r="H413" s="33"/>
    </row>
    <row r="414" spans="1:8" ht="19.95" customHeight="1">
      <c r="A414" s="33"/>
      <c r="B414" s="33"/>
      <c r="C414" s="33"/>
      <c r="D414" s="33"/>
      <c r="E414" s="33"/>
      <c r="F414" s="33"/>
      <c r="G414" s="33"/>
      <c r="H414" s="33"/>
    </row>
    <row r="415" spans="1:8" ht="19.95" customHeight="1">
      <c r="A415" s="33"/>
      <c r="B415" s="33"/>
      <c r="C415" s="33"/>
      <c r="D415" s="33"/>
      <c r="E415" s="33"/>
      <c r="F415" s="33"/>
      <c r="G415" s="33"/>
      <c r="H415" s="33"/>
    </row>
    <row r="416" spans="1:8" ht="19.95" customHeight="1">
      <c r="A416" s="33"/>
      <c r="B416" s="33"/>
      <c r="C416" s="33"/>
      <c r="D416" s="33"/>
      <c r="E416" s="33"/>
      <c r="F416" s="33"/>
      <c r="G416" s="33"/>
      <c r="H416" s="33"/>
    </row>
    <row r="417" spans="1:8" ht="19.95" customHeight="1">
      <c r="A417" s="33"/>
      <c r="B417" s="33"/>
      <c r="C417" s="33"/>
      <c r="D417" s="33"/>
      <c r="E417" s="33"/>
      <c r="F417" s="33"/>
      <c r="G417" s="33"/>
      <c r="H417" s="33"/>
    </row>
    <row r="418" spans="1:8" ht="19.95" customHeight="1">
      <c r="A418" s="33"/>
      <c r="B418" s="33"/>
      <c r="C418" s="33"/>
      <c r="D418" s="33"/>
      <c r="E418" s="33"/>
      <c r="F418" s="33"/>
      <c r="G418" s="33"/>
      <c r="H418" s="33"/>
    </row>
    <row r="419" spans="1:8" ht="19.95" customHeight="1">
      <c r="A419" s="33"/>
      <c r="B419" s="33"/>
      <c r="C419" s="33"/>
      <c r="D419" s="33"/>
      <c r="E419" s="33"/>
      <c r="F419" s="33"/>
      <c r="G419" s="33"/>
      <c r="H419" s="33"/>
    </row>
    <row r="420" spans="1:8" ht="19.95" customHeight="1">
      <c r="A420" s="33"/>
      <c r="B420" s="33"/>
      <c r="C420" s="33"/>
      <c r="D420" s="33"/>
      <c r="E420" s="33"/>
      <c r="F420" s="33"/>
      <c r="G420" s="33"/>
      <c r="H420" s="33"/>
    </row>
    <row r="421" spans="1:8" ht="19.95" customHeight="1">
      <c r="A421" s="33"/>
      <c r="B421" s="33"/>
      <c r="C421" s="33"/>
      <c r="D421" s="33"/>
      <c r="E421" s="33"/>
      <c r="F421" s="33"/>
      <c r="G421" s="33"/>
      <c r="H421" s="33"/>
    </row>
    <row r="422" spans="1:8" ht="19.95" customHeight="1">
      <c r="A422" s="33"/>
      <c r="B422" s="33"/>
      <c r="C422" s="33"/>
      <c r="D422" s="33"/>
      <c r="E422" s="33"/>
      <c r="F422" s="33"/>
      <c r="G422" s="33"/>
      <c r="H422" s="33"/>
    </row>
    <row r="423" spans="1:8" ht="19.95" customHeight="1">
      <c r="A423" s="33"/>
      <c r="B423" s="33"/>
      <c r="C423" s="33"/>
      <c r="D423" s="33"/>
      <c r="E423" s="33"/>
      <c r="F423" s="33"/>
      <c r="G423" s="33"/>
      <c r="H423" s="33"/>
    </row>
    <row r="424" spans="1:8" ht="19.95" customHeight="1">
      <c r="A424" s="33"/>
      <c r="B424" s="33"/>
      <c r="C424" s="33"/>
      <c r="D424" s="33"/>
      <c r="E424" s="33"/>
      <c r="F424" s="33"/>
      <c r="G424" s="33"/>
      <c r="H424" s="33"/>
    </row>
    <row r="425" spans="1:8" ht="19.95" customHeight="1">
      <c r="A425" s="33"/>
      <c r="B425" s="33"/>
      <c r="C425" s="33"/>
      <c r="D425" s="33"/>
      <c r="E425" s="33"/>
      <c r="F425" s="33"/>
      <c r="G425" s="33"/>
      <c r="H425" s="33"/>
    </row>
    <row r="426" spans="1:8" ht="19.95" customHeight="1">
      <c r="A426" s="33"/>
      <c r="B426" s="33"/>
      <c r="C426" s="33"/>
      <c r="D426" s="33"/>
      <c r="E426" s="33"/>
      <c r="F426" s="33"/>
      <c r="G426" s="33"/>
      <c r="H426" s="33"/>
    </row>
    <row r="427" spans="1:8" ht="19.95" customHeight="1">
      <c r="A427" s="33"/>
      <c r="B427" s="33"/>
      <c r="C427" s="33"/>
      <c r="D427" s="33"/>
      <c r="E427" s="33"/>
      <c r="F427" s="33"/>
      <c r="G427" s="33"/>
      <c r="H427" s="33"/>
    </row>
    <row r="428" spans="1:8" ht="19.95" customHeight="1">
      <c r="A428" s="33"/>
      <c r="B428" s="33"/>
      <c r="C428" s="33"/>
      <c r="D428" s="33"/>
      <c r="E428" s="33"/>
      <c r="F428" s="33"/>
      <c r="G428" s="33"/>
      <c r="H428" s="33"/>
    </row>
    <row r="429" spans="1:8" ht="19.95" customHeight="1">
      <c r="A429" s="33"/>
      <c r="B429" s="33"/>
      <c r="C429" s="33"/>
      <c r="D429" s="33"/>
      <c r="E429" s="33"/>
      <c r="F429" s="33"/>
      <c r="G429" s="33"/>
      <c r="H429" s="33"/>
    </row>
    <row r="430" spans="1:8" ht="19.95" customHeight="1">
      <c r="A430" s="33"/>
      <c r="B430" s="33"/>
      <c r="C430" s="33"/>
      <c r="D430" s="33"/>
      <c r="E430" s="33"/>
      <c r="F430" s="33"/>
      <c r="G430" s="33"/>
      <c r="H430" s="33"/>
    </row>
    <row r="431" spans="1:8" ht="19.95" customHeight="1">
      <c r="A431" s="33"/>
      <c r="B431" s="33"/>
      <c r="C431" s="33"/>
      <c r="D431" s="33"/>
      <c r="E431" s="33"/>
      <c r="F431" s="33"/>
      <c r="G431" s="33"/>
      <c r="H431" s="33"/>
    </row>
    <row r="432" spans="1:8" ht="19.95" customHeight="1">
      <c r="A432" s="33"/>
      <c r="B432" s="33"/>
      <c r="C432" s="33"/>
      <c r="D432" s="33"/>
      <c r="E432" s="33"/>
      <c r="F432" s="33"/>
      <c r="G432" s="33"/>
      <c r="H432" s="33"/>
    </row>
    <row r="433" spans="1:8" ht="19.95" customHeight="1">
      <c r="A433" s="33"/>
      <c r="B433" s="33"/>
      <c r="C433" s="33"/>
      <c r="D433" s="33"/>
      <c r="E433" s="33"/>
      <c r="F433" s="33"/>
      <c r="G433" s="33"/>
      <c r="H433" s="33"/>
    </row>
    <row r="434" spans="1:8" ht="19.95" customHeight="1">
      <c r="A434" s="33"/>
      <c r="B434" s="33"/>
      <c r="C434" s="33"/>
      <c r="D434" s="33"/>
      <c r="E434" s="33"/>
      <c r="F434" s="33"/>
      <c r="G434" s="33"/>
      <c r="H434" s="33"/>
    </row>
    <row r="435" spans="1:8" ht="19.95" customHeight="1">
      <c r="A435" s="33"/>
      <c r="B435" s="33"/>
      <c r="C435" s="33"/>
      <c r="D435" s="33"/>
      <c r="E435" s="33"/>
      <c r="F435" s="33"/>
      <c r="G435" s="33"/>
      <c r="H435" s="33"/>
    </row>
    <row r="436" spans="1:8" ht="19.95" customHeight="1">
      <c r="A436" s="33"/>
      <c r="B436" s="33"/>
      <c r="C436" s="33"/>
      <c r="D436" s="33"/>
      <c r="E436" s="33"/>
      <c r="F436" s="33"/>
      <c r="G436" s="33"/>
      <c r="H436" s="33"/>
    </row>
    <row r="437" spans="1:8" ht="19.95" customHeight="1">
      <c r="A437" s="33"/>
      <c r="B437" s="33"/>
      <c r="C437" s="33"/>
      <c r="D437" s="33"/>
      <c r="E437" s="33"/>
      <c r="F437" s="33"/>
      <c r="G437" s="33"/>
      <c r="H437" s="33"/>
    </row>
    <row r="438" spans="1:8" ht="19.95" customHeight="1">
      <c r="A438" s="33"/>
      <c r="B438" s="33"/>
      <c r="C438" s="33"/>
      <c r="D438" s="33"/>
      <c r="E438" s="33"/>
      <c r="F438" s="33"/>
      <c r="G438" s="33"/>
      <c r="H438" s="33"/>
    </row>
    <row r="439" spans="1:8" ht="19.95" customHeight="1">
      <c r="A439" s="33"/>
      <c r="B439" s="33"/>
      <c r="C439" s="33"/>
      <c r="D439" s="33"/>
      <c r="E439" s="33"/>
      <c r="F439" s="33"/>
      <c r="G439" s="33"/>
      <c r="H439" s="33"/>
    </row>
    <row r="440" spans="1:8" ht="19.95" customHeight="1">
      <c r="A440" s="33"/>
      <c r="B440" s="33"/>
      <c r="C440" s="33"/>
      <c r="D440" s="33"/>
      <c r="E440" s="33"/>
      <c r="F440" s="33"/>
      <c r="G440" s="33"/>
      <c r="H440" s="33"/>
    </row>
    <row r="441" spans="1:8" ht="19.95" customHeight="1">
      <c r="A441" s="33"/>
      <c r="B441" s="33"/>
      <c r="C441" s="33"/>
      <c r="D441" s="33"/>
      <c r="E441" s="33"/>
      <c r="F441" s="33"/>
      <c r="G441" s="33"/>
      <c r="H441" s="33"/>
    </row>
    <row r="442" spans="1:8" ht="19.95" customHeight="1">
      <c r="A442" s="33"/>
      <c r="B442" s="33"/>
      <c r="C442" s="33"/>
      <c r="D442" s="33"/>
      <c r="E442" s="33"/>
      <c r="F442" s="33"/>
      <c r="G442" s="33"/>
      <c r="H442" s="33"/>
    </row>
    <row r="443" spans="1:8" ht="19.95" customHeight="1">
      <c r="A443" s="33"/>
      <c r="B443" s="33"/>
      <c r="C443" s="33"/>
      <c r="D443" s="33"/>
      <c r="E443" s="33"/>
      <c r="F443" s="33"/>
      <c r="G443" s="33"/>
      <c r="H443" s="33"/>
    </row>
    <row r="444" spans="1:8" ht="19.95" customHeight="1">
      <c r="A444" s="33"/>
      <c r="B444" s="33"/>
      <c r="C444" s="33"/>
      <c r="D444" s="33"/>
      <c r="E444" s="33"/>
      <c r="F444" s="33"/>
      <c r="G444" s="33"/>
      <c r="H444" s="33"/>
    </row>
    <row r="445" spans="1:8" ht="19.95" customHeight="1">
      <c r="A445" s="33"/>
      <c r="B445" s="33"/>
      <c r="C445" s="33"/>
      <c r="D445" s="33"/>
      <c r="E445" s="33"/>
      <c r="F445" s="33"/>
      <c r="G445" s="33"/>
      <c r="H445" s="33"/>
    </row>
    <row r="446" spans="1:8" ht="19.95" customHeight="1">
      <c r="A446" s="33"/>
      <c r="B446" s="33"/>
      <c r="C446" s="33"/>
      <c r="D446" s="33"/>
      <c r="E446" s="33"/>
      <c r="F446" s="33"/>
      <c r="G446" s="33"/>
      <c r="H446" s="33"/>
    </row>
    <row r="447" spans="1:8" ht="19.95" customHeight="1">
      <c r="A447" s="33"/>
      <c r="B447" s="33"/>
      <c r="C447" s="33"/>
      <c r="D447" s="33"/>
      <c r="E447" s="33"/>
      <c r="F447" s="33"/>
      <c r="G447" s="33"/>
      <c r="H447" s="33"/>
    </row>
    <row r="448" spans="1:8" ht="19.95" customHeight="1">
      <c r="A448" s="33"/>
      <c r="B448" s="33"/>
      <c r="C448" s="33"/>
      <c r="D448" s="33"/>
      <c r="E448" s="33"/>
      <c r="F448" s="33"/>
      <c r="G448" s="33"/>
      <c r="H448" s="33"/>
    </row>
    <row r="449" spans="1:8" ht="19.95" customHeight="1">
      <c r="A449" s="33"/>
      <c r="B449" s="33"/>
      <c r="C449" s="33"/>
      <c r="D449" s="33"/>
      <c r="E449" s="33"/>
      <c r="F449" s="33"/>
      <c r="G449" s="33"/>
      <c r="H449" s="33"/>
    </row>
    <row r="450" spans="1:8" ht="19.95" customHeight="1">
      <c r="A450" s="33"/>
      <c r="B450" s="33"/>
      <c r="C450" s="33"/>
      <c r="D450" s="33"/>
      <c r="E450" s="33"/>
      <c r="F450" s="33"/>
      <c r="G450" s="33"/>
      <c r="H450" s="33"/>
    </row>
    <row r="451" spans="1:8" ht="19.95" customHeight="1">
      <c r="A451" s="33"/>
      <c r="B451" s="33"/>
      <c r="C451" s="33"/>
      <c r="D451" s="33"/>
      <c r="E451" s="33"/>
      <c r="F451" s="33"/>
      <c r="G451" s="33"/>
      <c r="H451" s="33"/>
    </row>
    <row r="452" spans="1:8" ht="19.95" customHeight="1">
      <c r="A452" s="33"/>
      <c r="B452" s="33"/>
      <c r="C452" s="33"/>
      <c r="D452" s="33"/>
      <c r="E452" s="33"/>
      <c r="F452" s="33"/>
      <c r="G452" s="33"/>
      <c r="H452" s="33"/>
    </row>
    <row r="453" spans="1:8" ht="19.95" customHeight="1">
      <c r="A453" s="33"/>
      <c r="B453" s="33"/>
      <c r="C453" s="33"/>
      <c r="D453" s="33"/>
      <c r="E453" s="33"/>
      <c r="F453" s="33"/>
      <c r="G453" s="33"/>
      <c r="H453" s="33"/>
    </row>
    <row r="454" spans="1:8" ht="19.95" customHeight="1">
      <c r="A454" s="33"/>
      <c r="B454" s="33"/>
      <c r="C454" s="33"/>
      <c r="D454" s="33"/>
      <c r="E454" s="33"/>
      <c r="F454" s="33"/>
      <c r="G454" s="33"/>
      <c r="H454" s="33"/>
    </row>
    <row r="455" spans="1:8" ht="19.95" customHeight="1">
      <c r="A455" s="33"/>
      <c r="B455" s="33"/>
      <c r="C455" s="33"/>
      <c r="D455" s="33"/>
      <c r="E455" s="33"/>
      <c r="F455" s="33"/>
      <c r="G455" s="33"/>
      <c r="H455" s="33"/>
    </row>
    <row r="456" spans="1:8" ht="19.95" customHeight="1">
      <c r="A456" s="33"/>
      <c r="B456" s="33"/>
      <c r="C456" s="33"/>
      <c r="D456" s="33"/>
      <c r="E456" s="33"/>
      <c r="F456" s="33"/>
      <c r="G456" s="33"/>
      <c r="H456" s="33"/>
    </row>
    <row r="457" spans="1:8" ht="19.95" customHeight="1">
      <c r="A457" s="33"/>
      <c r="B457" s="33"/>
      <c r="C457" s="33"/>
      <c r="D457" s="33"/>
      <c r="E457" s="33"/>
      <c r="F457" s="33"/>
      <c r="G457" s="33"/>
      <c r="H457" s="33"/>
    </row>
    <row r="458" spans="1:8" ht="19.95" customHeight="1">
      <c r="A458" s="33"/>
      <c r="B458" s="33"/>
      <c r="C458" s="33"/>
      <c r="D458" s="33"/>
      <c r="E458" s="33"/>
      <c r="F458" s="33"/>
      <c r="G458" s="33"/>
      <c r="H458" s="33"/>
    </row>
    <row r="459" spans="1:8" ht="19.95" customHeight="1">
      <c r="A459" s="33"/>
      <c r="B459" s="33"/>
      <c r="C459" s="33"/>
      <c r="D459" s="33"/>
      <c r="E459" s="33"/>
      <c r="F459" s="33"/>
      <c r="G459" s="33"/>
      <c r="H459" s="33"/>
    </row>
    <row r="460" spans="1:8" ht="19.95" customHeight="1">
      <c r="A460" s="33"/>
      <c r="B460" s="33"/>
      <c r="C460" s="33"/>
      <c r="D460" s="33"/>
      <c r="E460" s="33"/>
      <c r="F460" s="33"/>
      <c r="G460" s="33"/>
      <c r="H460" s="33"/>
    </row>
    <row r="461" spans="1:8" ht="19.95" customHeight="1">
      <c r="A461" s="33"/>
      <c r="B461" s="33"/>
      <c r="C461" s="33"/>
      <c r="D461" s="33"/>
      <c r="E461" s="33"/>
      <c r="F461" s="33"/>
      <c r="G461" s="33"/>
      <c r="H461" s="33"/>
    </row>
    <row r="462" spans="1:8" ht="19.95" customHeight="1">
      <c r="A462" s="33"/>
      <c r="B462" s="33"/>
      <c r="C462" s="33"/>
      <c r="D462" s="33"/>
      <c r="E462" s="33"/>
      <c r="F462" s="33"/>
      <c r="G462" s="33"/>
      <c r="H462" s="33"/>
    </row>
    <row r="463" spans="1:8" ht="19.95" customHeight="1">
      <c r="A463" s="33"/>
      <c r="B463" s="33"/>
      <c r="C463" s="33"/>
      <c r="D463" s="33"/>
      <c r="E463" s="33"/>
      <c r="F463" s="33"/>
      <c r="G463" s="33"/>
      <c r="H463" s="33"/>
    </row>
    <row r="464" spans="1:8" ht="19.95" customHeight="1">
      <c r="A464" s="33"/>
      <c r="B464" s="33"/>
      <c r="C464" s="33"/>
      <c r="D464" s="33"/>
      <c r="E464" s="33"/>
      <c r="F464" s="33"/>
      <c r="G464" s="33"/>
      <c r="H464" s="33"/>
    </row>
    <row r="465" spans="1:8" ht="19.95" customHeight="1">
      <c r="A465" s="33"/>
      <c r="B465" s="33"/>
      <c r="C465" s="33"/>
      <c r="D465" s="33"/>
      <c r="E465" s="33"/>
      <c r="F465" s="33"/>
      <c r="G465" s="33"/>
      <c r="H465" s="33"/>
    </row>
    <row r="466" spans="1:8" ht="19.95" customHeight="1">
      <c r="A466" s="33"/>
      <c r="B466" s="33"/>
      <c r="C466" s="33"/>
      <c r="D466" s="33"/>
      <c r="E466" s="33"/>
      <c r="F466" s="33"/>
      <c r="G466" s="33"/>
      <c r="H466" s="33"/>
    </row>
    <row r="467" spans="1:8" ht="19.95" customHeight="1">
      <c r="A467" s="33"/>
      <c r="B467" s="33"/>
      <c r="C467" s="33"/>
      <c r="D467" s="33"/>
      <c r="E467" s="33"/>
      <c r="F467" s="33"/>
      <c r="G467" s="33"/>
      <c r="H467" s="33"/>
    </row>
    <row r="468" spans="1:8" ht="19.95" customHeight="1">
      <c r="A468" s="33"/>
      <c r="B468" s="33"/>
      <c r="C468" s="33"/>
      <c r="D468" s="33"/>
      <c r="E468" s="33"/>
      <c r="F468" s="33"/>
      <c r="G468" s="33"/>
      <c r="H468" s="33"/>
    </row>
    <row r="469" spans="1:8" ht="19.95" customHeight="1">
      <c r="A469" s="33"/>
      <c r="B469" s="33"/>
      <c r="C469" s="33"/>
      <c r="D469" s="33"/>
      <c r="E469" s="33"/>
      <c r="F469" s="33"/>
      <c r="G469" s="33"/>
      <c r="H469" s="33"/>
    </row>
    <row r="470" spans="1:8" ht="19.95" customHeight="1">
      <c r="A470" s="33"/>
      <c r="B470" s="33"/>
      <c r="C470" s="33"/>
      <c r="D470" s="33"/>
      <c r="E470" s="33"/>
      <c r="F470" s="33"/>
      <c r="G470" s="33"/>
      <c r="H470" s="33"/>
    </row>
    <row r="471" spans="1:8" ht="19.95" customHeight="1">
      <c r="A471" s="33"/>
      <c r="B471" s="33"/>
      <c r="C471" s="33"/>
      <c r="D471" s="33"/>
      <c r="E471" s="33"/>
      <c r="F471" s="33"/>
      <c r="G471" s="33"/>
      <c r="H471" s="33"/>
    </row>
    <row r="472" spans="1:8" ht="19.95" customHeight="1">
      <c r="A472" s="33"/>
      <c r="B472" s="33"/>
      <c r="C472" s="33"/>
      <c r="D472" s="33"/>
      <c r="E472" s="33"/>
      <c r="F472" s="33"/>
      <c r="G472" s="33"/>
      <c r="H472" s="33"/>
    </row>
    <row r="473" spans="1:8" ht="19.95" customHeight="1">
      <c r="A473" s="33"/>
      <c r="B473" s="33"/>
      <c r="C473" s="33"/>
      <c r="D473" s="33"/>
      <c r="E473" s="33"/>
      <c r="F473" s="33"/>
      <c r="G473" s="33"/>
      <c r="H473" s="33"/>
    </row>
    <row r="474" spans="1:8" ht="19.95" customHeight="1">
      <c r="A474" s="33"/>
      <c r="B474" s="33"/>
      <c r="C474" s="33"/>
      <c r="D474" s="33"/>
      <c r="E474" s="33"/>
      <c r="F474" s="33"/>
      <c r="G474" s="33"/>
      <c r="H474" s="33"/>
    </row>
    <row r="475" spans="1:8" ht="19.95" customHeight="1">
      <c r="A475" s="33"/>
      <c r="B475" s="33"/>
      <c r="C475" s="33"/>
      <c r="D475" s="33"/>
      <c r="E475" s="33"/>
      <c r="F475" s="33"/>
      <c r="G475" s="33"/>
      <c r="H475" s="33"/>
    </row>
    <row r="476" spans="1:8" ht="19.95" customHeight="1">
      <c r="A476" s="33"/>
      <c r="B476" s="33"/>
      <c r="C476" s="33"/>
      <c r="D476" s="33"/>
      <c r="E476" s="33"/>
      <c r="F476" s="33"/>
      <c r="G476" s="33"/>
      <c r="H476" s="33"/>
    </row>
    <row r="477" spans="1:8" ht="19.95" customHeight="1">
      <c r="A477" s="33"/>
      <c r="B477" s="33"/>
      <c r="C477" s="33"/>
      <c r="D477" s="33"/>
      <c r="E477" s="33"/>
      <c r="F477" s="33"/>
      <c r="G477" s="33"/>
      <c r="H477" s="33"/>
    </row>
    <row r="478" spans="1:8" ht="19.95" customHeight="1">
      <c r="A478" s="33"/>
      <c r="B478" s="33"/>
      <c r="C478" s="33"/>
      <c r="D478" s="33"/>
      <c r="E478" s="33"/>
      <c r="F478" s="33"/>
      <c r="G478" s="33"/>
      <c r="H478" s="33"/>
    </row>
    <row r="479" spans="1:8" ht="19.95" customHeight="1">
      <c r="A479" s="33"/>
      <c r="B479" s="33"/>
      <c r="C479" s="33"/>
      <c r="D479" s="33"/>
      <c r="E479" s="33"/>
      <c r="F479" s="33"/>
      <c r="G479" s="33"/>
      <c r="H479" s="33"/>
    </row>
    <row r="480" spans="1:8" ht="19.95" customHeight="1">
      <c r="A480" s="33"/>
      <c r="B480" s="33"/>
      <c r="C480" s="33"/>
      <c r="D480" s="33"/>
      <c r="E480" s="33"/>
      <c r="F480" s="33"/>
      <c r="G480" s="33"/>
      <c r="H480" s="33"/>
    </row>
    <row r="481" spans="1:8" ht="19.95" customHeight="1">
      <c r="A481" s="33"/>
      <c r="B481" s="33"/>
      <c r="C481" s="33"/>
      <c r="D481" s="33"/>
      <c r="E481" s="33"/>
      <c r="F481" s="33"/>
      <c r="G481" s="33"/>
      <c r="H481" s="33"/>
    </row>
    <row r="482" spans="1:8" ht="19.95" customHeight="1">
      <c r="A482" s="33"/>
      <c r="B482" s="33"/>
      <c r="C482" s="33"/>
      <c r="D482" s="33"/>
      <c r="E482" s="33"/>
      <c r="F482" s="33"/>
      <c r="G482" s="33"/>
      <c r="H482" s="33"/>
    </row>
    <row r="483" spans="1:8" ht="19.95" customHeight="1">
      <c r="A483" s="33"/>
      <c r="B483" s="33"/>
      <c r="C483" s="33"/>
      <c r="D483" s="33"/>
      <c r="E483" s="33"/>
      <c r="F483" s="33"/>
      <c r="G483" s="33"/>
      <c r="H483" s="33"/>
    </row>
    <row r="484" spans="1:8" ht="19.95" customHeight="1">
      <c r="A484" s="33"/>
      <c r="B484" s="33"/>
      <c r="C484" s="33"/>
      <c r="D484" s="33"/>
      <c r="E484" s="33"/>
      <c r="F484" s="33"/>
      <c r="G484" s="33"/>
      <c r="H484" s="33"/>
    </row>
    <row r="485" spans="1:8" ht="19.95" customHeight="1">
      <c r="A485" s="33"/>
      <c r="B485" s="33"/>
      <c r="C485" s="33"/>
      <c r="D485" s="33"/>
      <c r="E485" s="33"/>
      <c r="F485" s="33"/>
      <c r="G485" s="33"/>
      <c r="H485" s="33"/>
    </row>
    <row r="486" spans="1:8" ht="19.95" customHeight="1">
      <c r="A486" s="33"/>
      <c r="B486" s="33"/>
      <c r="C486" s="33"/>
      <c r="D486" s="33"/>
      <c r="E486" s="33"/>
      <c r="F486" s="33"/>
      <c r="G486" s="33"/>
      <c r="H486" s="33"/>
    </row>
    <row r="487" spans="1:8" ht="19.95" customHeight="1">
      <c r="A487" s="33"/>
      <c r="B487" s="33"/>
      <c r="C487" s="33"/>
      <c r="D487" s="33"/>
      <c r="E487" s="33"/>
      <c r="F487" s="33"/>
      <c r="G487" s="33"/>
      <c r="H487" s="33"/>
    </row>
    <row r="488" spans="1:8" ht="19.95" customHeight="1">
      <c r="A488" s="33"/>
      <c r="B488" s="33"/>
      <c r="C488" s="33"/>
      <c r="D488" s="33"/>
      <c r="E488" s="33"/>
      <c r="F488" s="33"/>
      <c r="G488" s="33"/>
      <c r="H488" s="33"/>
    </row>
    <row r="489" spans="1:8" ht="19.95" customHeight="1">
      <c r="A489" s="33"/>
      <c r="B489" s="33"/>
      <c r="C489" s="33"/>
      <c r="D489" s="33"/>
      <c r="E489" s="33"/>
      <c r="F489" s="33"/>
      <c r="G489" s="33"/>
      <c r="H489" s="33"/>
    </row>
    <row r="490" spans="1:8" ht="19.95" customHeight="1">
      <c r="A490" s="33"/>
      <c r="B490" s="33"/>
      <c r="C490" s="33"/>
      <c r="D490" s="33"/>
      <c r="E490" s="33"/>
      <c r="F490" s="33"/>
      <c r="G490" s="33"/>
      <c r="H490" s="33"/>
    </row>
    <row r="491" spans="1:8" ht="19.95" customHeight="1">
      <c r="A491" s="33"/>
      <c r="B491" s="33"/>
      <c r="C491" s="33"/>
      <c r="D491" s="33"/>
      <c r="E491" s="33"/>
      <c r="F491" s="33"/>
      <c r="G491" s="33"/>
      <c r="H491" s="33"/>
    </row>
    <row r="492" spans="1:8" ht="19.95" customHeight="1">
      <c r="A492" s="33"/>
      <c r="B492" s="33"/>
      <c r="C492" s="33"/>
      <c r="D492" s="33"/>
      <c r="E492" s="33"/>
      <c r="F492" s="33"/>
      <c r="G492" s="33"/>
      <c r="H492" s="33"/>
    </row>
    <row r="493" spans="1:8" ht="19.95" customHeight="1">
      <c r="A493" s="33"/>
      <c r="B493" s="33"/>
      <c r="C493" s="33"/>
      <c r="D493" s="33"/>
      <c r="E493" s="33"/>
      <c r="F493" s="33"/>
      <c r="G493" s="33"/>
      <c r="H493" s="33"/>
    </row>
    <row r="494" spans="1:8" ht="19.95" customHeight="1">
      <c r="A494" s="33"/>
      <c r="B494" s="33"/>
      <c r="C494" s="33"/>
      <c r="D494" s="33"/>
      <c r="E494" s="33"/>
      <c r="F494" s="33"/>
      <c r="G494" s="33"/>
      <c r="H494" s="33"/>
    </row>
    <row r="495" spans="1:8" ht="19.95" customHeight="1">
      <c r="A495" s="33"/>
      <c r="B495" s="33"/>
      <c r="C495" s="33"/>
      <c r="D495" s="33"/>
      <c r="E495" s="33"/>
      <c r="F495" s="33"/>
      <c r="G495" s="33"/>
      <c r="H495" s="33"/>
    </row>
    <row r="496" spans="1:8" ht="19.95" customHeight="1">
      <c r="A496" s="33"/>
      <c r="B496" s="33"/>
      <c r="C496" s="33"/>
      <c r="D496" s="33"/>
      <c r="E496" s="33"/>
      <c r="F496" s="33"/>
      <c r="G496" s="33"/>
      <c r="H496" s="33"/>
    </row>
    <row r="497" spans="1:8" ht="19.95" customHeight="1">
      <c r="A497" s="33"/>
      <c r="B497" s="33"/>
      <c r="C497" s="33"/>
      <c r="D497" s="33"/>
      <c r="E497" s="33"/>
      <c r="F497" s="33"/>
      <c r="G497" s="33"/>
      <c r="H497" s="33"/>
    </row>
    <row r="498" spans="1:8" ht="19.95" customHeight="1">
      <c r="A498" s="33"/>
      <c r="B498" s="33"/>
      <c r="C498" s="33"/>
      <c r="D498" s="33"/>
      <c r="E498" s="33"/>
      <c r="F498" s="33"/>
      <c r="G498" s="33"/>
      <c r="H498" s="33"/>
    </row>
    <row r="499" spans="1:8" ht="19.95" customHeight="1">
      <c r="A499" s="33"/>
      <c r="B499" s="33"/>
      <c r="C499" s="33"/>
      <c r="D499" s="33"/>
      <c r="E499" s="33"/>
      <c r="F499" s="33"/>
      <c r="G499" s="33"/>
      <c r="H499" s="33"/>
    </row>
    <row r="500" spans="1:8" ht="19.95" customHeight="1">
      <c r="A500" s="33"/>
      <c r="B500" s="33"/>
      <c r="C500" s="33"/>
      <c r="D500" s="33"/>
      <c r="E500" s="33"/>
      <c r="F500" s="33"/>
      <c r="G500" s="33"/>
      <c r="H500" s="33"/>
    </row>
    <row r="501" spans="1:8" ht="19.95" customHeight="1">
      <c r="A501" s="33"/>
      <c r="B501" s="33"/>
      <c r="C501" s="33"/>
      <c r="D501" s="33"/>
      <c r="E501" s="33"/>
      <c r="F501" s="33"/>
      <c r="G501" s="33"/>
      <c r="H501" s="33"/>
    </row>
    <row r="502" spans="1:8" ht="19.95" customHeight="1">
      <c r="A502" s="33"/>
      <c r="B502" s="33"/>
      <c r="C502" s="33"/>
      <c r="D502" s="33"/>
      <c r="E502" s="33"/>
      <c r="F502" s="33"/>
      <c r="G502" s="33"/>
      <c r="H502" s="33"/>
    </row>
    <row r="503" spans="1:8" ht="19.95" customHeight="1">
      <c r="A503" s="33"/>
      <c r="B503" s="33"/>
      <c r="C503" s="33"/>
      <c r="D503" s="33"/>
      <c r="E503" s="33"/>
      <c r="F503" s="33"/>
      <c r="G503" s="33"/>
      <c r="H503" s="33"/>
    </row>
    <row r="504" spans="1:8" ht="19.95" customHeight="1">
      <c r="A504" s="33"/>
      <c r="B504" s="33"/>
      <c r="C504" s="33"/>
      <c r="D504" s="33"/>
      <c r="E504" s="33"/>
      <c r="F504" s="33"/>
      <c r="G504" s="33"/>
      <c r="H504" s="33"/>
    </row>
    <row r="505" spans="1:8" ht="19.95" customHeight="1">
      <c r="A505" s="33"/>
      <c r="B505" s="33"/>
      <c r="C505" s="33"/>
      <c r="D505" s="33"/>
      <c r="E505" s="33"/>
      <c r="F505" s="33"/>
      <c r="G505" s="33"/>
      <c r="H505" s="33"/>
    </row>
    <row r="506" spans="1:8" ht="19.95" customHeight="1">
      <c r="A506" s="33"/>
      <c r="B506" s="33"/>
      <c r="C506" s="33"/>
      <c r="D506" s="33"/>
      <c r="E506" s="33"/>
      <c r="F506" s="33"/>
      <c r="G506" s="33"/>
      <c r="H506" s="33"/>
    </row>
    <row r="507" spans="1:8" ht="19.95" customHeight="1">
      <c r="A507" s="33"/>
      <c r="B507" s="33"/>
      <c r="C507" s="33"/>
      <c r="D507" s="33"/>
      <c r="E507" s="33"/>
      <c r="F507" s="33"/>
      <c r="G507" s="33"/>
      <c r="H507" s="33"/>
    </row>
    <row r="508" spans="1:8" ht="19.95" customHeight="1">
      <c r="A508" s="33"/>
      <c r="B508" s="33"/>
      <c r="C508" s="33"/>
      <c r="D508" s="33"/>
      <c r="E508" s="33"/>
      <c r="F508" s="33"/>
      <c r="G508" s="33"/>
      <c r="H508" s="33"/>
    </row>
    <row r="509" spans="1:8" ht="19.95" customHeight="1">
      <c r="A509" s="33"/>
      <c r="B509" s="33"/>
      <c r="C509" s="33"/>
      <c r="D509" s="33"/>
      <c r="E509" s="33"/>
      <c r="F509" s="33"/>
      <c r="G509" s="33"/>
      <c r="H509" s="33"/>
    </row>
    <row r="510" spans="1:8" ht="19.95" customHeight="1">
      <c r="A510" s="33"/>
      <c r="B510" s="33"/>
      <c r="C510" s="33"/>
      <c r="D510" s="33"/>
      <c r="E510" s="33"/>
      <c r="F510" s="33"/>
      <c r="G510" s="33"/>
      <c r="H510" s="33"/>
    </row>
    <row r="511" spans="1:8" ht="19.95" customHeight="1">
      <c r="A511" s="33"/>
      <c r="B511" s="33"/>
      <c r="C511" s="33"/>
      <c r="D511" s="33"/>
      <c r="E511" s="33"/>
      <c r="F511" s="33"/>
      <c r="G511" s="33"/>
      <c r="H511" s="33"/>
    </row>
    <row r="512" spans="1:8" ht="19.95" customHeight="1">
      <c r="A512" s="33"/>
      <c r="B512" s="33"/>
      <c r="C512" s="33"/>
      <c r="D512" s="33"/>
      <c r="E512" s="33"/>
      <c r="F512" s="33"/>
      <c r="G512" s="33"/>
      <c r="H512" s="33"/>
    </row>
    <row r="513" spans="1:8" ht="19.95" customHeight="1">
      <c r="A513" s="33"/>
      <c r="B513" s="33"/>
      <c r="C513" s="33"/>
      <c r="D513" s="33"/>
      <c r="E513" s="33"/>
      <c r="F513" s="33"/>
      <c r="G513" s="33"/>
      <c r="H513" s="33"/>
    </row>
    <row r="514" spans="1:8" ht="19.95" customHeight="1">
      <c r="A514" s="33"/>
      <c r="B514" s="33"/>
      <c r="C514" s="33"/>
      <c r="D514" s="33"/>
      <c r="E514" s="33"/>
      <c r="F514" s="33"/>
      <c r="G514" s="33"/>
      <c r="H514" s="33"/>
    </row>
    <row r="515" spans="1:8" ht="19.95" customHeight="1">
      <c r="A515" s="33"/>
      <c r="B515" s="33"/>
      <c r="C515" s="33"/>
      <c r="D515" s="33"/>
      <c r="E515" s="33"/>
      <c r="F515" s="33"/>
      <c r="G515" s="33"/>
      <c r="H515" s="33"/>
    </row>
    <row r="516" spans="1:8" ht="19.95" customHeight="1">
      <c r="A516" s="33"/>
      <c r="B516" s="33"/>
      <c r="C516" s="33"/>
      <c r="D516" s="33"/>
      <c r="E516" s="33"/>
      <c r="F516" s="33"/>
      <c r="G516" s="33"/>
      <c r="H516" s="33"/>
    </row>
    <row r="517" spans="1:8" ht="19.95" customHeight="1">
      <c r="A517" s="33"/>
      <c r="B517" s="33"/>
      <c r="C517" s="33"/>
      <c r="D517" s="33"/>
      <c r="E517" s="33"/>
      <c r="F517" s="33"/>
      <c r="G517" s="33"/>
      <c r="H517" s="33"/>
    </row>
    <row r="518" spans="1:8" ht="19.95" customHeight="1">
      <c r="A518" s="33"/>
      <c r="B518" s="33"/>
      <c r="C518" s="33"/>
      <c r="D518" s="33"/>
      <c r="E518" s="33"/>
      <c r="F518" s="33"/>
      <c r="G518" s="33"/>
      <c r="H518" s="33"/>
    </row>
    <row r="519" spans="1:8" ht="19.95" customHeight="1">
      <c r="A519" s="33"/>
      <c r="B519" s="33"/>
      <c r="C519" s="33"/>
      <c r="D519" s="33"/>
      <c r="E519" s="33"/>
      <c r="F519" s="33"/>
      <c r="G519" s="33"/>
      <c r="H519" s="33"/>
    </row>
    <row r="520" spans="1:8" ht="19.95" customHeight="1">
      <c r="A520" s="33"/>
      <c r="B520" s="33"/>
      <c r="C520" s="33"/>
      <c r="D520" s="33"/>
      <c r="E520" s="33"/>
      <c r="F520" s="33"/>
      <c r="G520" s="33"/>
      <c r="H520" s="33"/>
    </row>
    <row r="521" spans="1:8" ht="19.95" customHeight="1">
      <c r="A521" s="33"/>
      <c r="B521" s="33"/>
      <c r="C521" s="33"/>
      <c r="D521" s="33"/>
      <c r="E521" s="33"/>
      <c r="F521" s="33"/>
      <c r="G521" s="33"/>
      <c r="H521" s="33"/>
    </row>
    <row r="522" spans="1:8" ht="19.95" customHeight="1">
      <c r="A522" s="33"/>
      <c r="B522" s="33"/>
      <c r="C522" s="33"/>
      <c r="D522" s="33"/>
      <c r="E522" s="33"/>
      <c r="F522" s="33"/>
      <c r="G522" s="33"/>
      <c r="H522" s="33"/>
    </row>
    <row r="523" spans="1:8" ht="19.95" customHeight="1">
      <c r="A523" s="33"/>
      <c r="B523" s="33"/>
      <c r="C523" s="33"/>
      <c r="D523" s="33"/>
      <c r="E523" s="33"/>
      <c r="F523" s="33"/>
      <c r="G523" s="33"/>
      <c r="H523" s="33"/>
    </row>
    <row r="524" spans="1:8" ht="19.95" customHeight="1">
      <c r="A524" s="33"/>
      <c r="B524" s="33"/>
      <c r="C524" s="33"/>
      <c r="D524" s="33"/>
      <c r="E524" s="33"/>
      <c r="F524" s="33"/>
      <c r="G524" s="33"/>
      <c r="H524" s="33"/>
    </row>
    <row r="525" spans="1:8" ht="19.95" customHeight="1">
      <c r="A525" s="33"/>
      <c r="B525" s="33"/>
      <c r="C525" s="33"/>
      <c r="D525" s="33"/>
      <c r="E525" s="33"/>
      <c r="F525" s="33"/>
      <c r="G525" s="33"/>
      <c r="H525" s="33"/>
    </row>
    <row r="526" spans="1:8" ht="19.95" customHeight="1">
      <c r="A526" s="33"/>
      <c r="B526" s="33"/>
      <c r="C526" s="33"/>
      <c r="D526" s="33"/>
      <c r="E526" s="33"/>
      <c r="F526" s="33"/>
      <c r="G526" s="33"/>
      <c r="H526" s="33"/>
    </row>
    <row r="527" spans="1:8" ht="19.95" customHeight="1">
      <c r="A527" s="33"/>
      <c r="B527" s="33"/>
      <c r="C527" s="33"/>
      <c r="D527" s="33"/>
      <c r="E527" s="33"/>
      <c r="F527" s="33"/>
      <c r="G527" s="33"/>
      <c r="H527" s="33"/>
    </row>
    <row r="528" spans="1:8" ht="19.95" customHeight="1">
      <c r="A528" s="33"/>
      <c r="B528" s="33"/>
      <c r="C528" s="33"/>
      <c r="D528" s="33"/>
      <c r="E528" s="33"/>
      <c r="F528" s="33"/>
      <c r="G528" s="33"/>
      <c r="H528" s="33"/>
    </row>
    <row r="529" spans="1:8" ht="19.95" customHeight="1">
      <c r="A529" s="33"/>
      <c r="B529" s="33"/>
      <c r="C529" s="33"/>
      <c r="D529" s="33"/>
      <c r="E529" s="33"/>
      <c r="F529" s="33"/>
      <c r="G529" s="33"/>
      <c r="H529" s="33"/>
    </row>
    <row r="530" spans="1:8" ht="19.95" customHeight="1">
      <c r="A530" s="33"/>
      <c r="B530" s="33"/>
      <c r="C530" s="33"/>
      <c r="D530" s="33"/>
      <c r="E530" s="33"/>
      <c r="F530" s="33"/>
      <c r="G530" s="33"/>
      <c r="H530" s="33"/>
    </row>
    <row r="531" spans="1:8" ht="19.95" customHeight="1">
      <c r="A531" s="33"/>
      <c r="B531" s="33"/>
      <c r="C531" s="33"/>
      <c r="D531" s="33"/>
      <c r="E531" s="33"/>
      <c r="F531" s="33"/>
      <c r="G531" s="33"/>
      <c r="H531" s="33"/>
    </row>
    <row r="532" spans="1:8" ht="19.95" customHeight="1">
      <c r="A532" s="33"/>
      <c r="B532" s="33"/>
      <c r="C532" s="33"/>
      <c r="D532" s="33"/>
      <c r="E532" s="33"/>
      <c r="F532" s="33"/>
      <c r="G532" s="33"/>
      <c r="H532" s="33"/>
    </row>
    <row r="533" spans="1:8" ht="19.95" customHeight="1">
      <c r="A533" s="33"/>
      <c r="B533" s="33"/>
      <c r="C533" s="33"/>
      <c r="D533" s="33"/>
      <c r="E533" s="33"/>
      <c r="F533" s="33"/>
      <c r="G533" s="33"/>
      <c r="H533" s="33"/>
    </row>
    <row r="534" spans="1:8" ht="19.95" customHeight="1">
      <c r="A534" s="33"/>
      <c r="B534" s="33"/>
      <c r="C534" s="33"/>
      <c r="D534" s="33"/>
      <c r="E534" s="33"/>
      <c r="F534" s="33"/>
      <c r="G534" s="33"/>
      <c r="H534" s="33"/>
    </row>
    <row r="535" spans="1:8" ht="19.95" customHeight="1">
      <c r="A535" s="33"/>
      <c r="B535" s="33"/>
      <c r="C535" s="33"/>
      <c r="D535" s="33"/>
      <c r="E535" s="33"/>
      <c r="F535" s="33"/>
      <c r="G535" s="33"/>
      <c r="H535" s="33"/>
    </row>
    <row r="536" spans="1:8" ht="19.95" customHeight="1">
      <c r="A536" s="33"/>
      <c r="B536" s="33"/>
      <c r="C536" s="33"/>
      <c r="D536" s="33"/>
      <c r="E536" s="33"/>
      <c r="F536" s="33"/>
      <c r="G536" s="33"/>
      <c r="H536" s="33"/>
    </row>
    <row r="537" spans="1:8" ht="19.95" customHeight="1">
      <c r="A537" s="33"/>
      <c r="B537" s="33"/>
      <c r="C537" s="33"/>
      <c r="D537" s="33"/>
      <c r="E537" s="33"/>
      <c r="F537" s="33"/>
      <c r="G537" s="33"/>
      <c r="H537" s="33"/>
    </row>
    <row r="538" spans="1:8" ht="19.95" customHeight="1">
      <c r="A538" s="33"/>
      <c r="B538" s="33"/>
      <c r="C538" s="33"/>
      <c r="D538" s="33"/>
      <c r="E538" s="33"/>
      <c r="F538" s="33"/>
      <c r="G538" s="33"/>
      <c r="H538" s="33"/>
    </row>
    <row r="539" spans="1:8" ht="19.95" customHeight="1">
      <c r="A539" s="33"/>
      <c r="B539" s="33"/>
      <c r="C539" s="33"/>
      <c r="D539" s="33"/>
      <c r="E539" s="33"/>
      <c r="F539" s="33"/>
      <c r="G539" s="33"/>
      <c r="H539" s="33"/>
    </row>
    <row r="540" spans="1:8" ht="19.95" customHeight="1">
      <c r="A540" s="33"/>
      <c r="B540" s="33"/>
      <c r="C540" s="33"/>
      <c r="D540" s="33"/>
      <c r="E540" s="33"/>
      <c r="F540" s="33"/>
      <c r="G540" s="33"/>
      <c r="H540" s="33"/>
    </row>
    <row r="541" spans="1:8" ht="19.95" customHeight="1">
      <c r="A541" s="33"/>
      <c r="B541" s="33"/>
      <c r="C541" s="33"/>
      <c r="D541" s="33"/>
      <c r="E541" s="33"/>
      <c r="F541" s="33"/>
      <c r="G541" s="33"/>
      <c r="H541" s="33"/>
    </row>
    <row r="542" spans="1:8" ht="19.95" customHeight="1">
      <c r="A542" s="33"/>
      <c r="B542" s="33"/>
      <c r="C542" s="33"/>
      <c r="D542" s="33"/>
      <c r="E542" s="33"/>
      <c r="F542" s="33"/>
      <c r="G542" s="33"/>
      <c r="H542" s="33"/>
    </row>
    <row r="543" spans="1:8" ht="19.95" customHeight="1">
      <c r="A543" s="33"/>
      <c r="B543" s="33"/>
      <c r="C543" s="33"/>
      <c r="D543" s="33"/>
      <c r="E543" s="33"/>
      <c r="F543" s="33"/>
      <c r="G543" s="33"/>
      <c r="H543" s="33"/>
    </row>
    <row r="544" spans="1:8" ht="19.95" customHeight="1">
      <c r="A544" s="33"/>
      <c r="B544" s="33"/>
      <c r="C544" s="33"/>
      <c r="D544" s="33"/>
      <c r="E544" s="33"/>
      <c r="F544" s="33"/>
      <c r="G544" s="33"/>
      <c r="H544" s="33"/>
    </row>
    <row r="545" spans="1:8" ht="19.95" customHeight="1">
      <c r="A545" s="33"/>
      <c r="B545" s="33"/>
      <c r="C545" s="33"/>
      <c r="D545" s="33"/>
      <c r="E545" s="33"/>
      <c r="F545" s="33"/>
      <c r="G545" s="33"/>
      <c r="H545" s="33"/>
    </row>
    <row r="546" spans="1:8" ht="19.95" customHeight="1">
      <c r="A546" s="33"/>
      <c r="B546" s="33"/>
      <c r="C546" s="33"/>
      <c r="D546" s="33"/>
      <c r="E546" s="33"/>
      <c r="F546" s="33"/>
      <c r="G546" s="33"/>
      <c r="H546" s="33"/>
    </row>
    <row r="547" spans="1:8" ht="19.95" customHeight="1">
      <c r="A547" s="33"/>
      <c r="B547" s="33"/>
      <c r="C547" s="33"/>
      <c r="D547" s="33"/>
      <c r="E547" s="33"/>
      <c r="F547" s="33"/>
      <c r="G547" s="33"/>
      <c r="H547" s="33"/>
    </row>
    <row r="548" spans="1:8" ht="19.95" customHeight="1">
      <c r="A548" s="33"/>
      <c r="B548" s="33"/>
      <c r="C548" s="33"/>
      <c r="D548" s="33"/>
      <c r="E548" s="33"/>
      <c r="F548" s="33"/>
      <c r="G548" s="33"/>
      <c r="H548" s="33"/>
    </row>
    <row r="549" spans="1:8" ht="19.95" customHeight="1">
      <c r="A549" s="33"/>
      <c r="B549" s="33"/>
      <c r="C549" s="33"/>
      <c r="D549" s="33"/>
      <c r="E549" s="33"/>
      <c r="F549" s="33"/>
      <c r="G549" s="33"/>
      <c r="H549" s="33"/>
    </row>
    <row r="550" spans="1:8" ht="19.95" customHeight="1">
      <c r="A550" s="33"/>
      <c r="B550" s="33"/>
      <c r="C550" s="33"/>
      <c r="D550" s="33"/>
      <c r="E550" s="33"/>
      <c r="F550" s="33"/>
      <c r="G550" s="33"/>
      <c r="H550" s="33"/>
    </row>
    <row r="551" spans="1:8" ht="19.95" customHeight="1">
      <c r="A551" s="33"/>
      <c r="B551" s="33"/>
      <c r="C551" s="33"/>
      <c r="D551" s="33"/>
      <c r="E551" s="33"/>
      <c r="F551" s="33"/>
      <c r="G551" s="33"/>
      <c r="H551" s="33"/>
    </row>
    <row r="552" spans="1:8" ht="19.95" customHeight="1">
      <c r="A552" s="33"/>
      <c r="B552" s="33"/>
      <c r="C552" s="33"/>
      <c r="D552" s="33"/>
      <c r="E552" s="33"/>
      <c r="F552" s="33"/>
      <c r="G552" s="33"/>
      <c r="H552" s="33"/>
    </row>
    <row r="553" spans="1:8" ht="19.95" customHeight="1">
      <c r="A553" s="33"/>
      <c r="B553" s="33"/>
      <c r="C553" s="33"/>
      <c r="D553" s="33"/>
      <c r="E553" s="33"/>
      <c r="F553" s="33"/>
      <c r="G553" s="33"/>
      <c r="H553" s="33"/>
    </row>
    <row r="554" spans="1:8" ht="19.95" customHeight="1">
      <c r="A554" s="33"/>
      <c r="B554" s="33"/>
      <c r="C554" s="33"/>
      <c r="D554" s="33"/>
      <c r="E554" s="33"/>
      <c r="F554" s="33"/>
      <c r="G554" s="33"/>
      <c r="H554" s="33"/>
    </row>
    <row r="555" spans="1:8" ht="19.95" customHeight="1">
      <c r="A555" s="33"/>
      <c r="B555" s="33"/>
      <c r="C555" s="33"/>
      <c r="D555" s="33"/>
      <c r="E555" s="33"/>
      <c r="F555" s="33"/>
      <c r="G555" s="33"/>
      <c r="H555" s="33"/>
    </row>
    <row r="556" spans="1:8" ht="19.95" customHeight="1">
      <c r="A556" s="33"/>
      <c r="B556" s="33"/>
      <c r="C556" s="33"/>
      <c r="D556" s="33"/>
      <c r="E556" s="33"/>
      <c r="F556" s="33"/>
      <c r="G556" s="33"/>
      <c r="H556" s="33"/>
    </row>
    <row r="557" spans="1:8" ht="19.95" customHeight="1">
      <c r="A557" s="33"/>
      <c r="B557" s="33"/>
      <c r="C557" s="33"/>
      <c r="D557" s="33"/>
      <c r="E557" s="33"/>
      <c r="F557" s="33"/>
      <c r="G557" s="33"/>
      <c r="H557" s="33"/>
    </row>
    <row r="558" spans="1:8" ht="19.95" customHeight="1">
      <c r="A558" s="33"/>
      <c r="B558" s="33"/>
      <c r="C558" s="33"/>
      <c r="D558" s="33"/>
      <c r="E558" s="33"/>
      <c r="F558" s="33"/>
      <c r="G558" s="33"/>
      <c r="H558" s="33"/>
    </row>
    <row r="559" spans="1:8" ht="19.95" customHeight="1">
      <c r="A559" s="33"/>
      <c r="B559" s="33"/>
      <c r="C559" s="33"/>
      <c r="D559" s="33"/>
      <c r="E559" s="33"/>
      <c r="F559" s="33"/>
      <c r="G559" s="33"/>
      <c r="H559" s="33"/>
    </row>
    <row r="560" spans="1:8" ht="19.95" customHeight="1">
      <c r="A560" s="33"/>
      <c r="B560" s="33"/>
      <c r="C560" s="33"/>
      <c r="D560" s="33"/>
      <c r="E560" s="33"/>
      <c r="F560" s="33"/>
      <c r="G560" s="33"/>
      <c r="H560" s="33"/>
    </row>
    <row r="561" spans="1:8" ht="19.95" customHeight="1">
      <c r="A561" s="33"/>
      <c r="B561" s="33"/>
      <c r="C561" s="33"/>
      <c r="D561" s="33"/>
      <c r="E561" s="33"/>
      <c r="F561" s="33"/>
      <c r="G561" s="33"/>
      <c r="H561" s="33"/>
    </row>
    <row r="562" spans="1:8" ht="19.95" customHeight="1">
      <c r="A562" s="33"/>
      <c r="B562" s="33"/>
      <c r="C562" s="33"/>
      <c r="D562" s="33"/>
      <c r="E562" s="33"/>
      <c r="F562" s="33"/>
      <c r="G562" s="33"/>
      <c r="H562" s="33"/>
    </row>
    <row r="563" spans="1:8" ht="19.95" customHeight="1">
      <c r="A563" s="33"/>
      <c r="B563" s="33"/>
      <c r="C563" s="33"/>
      <c r="D563" s="33"/>
      <c r="E563" s="33"/>
      <c r="F563" s="33"/>
      <c r="G563" s="33"/>
      <c r="H563" s="33"/>
    </row>
    <row r="564" spans="1:8" ht="19.95" customHeight="1">
      <c r="A564" s="33"/>
      <c r="B564" s="33"/>
      <c r="C564" s="33"/>
      <c r="D564" s="33"/>
      <c r="E564" s="33"/>
      <c r="F564" s="33"/>
      <c r="G564" s="33"/>
      <c r="H564" s="33"/>
    </row>
    <row r="565" spans="1:8" ht="19.95" customHeight="1">
      <c r="A565" s="33"/>
      <c r="B565" s="33"/>
      <c r="C565" s="33"/>
      <c r="D565" s="33"/>
      <c r="E565" s="33"/>
      <c r="F565" s="33"/>
      <c r="G565" s="33"/>
      <c r="H565" s="33"/>
    </row>
    <row r="566" spans="1:8" ht="19.95" customHeight="1">
      <c r="A566" s="33"/>
      <c r="B566" s="33"/>
      <c r="C566" s="33"/>
      <c r="D566" s="33"/>
      <c r="E566" s="33"/>
      <c r="F566" s="33"/>
      <c r="G566" s="33"/>
      <c r="H566" s="33"/>
    </row>
    <row r="567" spans="1:8" ht="19.95" customHeight="1">
      <c r="A567" s="33"/>
      <c r="B567" s="33"/>
      <c r="C567" s="33"/>
      <c r="D567" s="33"/>
      <c r="E567" s="33"/>
      <c r="F567" s="33"/>
      <c r="G567" s="33"/>
      <c r="H567" s="33"/>
    </row>
    <row r="568" spans="1:8" ht="19.95" customHeight="1">
      <c r="A568" s="33"/>
      <c r="B568" s="33"/>
      <c r="C568" s="33"/>
      <c r="D568" s="33"/>
      <c r="E568" s="33"/>
      <c r="F568" s="33"/>
      <c r="G568" s="33"/>
      <c r="H568" s="33"/>
    </row>
    <row r="569" spans="1:8" ht="19.95" customHeight="1">
      <c r="A569" s="33"/>
      <c r="B569" s="33"/>
      <c r="C569" s="33"/>
      <c r="D569" s="33"/>
      <c r="E569" s="33"/>
      <c r="F569" s="33"/>
      <c r="G569" s="33"/>
      <c r="H569" s="33"/>
    </row>
    <row r="570" spans="1:8" ht="19.95" customHeight="1">
      <c r="A570" s="33"/>
      <c r="B570" s="33"/>
      <c r="C570" s="33"/>
      <c r="D570" s="33"/>
      <c r="E570" s="33"/>
      <c r="F570" s="33"/>
      <c r="G570" s="33"/>
      <c r="H570" s="33"/>
    </row>
    <row r="571" spans="1:8" ht="19.95" customHeight="1">
      <c r="A571" s="33"/>
      <c r="B571" s="33"/>
      <c r="C571" s="33"/>
      <c r="D571" s="33"/>
      <c r="E571" s="33"/>
      <c r="F571" s="33"/>
      <c r="G571" s="33"/>
      <c r="H571" s="33"/>
    </row>
    <row r="572" spans="1:8" ht="19.95" customHeight="1">
      <c r="A572" s="33"/>
      <c r="B572" s="33"/>
      <c r="C572" s="33"/>
      <c r="D572" s="33"/>
      <c r="E572" s="33"/>
      <c r="F572" s="33"/>
      <c r="G572" s="33"/>
      <c r="H572" s="33"/>
    </row>
    <row r="573" spans="1:8" ht="19.95" customHeight="1">
      <c r="A573" s="33"/>
      <c r="B573" s="33"/>
      <c r="C573" s="33"/>
      <c r="D573" s="33"/>
      <c r="E573" s="33"/>
      <c r="F573" s="33"/>
      <c r="G573" s="33"/>
      <c r="H573" s="33"/>
    </row>
    <row r="574" spans="1:8" ht="19.95" customHeight="1">
      <c r="A574" s="33"/>
      <c r="B574" s="33"/>
      <c r="C574" s="33"/>
      <c r="D574" s="33"/>
      <c r="E574" s="33"/>
      <c r="F574" s="33"/>
      <c r="G574" s="33"/>
      <c r="H574" s="33"/>
    </row>
    <row r="575" spans="1:8" ht="19.95" customHeight="1">
      <c r="A575" s="33"/>
      <c r="B575" s="33"/>
      <c r="C575" s="33"/>
      <c r="D575" s="33"/>
      <c r="E575" s="33"/>
      <c r="F575" s="33"/>
      <c r="G575" s="33"/>
      <c r="H575" s="33"/>
    </row>
    <row r="576" spans="1:8" ht="19.95" customHeight="1">
      <c r="A576" s="33"/>
      <c r="B576" s="33"/>
      <c r="C576" s="33"/>
      <c r="D576" s="33"/>
      <c r="E576" s="33"/>
      <c r="F576" s="33"/>
      <c r="G576" s="33"/>
      <c r="H576" s="33"/>
    </row>
    <row r="577" spans="1:8" ht="19.95" customHeight="1">
      <c r="A577" s="33"/>
      <c r="B577" s="33"/>
      <c r="C577" s="33"/>
      <c r="D577" s="33"/>
      <c r="E577" s="33"/>
      <c r="F577" s="33"/>
      <c r="G577" s="33"/>
      <c r="H577" s="33"/>
    </row>
    <row r="578" spans="1:8" ht="19.95" customHeight="1">
      <c r="A578" s="33"/>
      <c r="B578" s="33"/>
      <c r="C578" s="33"/>
      <c r="D578" s="33"/>
      <c r="E578" s="33"/>
      <c r="F578" s="33"/>
      <c r="G578" s="33"/>
      <c r="H578" s="33"/>
    </row>
    <row r="579" spans="1:8" ht="19.95" customHeight="1">
      <c r="A579" s="33"/>
      <c r="B579" s="33"/>
      <c r="C579" s="33"/>
      <c r="D579" s="33"/>
      <c r="E579" s="33"/>
      <c r="F579" s="33"/>
      <c r="G579" s="33"/>
      <c r="H579" s="33"/>
    </row>
    <row r="580" spans="1:8" ht="19.95" customHeight="1">
      <c r="A580" s="33"/>
      <c r="B580" s="33"/>
      <c r="C580" s="33"/>
      <c r="D580" s="33"/>
      <c r="E580" s="33"/>
      <c r="F580" s="33"/>
      <c r="G580" s="33"/>
      <c r="H580" s="33"/>
    </row>
    <row r="581" spans="1:8" ht="19.95" customHeight="1">
      <c r="A581" s="33"/>
      <c r="B581" s="33"/>
      <c r="C581" s="33"/>
      <c r="D581" s="33"/>
      <c r="E581" s="33"/>
      <c r="F581" s="33"/>
      <c r="G581" s="33"/>
      <c r="H581" s="33"/>
    </row>
    <row r="582" spans="1:8" ht="19.95" customHeight="1">
      <c r="A582" s="33"/>
      <c r="B582" s="33"/>
      <c r="C582" s="33"/>
      <c r="D582" s="33"/>
      <c r="E582" s="33"/>
      <c r="F582" s="33"/>
      <c r="G582" s="33"/>
      <c r="H582" s="33"/>
    </row>
    <row r="583" spans="1:8" ht="19.95" customHeight="1">
      <c r="A583" s="33"/>
      <c r="B583" s="33"/>
      <c r="C583" s="33"/>
      <c r="D583" s="33"/>
      <c r="E583" s="33"/>
      <c r="F583" s="33"/>
      <c r="G583" s="33"/>
      <c r="H583" s="33"/>
    </row>
    <row r="584" spans="1:8" ht="19.95" customHeight="1">
      <c r="A584" s="33"/>
      <c r="B584" s="33"/>
      <c r="C584" s="33"/>
      <c r="D584" s="33"/>
      <c r="E584" s="33"/>
      <c r="F584" s="33"/>
      <c r="G584" s="33"/>
      <c r="H584" s="33"/>
    </row>
    <row r="585" spans="1:8" ht="19.95" customHeight="1">
      <c r="A585" s="33"/>
      <c r="B585" s="33"/>
      <c r="C585" s="33"/>
      <c r="D585" s="33"/>
      <c r="E585" s="33"/>
      <c r="F585" s="33"/>
      <c r="G585" s="33"/>
      <c r="H585" s="33"/>
    </row>
    <row r="586" spans="1:8" ht="19.95" customHeight="1">
      <c r="A586" s="33"/>
      <c r="B586" s="33"/>
      <c r="C586" s="33"/>
      <c r="D586" s="33"/>
      <c r="E586" s="33"/>
      <c r="F586" s="33"/>
      <c r="G586" s="33"/>
      <c r="H586" s="33"/>
    </row>
    <row r="587" spans="1:8" ht="19.95" customHeight="1">
      <c r="A587" s="33"/>
      <c r="B587" s="33"/>
      <c r="C587" s="33"/>
      <c r="D587" s="33"/>
      <c r="E587" s="33"/>
      <c r="F587" s="33"/>
      <c r="G587" s="33"/>
      <c r="H587" s="33"/>
    </row>
    <row r="588" spans="1:8" ht="19.95" customHeight="1">
      <c r="A588" s="33"/>
      <c r="B588" s="33"/>
      <c r="C588" s="33"/>
      <c r="D588" s="33"/>
      <c r="E588" s="33"/>
      <c r="F588" s="33"/>
      <c r="G588" s="33"/>
      <c r="H588" s="33"/>
    </row>
    <row r="589" spans="1:8" ht="19.95" customHeight="1">
      <c r="A589" s="33"/>
      <c r="B589" s="33"/>
      <c r="C589" s="33"/>
      <c r="D589" s="33"/>
      <c r="E589" s="33"/>
      <c r="F589" s="33"/>
      <c r="G589" s="33"/>
      <c r="H589" s="33"/>
    </row>
    <row r="590" spans="1:8" ht="19.95" customHeight="1">
      <c r="A590" s="33"/>
      <c r="B590" s="33"/>
      <c r="C590" s="33"/>
      <c r="D590" s="33"/>
      <c r="E590" s="33"/>
      <c r="F590" s="33"/>
      <c r="G590" s="33"/>
      <c r="H590" s="33"/>
    </row>
    <row r="591" spans="1:8" ht="19.95" customHeight="1">
      <c r="A591" s="33"/>
      <c r="B591" s="33"/>
      <c r="C591" s="33"/>
      <c r="D591" s="33"/>
      <c r="E591" s="33"/>
      <c r="F591" s="33"/>
      <c r="G591" s="33"/>
      <c r="H591" s="33"/>
    </row>
    <row r="592" spans="1:8" ht="19.95" customHeight="1">
      <c r="A592" s="33"/>
      <c r="B592" s="33"/>
      <c r="C592" s="33"/>
      <c r="D592" s="33"/>
      <c r="E592" s="33"/>
      <c r="F592" s="33"/>
      <c r="G592" s="33"/>
      <c r="H592" s="33"/>
    </row>
    <row r="593" spans="1:8" ht="19.95" customHeight="1">
      <c r="A593" s="33"/>
      <c r="B593" s="33"/>
      <c r="C593" s="33"/>
      <c r="D593" s="33"/>
      <c r="E593" s="33"/>
      <c r="F593" s="33"/>
      <c r="G593" s="33"/>
      <c r="H593" s="33"/>
    </row>
    <row r="594" spans="1:8" ht="19.95" customHeight="1">
      <c r="A594" s="33"/>
      <c r="B594" s="33"/>
      <c r="C594" s="33"/>
      <c r="D594" s="33"/>
      <c r="E594" s="33"/>
      <c r="F594" s="33"/>
      <c r="G594" s="33"/>
      <c r="H594" s="33"/>
    </row>
    <row r="595" spans="1:8" ht="19.95" customHeight="1">
      <c r="A595" s="33"/>
      <c r="B595" s="33"/>
      <c r="C595" s="33"/>
      <c r="D595" s="33"/>
      <c r="E595" s="33"/>
      <c r="F595" s="33"/>
      <c r="G595" s="33"/>
      <c r="H595" s="33"/>
    </row>
    <row r="596" spans="1:8" ht="19.95" customHeight="1">
      <c r="A596" s="33"/>
      <c r="B596" s="33"/>
      <c r="C596" s="33"/>
      <c r="D596" s="33"/>
      <c r="E596" s="33"/>
      <c r="F596" s="33"/>
      <c r="G596" s="33"/>
      <c r="H596" s="33"/>
    </row>
    <row r="597" spans="1:8" ht="19.95" customHeight="1">
      <c r="A597" s="33"/>
      <c r="B597" s="33"/>
      <c r="C597" s="33"/>
      <c r="D597" s="33"/>
      <c r="E597" s="33"/>
      <c r="F597" s="33"/>
      <c r="G597" s="33"/>
      <c r="H597" s="33"/>
    </row>
    <row r="598" spans="1:8" ht="19.95" customHeight="1">
      <c r="A598" s="33"/>
      <c r="B598" s="33"/>
      <c r="C598" s="33"/>
      <c r="D598" s="33"/>
      <c r="E598" s="33"/>
      <c r="F598" s="33"/>
      <c r="G598" s="33"/>
      <c r="H598" s="33"/>
    </row>
    <row r="599" spans="1:8" ht="19.95" customHeight="1">
      <c r="A599" s="33"/>
      <c r="B599" s="33"/>
      <c r="C599" s="33"/>
      <c r="D599" s="33"/>
      <c r="E599" s="33"/>
      <c r="F599" s="33"/>
      <c r="G599" s="33"/>
      <c r="H599" s="33"/>
    </row>
    <row r="600" spans="1:8" ht="19.95" customHeight="1">
      <c r="A600" s="33"/>
      <c r="B600" s="33"/>
      <c r="C600" s="33"/>
      <c r="D600" s="33"/>
      <c r="E600" s="33"/>
      <c r="F600" s="33"/>
      <c r="G600" s="33"/>
      <c r="H600" s="33"/>
    </row>
    <row r="601" spans="1:8" ht="19.95" customHeight="1">
      <c r="A601" s="33"/>
      <c r="B601" s="33"/>
      <c r="C601" s="33"/>
      <c r="D601" s="33"/>
      <c r="E601" s="33"/>
      <c r="F601" s="33"/>
      <c r="G601" s="33"/>
      <c r="H601" s="33"/>
    </row>
    <row r="602" spans="1:8" ht="19.95" customHeight="1">
      <c r="A602" s="33"/>
      <c r="B602" s="33"/>
      <c r="C602" s="33"/>
      <c r="D602" s="33"/>
      <c r="E602" s="33"/>
      <c r="F602" s="33"/>
      <c r="G602" s="33"/>
      <c r="H602" s="33"/>
    </row>
    <row r="603" spans="1:8" ht="19.95" customHeight="1">
      <c r="A603" s="33"/>
      <c r="B603" s="33"/>
      <c r="C603" s="33"/>
      <c r="D603" s="33"/>
      <c r="E603" s="33"/>
      <c r="F603" s="33"/>
      <c r="G603" s="33"/>
      <c r="H603" s="33"/>
    </row>
    <row r="604" spans="1:8" ht="19.95" customHeight="1">
      <c r="A604" s="33"/>
      <c r="B604" s="33"/>
      <c r="C604" s="33"/>
      <c r="D604" s="33"/>
      <c r="E604" s="33"/>
      <c r="F604" s="33"/>
      <c r="G604" s="33"/>
      <c r="H604" s="33"/>
    </row>
    <row r="605" spans="1:8" ht="19.95" customHeight="1">
      <c r="A605" s="33"/>
      <c r="B605" s="33"/>
      <c r="C605" s="33"/>
      <c r="D605" s="33"/>
      <c r="E605" s="33"/>
      <c r="F605" s="33"/>
      <c r="G605" s="33"/>
      <c r="H605" s="33"/>
    </row>
    <row r="606" spans="1:8" ht="19.95" customHeight="1">
      <c r="A606" s="33"/>
      <c r="B606" s="33"/>
      <c r="C606" s="33"/>
      <c r="D606" s="33"/>
      <c r="E606" s="33"/>
      <c r="F606" s="33"/>
      <c r="G606" s="33"/>
      <c r="H606" s="33"/>
    </row>
    <row r="607" spans="1:8" ht="19.95" customHeight="1">
      <c r="A607" s="33"/>
      <c r="B607" s="33"/>
      <c r="C607" s="33"/>
      <c r="D607" s="33"/>
      <c r="E607" s="33"/>
      <c r="F607" s="33"/>
      <c r="G607" s="33"/>
      <c r="H607" s="33"/>
    </row>
    <row r="608" spans="1:8" ht="19.95" customHeight="1">
      <c r="A608" s="33"/>
      <c r="B608" s="33"/>
      <c r="C608" s="33"/>
      <c r="D608" s="33"/>
      <c r="E608" s="33"/>
      <c r="F608" s="33"/>
      <c r="G608" s="33"/>
      <c r="H608" s="33"/>
    </row>
    <row r="609" spans="1:8" ht="19.95" customHeight="1">
      <c r="A609" s="33"/>
      <c r="B609" s="33"/>
      <c r="C609" s="33"/>
      <c r="D609" s="33"/>
      <c r="E609" s="33"/>
      <c r="F609" s="33"/>
      <c r="G609" s="33"/>
      <c r="H609" s="33"/>
    </row>
    <row r="610" spans="1:8" ht="19.95" customHeight="1">
      <c r="A610" s="33"/>
      <c r="B610" s="33"/>
      <c r="C610" s="33"/>
      <c r="D610" s="33"/>
      <c r="E610" s="33"/>
      <c r="F610" s="33"/>
      <c r="G610" s="33"/>
      <c r="H610" s="33"/>
    </row>
    <row r="611" spans="1:8" ht="19.95" customHeight="1">
      <c r="A611" s="33"/>
      <c r="B611" s="33"/>
      <c r="C611" s="33"/>
      <c r="D611" s="33"/>
      <c r="E611" s="33"/>
      <c r="F611" s="33"/>
      <c r="G611" s="33"/>
      <c r="H611" s="33"/>
    </row>
    <row r="612" spans="1:8" ht="19.95" customHeight="1">
      <c r="A612" s="33"/>
      <c r="B612" s="33"/>
      <c r="C612" s="33"/>
      <c r="D612" s="33"/>
      <c r="E612" s="33"/>
      <c r="F612" s="33"/>
      <c r="G612" s="33"/>
      <c r="H612" s="33"/>
    </row>
    <row r="613" spans="1:8" ht="19.95" customHeight="1">
      <c r="A613" s="33"/>
      <c r="B613" s="33"/>
      <c r="C613" s="33"/>
      <c r="D613" s="33"/>
      <c r="E613" s="33"/>
      <c r="F613" s="33"/>
      <c r="G613" s="33"/>
      <c r="H613" s="33"/>
    </row>
    <row r="614" spans="1:8" ht="19.95" customHeight="1">
      <c r="A614" s="33"/>
      <c r="B614" s="33"/>
      <c r="C614" s="33"/>
      <c r="D614" s="33"/>
      <c r="E614" s="33"/>
      <c r="F614" s="33"/>
      <c r="G614" s="33"/>
      <c r="H614" s="33"/>
    </row>
    <row r="615" spans="1:8" ht="19.95" customHeight="1">
      <c r="A615" s="33"/>
      <c r="B615" s="33"/>
      <c r="C615" s="33"/>
      <c r="D615" s="33"/>
      <c r="E615" s="33"/>
      <c r="F615" s="33"/>
      <c r="G615" s="33"/>
      <c r="H615" s="33"/>
    </row>
    <row r="616" spans="1:8" ht="19.95" customHeight="1">
      <c r="A616" s="33"/>
      <c r="B616" s="33"/>
      <c r="C616" s="33"/>
      <c r="D616" s="33"/>
      <c r="E616" s="33"/>
      <c r="F616" s="33"/>
      <c r="G616" s="33"/>
      <c r="H616" s="33"/>
    </row>
    <row r="617" spans="1:8" ht="19.95" customHeight="1">
      <c r="A617" s="33"/>
      <c r="B617" s="33"/>
      <c r="C617" s="33"/>
      <c r="D617" s="33"/>
      <c r="E617" s="33"/>
      <c r="F617" s="33"/>
      <c r="G617" s="33"/>
      <c r="H617" s="33"/>
    </row>
    <row r="618" spans="1:8" ht="19.95" customHeight="1">
      <c r="A618" s="33"/>
      <c r="B618" s="33"/>
      <c r="C618" s="33"/>
      <c r="D618" s="33"/>
      <c r="E618" s="33"/>
      <c r="F618" s="33"/>
      <c r="G618" s="33"/>
      <c r="H618" s="33"/>
    </row>
    <row r="619" spans="1:8" ht="19.95" customHeight="1">
      <c r="A619" s="33"/>
      <c r="B619" s="33"/>
      <c r="C619" s="33"/>
      <c r="D619" s="33"/>
      <c r="E619" s="33"/>
      <c r="F619" s="33"/>
      <c r="G619" s="33"/>
      <c r="H619" s="33"/>
    </row>
    <row r="620" spans="1:8" ht="19.95" customHeight="1">
      <c r="A620" s="33"/>
      <c r="B620" s="33"/>
      <c r="C620" s="33"/>
      <c r="D620" s="33"/>
      <c r="E620" s="33"/>
      <c r="F620" s="33"/>
      <c r="G620" s="33"/>
      <c r="H620" s="33"/>
    </row>
    <row r="621" spans="1:8" ht="19.95" customHeight="1">
      <c r="A621" s="33"/>
      <c r="B621" s="33"/>
      <c r="C621" s="33"/>
      <c r="D621" s="33"/>
      <c r="E621" s="33"/>
      <c r="F621" s="33"/>
      <c r="G621" s="33"/>
      <c r="H621" s="33"/>
    </row>
    <row r="622" spans="1:8" ht="19.95" customHeight="1">
      <c r="A622" s="33"/>
      <c r="B622" s="33"/>
      <c r="C622" s="33"/>
      <c r="D622" s="33"/>
      <c r="E622" s="33"/>
      <c r="F622" s="33"/>
      <c r="G622" s="33"/>
      <c r="H622" s="33"/>
    </row>
    <row r="623" spans="1:8" ht="19.95" customHeight="1">
      <c r="A623" s="33"/>
      <c r="B623" s="33"/>
      <c r="C623" s="33"/>
      <c r="D623" s="33"/>
      <c r="E623" s="33"/>
      <c r="F623" s="33"/>
      <c r="G623" s="33"/>
      <c r="H623" s="33"/>
    </row>
    <row r="624" spans="1:8" ht="19.95" customHeight="1">
      <c r="A624" s="33"/>
      <c r="B624" s="33"/>
      <c r="C624" s="33"/>
      <c r="D624" s="33"/>
      <c r="E624" s="33"/>
      <c r="F624" s="33"/>
      <c r="G624" s="33"/>
      <c r="H624" s="33"/>
    </row>
    <row r="625" spans="1:8" ht="19.95" customHeight="1">
      <c r="A625" s="33"/>
      <c r="B625" s="33"/>
      <c r="C625" s="33"/>
      <c r="D625" s="33"/>
      <c r="E625" s="33"/>
      <c r="F625" s="33"/>
      <c r="G625" s="33"/>
      <c r="H625" s="33"/>
    </row>
    <row r="626" spans="1:8" ht="19.95" customHeight="1">
      <c r="A626" s="33"/>
      <c r="B626" s="33"/>
      <c r="C626" s="33"/>
      <c r="D626" s="33"/>
      <c r="E626" s="33"/>
      <c r="F626" s="33"/>
      <c r="G626" s="33"/>
      <c r="H626" s="33"/>
    </row>
    <row r="627" spans="1:8" ht="19.95" customHeight="1">
      <c r="A627" s="33"/>
      <c r="B627" s="33"/>
      <c r="C627" s="33"/>
      <c r="D627" s="33"/>
      <c r="E627" s="33"/>
      <c r="F627" s="33"/>
      <c r="G627" s="33"/>
      <c r="H627" s="33"/>
    </row>
    <row r="628" spans="1:8" ht="19.95" customHeight="1">
      <c r="A628" s="33"/>
      <c r="B628" s="33"/>
      <c r="C628" s="33"/>
      <c r="D628" s="33"/>
      <c r="E628" s="33"/>
      <c r="F628" s="33"/>
      <c r="G628" s="33"/>
      <c r="H628" s="33"/>
    </row>
    <row r="629" spans="1:8" ht="19.95" customHeight="1">
      <c r="A629" s="33"/>
      <c r="B629" s="33"/>
      <c r="C629" s="33"/>
      <c r="D629" s="33"/>
      <c r="E629" s="33"/>
      <c r="F629" s="33"/>
      <c r="G629" s="33"/>
      <c r="H629" s="33"/>
    </row>
    <row r="630" spans="1:8" ht="19.95" customHeight="1">
      <c r="A630" s="33"/>
      <c r="B630" s="33"/>
      <c r="C630" s="33"/>
      <c r="D630" s="33"/>
      <c r="E630" s="33"/>
      <c r="F630" s="33"/>
      <c r="G630" s="33"/>
      <c r="H630" s="33"/>
    </row>
    <row r="631" spans="1:8" ht="19.95" customHeight="1">
      <c r="A631" s="33"/>
      <c r="B631" s="33"/>
      <c r="C631" s="33"/>
      <c r="D631" s="33"/>
      <c r="E631" s="33"/>
      <c r="F631" s="33"/>
      <c r="G631" s="33"/>
      <c r="H631" s="33"/>
    </row>
    <row r="632" spans="1:8" ht="19.95" customHeight="1">
      <c r="A632" s="33"/>
      <c r="B632" s="33"/>
      <c r="C632" s="33"/>
      <c r="D632" s="33"/>
      <c r="E632" s="33"/>
      <c r="F632" s="33"/>
      <c r="G632" s="33"/>
      <c r="H632" s="33"/>
    </row>
    <row r="633" spans="1:8" ht="19.95" customHeight="1">
      <c r="A633" s="33"/>
      <c r="B633" s="33"/>
      <c r="C633" s="33"/>
      <c r="D633" s="33"/>
      <c r="E633" s="33"/>
      <c r="F633" s="33"/>
      <c r="G633" s="33"/>
      <c r="H633" s="33"/>
    </row>
    <row r="634" spans="1:8" ht="19.95" customHeight="1">
      <c r="A634" s="33"/>
      <c r="B634" s="33"/>
      <c r="C634" s="33"/>
      <c r="D634" s="33"/>
      <c r="E634" s="33"/>
      <c r="F634" s="33"/>
      <c r="G634" s="33"/>
      <c r="H634" s="33"/>
    </row>
    <row r="635" spans="1:8" ht="19.95" customHeight="1">
      <c r="A635" s="33"/>
      <c r="B635" s="33"/>
      <c r="C635" s="33"/>
      <c r="D635" s="33"/>
      <c r="E635" s="33"/>
      <c r="F635" s="33"/>
      <c r="G635" s="33"/>
      <c r="H635" s="33"/>
    </row>
    <row r="636" spans="1:8" ht="19.95" customHeight="1">
      <c r="A636" s="33"/>
      <c r="B636" s="33"/>
      <c r="C636" s="33"/>
      <c r="D636" s="33"/>
      <c r="E636" s="33"/>
      <c r="F636" s="33"/>
      <c r="G636" s="33"/>
      <c r="H636" s="33"/>
    </row>
    <row r="637" spans="1:8" ht="19.95" customHeight="1">
      <c r="A637" s="33"/>
      <c r="B637" s="33"/>
      <c r="C637" s="33"/>
      <c r="D637" s="33"/>
      <c r="E637" s="33"/>
      <c r="F637" s="33"/>
      <c r="G637" s="33"/>
      <c r="H637" s="33"/>
    </row>
    <row r="638" spans="1:8" ht="19.95" customHeight="1">
      <c r="A638" s="33"/>
      <c r="B638" s="33"/>
      <c r="C638" s="33"/>
      <c r="D638" s="33"/>
      <c r="E638" s="33"/>
      <c r="F638" s="33"/>
      <c r="G638" s="33"/>
      <c r="H638" s="33"/>
    </row>
    <row r="639" spans="1:8" ht="19.95" customHeight="1">
      <c r="A639" s="33"/>
      <c r="B639" s="33"/>
      <c r="C639" s="33"/>
      <c r="D639" s="33"/>
      <c r="E639" s="33"/>
      <c r="F639" s="33"/>
      <c r="G639" s="33"/>
      <c r="H639" s="33"/>
    </row>
    <row r="640" spans="1:8" ht="19.95" customHeight="1">
      <c r="A640" s="33"/>
      <c r="B640" s="33"/>
      <c r="C640" s="33"/>
      <c r="D640" s="33"/>
      <c r="E640" s="33"/>
      <c r="F640" s="33"/>
      <c r="G640" s="33"/>
      <c r="H640" s="33"/>
    </row>
    <row r="641" spans="1:8" ht="19.95" customHeight="1">
      <c r="A641" s="33"/>
      <c r="B641" s="33"/>
      <c r="C641" s="33"/>
      <c r="D641" s="33"/>
      <c r="E641" s="33"/>
      <c r="F641" s="33"/>
      <c r="G641" s="33"/>
      <c r="H641" s="33"/>
    </row>
    <row r="642" spans="1:8" ht="19.95" customHeight="1">
      <c r="A642" s="33"/>
      <c r="B642" s="33"/>
      <c r="C642" s="33"/>
      <c r="D642" s="33"/>
      <c r="E642" s="33"/>
      <c r="F642" s="33"/>
      <c r="G642" s="33"/>
      <c r="H642" s="33"/>
    </row>
    <row r="643" spans="1:8" ht="19.95" customHeight="1">
      <c r="A643" s="33"/>
      <c r="B643" s="33"/>
      <c r="C643" s="33"/>
      <c r="D643" s="33"/>
      <c r="E643" s="33"/>
      <c r="F643" s="33"/>
      <c r="G643" s="33"/>
      <c r="H643" s="33"/>
    </row>
    <row r="644" spans="1:8" ht="19.95" customHeight="1">
      <c r="A644" s="33"/>
      <c r="B644" s="33"/>
      <c r="C644" s="33"/>
      <c r="D644" s="33"/>
      <c r="E644" s="33"/>
      <c r="F644" s="33"/>
      <c r="G644" s="33"/>
      <c r="H644" s="33"/>
    </row>
    <row r="645" spans="1:8" ht="19.95" customHeight="1">
      <c r="A645" s="33"/>
      <c r="B645" s="33"/>
      <c r="C645" s="33"/>
      <c r="D645" s="33"/>
      <c r="E645" s="33"/>
      <c r="F645" s="33"/>
      <c r="G645" s="33"/>
      <c r="H645" s="33"/>
    </row>
    <row r="646" spans="1:8" ht="19.95" customHeight="1">
      <c r="A646" s="33"/>
      <c r="B646" s="33"/>
      <c r="C646" s="33"/>
      <c r="D646" s="33"/>
      <c r="E646" s="33"/>
      <c r="F646" s="33"/>
      <c r="G646" s="33"/>
      <c r="H646" s="33"/>
    </row>
    <row r="647" spans="1:8" ht="19.95" customHeight="1">
      <c r="A647" s="33"/>
      <c r="B647" s="33"/>
      <c r="C647" s="33"/>
      <c r="D647" s="33"/>
      <c r="E647" s="33"/>
      <c r="F647" s="33"/>
      <c r="G647" s="33"/>
      <c r="H647" s="33"/>
    </row>
    <row r="648" spans="1:8" ht="19.95" customHeight="1">
      <c r="A648" s="33"/>
      <c r="B648" s="33"/>
      <c r="C648" s="33"/>
      <c r="D648" s="33"/>
      <c r="E648" s="33"/>
      <c r="F648" s="33"/>
      <c r="G648" s="33"/>
      <c r="H648" s="33"/>
    </row>
    <row r="649" spans="1:8" ht="19.95" customHeight="1">
      <c r="A649" s="33"/>
      <c r="B649" s="33"/>
      <c r="C649" s="33"/>
      <c r="D649" s="33"/>
      <c r="E649" s="33"/>
      <c r="F649" s="33"/>
      <c r="G649" s="33"/>
      <c r="H649" s="33"/>
    </row>
    <row r="650" spans="1:8" ht="19.95" customHeight="1">
      <c r="A650" s="33"/>
      <c r="B650" s="33"/>
      <c r="C650" s="33"/>
      <c r="D650" s="33"/>
      <c r="E650" s="33"/>
      <c r="F650" s="33"/>
      <c r="G650" s="33"/>
      <c r="H650" s="33"/>
    </row>
    <row r="651" spans="1:8" ht="19.95" customHeight="1">
      <c r="A651" s="33"/>
      <c r="B651" s="33"/>
      <c r="C651" s="33"/>
      <c r="D651" s="33"/>
      <c r="E651" s="33"/>
      <c r="F651" s="33"/>
      <c r="G651" s="33"/>
      <c r="H651" s="33"/>
    </row>
    <row r="652" spans="1:8" ht="19.95" customHeight="1">
      <c r="A652" s="33"/>
      <c r="B652" s="33"/>
      <c r="C652" s="33"/>
      <c r="D652" s="33"/>
      <c r="E652" s="33"/>
      <c r="F652" s="33"/>
      <c r="G652" s="33"/>
      <c r="H652" s="33"/>
    </row>
    <row r="653" spans="1:8" ht="19.95" customHeight="1">
      <c r="A653" s="33"/>
      <c r="B653" s="33"/>
      <c r="C653" s="33"/>
      <c r="D653" s="33"/>
      <c r="E653" s="33"/>
      <c r="F653" s="33"/>
      <c r="G653" s="33"/>
      <c r="H653" s="33"/>
    </row>
    <row r="654" spans="1:8" ht="19.95" customHeight="1">
      <c r="A654" s="33"/>
      <c r="B654" s="33"/>
      <c r="C654" s="33"/>
      <c r="D654" s="33"/>
      <c r="E654" s="33"/>
      <c r="F654" s="33"/>
      <c r="G654" s="33"/>
      <c r="H654" s="33"/>
    </row>
    <row r="655" spans="1:8" ht="19.95" customHeight="1">
      <c r="A655" s="33"/>
      <c r="B655" s="33"/>
      <c r="C655" s="33"/>
      <c r="D655" s="33"/>
      <c r="E655" s="33"/>
      <c r="F655" s="33"/>
      <c r="G655" s="33"/>
      <c r="H655" s="33"/>
    </row>
    <row r="656" spans="1:8" ht="19.95" customHeight="1">
      <c r="A656" s="33"/>
      <c r="B656" s="33"/>
      <c r="C656" s="33"/>
      <c r="D656" s="33"/>
      <c r="E656" s="33"/>
      <c r="F656" s="33"/>
      <c r="G656" s="33"/>
      <c r="H656" s="33"/>
    </row>
    <row r="657" spans="1:8" ht="19.95" customHeight="1">
      <c r="A657" s="33"/>
      <c r="B657" s="33"/>
      <c r="C657" s="33"/>
      <c r="D657" s="33"/>
      <c r="E657" s="33"/>
      <c r="F657" s="33"/>
      <c r="G657" s="33"/>
      <c r="H657" s="33"/>
    </row>
    <row r="658" spans="1:8" ht="19.95" customHeight="1">
      <c r="A658" s="33"/>
      <c r="B658" s="33"/>
      <c r="C658" s="33"/>
      <c r="D658" s="33"/>
      <c r="E658" s="33"/>
      <c r="F658" s="33"/>
      <c r="G658" s="33"/>
      <c r="H658" s="33"/>
    </row>
    <row r="659" spans="1:8" ht="19.95" customHeight="1">
      <c r="A659" s="33"/>
      <c r="B659" s="33"/>
      <c r="C659" s="33"/>
      <c r="D659" s="33"/>
      <c r="E659" s="33"/>
      <c r="F659" s="33"/>
      <c r="G659" s="33"/>
      <c r="H659" s="33"/>
    </row>
    <row r="660" spans="1:8" ht="19.95" customHeight="1">
      <c r="A660" s="33"/>
      <c r="B660" s="33"/>
      <c r="C660" s="33"/>
      <c r="D660" s="33"/>
      <c r="E660" s="33"/>
      <c r="F660" s="33"/>
      <c r="G660" s="33"/>
      <c r="H660" s="33"/>
    </row>
    <row r="661" spans="1:8" ht="19.95" customHeight="1">
      <c r="A661" s="33"/>
      <c r="B661" s="33"/>
      <c r="C661" s="33"/>
      <c r="D661" s="33"/>
      <c r="E661" s="33"/>
      <c r="F661" s="33"/>
      <c r="G661" s="33"/>
      <c r="H661" s="33"/>
    </row>
    <row r="662" spans="1:8" ht="19.95" customHeight="1">
      <c r="A662" s="33"/>
      <c r="B662" s="33"/>
      <c r="C662" s="33"/>
      <c r="D662" s="33"/>
      <c r="E662" s="33"/>
      <c r="F662" s="33"/>
      <c r="G662" s="33"/>
      <c r="H662" s="33"/>
    </row>
    <row r="663" spans="1:8" ht="19.95" customHeight="1">
      <c r="A663" s="33"/>
      <c r="B663" s="33"/>
      <c r="C663" s="33"/>
      <c r="D663" s="33"/>
      <c r="E663" s="33"/>
      <c r="F663" s="33"/>
      <c r="G663" s="33"/>
      <c r="H663" s="33"/>
    </row>
    <row r="664" spans="1:8" ht="19.95" customHeight="1">
      <c r="A664" s="33"/>
      <c r="B664" s="33"/>
      <c r="C664" s="33"/>
      <c r="D664" s="33"/>
      <c r="E664" s="33"/>
      <c r="F664" s="33"/>
      <c r="G664" s="33"/>
      <c r="H664" s="33"/>
    </row>
    <row r="665" spans="1:8" ht="19.95" customHeight="1">
      <c r="A665" s="33"/>
      <c r="B665" s="33"/>
      <c r="C665" s="33"/>
      <c r="D665" s="33"/>
      <c r="E665" s="33"/>
      <c r="F665" s="33"/>
      <c r="G665" s="33"/>
      <c r="H665" s="33"/>
    </row>
    <row r="666" spans="1:8" ht="19.95" customHeight="1">
      <c r="A666" s="33"/>
      <c r="B666" s="33"/>
      <c r="C666" s="33"/>
      <c r="D666" s="33"/>
      <c r="E666" s="33"/>
      <c r="F666" s="33"/>
      <c r="G666" s="33"/>
      <c r="H666" s="33"/>
    </row>
    <row r="667" spans="1:8" ht="19.95" customHeight="1">
      <c r="A667" s="33"/>
      <c r="B667" s="33"/>
      <c r="C667" s="33"/>
      <c r="D667" s="33"/>
      <c r="E667" s="33"/>
      <c r="F667" s="33"/>
      <c r="G667" s="33"/>
      <c r="H667" s="33"/>
    </row>
    <row r="668" spans="1:8" ht="19.95" customHeight="1">
      <c r="A668" s="33"/>
      <c r="B668" s="33"/>
      <c r="C668" s="33"/>
      <c r="D668" s="33"/>
      <c r="E668" s="33"/>
      <c r="F668" s="33"/>
      <c r="G668" s="33"/>
      <c r="H668" s="33"/>
    </row>
    <row r="669" spans="1:8" ht="19.95" customHeight="1">
      <c r="A669" s="33"/>
      <c r="B669" s="33"/>
      <c r="C669" s="33"/>
      <c r="D669" s="33"/>
      <c r="E669" s="33"/>
      <c r="F669" s="33"/>
      <c r="G669" s="33"/>
      <c r="H669" s="33"/>
    </row>
    <row r="670" spans="1:8" ht="19.95" customHeight="1">
      <c r="A670" s="33"/>
      <c r="B670" s="33"/>
      <c r="C670" s="33"/>
      <c r="D670" s="33"/>
      <c r="E670" s="33"/>
      <c r="F670" s="33"/>
      <c r="G670" s="33"/>
      <c r="H670" s="33"/>
    </row>
    <row r="671" spans="1:8" ht="19.95" customHeight="1">
      <c r="A671" s="33"/>
      <c r="B671" s="33"/>
      <c r="C671" s="33"/>
      <c r="D671" s="33"/>
      <c r="E671" s="33"/>
      <c r="F671" s="33"/>
      <c r="G671" s="33"/>
      <c r="H671" s="33"/>
    </row>
    <row r="672" spans="1:8" ht="19.95" customHeight="1">
      <c r="A672" s="33"/>
      <c r="B672" s="33"/>
      <c r="C672" s="33"/>
      <c r="D672" s="33"/>
      <c r="E672" s="33"/>
      <c r="F672" s="33"/>
      <c r="G672" s="33"/>
      <c r="H672" s="33"/>
    </row>
    <row r="673" spans="1:8" ht="19.95" customHeight="1">
      <c r="A673" s="33"/>
      <c r="B673" s="33"/>
      <c r="C673" s="33"/>
      <c r="D673" s="33"/>
      <c r="E673" s="33"/>
      <c r="F673" s="33"/>
      <c r="G673" s="33"/>
      <c r="H673" s="33"/>
    </row>
    <row r="674" spans="1:8" ht="19.95" customHeight="1">
      <c r="A674" s="33"/>
      <c r="B674" s="33"/>
      <c r="C674" s="33"/>
      <c r="D674" s="33"/>
      <c r="E674" s="33"/>
      <c r="F674" s="33"/>
      <c r="G674" s="33"/>
      <c r="H674" s="33"/>
    </row>
    <row r="675" spans="1:8" ht="19.95" customHeight="1">
      <c r="A675" s="33"/>
      <c r="B675" s="33"/>
      <c r="C675" s="33"/>
      <c r="D675" s="33"/>
      <c r="E675" s="33"/>
      <c r="F675" s="33"/>
      <c r="G675" s="33"/>
      <c r="H675" s="33"/>
    </row>
    <row r="676" spans="1:8" ht="19.95" customHeight="1">
      <c r="A676" s="33"/>
      <c r="B676" s="33"/>
      <c r="C676" s="33"/>
      <c r="D676" s="33"/>
      <c r="E676" s="33"/>
      <c r="F676" s="33"/>
      <c r="G676" s="33"/>
      <c r="H676" s="33"/>
    </row>
    <row r="677" spans="1:8" ht="19.95" customHeight="1">
      <c r="A677" s="33"/>
      <c r="B677" s="33"/>
      <c r="C677" s="33"/>
      <c r="D677" s="33"/>
      <c r="E677" s="33"/>
      <c r="F677" s="33"/>
      <c r="G677" s="33"/>
      <c r="H677" s="33"/>
    </row>
    <row r="678" spans="1:8" ht="19.95" customHeight="1">
      <c r="A678" s="33"/>
      <c r="B678" s="33"/>
      <c r="C678" s="33"/>
      <c r="D678" s="33"/>
      <c r="E678" s="33"/>
      <c r="F678" s="33"/>
      <c r="G678" s="33"/>
      <c r="H678" s="33"/>
    </row>
    <row r="679" spans="1:8" ht="19.95" customHeight="1">
      <c r="A679" s="33"/>
      <c r="B679" s="33"/>
      <c r="C679" s="33"/>
      <c r="D679" s="33"/>
      <c r="E679" s="33"/>
      <c r="F679" s="33"/>
      <c r="G679" s="33"/>
      <c r="H679" s="33"/>
    </row>
    <row r="680" spans="1:8" ht="19.95" customHeight="1">
      <c r="A680" s="33"/>
      <c r="B680" s="33"/>
      <c r="C680" s="33"/>
      <c r="D680" s="33"/>
      <c r="E680" s="33"/>
      <c r="F680" s="33"/>
      <c r="G680" s="33"/>
      <c r="H680" s="33"/>
    </row>
    <row r="681" spans="1:8" ht="19.95" customHeight="1">
      <c r="A681" s="33"/>
      <c r="B681" s="33"/>
      <c r="C681" s="33"/>
      <c r="D681" s="33"/>
      <c r="E681" s="33"/>
      <c r="F681" s="33"/>
      <c r="G681" s="33"/>
      <c r="H681" s="33"/>
    </row>
    <row r="682" spans="1:8" ht="19.95" customHeight="1">
      <c r="A682" s="33"/>
      <c r="B682" s="33"/>
      <c r="C682" s="33"/>
      <c r="D682" s="33"/>
      <c r="E682" s="33"/>
      <c r="F682" s="33"/>
      <c r="G682" s="33"/>
      <c r="H682" s="33"/>
    </row>
    <row r="683" spans="1:8" ht="19.95" customHeight="1">
      <c r="A683" s="33"/>
      <c r="B683" s="33"/>
      <c r="C683" s="33"/>
      <c r="D683" s="33"/>
      <c r="E683" s="33"/>
      <c r="F683" s="33"/>
      <c r="G683" s="33"/>
      <c r="H683" s="33"/>
    </row>
    <row r="684" spans="1:8" ht="19.95" customHeight="1">
      <c r="A684" s="33"/>
      <c r="B684" s="33"/>
      <c r="C684" s="33"/>
      <c r="D684" s="33"/>
      <c r="E684" s="33"/>
      <c r="F684" s="33"/>
      <c r="G684" s="33"/>
      <c r="H684" s="33"/>
    </row>
    <row r="685" spans="1:8" ht="19.95" customHeight="1">
      <c r="A685" s="33"/>
      <c r="B685" s="33"/>
      <c r="C685" s="33"/>
      <c r="D685" s="33"/>
      <c r="E685" s="33"/>
      <c r="F685" s="33"/>
      <c r="G685" s="33"/>
      <c r="H685" s="33"/>
    </row>
    <row r="686" spans="1:8" ht="19.95" customHeight="1">
      <c r="A686" s="33"/>
      <c r="B686" s="33"/>
      <c r="C686" s="33"/>
      <c r="D686" s="33"/>
      <c r="E686" s="33"/>
      <c r="F686" s="33"/>
      <c r="G686" s="33"/>
      <c r="H686" s="33"/>
    </row>
    <row r="687" spans="1:8" ht="19.95" customHeight="1">
      <c r="A687" s="33"/>
      <c r="B687" s="33"/>
      <c r="C687" s="33"/>
      <c r="D687" s="33"/>
      <c r="E687" s="33"/>
      <c r="F687" s="33"/>
      <c r="G687" s="33"/>
      <c r="H687" s="33"/>
    </row>
    <row r="688" spans="1:8" ht="19.95" customHeight="1">
      <c r="A688" s="33"/>
      <c r="B688" s="33"/>
      <c r="C688" s="33"/>
      <c r="D688" s="33"/>
      <c r="E688" s="33"/>
      <c r="F688" s="33"/>
      <c r="G688" s="33"/>
      <c r="H688" s="33"/>
    </row>
    <row r="689" spans="1:8" ht="19.95" customHeight="1">
      <c r="A689" s="33"/>
      <c r="B689" s="33"/>
      <c r="C689" s="33"/>
      <c r="D689" s="33"/>
      <c r="E689" s="33"/>
      <c r="F689" s="33"/>
      <c r="G689" s="33"/>
      <c r="H689" s="33"/>
    </row>
    <row r="690" spans="1:8" ht="19.95" customHeight="1">
      <c r="A690" s="33"/>
      <c r="B690" s="33"/>
      <c r="C690" s="33"/>
      <c r="D690" s="33"/>
      <c r="E690" s="33"/>
      <c r="F690" s="33"/>
      <c r="G690" s="33"/>
      <c r="H690" s="33"/>
    </row>
    <row r="691" spans="1:8" ht="19.95" customHeight="1">
      <c r="A691" s="33"/>
      <c r="B691" s="33"/>
      <c r="C691" s="33"/>
      <c r="D691" s="33"/>
      <c r="E691" s="33"/>
      <c r="F691" s="33"/>
      <c r="G691" s="33"/>
      <c r="H691" s="33"/>
    </row>
    <row r="692" spans="1:8" ht="19.95" customHeight="1">
      <c r="A692" s="33"/>
      <c r="B692" s="33"/>
      <c r="C692" s="33"/>
      <c r="D692" s="33"/>
      <c r="E692" s="33"/>
      <c r="F692" s="33"/>
      <c r="G692" s="33"/>
      <c r="H692" s="33"/>
    </row>
    <row r="693" spans="1:8" ht="19.95" customHeight="1">
      <c r="A693" s="33"/>
      <c r="B693" s="33"/>
      <c r="C693" s="33"/>
      <c r="D693" s="33"/>
      <c r="E693" s="33"/>
      <c r="F693" s="33"/>
      <c r="G693" s="33"/>
      <c r="H693" s="33"/>
    </row>
    <row r="694" spans="1:8" ht="19.95" customHeight="1">
      <c r="A694" s="33"/>
      <c r="B694" s="33"/>
      <c r="C694" s="33"/>
      <c r="D694" s="33"/>
      <c r="E694" s="33"/>
      <c r="F694" s="33"/>
      <c r="G694" s="33"/>
      <c r="H694" s="33"/>
    </row>
    <row r="695" spans="1:8" ht="19.95" customHeight="1">
      <c r="A695" s="33"/>
      <c r="B695" s="33"/>
      <c r="C695" s="33"/>
      <c r="D695" s="33"/>
      <c r="E695" s="33"/>
      <c r="F695" s="33"/>
      <c r="G695" s="33"/>
      <c r="H695" s="33"/>
    </row>
    <row r="696" spans="1:8" ht="19.95" customHeight="1">
      <c r="A696" s="33"/>
      <c r="B696" s="33"/>
      <c r="C696" s="33"/>
      <c r="D696" s="33"/>
      <c r="E696" s="33"/>
      <c r="F696" s="33"/>
      <c r="G696" s="33"/>
      <c r="H696" s="33"/>
    </row>
    <row r="697" spans="1:8" ht="19.95" customHeight="1">
      <c r="A697" s="33"/>
      <c r="B697" s="33"/>
      <c r="C697" s="33"/>
      <c r="D697" s="33"/>
      <c r="E697" s="33"/>
      <c r="F697" s="33"/>
      <c r="G697" s="33"/>
      <c r="H697" s="33"/>
    </row>
    <row r="698" spans="1:8" ht="19.95" customHeight="1">
      <c r="A698" s="33"/>
      <c r="B698" s="33"/>
      <c r="C698" s="33"/>
      <c r="D698" s="33"/>
      <c r="E698" s="33"/>
      <c r="F698" s="33"/>
      <c r="G698" s="33"/>
      <c r="H698" s="33"/>
    </row>
    <row r="699" spans="1:8" ht="19.95" customHeight="1">
      <c r="A699" s="33"/>
      <c r="B699" s="33"/>
      <c r="C699" s="33"/>
      <c r="D699" s="33"/>
      <c r="E699" s="33"/>
      <c r="F699" s="33"/>
      <c r="G699" s="33"/>
      <c r="H699" s="33"/>
    </row>
    <row r="700" spans="1:8" ht="19.95" customHeight="1">
      <c r="A700" s="33"/>
      <c r="B700" s="33"/>
      <c r="C700" s="33"/>
      <c r="D700" s="33"/>
      <c r="E700" s="33"/>
      <c r="F700" s="33"/>
      <c r="G700" s="33"/>
      <c r="H700" s="33"/>
    </row>
  </sheetData>
  <mergeCells count="55">
    <mergeCell ref="A53:H53"/>
    <mergeCell ref="A54:H54"/>
    <mergeCell ref="A55:H55"/>
    <mergeCell ref="A56:H56"/>
    <mergeCell ref="A57:H57"/>
    <mergeCell ref="A48:H48"/>
    <mergeCell ref="A49:H49"/>
    <mergeCell ref="A50:H50"/>
    <mergeCell ref="A51:H51"/>
    <mergeCell ref="A52:H52"/>
    <mergeCell ref="A43:H43"/>
    <mergeCell ref="A44:H44"/>
    <mergeCell ref="A45:H45"/>
    <mergeCell ref="A46:H46"/>
    <mergeCell ref="A47:H47"/>
    <mergeCell ref="A38:H38"/>
    <mergeCell ref="A39:H39"/>
    <mergeCell ref="A40:H40"/>
    <mergeCell ref="A41:H41"/>
    <mergeCell ref="A42:H42"/>
    <mergeCell ref="A33:H33"/>
    <mergeCell ref="A34:H34"/>
    <mergeCell ref="A35:H35"/>
    <mergeCell ref="A36:H36"/>
    <mergeCell ref="A37:H37"/>
    <mergeCell ref="A28:H28"/>
    <mergeCell ref="A29:H29"/>
    <mergeCell ref="A30:H30"/>
    <mergeCell ref="A31:H31"/>
    <mergeCell ref="A32:H32"/>
    <mergeCell ref="A23:H23"/>
    <mergeCell ref="A24:H24"/>
    <mergeCell ref="A25:H25"/>
    <mergeCell ref="A26:H26"/>
    <mergeCell ref="A27:H27"/>
    <mergeCell ref="A18:H18"/>
    <mergeCell ref="A19:H19"/>
    <mergeCell ref="A20:H20"/>
    <mergeCell ref="A21:H21"/>
    <mergeCell ref="A22:H22"/>
    <mergeCell ref="A13:H13"/>
    <mergeCell ref="A14:H14"/>
    <mergeCell ref="A15:H15"/>
    <mergeCell ref="A16:H16"/>
    <mergeCell ref="A17:H17"/>
    <mergeCell ref="A8:H8"/>
    <mergeCell ref="A9:H9"/>
    <mergeCell ref="A10:H10"/>
    <mergeCell ref="A11:H11"/>
    <mergeCell ref="A12:H12"/>
    <mergeCell ref="A1:H1"/>
    <mergeCell ref="A2:B2"/>
    <mergeCell ref="C2:F2"/>
    <mergeCell ref="A6:H6"/>
    <mergeCell ref="A7:H7"/>
  </mergeCells>
  <phoneticPr fontId="7" type="noConversion"/>
  <pageMargins left="0.30555555555555558" right="0.30555555555555558" top="0.30555555555555558" bottom="0.30555555555555558" header="0.3" footer="0.3"/>
  <pageSetup paperSize="9" scale="8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A Bored Pile Checking</vt:lpstr>
      <vt:lpstr>A Socket H Checking</vt:lpstr>
      <vt:lpstr>A Driven H Checking</vt:lpstr>
      <vt:lpstr>A Mini Pile Checking</vt:lpstr>
      <vt:lpstr>Section A 抄</vt:lpstr>
      <vt:lpstr>B Bored Pile Checking</vt:lpstr>
      <vt:lpstr>B Socket H Checking</vt:lpstr>
      <vt:lpstr>Section B 抄</vt:lpstr>
      <vt:lpstr>'A Bored Pile Checking'!Print_Area</vt:lpstr>
      <vt:lpstr>'A Driven H Checking'!Print_Area</vt:lpstr>
      <vt:lpstr>'A Mini Pile Checking'!Print_Area</vt:lpstr>
      <vt:lpstr>'A Socket H Checking'!Print_Area</vt:lpstr>
      <vt:lpstr>'B Bored Pile Checking'!Print_Area</vt:lpstr>
      <vt:lpstr>'B Socket H Checking'!Print_Area</vt:lpstr>
      <vt:lpstr>'Section A 抄'!Print_Area</vt:lpstr>
      <vt:lpstr>'Section B 抄'!Print_Area</vt:lpstr>
      <vt:lpstr>'A Bored Pile Checking'!Print_Titles</vt:lpstr>
      <vt:lpstr>'A Driven H Checking'!Print_Titles</vt:lpstr>
      <vt:lpstr>'A Mini Pile Checking'!Print_Titles</vt:lpstr>
      <vt:lpstr>'A Socket H Checking'!Print_Titles</vt:lpstr>
      <vt:lpstr>'B Bored Pile Checking'!Print_Titles</vt:lpstr>
      <vt:lpstr>'B Socket H Checking'!Print_Titles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huangshengxiang6608@gmail.com</cp:lastModifiedBy>
  <cp:lastPrinted>2026-09-24T13:17:07Z</cp:lastPrinted>
  <dcterms:created xsi:type="dcterms:W3CDTF">2026-09-24T12:30:09Z</dcterms:created>
  <dcterms:modified xsi:type="dcterms:W3CDTF">2026-09-24T13:17:07Z</dcterms:modified>
</cp:coreProperties>
</file>