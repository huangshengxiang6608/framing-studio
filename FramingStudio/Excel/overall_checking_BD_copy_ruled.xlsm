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 Huang\Documents\ChatGPT\New project\outputs\01a076a6-5072-7732-af92-d31776c985bf\"/>
    </mc:Choice>
  </mc:AlternateContent>
  <xr:revisionPtr revIDLastSave="0" documentId="13_ncr:1_{228895F7-C4C6-46AA-A3C3-72C01061415F}" xr6:coauthVersionLast="47" xr6:coauthVersionMax="47" xr10:uidLastSave="{00000000-0000-0000-0000-000000000000}"/>
  <bookViews>
    <workbookView xWindow="-108" yWindow="-108" windowWidth="30936" windowHeight="16776" activeTab="6" xr2:uid="{00000000-000D-0000-FFFF-FFFF00000000}"/>
  </bookViews>
  <sheets>
    <sheet name="图形输入" sheetId="16" r:id="rId1"/>
    <sheet name="B-D 比较" sheetId="17" r:id="rId2"/>
    <sheet name="Wind Load Check" sheetId="1" r:id="rId3"/>
    <sheet name="Uplift Check" sheetId="3" r:id="rId4"/>
    <sheet name="Sliding Check" sheetId="4" r:id="rId5"/>
    <sheet name="Overturning Check" sheetId="2" r:id="rId6"/>
    <sheet name="抄" sheetId="5" r:id="rId7"/>
  </sheets>
  <functionGroups builtInGroupCount="19"/>
  <definedNames>
    <definedName name="_xleta.AVERAGE" hidden="1" xlm="1">#NAME?</definedName>
    <definedName name="_xlnm.Print_Area" localSheetId="1">'B-D 比较'!$B$2:$G$31</definedName>
    <definedName name="_xlnm.Print_Area" localSheetId="5">'Overturning Check'!$A$1:$G$46</definedName>
    <definedName name="_xlnm.Print_Area" localSheetId="4">'Sliding Check'!$A$1:$I$68</definedName>
    <definedName name="_xlnm.Print_Area" localSheetId="3">'Uplift Check'!$A$1:$L$54</definedName>
    <definedName name="_xlnm.Print_Area" localSheetId="2">'Wind Load Check'!$A$1:$F$52,'Wind Load Check'!$H$1:$T$123</definedName>
    <definedName name="_xlnm.Print_Area" localSheetId="6">抄!$A$5:$F$164</definedName>
    <definedName name="_xlnm.Print_Area" localSheetId="0">图形输入!$B$1:$AD$114</definedName>
    <definedName name="StoreyLever">'Wind Load Check'!$BM$24:INDEX('Wind Load Check'!$BM$24:$BM$123,MAX(1,COUNT('Wind Load Check'!$BL$24:$BL$123)))</definedName>
    <definedName name="StoreyPressure">'Wind Load Check'!$BK$24:INDEX('Wind Load Check'!$BK$24:$BK$123,MAX(1,COUNT('Wind Load Check'!$BL$24:$BL$123)))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5" i="5" l="1"/>
  <c r="E102" i="5"/>
  <c r="E99" i="5"/>
  <c r="E96" i="5"/>
  <c r="E93" i="5"/>
  <c r="E90" i="5"/>
  <c r="C105" i="5"/>
  <c r="C102" i="5"/>
  <c r="C99" i="5"/>
  <c r="C96" i="5"/>
  <c r="C93" i="5"/>
  <c r="C90" i="5"/>
  <c r="B37" i="3"/>
  <c r="B38" i="3" s="1"/>
  <c r="T15" i="16"/>
  <c r="T20" i="16"/>
  <c r="E15" i="16"/>
  <c r="E20" i="16"/>
  <c r="F22" i="2"/>
  <c r="E145" i="5"/>
  <c r="E144" i="5"/>
  <c r="E143" i="5"/>
  <c r="A116" i="5"/>
  <c r="A112" i="5"/>
  <c r="A86" i="5"/>
  <c r="A72" i="5"/>
  <c r="B23" i="1"/>
  <c r="B10" i="1" s="1"/>
  <c r="W2" i="16"/>
  <c r="H2" i="16"/>
  <c r="D36" i="2"/>
  <c r="D35" i="2"/>
  <c r="D34" i="2"/>
  <c r="D33" i="2"/>
  <c r="E142" i="5" s="1"/>
  <c r="D59" i="4"/>
  <c r="C22" i="4"/>
  <c r="B44" i="2"/>
  <c r="B66" i="4"/>
  <c r="D26" i="2"/>
  <c r="E133" i="5" s="1"/>
  <c r="D4" i="1"/>
  <c r="J30" i="3"/>
  <c r="B36" i="2" s="1"/>
  <c r="C36" i="2" s="1"/>
  <c r="D145" i="5" s="1"/>
  <c r="I30" i="3"/>
  <c r="B35" i="2" s="1"/>
  <c r="B144" i="5" s="1"/>
  <c r="H30" i="3"/>
  <c r="B34" i="2" s="1"/>
  <c r="B143" i="5" s="1"/>
  <c r="G30" i="3"/>
  <c r="B33" i="2" s="1"/>
  <c r="C33" i="2" s="1"/>
  <c r="D142" i="5" s="1"/>
  <c r="C35" i="3"/>
  <c r="B35" i="3"/>
  <c r="G14" i="4"/>
  <c r="G13" i="4"/>
  <c r="C32" i="3"/>
  <c r="B48" i="3" s="1"/>
  <c r="B50" i="3" s="1"/>
  <c r="C31" i="3"/>
  <c r="B32" i="3"/>
  <c r="B47" i="3" s="1"/>
  <c r="B49" i="3" s="1"/>
  <c r="B31" i="3"/>
  <c r="B7" i="4" s="1"/>
  <c r="A69" i="5" l="1"/>
  <c r="A63" i="5"/>
  <c r="A70" i="5"/>
  <c r="A71" i="5"/>
  <c r="B145" i="5"/>
  <c r="B142" i="5"/>
  <c r="A28" i="5"/>
  <c r="A7" i="5"/>
  <c r="AS78" i="1"/>
  <c r="B32" i="1"/>
  <c r="AS75" i="1"/>
  <c r="B30" i="1"/>
  <c r="AS68" i="1"/>
  <c r="AS77" i="1"/>
  <c r="AS76" i="1"/>
  <c r="B24" i="1"/>
  <c r="A16" i="5" s="1"/>
  <c r="AS73" i="1"/>
  <c r="B28" i="1"/>
  <c r="A20" i="5" s="1"/>
  <c r="AS72" i="1"/>
  <c r="B27" i="1"/>
  <c r="A19" i="5" s="1"/>
  <c r="AS71" i="1"/>
  <c r="B26" i="1"/>
  <c r="A18" i="5" s="1"/>
  <c r="AS86" i="1"/>
  <c r="AS70" i="1"/>
  <c r="B25" i="1"/>
  <c r="A17" i="5" s="1"/>
  <c r="AS85" i="1"/>
  <c r="AS83" i="1"/>
  <c r="AS80" i="1"/>
  <c r="Z7" i="1"/>
  <c r="AS79" i="1"/>
  <c r="AZ132" i="1"/>
  <c r="AS74" i="1"/>
  <c r="B29" i="1"/>
  <c r="A23" i="5" s="1"/>
  <c r="AS69" i="1"/>
  <c r="AS84" i="1"/>
  <c r="B21" i="1"/>
  <c r="AS67" i="1"/>
  <c r="AS66" i="1"/>
  <c r="AS81" i="1"/>
  <c r="AS82" i="1"/>
  <c r="E36" i="2"/>
  <c r="F145" i="5" s="1"/>
  <c r="C35" i="2"/>
  <c r="C34" i="2"/>
  <c r="E33" i="2"/>
  <c r="F142" i="5" s="1"/>
  <c r="C34" i="3"/>
  <c r="C33" i="3" s="1"/>
  <c r="B23" i="4"/>
  <c r="B7" i="3"/>
  <c r="B39" i="3"/>
  <c r="B51" i="3"/>
  <c r="A65" i="5" s="1"/>
  <c r="B36" i="3"/>
  <c r="B7" i="2"/>
  <c r="B34" i="3"/>
  <c r="B33" i="3" s="1"/>
  <c r="B12" i="3"/>
  <c r="B16" i="2" s="1"/>
  <c r="B11" i="3"/>
  <c r="B15" i="2" s="1"/>
  <c r="K30" i="3"/>
  <c r="A73" i="5" s="1"/>
  <c r="E35" i="2" l="1"/>
  <c r="F144" i="5" s="1"/>
  <c r="D144" i="5"/>
  <c r="E34" i="2"/>
  <c r="F143" i="5" s="1"/>
  <c r="D143" i="5"/>
  <c r="D32" i="1"/>
  <c r="A26" i="5"/>
  <c r="AZ131" i="1"/>
  <c r="K4" i="1" s="1"/>
  <c r="A67" i="2" s="1"/>
  <c r="A24" i="5"/>
  <c r="B33" i="1"/>
  <c r="A27" i="5" s="1"/>
  <c r="B31" i="1"/>
  <c r="B13" i="1"/>
  <c r="K10" i="1"/>
  <c r="B44" i="1"/>
  <c r="E30" i="1"/>
  <c r="D30" i="1"/>
  <c r="G42" i="4"/>
  <c r="G43" i="4" s="1"/>
  <c r="G44" i="4" s="1"/>
  <c r="G15" i="4"/>
  <c r="B52" i="3"/>
  <c r="B34" i="1" l="1"/>
  <c r="AV72" i="1" s="1"/>
  <c r="A25" i="5"/>
  <c r="B14" i="1"/>
  <c r="D33" i="1"/>
  <c r="AP2" i="1"/>
  <c r="B53" i="3"/>
  <c r="AV73" i="1" l="1"/>
  <c r="AV80" i="1"/>
  <c r="AV71" i="1"/>
  <c r="AV81" i="1"/>
  <c r="A29" i="5"/>
  <c r="AV74" i="1"/>
  <c r="AV68" i="1"/>
  <c r="AV83" i="1"/>
  <c r="AV67" i="1"/>
  <c r="AV70" i="1"/>
  <c r="D34" i="1"/>
  <c r="AV84" i="1"/>
  <c r="AV75" i="1"/>
  <c r="E34" i="1"/>
  <c r="AV79" i="1"/>
  <c r="AV78" i="1"/>
  <c r="AV69" i="1"/>
  <c r="AV66" i="1"/>
  <c r="AV85" i="1"/>
  <c r="AV82" i="1"/>
  <c r="AV86" i="1"/>
  <c r="AV77" i="1"/>
  <c r="AV76" i="1"/>
  <c r="B20" i="1"/>
  <c r="B19" i="1"/>
  <c r="K11" i="1"/>
  <c r="BD24" i="1"/>
  <c r="BO24" i="1"/>
  <c r="BM24" i="1" s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D32" i="2"/>
  <c r="E140" i="5" s="1"/>
  <c r="D31" i="2"/>
  <c r="E141" i="5" s="1"/>
  <c r="D25" i="2"/>
  <c r="E134" i="5" s="1"/>
  <c r="D24" i="2"/>
  <c r="E132" i="5" s="1"/>
  <c r="D23" i="2"/>
  <c r="E131" i="5" s="1"/>
  <c r="D22" i="2"/>
  <c r="E130" i="5" s="1"/>
  <c r="B6" i="2"/>
  <c r="B14" i="4"/>
  <c r="B6" i="4"/>
  <c r="D54" i="4" s="1"/>
  <c r="B10" i="3"/>
  <c r="B17" i="3" s="1"/>
  <c r="AR86" i="1"/>
  <c r="AT86" i="1" s="1"/>
  <c r="AR85" i="1"/>
  <c r="AR84" i="1"/>
  <c r="AT84" i="1" s="1"/>
  <c r="AR83" i="1"/>
  <c r="AR82" i="1"/>
  <c r="AT82" i="1" s="1"/>
  <c r="AR81" i="1"/>
  <c r="AR80" i="1"/>
  <c r="AT80" i="1" s="1"/>
  <c r="AR79" i="1"/>
  <c r="AR78" i="1"/>
  <c r="AT78" i="1" s="1"/>
  <c r="AR77" i="1"/>
  <c r="AR76" i="1"/>
  <c r="AT76" i="1" s="1"/>
  <c r="AR75" i="1"/>
  <c r="AR74" i="1"/>
  <c r="AT74" i="1" s="1"/>
  <c r="AR73" i="1"/>
  <c r="AR72" i="1"/>
  <c r="AT72" i="1" s="1"/>
  <c r="AR71" i="1"/>
  <c r="AR70" i="1"/>
  <c r="AT70" i="1" s="1"/>
  <c r="AR69" i="1"/>
  <c r="AR68" i="1"/>
  <c r="AT68" i="1" s="1"/>
  <c r="AR67" i="1"/>
  <c r="AY66" i="1"/>
  <c r="AX66" i="1"/>
  <c r="AR66" i="1"/>
  <c r="AT66" i="1" s="1"/>
  <c r="B43" i="1"/>
  <c r="BQ24" i="1" l="1"/>
  <c r="BR24" i="1"/>
  <c r="BI24" i="1"/>
  <c r="B20" i="3"/>
  <c r="C26" i="2"/>
  <c r="D133" i="5" s="1"/>
  <c r="A56" i="4"/>
  <c r="B60" i="4"/>
  <c r="D55" i="4"/>
  <c r="B43" i="4"/>
  <c r="A55" i="4"/>
  <c r="B42" i="4"/>
  <c r="G37" i="4"/>
  <c r="A54" i="4"/>
  <c r="D60" i="4"/>
  <c r="D58" i="4"/>
  <c r="D57" i="4"/>
  <c r="B37" i="4"/>
  <c r="B25" i="2"/>
  <c r="B134" i="5" s="1"/>
  <c r="C25" i="2"/>
  <c r="D134" i="5" s="1"/>
  <c r="BO25" i="1"/>
  <c r="BM25" i="1" s="1"/>
  <c r="AU82" i="1"/>
  <c r="AU66" i="1"/>
  <c r="AU80" i="1"/>
  <c r="AU74" i="1"/>
  <c r="AU73" i="1"/>
  <c r="AU77" i="1"/>
  <c r="AU76" i="1"/>
  <c r="AU75" i="1"/>
  <c r="AU72" i="1"/>
  <c r="AU86" i="1"/>
  <c r="AU70" i="1"/>
  <c r="AU84" i="1"/>
  <c r="AU68" i="1"/>
  <c r="AU78" i="1"/>
  <c r="B8" i="2"/>
  <c r="B8" i="4"/>
  <c r="G48" i="4" s="1"/>
  <c r="BO28" i="1"/>
  <c r="BM28" i="1" s="1"/>
  <c r="AP3" i="1"/>
  <c r="B35" i="1"/>
  <c r="B22" i="1"/>
  <c r="A9" i="5" s="1"/>
  <c r="BG24" i="1"/>
  <c r="BH24" i="1" s="1"/>
  <c r="AT83" i="1"/>
  <c r="AU83" i="1" s="1"/>
  <c r="AT69" i="1"/>
  <c r="AU69" i="1" s="1"/>
  <c r="AT73" i="1"/>
  <c r="AT77" i="1"/>
  <c r="AT81" i="1"/>
  <c r="AU81" i="1" s="1"/>
  <c r="AT67" i="1"/>
  <c r="AU67" i="1" s="1"/>
  <c r="AT85" i="1"/>
  <c r="AU85" i="1" s="1"/>
  <c r="AT71" i="1"/>
  <c r="AU71" i="1" s="1"/>
  <c r="AT75" i="1"/>
  <c r="AT79" i="1"/>
  <c r="AU79" i="1" s="1"/>
  <c r="B36" i="1" l="1"/>
  <c r="B65" i="4" s="1"/>
  <c r="A30" i="5"/>
  <c r="B33" i="4"/>
  <c r="C23" i="2" s="1"/>
  <c r="D131" i="5" s="1"/>
  <c r="BG25" i="1"/>
  <c r="BH25" i="1" s="1"/>
  <c r="BQ25" i="1"/>
  <c r="BI25" i="1"/>
  <c r="BR25" i="1"/>
  <c r="BR28" i="1"/>
  <c r="BQ28" i="1"/>
  <c r="BI28" i="1"/>
  <c r="D35" i="1"/>
  <c r="B64" i="2"/>
  <c r="B63" i="2"/>
  <c r="B48" i="4"/>
  <c r="B28" i="4"/>
  <c r="G33" i="4"/>
  <c r="C32" i="2" s="1"/>
  <c r="D140" i="5" s="1"/>
  <c r="B49" i="4"/>
  <c r="G50" i="4"/>
  <c r="G28" i="4"/>
  <c r="B32" i="4"/>
  <c r="G47" i="4"/>
  <c r="B47" i="4"/>
  <c r="G32" i="4"/>
  <c r="G49" i="4"/>
  <c r="B50" i="4"/>
  <c r="B44" i="4"/>
  <c r="B63" i="4"/>
  <c r="B64" i="4" s="1"/>
  <c r="BO29" i="1"/>
  <c r="BM29" i="1" s="1"/>
  <c r="BO26" i="1"/>
  <c r="BM26" i="1" s="1"/>
  <c r="E25" i="2"/>
  <c r="F134" i="5" s="1"/>
  <c r="AP1" i="1"/>
  <c r="AW74" i="1" s="1"/>
  <c r="BG28" i="1"/>
  <c r="BH28" i="1" s="1"/>
  <c r="BO32" i="1"/>
  <c r="BM32" i="1" s="1"/>
  <c r="BJ25" i="1"/>
  <c r="BJ24" i="1"/>
  <c r="AW80" i="1"/>
  <c r="B18" i="3"/>
  <c r="A33" i="5" l="1"/>
  <c r="A109" i="5"/>
  <c r="A118" i="5"/>
  <c r="G36" i="4"/>
  <c r="B36" i="4"/>
  <c r="BR29" i="1"/>
  <c r="BQ29" i="1"/>
  <c r="BI29" i="1"/>
  <c r="BQ26" i="1"/>
  <c r="BR26" i="1"/>
  <c r="BI26" i="1"/>
  <c r="BQ32" i="1"/>
  <c r="BR32" i="1"/>
  <c r="BI32" i="1"/>
  <c r="Z6" i="1"/>
  <c r="Z5" i="1"/>
  <c r="G29" i="4"/>
  <c r="C31" i="2" s="1"/>
  <c r="D141" i="5" s="1"/>
  <c r="G34" i="4"/>
  <c r="B32" i="2"/>
  <c r="B140" i="5" s="1"/>
  <c r="B58" i="4"/>
  <c r="B31" i="2"/>
  <c r="B141" i="5" s="1"/>
  <c r="B29" i="4"/>
  <c r="C24" i="2" s="1"/>
  <c r="D132" i="5" s="1"/>
  <c r="B24" i="2"/>
  <c r="B132" i="5" s="1"/>
  <c r="B34" i="4"/>
  <c r="B55" i="4"/>
  <c r="B23" i="2"/>
  <c r="BO27" i="1"/>
  <c r="BM27" i="1" s="1"/>
  <c r="BG26" i="1"/>
  <c r="BH26" i="1" s="1"/>
  <c r="BJ26" i="1" s="1"/>
  <c r="BO30" i="1"/>
  <c r="BM30" i="1" s="1"/>
  <c r="BH29" i="1"/>
  <c r="BG29" i="1"/>
  <c r="AW83" i="1"/>
  <c r="AW77" i="1"/>
  <c r="AW79" i="1"/>
  <c r="AY80" i="1" s="1"/>
  <c r="AW67" i="1"/>
  <c r="AW82" i="1"/>
  <c r="B19" i="3"/>
  <c r="A75" i="5" s="1"/>
  <c r="AW75" i="1"/>
  <c r="AX75" i="1" s="1"/>
  <c r="AW72" i="1"/>
  <c r="AW86" i="1"/>
  <c r="AW70" i="1"/>
  <c r="AW66" i="1"/>
  <c r="AW78" i="1"/>
  <c r="AW81" i="1"/>
  <c r="AY81" i="1" s="1"/>
  <c r="AW85" i="1"/>
  <c r="AW71" i="1"/>
  <c r="AW68" i="1"/>
  <c r="AW76" i="1"/>
  <c r="AW69" i="1"/>
  <c r="AW84" i="1"/>
  <c r="AW73" i="1"/>
  <c r="AY74" i="1" s="1"/>
  <c r="BJ29" i="1"/>
  <c r="BJ28" i="1"/>
  <c r="BO33" i="1"/>
  <c r="BM33" i="1" s="1"/>
  <c r="BG32" i="1"/>
  <c r="BH32" i="1"/>
  <c r="BJ32" i="1" s="1"/>
  <c r="BK32" i="1" s="1"/>
  <c r="BL32" i="1" s="1"/>
  <c r="BN32" i="1" s="1"/>
  <c r="BK25" i="1"/>
  <c r="BL25" i="1" s="1"/>
  <c r="BN25" i="1" s="1"/>
  <c r="BK24" i="1"/>
  <c r="BL24" i="1" s="1"/>
  <c r="BN24" i="1" s="1"/>
  <c r="BK26" i="1"/>
  <c r="BL26" i="1" s="1"/>
  <c r="BN26" i="1" s="1"/>
  <c r="BK29" i="1"/>
  <c r="BL29" i="1" s="1"/>
  <c r="BN29" i="1" s="1"/>
  <c r="BK28" i="1"/>
  <c r="BL28" i="1" s="1"/>
  <c r="BN28" i="1" s="1"/>
  <c r="B56" i="4" l="1"/>
  <c r="E23" i="2"/>
  <c r="F131" i="5" s="1"/>
  <c r="B131" i="5"/>
  <c r="B38" i="4"/>
  <c r="B26" i="2"/>
  <c r="B133" i="5" s="1"/>
  <c r="G38" i="4"/>
  <c r="BR33" i="1"/>
  <c r="BQ33" i="1"/>
  <c r="BI33" i="1"/>
  <c r="BK30" i="1"/>
  <c r="BL30" i="1" s="1"/>
  <c r="BN30" i="1" s="1"/>
  <c r="BQ30" i="1"/>
  <c r="BR30" i="1"/>
  <c r="BI30" i="1"/>
  <c r="BK27" i="1"/>
  <c r="BL27" i="1" s="1"/>
  <c r="BN27" i="1" s="1"/>
  <c r="BQ27" i="1"/>
  <c r="BR27" i="1"/>
  <c r="BI27" i="1"/>
  <c r="G30" i="4"/>
  <c r="B30" i="4"/>
  <c r="E32" i="2"/>
  <c r="F140" i="5" s="1"/>
  <c r="AX68" i="1"/>
  <c r="BO31" i="1"/>
  <c r="BM31" i="1" s="1"/>
  <c r="BG30" i="1"/>
  <c r="BH30" i="1" s="1"/>
  <c r="BJ30" i="1" s="1"/>
  <c r="E31" i="2"/>
  <c r="F141" i="5" s="1"/>
  <c r="BG27" i="1"/>
  <c r="BH27" i="1"/>
  <c r="BJ27" i="1"/>
  <c r="AY68" i="1"/>
  <c r="AX84" i="1"/>
  <c r="AY83" i="1"/>
  <c r="AX81" i="1"/>
  <c r="AX80" i="1"/>
  <c r="AY75" i="1"/>
  <c r="AY67" i="1"/>
  <c r="AX70" i="1"/>
  <c r="AY82" i="1"/>
  <c r="AY86" i="1"/>
  <c r="AX72" i="1"/>
  <c r="AX77" i="1"/>
  <c r="AX73" i="1"/>
  <c r="AX67" i="1"/>
  <c r="AY85" i="1"/>
  <c r="AX82" i="1"/>
  <c r="AX83" i="1"/>
  <c r="AX76" i="1"/>
  <c r="AY69" i="1"/>
  <c r="AX85" i="1"/>
  <c r="AY79" i="1"/>
  <c r="AY72" i="1"/>
  <c r="AY84" i="1"/>
  <c r="AY77" i="1"/>
  <c r="AX86" i="1"/>
  <c r="AX69" i="1"/>
  <c r="AX71" i="1"/>
  <c r="AY76" i="1"/>
  <c r="AY71" i="1"/>
  <c r="E24" i="2"/>
  <c r="F132" i="5" s="1"/>
  <c r="AY73" i="1"/>
  <c r="AY70" i="1"/>
  <c r="AX79" i="1"/>
  <c r="AX78" i="1"/>
  <c r="AX74" i="1"/>
  <c r="AY78" i="1"/>
  <c r="BO34" i="1"/>
  <c r="BM34" i="1" s="1"/>
  <c r="BG33" i="1"/>
  <c r="BH33" i="1" s="1"/>
  <c r="BP24" i="1"/>
  <c r="BP29" i="1"/>
  <c r="BP32" i="1"/>
  <c r="BP25" i="1"/>
  <c r="BP28" i="1"/>
  <c r="BP26" i="1"/>
  <c r="E26" i="2" l="1"/>
  <c r="F133" i="5" s="1"/>
  <c r="BP30" i="1"/>
  <c r="BP27" i="1"/>
  <c r="BQ31" i="1"/>
  <c r="BR31" i="1"/>
  <c r="BI31" i="1"/>
  <c r="BQ34" i="1"/>
  <c r="BR34" i="1"/>
  <c r="BI34" i="1"/>
  <c r="E37" i="2"/>
  <c r="BG31" i="1"/>
  <c r="BH31" i="1" s="1"/>
  <c r="BK31" i="1"/>
  <c r="BL31" i="1" s="1"/>
  <c r="BN31" i="1" s="1"/>
  <c r="BJ31" i="1"/>
  <c r="BJ33" i="1"/>
  <c r="BK33" i="1" s="1"/>
  <c r="BL33" i="1" s="1"/>
  <c r="BO35" i="1"/>
  <c r="BM35" i="1" s="1"/>
  <c r="BG34" i="1"/>
  <c r="BH34" i="1" s="1"/>
  <c r="Z3" i="1"/>
  <c r="BP33" i="1" l="1"/>
  <c r="BN33" i="1"/>
  <c r="BQ35" i="1"/>
  <c r="BR35" i="1"/>
  <c r="BI35" i="1"/>
  <c r="B42" i="2"/>
  <c r="D146" i="5" s="1"/>
  <c r="Z8" i="1"/>
  <c r="BP31" i="1"/>
  <c r="BJ34" i="1"/>
  <c r="BK34" i="1" s="1"/>
  <c r="BL34" i="1" s="1"/>
  <c r="BN34" i="1" s="1"/>
  <c r="BO36" i="1"/>
  <c r="BM36" i="1" s="1"/>
  <c r="BG35" i="1"/>
  <c r="BH35" i="1" s="1"/>
  <c r="AX87" i="1"/>
  <c r="AY87" i="1"/>
  <c r="Z4" i="1"/>
  <c r="BQ36" i="1" l="1"/>
  <c r="BR36" i="1"/>
  <c r="BI36" i="1"/>
  <c r="K8" i="1"/>
  <c r="K9" i="1"/>
  <c r="BP34" i="1"/>
  <c r="BJ35" i="1"/>
  <c r="BK35" i="1" s="1"/>
  <c r="BL35" i="1" s="1"/>
  <c r="BO37" i="1"/>
  <c r="BM37" i="1" s="1"/>
  <c r="BG36" i="1"/>
  <c r="BH36" i="1" s="1"/>
  <c r="BP35" i="1" l="1"/>
  <c r="BN35" i="1"/>
  <c r="BR37" i="1"/>
  <c r="BQ37" i="1"/>
  <c r="BI37" i="1"/>
  <c r="BJ36" i="1"/>
  <c r="BK36" i="1" s="1"/>
  <c r="BL36" i="1" s="1"/>
  <c r="BN36" i="1" s="1"/>
  <c r="BO38" i="1"/>
  <c r="BM38" i="1" s="1"/>
  <c r="BG37" i="1"/>
  <c r="BH37" i="1" s="1"/>
  <c r="A47" i="1"/>
  <c r="BQ38" i="1" l="1"/>
  <c r="BR38" i="1"/>
  <c r="BI38" i="1"/>
  <c r="BJ37" i="1"/>
  <c r="BK37" i="1" s="1"/>
  <c r="BL37" i="1" s="1"/>
  <c r="BN37" i="1" s="1"/>
  <c r="BP36" i="1"/>
  <c r="BO39" i="1"/>
  <c r="BM39" i="1" s="1"/>
  <c r="BG38" i="1"/>
  <c r="BH38" i="1" s="1"/>
  <c r="BR39" i="1" l="1"/>
  <c r="BQ39" i="1"/>
  <c r="BI39" i="1"/>
  <c r="BP37" i="1"/>
  <c r="BJ38" i="1"/>
  <c r="BK38" i="1" s="1"/>
  <c r="BL38" i="1" s="1"/>
  <c r="BN38" i="1" s="1"/>
  <c r="BG39" i="1"/>
  <c r="BO40" i="1"/>
  <c r="BM40" i="1" s="1"/>
  <c r="BH39" i="1"/>
  <c r="BJ39" i="1" s="1"/>
  <c r="BQ40" i="1" l="1"/>
  <c r="BR40" i="1"/>
  <c r="BI40" i="1"/>
  <c r="BK39" i="1"/>
  <c r="BL39" i="1" s="1"/>
  <c r="BN39" i="1" s="1"/>
  <c r="BP38" i="1"/>
  <c r="BO41" i="1"/>
  <c r="BM41" i="1" s="1"/>
  <c r="BG40" i="1"/>
  <c r="BH40" i="1" s="1"/>
  <c r="BR41" i="1" l="1"/>
  <c r="BQ41" i="1"/>
  <c r="BI41" i="1"/>
  <c r="BP39" i="1"/>
  <c r="BJ40" i="1"/>
  <c r="BK40" i="1" s="1"/>
  <c r="BL40" i="1" s="1"/>
  <c r="BO42" i="1"/>
  <c r="BM42" i="1" s="1"/>
  <c r="BG41" i="1"/>
  <c r="BH41" i="1" s="1"/>
  <c r="BP40" i="1" l="1"/>
  <c r="BN40" i="1"/>
  <c r="BR42" i="1"/>
  <c r="BQ42" i="1"/>
  <c r="BI42" i="1"/>
  <c r="BJ41" i="1"/>
  <c r="BK41" i="1" s="1"/>
  <c r="BL41" i="1" s="1"/>
  <c r="BO43" i="1"/>
  <c r="BM43" i="1" s="1"/>
  <c r="BG42" i="1"/>
  <c r="BH42" i="1" s="1"/>
  <c r="BP41" i="1" l="1"/>
  <c r="BN41" i="1"/>
  <c r="BR43" i="1"/>
  <c r="BQ43" i="1"/>
  <c r="BI43" i="1"/>
  <c r="BJ42" i="1"/>
  <c r="BK42" i="1" s="1"/>
  <c r="BL42" i="1" s="1"/>
  <c r="BN42" i="1" s="1"/>
  <c r="BO44" i="1"/>
  <c r="BM44" i="1" s="1"/>
  <c r="BG43" i="1"/>
  <c r="BH43" i="1" s="1"/>
  <c r="BR44" i="1" l="1"/>
  <c r="BQ44" i="1"/>
  <c r="BI44" i="1"/>
  <c r="BJ43" i="1"/>
  <c r="BK43" i="1" s="1"/>
  <c r="BL43" i="1" s="1"/>
  <c r="BN43" i="1" s="1"/>
  <c r="BP42" i="1"/>
  <c r="BO45" i="1"/>
  <c r="BM45" i="1" s="1"/>
  <c r="BG44" i="1"/>
  <c r="BH44" i="1" s="1"/>
  <c r="BQ45" i="1" l="1"/>
  <c r="BR45" i="1"/>
  <c r="BI45" i="1"/>
  <c r="BJ44" i="1"/>
  <c r="BK44" i="1" s="1"/>
  <c r="BL44" i="1" s="1"/>
  <c r="BN44" i="1" s="1"/>
  <c r="BP43" i="1"/>
  <c r="BO46" i="1"/>
  <c r="BM46" i="1" s="1"/>
  <c r="BG45" i="1"/>
  <c r="BH45" i="1" s="1"/>
  <c r="BR46" i="1" l="1"/>
  <c r="BQ46" i="1"/>
  <c r="BI46" i="1"/>
  <c r="BJ45" i="1"/>
  <c r="BK45" i="1" s="1"/>
  <c r="BL45" i="1" s="1"/>
  <c r="BP44" i="1"/>
  <c r="BO47" i="1"/>
  <c r="BM47" i="1" s="1"/>
  <c r="BG46" i="1"/>
  <c r="BH46" i="1" s="1"/>
  <c r="BP45" i="1" l="1"/>
  <c r="BN45" i="1"/>
  <c r="BR47" i="1"/>
  <c r="BQ47" i="1"/>
  <c r="BI47" i="1"/>
  <c r="BJ46" i="1"/>
  <c r="BK46" i="1" s="1"/>
  <c r="BL46" i="1" s="1"/>
  <c r="BN46" i="1" s="1"/>
  <c r="BO48" i="1"/>
  <c r="BM48" i="1" s="1"/>
  <c r="BG47" i="1"/>
  <c r="BH47" i="1"/>
  <c r="BJ47" i="1" s="1"/>
  <c r="BR48" i="1" l="1"/>
  <c r="BQ48" i="1"/>
  <c r="BI48" i="1"/>
  <c r="BK47" i="1"/>
  <c r="BL47" i="1" s="1"/>
  <c r="BN47" i="1" s="1"/>
  <c r="BP46" i="1"/>
  <c r="BO49" i="1"/>
  <c r="BM49" i="1" s="1"/>
  <c r="BG48" i="1"/>
  <c r="BH48" i="1" s="1"/>
  <c r="BR49" i="1" l="1"/>
  <c r="BQ49" i="1"/>
  <c r="BI49" i="1"/>
  <c r="BJ48" i="1"/>
  <c r="BK48" i="1" s="1"/>
  <c r="BL48" i="1" s="1"/>
  <c r="BP47" i="1"/>
  <c r="BO50" i="1"/>
  <c r="BM50" i="1" s="1"/>
  <c r="BG49" i="1"/>
  <c r="BH49" i="1" s="1"/>
  <c r="BP48" i="1" l="1"/>
  <c r="BN48" i="1"/>
  <c r="BQ50" i="1"/>
  <c r="BR50" i="1"/>
  <c r="BI50" i="1"/>
  <c r="BJ49" i="1"/>
  <c r="BK49" i="1" s="1"/>
  <c r="BL49" i="1" s="1"/>
  <c r="BO51" i="1"/>
  <c r="BM51" i="1" s="1"/>
  <c r="BG50" i="1"/>
  <c r="BH50" i="1" s="1"/>
  <c r="BP49" i="1" l="1"/>
  <c r="BN49" i="1"/>
  <c r="BR51" i="1"/>
  <c r="BQ51" i="1"/>
  <c r="BI51" i="1"/>
  <c r="BJ50" i="1"/>
  <c r="BK50" i="1" s="1"/>
  <c r="BL50" i="1" s="1"/>
  <c r="BO52" i="1"/>
  <c r="BM52" i="1" s="1"/>
  <c r="BG51" i="1"/>
  <c r="BH51" i="1" s="1"/>
  <c r="BJ51" i="1" s="1"/>
  <c r="BP50" i="1" l="1"/>
  <c r="BN50" i="1"/>
  <c r="BQ52" i="1"/>
  <c r="BR52" i="1"/>
  <c r="BI52" i="1"/>
  <c r="BK51" i="1"/>
  <c r="BL51" i="1" s="1"/>
  <c r="BO53" i="1"/>
  <c r="BM53" i="1" s="1"/>
  <c r="BG52" i="1"/>
  <c r="BH52" i="1" s="1"/>
  <c r="BP51" i="1" l="1"/>
  <c r="BN51" i="1"/>
  <c r="BR53" i="1"/>
  <c r="BQ53" i="1"/>
  <c r="BI53" i="1"/>
  <c r="BJ52" i="1"/>
  <c r="BK52" i="1" s="1"/>
  <c r="BL52" i="1" s="1"/>
  <c r="BO54" i="1"/>
  <c r="BM54" i="1" s="1"/>
  <c r="BG53" i="1"/>
  <c r="BH53" i="1" s="1"/>
  <c r="BP52" i="1" l="1"/>
  <c r="BN52" i="1"/>
  <c r="BQ54" i="1"/>
  <c r="BR54" i="1"/>
  <c r="BI54" i="1"/>
  <c r="BJ53" i="1"/>
  <c r="BK53" i="1" s="1"/>
  <c r="BL53" i="1" s="1"/>
  <c r="BN53" i="1" s="1"/>
  <c r="BO55" i="1"/>
  <c r="BM55" i="1" s="1"/>
  <c r="BG54" i="1"/>
  <c r="BH54" i="1" s="1"/>
  <c r="BQ55" i="1" l="1"/>
  <c r="BR55" i="1"/>
  <c r="BI55" i="1"/>
  <c r="BJ54" i="1"/>
  <c r="BK54" i="1" s="1"/>
  <c r="BL54" i="1" s="1"/>
  <c r="BN54" i="1" s="1"/>
  <c r="BP53" i="1"/>
  <c r="BO56" i="1"/>
  <c r="BM56" i="1" s="1"/>
  <c r="BG55" i="1"/>
  <c r="BH55" i="1" s="1"/>
  <c r="BR56" i="1" l="1"/>
  <c r="BQ56" i="1"/>
  <c r="BI56" i="1"/>
  <c r="BP54" i="1"/>
  <c r="BJ55" i="1"/>
  <c r="BK55" i="1" s="1"/>
  <c r="BL55" i="1" s="1"/>
  <c r="BN55" i="1" s="1"/>
  <c r="BO57" i="1"/>
  <c r="BM57" i="1" s="1"/>
  <c r="BG56" i="1"/>
  <c r="BH56" i="1" s="1"/>
  <c r="BR57" i="1" l="1"/>
  <c r="BQ57" i="1"/>
  <c r="BI57" i="1"/>
  <c r="BJ56" i="1"/>
  <c r="BK56" i="1" s="1"/>
  <c r="BL56" i="1" s="1"/>
  <c r="BP55" i="1"/>
  <c r="BO58" i="1"/>
  <c r="BM58" i="1" s="1"/>
  <c r="BG57" i="1"/>
  <c r="BH57" i="1" s="1"/>
  <c r="BP56" i="1" l="1"/>
  <c r="BN56" i="1"/>
  <c r="BQ58" i="1"/>
  <c r="BR58" i="1"/>
  <c r="BI58" i="1"/>
  <c r="BJ57" i="1"/>
  <c r="BK57" i="1" s="1"/>
  <c r="BL57" i="1" s="1"/>
  <c r="BN57" i="1" s="1"/>
  <c r="BG58" i="1"/>
  <c r="BO59" i="1"/>
  <c r="BM59" i="1" s="1"/>
  <c r="BH58" i="1"/>
  <c r="BJ58" i="1" s="1"/>
  <c r="BQ59" i="1" l="1"/>
  <c r="BR59" i="1"/>
  <c r="BI59" i="1"/>
  <c r="BK58" i="1"/>
  <c r="BL58" i="1" s="1"/>
  <c r="BN58" i="1" s="1"/>
  <c r="BP57" i="1"/>
  <c r="BO60" i="1"/>
  <c r="BM60" i="1" s="1"/>
  <c r="BG59" i="1"/>
  <c r="BH59" i="1" s="1"/>
  <c r="BQ60" i="1" l="1"/>
  <c r="BR60" i="1"/>
  <c r="BI60" i="1"/>
  <c r="BP58" i="1"/>
  <c r="BJ59" i="1"/>
  <c r="BK59" i="1" s="1"/>
  <c r="BL59" i="1" s="1"/>
  <c r="BO61" i="1"/>
  <c r="BM61" i="1" s="1"/>
  <c r="BG60" i="1"/>
  <c r="BH60" i="1" s="1"/>
  <c r="BP59" i="1" l="1"/>
  <c r="BN59" i="1"/>
  <c r="BR61" i="1"/>
  <c r="BQ61" i="1"/>
  <c r="BI61" i="1"/>
  <c r="BJ60" i="1"/>
  <c r="BK60" i="1" s="1"/>
  <c r="BL60" i="1" s="1"/>
  <c r="BN60" i="1" s="1"/>
  <c r="BO62" i="1"/>
  <c r="BM62" i="1" s="1"/>
  <c r="BG61" i="1"/>
  <c r="BH61" i="1" s="1"/>
  <c r="BQ62" i="1" l="1"/>
  <c r="BR62" i="1"/>
  <c r="BI62" i="1"/>
  <c r="BJ61" i="1"/>
  <c r="BK61" i="1" s="1"/>
  <c r="BL61" i="1" s="1"/>
  <c r="BP60" i="1"/>
  <c r="BO63" i="1"/>
  <c r="BM63" i="1" s="1"/>
  <c r="BG62" i="1"/>
  <c r="BH62" i="1" s="1"/>
  <c r="BP61" i="1" l="1"/>
  <c r="BN61" i="1"/>
  <c r="BR63" i="1"/>
  <c r="BQ63" i="1"/>
  <c r="BI63" i="1"/>
  <c r="BJ62" i="1"/>
  <c r="BK62" i="1" s="1"/>
  <c r="BL62" i="1" s="1"/>
  <c r="BN62" i="1" s="1"/>
  <c r="BO64" i="1"/>
  <c r="BM64" i="1" s="1"/>
  <c r="BG63" i="1"/>
  <c r="BH63" i="1" s="1"/>
  <c r="BR64" i="1" l="1"/>
  <c r="BQ64" i="1"/>
  <c r="BI64" i="1"/>
  <c r="BP62" i="1"/>
  <c r="BJ63" i="1"/>
  <c r="BK63" i="1" s="1"/>
  <c r="BL63" i="1" s="1"/>
  <c r="BO65" i="1"/>
  <c r="BM65" i="1" s="1"/>
  <c r="BG64" i="1"/>
  <c r="BH64" i="1" s="1"/>
  <c r="BJ64" i="1" s="1"/>
  <c r="BP63" i="1" l="1"/>
  <c r="BN63" i="1"/>
  <c r="BR65" i="1"/>
  <c r="BQ65" i="1"/>
  <c r="BI65" i="1"/>
  <c r="BK64" i="1"/>
  <c r="BL64" i="1" s="1"/>
  <c r="BO66" i="1"/>
  <c r="BM66" i="1" s="1"/>
  <c r="BG65" i="1"/>
  <c r="BH65" i="1" s="1"/>
  <c r="BP64" i="1" l="1"/>
  <c r="BN64" i="1"/>
  <c r="BQ66" i="1"/>
  <c r="BR66" i="1"/>
  <c r="BI66" i="1"/>
  <c r="BJ65" i="1"/>
  <c r="BK65" i="1" s="1"/>
  <c r="BL65" i="1" s="1"/>
  <c r="BN65" i="1" s="1"/>
  <c r="BO67" i="1"/>
  <c r="BM67" i="1" s="1"/>
  <c r="BG66" i="1"/>
  <c r="BH66" i="1"/>
  <c r="BJ66" i="1" s="1"/>
  <c r="BQ67" i="1" l="1"/>
  <c r="BR67" i="1"/>
  <c r="BI67" i="1"/>
  <c r="BK66" i="1"/>
  <c r="BL66" i="1" s="1"/>
  <c r="BP65" i="1"/>
  <c r="BO68" i="1"/>
  <c r="BM68" i="1" s="1"/>
  <c r="BG67" i="1"/>
  <c r="BH67" i="1" s="1"/>
  <c r="BP66" i="1" l="1"/>
  <c r="BN66" i="1"/>
  <c r="BQ68" i="1"/>
  <c r="BR68" i="1"/>
  <c r="BI68" i="1"/>
  <c r="BJ67" i="1"/>
  <c r="BK67" i="1" s="1"/>
  <c r="BL67" i="1" s="1"/>
  <c r="BO69" i="1"/>
  <c r="BM69" i="1" s="1"/>
  <c r="BG68" i="1"/>
  <c r="BH68" i="1" s="1"/>
  <c r="BJ68" i="1" s="1"/>
  <c r="BP67" i="1" l="1"/>
  <c r="BN67" i="1"/>
  <c r="BQ69" i="1"/>
  <c r="BR69" i="1"/>
  <c r="BI69" i="1"/>
  <c r="BK68" i="1"/>
  <c r="BL68" i="1" s="1"/>
  <c r="BO70" i="1"/>
  <c r="BM70" i="1" s="1"/>
  <c r="BG69" i="1"/>
  <c r="BH69" i="1"/>
  <c r="BJ69" i="1" s="1"/>
  <c r="BP68" i="1" l="1"/>
  <c r="BN68" i="1"/>
  <c r="BR70" i="1"/>
  <c r="BQ70" i="1"/>
  <c r="BI70" i="1"/>
  <c r="BK69" i="1"/>
  <c r="BL69" i="1" s="1"/>
  <c r="BO71" i="1"/>
  <c r="BM71" i="1" s="1"/>
  <c r="BG70" i="1"/>
  <c r="BH70" i="1" s="1"/>
  <c r="BP69" i="1" l="1"/>
  <c r="BN69" i="1"/>
  <c r="BR71" i="1"/>
  <c r="BQ71" i="1"/>
  <c r="BI71" i="1"/>
  <c r="BJ70" i="1"/>
  <c r="BK70" i="1" s="1"/>
  <c r="BL70" i="1" s="1"/>
  <c r="BN70" i="1" s="1"/>
  <c r="BO72" i="1"/>
  <c r="BM72" i="1" s="1"/>
  <c r="BG71" i="1"/>
  <c r="BH71" i="1" s="1"/>
  <c r="BQ72" i="1" l="1"/>
  <c r="BR72" i="1"/>
  <c r="BI72" i="1"/>
  <c r="BP70" i="1"/>
  <c r="BJ71" i="1"/>
  <c r="BK71" i="1" s="1"/>
  <c r="BL71" i="1" s="1"/>
  <c r="BO73" i="1"/>
  <c r="BM73" i="1" s="1"/>
  <c r="BG72" i="1"/>
  <c r="BH72" i="1" s="1"/>
  <c r="BJ72" i="1" s="1"/>
  <c r="BP71" i="1" l="1"/>
  <c r="BN71" i="1"/>
  <c r="BQ73" i="1"/>
  <c r="BR73" i="1"/>
  <c r="BI73" i="1"/>
  <c r="BK72" i="1"/>
  <c r="BL72" i="1" s="1"/>
  <c r="BO74" i="1"/>
  <c r="BM74" i="1" s="1"/>
  <c r="BG73" i="1"/>
  <c r="BH73" i="1" s="1"/>
  <c r="BP72" i="1" l="1"/>
  <c r="BN72" i="1"/>
  <c r="BQ74" i="1"/>
  <c r="BR74" i="1"/>
  <c r="BI74" i="1"/>
  <c r="BJ73" i="1"/>
  <c r="BK73" i="1" s="1"/>
  <c r="BL73" i="1" s="1"/>
  <c r="BN73" i="1" s="1"/>
  <c r="BO75" i="1"/>
  <c r="BM75" i="1" s="1"/>
  <c r="BG74" i="1"/>
  <c r="BH74" i="1" s="1"/>
  <c r="BR75" i="1" l="1"/>
  <c r="BQ75" i="1"/>
  <c r="BI75" i="1"/>
  <c r="BJ74" i="1"/>
  <c r="BK74" i="1" s="1"/>
  <c r="BL74" i="1" s="1"/>
  <c r="BN74" i="1" s="1"/>
  <c r="BP73" i="1"/>
  <c r="BO76" i="1"/>
  <c r="BM76" i="1" s="1"/>
  <c r="BG75" i="1"/>
  <c r="BH75" i="1" s="1"/>
  <c r="BQ76" i="1" l="1"/>
  <c r="BR76" i="1"/>
  <c r="BI76" i="1"/>
  <c r="BJ75" i="1"/>
  <c r="BK75" i="1" s="1"/>
  <c r="BL75" i="1" s="1"/>
  <c r="BP74" i="1"/>
  <c r="BO77" i="1"/>
  <c r="BM77" i="1" s="1"/>
  <c r="BG76" i="1"/>
  <c r="BH76" i="1" s="1"/>
  <c r="BP75" i="1" l="1"/>
  <c r="BN75" i="1"/>
  <c r="BR77" i="1"/>
  <c r="BQ77" i="1"/>
  <c r="BI77" i="1"/>
  <c r="BJ76" i="1"/>
  <c r="BK76" i="1" s="1"/>
  <c r="BL76" i="1" s="1"/>
  <c r="BN76" i="1" s="1"/>
  <c r="BG77" i="1"/>
  <c r="BO78" i="1"/>
  <c r="BM78" i="1" s="1"/>
  <c r="BH77" i="1"/>
  <c r="BJ77" i="1" s="1"/>
  <c r="BR78" i="1" l="1"/>
  <c r="BQ78" i="1"/>
  <c r="BI78" i="1"/>
  <c r="BK77" i="1"/>
  <c r="BL77" i="1" s="1"/>
  <c r="BP76" i="1"/>
  <c r="BO79" i="1"/>
  <c r="BM79" i="1" s="1"/>
  <c r="BG78" i="1"/>
  <c r="BH78" i="1" s="1"/>
  <c r="BP77" i="1" l="1"/>
  <c r="BN77" i="1"/>
  <c r="BQ79" i="1"/>
  <c r="BR79" i="1"/>
  <c r="BI79" i="1"/>
  <c r="BJ78" i="1"/>
  <c r="BK78" i="1" s="1"/>
  <c r="BL78" i="1" s="1"/>
  <c r="BN78" i="1" s="1"/>
  <c r="BO80" i="1"/>
  <c r="BM80" i="1" s="1"/>
  <c r="BG79" i="1"/>
  <c r="BH79" i="1" s="1"/>
  <c r="BQ80" i="1" l="1"/>
  <c r="BR80" i="1"/>
  <c r="BI80" i="1"/>
  <c r="BJ79" i="1"/>
  <c r="BK79" i="1" s="1"/>
  <c r="BL79" i="1" s="1"/>
  <c r="BP78" i="1"/>
  <c r="BG80" i="1"/>
  <c r="BO81" i="1"/>
  <c r="BM81" i="1" s="1"/>
  <c r="BH80" i="1"/>
  <c r="BP79" i="1" l="1"/>
  <c r="BN79" i="1"/>
  <c r="BR81" i="1"/>
  <c r="BQ81" i="1"/>
  <c r="BI81" i="1"/>
  <c r="BJ80" i="1"/>
  <c r="BK80" i="1" s="1"/>
  <c r="BL80" i="1" s="1"/>
  <c r="BO82" i="1"/>
  <c r="BM82" i="1" s="1"/>
  <c r="BG81" i="1"/>
  <c r="BH81" i="1" s="1"/>
  <c r="BJ81" i="1" s="1"/>
  <c r="BP80" i="1" l="1"/>
  <c r="BN80" i="1"/>
  <c r="BQ82" i="1"/>
  <c r="BR82" i="1"/>
  <c r="BI82" i="1"/>
  <c r="BK81" i="1"/>
  <c r="BL81" i="1" s="1"/>
  <c r="BG82" i="1"/>
  <c r="BO83" i="1"/>
  <c r="BM83" i="1" s="1"/>
  <c r="BH82" i="1"/>
  <c r="BP81" i="1" l="1"/>
  <c r="BN81" i="1"/>
  <c r="BQ83" i="1"/>
  <c r="BR83" i="1"/>
  <c r="BI83" i="1"/>
  <c r="BJ82" i="1"/>
  <c r="BK82" i="1" s="1"/>
  <c r="BL82" i="1" s="1"/>
  <c r="BN82" i="1" s="1"/>
  <c r="BO84" i="1"/>
  <c r="BM84" i="1" s="1"/>
  <c r="BG83" i="1"/>
  <c r="BH83" i="1" s="1"/>
  <c r="BQ84" i="1" l="1"/>
  <c r="BR84" i="1"/>
  <c r="BI84" i="1"/>
  <c r="BP82" i="1"/>
  <c r="BJ83" i="1"/>
  <c r="BK83" i="1" s="1"/>
  <c r="BL83" i="1" s="1"/>
  <c r="BN83" i="1" s="1"/>
  <c r="BO85" i="1"/>
  <c r="BM85" i="1" s="1"/>
  <c r="BG84" i="1"/>
  <c r="BH84" i="1" s="1"/>
  <c r="BJ84" i="1" s="1"/>
  <c r="BR85" i="1" l="1"/>
  <c r="BQ85" i="1"/>
  <c r="BI85" i="1"/>
  <c r="BK84" i="1"/>
  <c r="BL84" i="1" s="1"/>
  <c r="BP83" i="1"/>
  <c r="BO86" i="1"/>
  <c r="BM86" i="1" s="1"/>
  <c r="BG85" i="1"/>
  <c r="BH85" i="1" s="1"/>
  <c r="BP84" i="1" l="1"/>
  <c r="BN84" i="1"/>
  <c r="BR86" i="1"/>
  <c r="BQ86" i="1"/>
  <c r="BI86" i="1"/>
  <c r="BJ85" i="1"/>
  <c r="BK85" i="1" s="1"/>
  <c r="BL85" i="1" s="1"/>
  <c r="BO87" i="1"/>
  <c r="BM87" i="1" s="1"/>
  <c r="BG86" i="1"/>
  <c r="BH86" i="1" s="1"/>
  <c r="BP85" i="1" l="1"/>
  <c r="BN85" i="1"/>
  <c r="BQ87" i="1"/>
  <c r="BR87" i="1"/>
  <c r="BI87" i="1"/>
  <c r="BJ86" i="1"/>
  <c r="BK86" i="1" s="1"/>
  <c r="BL86" i="1" s="1"/>
  <c r="BN86" i="1" s="1"/>
  <c r="BO88" i="1"/>
  <c r="BM88" i="1" s="1"/>
  <c r="BG87" i="1"/>
  <c r="BH87" i="1" s="1"/>
  <c r="BQ88" i="1" l="1"/>
  <c r="BR88" i="1"/>
  <c r="BI88" i="1"/>
  <c r="BJ87" i="1"/>
  <c r="BK87" i="1" s="1"/>
  <c r="BL87" i="1" s="1"/>
  <c r="BN87" i="1" s="1"/>
  <c r="BP86" i="1"/>
  <c r="BO89" i="1"/>
  <c r="BM89" i="1" s="1"/>
  <c r="BG88" i="1"/>
  <c r="BH88" i="1" s="1"/>
  <c r="BR89" i="1" l="1"/>
  <c r="BQ89" i="1"/>
  <c r="BI89" i="1"/>
  <c r="BJ88" i="1"/>
  <c r="BK88" i="1" s="1"/>
  <c r="BL88" i="1" s="1"/>
  <c r="BN88" i="1" s="1"/>
  <c r="BP87" i="1"/>
  <c r="BO90" i="1"/>
  <c r="BM90" i="1" s="1"/>
  <c r="BG89" i="1"/>
  <c r="BH89" i="1" s="1"/>
  <c r="BQ90" i="1" l="1"/>
  <c r="BR90" i="1"/>
  <c r="BI90" i="1"/>
  <c r="BJ89" i="1"/>
  <c r="BK89" i="1" s="1"/>
  <c r="BL89" i="1" s="1"/>
  <c r="BN89" i="1" s="1"/>
  <c r="BP88" i="1"/>
  <c r="BO91" i="1"/>
  <c r="BM91" i="1" s="1"/>
  <c r="BG90" i="1"/>
  <c r="BH90" i="1" s="1"/>
  <c r="BQ91" i="1" l="1"/>
  <c r="BR91" i="1"/>
  <c r="BI91" i="1"/>
  <c r="BJ90" i="1"/>
  <c r="BK90" i="1" s="1"/>
  <c r="BL90" i="1" s="1"/>
  <c r="BP89" i="1"/>
  <c r="BO92" i="1"/>
  <c r="BM92" i="1" s="1"/>
  <c r="BG91" i="1"/>
  <c r="BH91" i="1" s="1"/>
  <c r="BP90" i="1" l="1"/>
  <c r="BN90" i="1"/>
  <c r="BR92" i="1"/>
  <c r="BQ92" i="1"/>
  <c r="BI92" i="1"/>
  <c r="BJ91" i="1"/>
  <c r="BK91" i="1" s="1"/>
  <c r="BL91" i="1" s="1"/>
  <c r="BN91" i="1" s="1"/>
  <c r="BG92" i="1"/>
  <c r="BH92" i="1" s="1"/>
  <c r="BO93" i="1"/>
  <c r="BM93" i="1" s="1"/>
  <c r="BR93" i="1" l="1"/>
  <c r="BQ93" i="1"/>
  <c r="BI93" i="1"/>
  <c r="BJ92" i="1"/>
  <c r="BK92" i="1" s="1"/>
  <c r="BL92" i="1" s="1"/>
  <c r="BP91" i="1"/>
  <c r="BO94" i="1"/>
  <c r="BM94" i="1" s="1"/>
  <c r="BG93" i="1"/>
  <c r="BH93" i="1" s="1"/>
  <c r="BP92" i="1" l="1"/>
  <c r="BN92" i="1"/>
  <c r="BR94" i="1"/>
  <c r="BQ94" i="1"/>
  <c r="BI94" i="1"/>
  <c r="BJ93" i="1"/>
  <c r="BK93" i="1" s="1"/>
  <c r="BL93" i="1" s="1"/>
  <c r="BN93" i="1" s="1"/>
  <c r="BG94" i="1"/>
  <c r="BH94" i="1" s="1"/>
  <c r="BO95" i="1"/>
  <c r="BM95" i="1" s="1"/>
  <c r="BQ95" i="1" l="1"/>
  <c r="BR95" i="1"/>
  <c r="BI95" i="1"/>
  <c r="BJ94" i="1"/>
  <c r="BK94" i="1" s="1"/>
  <c r="BL94" i="1" s="1"/>
  <c r="BP93" i="1"/>
  <c r="BO96" i="1"/>
  <c r="BM96" i="1" s="1"/>
  <c r="BG95" i="1"/>
  <c r="BH95" i="1" s="1"/>
  <c r="BP94" i="1" l="1"/>
  <c r="BN94" i="1"/>
  <c r="BR96" i="1"/>
  <c r="BQ96" i="1"/>
  <c r="BI96" i="1"/>
  <c r="BJ95" i="1"/>
  <c r="BK95" i="1" s="1"/>
  <c r="BL95" i="1" s="1"/>
  <c r="BO97" i="1"/>
  <c r="BM97" i="1" s="1"/>
  <c r="BG96" i="1"/>
  <c r="BH96" i="1" s="1"/>
  <c r="BP95" i="1" l="1"/>
  <c r="BN95" i="1"/>
  <c r="BR97" i="1"/>
  <c r="BQ97" i="1"/>
  <c r="BI97" i="1"/>
  <c r="BJ96" i="1"/>
  <c r="BK96" i="1" s="1"/>
  <c r="BL96" i="1" s="1"/>
  <c r="BN96" i="1" s="1"/>
  <c r="BO98" i="1"/>
  <c r="BM98" i="1" s="1"/>
  <c r="BG97" i="1"/>
  <c r="BH97" i="1" s="1"/>
  <c r="BQ98" i="1" l="1"/>
  <c r="BR98" i="1"/>
  <c r="BI98" i="1"/>
  <c r="BJ97" i="1"/>
  <c r="BK97" i="1" s="1"/>
  <c r="BL97" i="1" s="1"/>
  <c r="BP96" i="1"/>
  <c r="BO99" i="1"/>
  <c r="BM99" i="1" s="1"/>
  <c r="BG98" i="1"/>
  <c r="BH98" i="1" s="1"/>
  <c r="BP97" i="1" l="1"/>
  <c r="BN97" i="1"/>
  <c r="BR99" i="1"/>
  <c r="BQ99" i="1"/>
  <c r="BI99" i="1"/>
  <c r="BJ98" i="1"/>
  <c r="BK98" i="1" s="1"/>
  <c r="BL98" i="1" s="1"/>
  <c r="BO100" i="1"/>
  <c r="BM100" i="1" s="1"/>
  <c r="BG99" i="1"/>
  <c r="BH99" i="1" s="1"/>
  <c r="BP98" i="1" l="1"/>
  <c r="BN98" i="1"/>
  <c r="BR100" i="1"/>
  <c r="BQ100" i="1"/>
  <c r="BI100" i="1"/>
  <c r="BJ99" i="1"/>
  <c r="BK99" i="1" s="1"/>
  <c r="BL99" i="1" s="1"/>
  <c r="BN99" i="1" s="1"/>
  <c r="BO101" i="1"/>
  <c r="BM101" i="1" s="1"/>
  <c r="BG100" i="1"/>
  <c r="BH100" i="1" s="1"/>
  <c r="BR101" i="1" l="1"/>
  <c r="BI101" i="1"/>
  <c r="BQ101" i="1"/>
  <c r="BJ100" i="1"/>
  <c r="BK100" i="1" s="1"/>
  <c r="BL100" i="1" s="1"/>
  <c r="BP99" i="1"/>
  <c r="BO102" i="1"/>
  <c r="BM102" i="1" s="1"/>
  <c r="BG101" i="1"/>
  <c r="BH101" i="1" s="1"/>
  <c r="BP100" i="1" l="1"/>
  <c r="BN100" i="1"/>
  <c r="BQ102" i="1"/>
  <c r="BR102" i="1"/>
  <c r="BI102" i="1"/>
  <c r="BJ101" i="1"/>
  <c r="BK101" i="1" s="1"/>
  <c r="BL101" i="1" s="1"/>
  <c r="BO103" i="1"/>
  <c r="BM103" i="1" s="1"/>
  <c r="BG102" i="1"/>
  <c r="BH102" i="1" s="1"/>
  <c r="BP101" i="1" l="1"/>
  <c r="BN101" i="1"/>
  <c r="BQ103" i="1"/>
  <c r="BR103" i="1"/>
  <c r="BI103" i="1"/>
  <c r="BJ102" i="1"/>
  <c r="BK102" i="1" s="1"/>
  <c r="BL102" i="1" s="1"/>
  <c r="BO104" i="1"/>
  <c r="BM104" i="1" s="1"/>
  <c r="BG103" i="1"/>
  <c r="BH103" i="1" s="1"/>
  <c r="BP102" i="1" l="1"/>
  <c r="BN102" i="1"/>
  <c r="BR104" i="1"/>
  <c r="BQ104" i="1"/>
  <c r="BI104" i="1"/>
  <c r="BJ103" i="1"/>
  <c r="BK103" i="1" s="1"/>
  <c r="BL103" i="1" s="1"/>
  <c r="BN103" i="1" s="1"/>
  <c r="BO105" i="1"/>
  <c r="BM105" i="1" s="1"/>
  <c r="BG104" i="1"/>
  <c r="BH104" i="1" s="1"/>
  <c r="BQ105" i="1" l="1"/>
  <c r="BR105" i="1"/>
  <c r="BI105" i="1"/>
  <c r="BJ104" i="1"/>
  <c r="BK104" i="1" s="1"/>
  <c r="BL104" i="1" s="1"/>
  <c r="BP103" i="1"/>
  <c r="BO106" i="1"/>
  <c r="BM106" i="1" s="1"/>
  <c r="BG105" i="1"/>
  <c r="BH105" i="1" s="1"/>
  <c r="BP104" i="1" l="1"/>
  <c r="BN104" i="1"/>
  <c r="BQ106" i="1"/>
  <c r="BR106" i="1"/>
  <c r="BI106" i="1"/>
  <c r="BJ105" i="1"/>
  <c r="BK105" i="1" s="1"/>
  <c r="BL105" i="1" s="1"/>
  <c r="BO107" i="1"/>
  <c r="BM107" i="1" s="1"/>
  <c r="BG106" i="1"/>
  <c r="BH106" i="1" s="1"/>
  <c r="BP105" i="1" l="1"/>
  <c r="BN105" i="1"/>
  <c r="BQ107" i="1"/>
  <c r="BI107" i="1"/>
  <c r="BR107" i="1"/>
  <c r="BJ106" i="1"/>
  <c r="BK106" i="1" s="1"/>
  <c r="BL106" i="1" s="1"/>
  <c r="BN106" i="1" s="1"/>
  <c r="BO108" i="1"/>
  <c r="BM108" i="1" s="1"/>
  <c r="BG107" i="1"/>
  <c r="BH107" i="1" s="1"/>
  <c r="BJ107" i="1" s="1"/>
  <c r="BQ108" i="1" l="1"/>
  <c r="BR108" i="1"/>
  <c r="BI108" i="1"/>
  <c r="BK107" i="1"/>
  <c r="BL107" i="1" s="1"/>
  <c r="BP106" i="1"/>
  <c r="BO109" i="1"/>
  <c r="BM109" i="1" s="1"/>
  <c r="BG108" i="1"/>
  <c r="BH108" i="1" s="1"/>
  <c r="BP107" i="1" l="1"/>
  <c r="BN107" i="1"/>
  <c r="BQ109" i="1"/>
  <c r="BR109" i="1"/>
  <c r="BI109" i="1"/>
  <c r="BJ108" i="1"/>
  <c r="BK108" i="1" s="1"/>
  <c r="BL108" i="1" s="1"/>
  <c r="BO110" i="1"/>
  <c r="BM110" i="1" s="1"/>
  <c r="BG109" i="1"/>
  <c r="BH109" i="1" s="1"/>
  <c r="BP108" i="1" l="1"/>
  <c r="BN108" i="1"/>
  <c r="BQ110" i="1"/>
  <c r="BR110" i="1"/>
  <c r="BI110" i="1"/>
  <c r="BJ109" i="1"/>
  <c r="BK109" i="1" s="1"/>
  <c r="BL109" i="1" s="1"/>
  <c r="BN109" i="1" s="1"/>
  <c r="BO111" i="1"/>
  <c r="BM111" i="1" s="1"/>
  <c r="BG110" i="1"/>
  <c r="BH110" i="1" s="1"/>
  <c r="BR111" i="1" l="1"/>
  <c r="BQ111" i="1"/>
  <c r="BI111" i="1"/>
  <c r="BJ110" i="1"/>
  <c r="BK110" i="1" s="1"/>
  <c r="BL110" i="1" s="1"/>
  <c r="BN110" i="1" s="1"/>
  <c r="BP109" i="1"/>
  <c r="BO112" i="1"/>
  <c r="BM112" i="1" s="1"/>
  <c r="BG111" i="1"/>
  <c r="BH111" i="1" s="1"/>
  <c r="BQ112" i="1" l="1"/>
  <c r="BR112" i="1"/>
  <c r="BI112" i="1"/>
  <c r="BJ111" i="1"/>
  <c r="BK111" i="1" s="1"/>
  <c r="BL111" i="1" s="1"/>
  <c r="BP110" i="1"/>
  <c r="BG112" i="1"/>
  <c r="BO113" i="1"/>
  <c r="BM113" i="1" s="1"/>
  <c r="BH112" i="1"/>
  <c r="BP111" i="1" l="1"/>
  <c r="BN111" i="1"/>
  <c r="BQ113" i="1"/>
  <c r="BR113" i="1"/>
  <c r="BI113" i="1"/>
  <c r="BJ112" i="1"/>
  <c r="BK112" i="1" s="1"/>
  <c r="BL112" i="1" s="1"/>
  <c r="BN112" i="1" s="1"/>
  <c r="BO114" i="1"/>
  <c r="BM114" i="1" s="1"/>
  <c r="BG113" i="1"/>
  <c r="BH113" i="1" s="1"/>
  <c r="BR114" i="1" l="1"/>
  <c r="BQ114" i="1"/>
  <c r="BI114" i="1"/>
  <c r="BP112" i="1"/>
  <c r="BJ113" i="1"/>
  <c r="BK113" i="1" s="1"/>
  <c r="BL113" i="1" s="1"/>
  <c r="BN113" i="1" s="1"/>
  <c r="BO115" i="1"/>
  <c r="BM115" i="1" s="1"/>
  <c r="BG114" i="1"/>
  <c r="BH114" i="1" s="1"/>
  <c r="BQ115" i="1" l="1"/>
  <c r="BR115" i="1"/>
  <c r="BI115" i="1"/>
  <c r="BJ114" i="1"/>
  <c r="BK114" i="1" s="1"/>
  <c r="BL114" i="1" s="1"/>
  <c r="BP113" i="1"/>
  <c r="BO116" i="1"/>
  <c r="BM116" i="1" s="1"/>
  <c r="BG115" i="1"/>
  <c r="BH115" i="1" s="1"/>
  <c r="BJ115" i="1" s="1"/>
  <c r="BP114" i="1" l="1"/>
  <c r="BN114" i="1"/>
  <c r="BQ116" i="1"/>
  <c r="BR116" i="1"/>
  <c r="BI116" i="1"/>
  <c r="BK115" i="1"/>
  <c r="BL115" i="1" s="1"/>
  <c r="BO117" i="1"/>
  <c r="BM117" i="1" s="1"/>
  <c r="BG116" i="1"/>
  <c r="BH116" i="1" s="1"/>
  <c r="BP115" i="1" l="1"/>
  <c r="BN115" i="1"/>
  <c r="BQ117" i="1"/>
  <c r="BR117" i="1"/>
  <c r="BI117" i="1"/>
  <c r="BJ116" i="1"/>
  <c r="BK116" i="1" s="1"/>
  <c r="BL116" i="1" s="1"/>
  <c r="BN116" i="1" s="1"/>
  <c r="BG117" i="1"/>
  <c r="BO118" i="1"/>
  <c r="BM118" i="1" s="1"/>
  <c r="BH117" i="1"/>
  <c r="BJ117" i="1" s="1"/>
  <c r="BR118" i="1" l="1"/>
  <c r="BQ118" i="1"/>
  <c r="BI118" i="1"/>
  <c r="BK117" i="1"/>
  <c r="BL117" i="1" s="1"/>
  <c r="BP116" i="1"/>
  <c r="BO119" i="1"/>
  <c r="BM119" i="1" s="1"/>
  <c r="BG118" i="1"/>
  <c r="BH118" i="1" s="1"/>
  <c r="BP117" i="1" l="1"/>
  <c r="BN117" i="1"/>
  <c r="BI119" i="1"/>
  <c r="BR119" i="1"/>
  <c r="BQ119" i="1"/>
  <c r="BJ118" i="1"/>
  <c r="BK118" i="1" s="1"/>
  <c r="BL118" i="1" s="1"/>
  <c r="BO120" i="1"/>
  <c r="BM120" i="1" s="1"/>
  <c r="BG119" i="1"/>
  <c r="BH119" i="1" s="1"/>
  <c r="BP118" i="1" l="1"/>
  <c r="BN118" i="1"/>
  <c r="BQ120" i="1"/>
  <c r="BR120" i="1"/>
  <c r="BI120" i="1"/>
  <c r="BJ119" i="1"/>
  <c r="BK119" i="1" s="1"/>
  <c r="BL119" i="1" s="1"/>
  <c r="BO121" i="1"/>
  <c r="BM121" i="1" s="1"/>
  <c r="BG120" i="1"/>
  <c r="BH120" i="1" s="1"/>
  <c r="BP119" i="1" l="1"/>
  <c r="BN119" i="1"/>
  <c r="BQ121" i="1"/>
  <c r="BR121" i="1"/>
  <c r="BI121" i="1"/>
  <c r="BJ120" i="1"/>
  <c r="BK120" i="1" s="1"/>
  <c r="BL120" i="1" s="1"/>
  <c r="BN120" i="1" s="1"/>
  <c r="BO122" i="1"/>
  <c r="BM122" i="1" s="1"/>
  <c r="BG121" i="1"/>
  <c r="BH121" i="1" s="1"/>
  <c r="BR122" i="1" l="1"/>
  <c r="BQ122" i="1"/>
  <c r="BI122" i="1"/>
  <c r="BJ121" i="1"/>
  <c r="BK121" i="1" s="1"/>
  <c r="BL121" i="1" s="1"/>
  <c r="BP120" i="1"/>
  <c r="BO123" i="1"/>
  <c r="BM123" i="1" s="1"/>
  <c r="BG122" i="1"/>
  <c r="BH122" i="1" s="1"/>
  <c r="BP121" i="1" l="1"/>
  <c r="BN121" i="1"/>
  <c r="BQ123" i="1"/>
  <c r="BR123" i="1"/>
  <c r="BI123" i="1"/>
  <c r="BJ122" i="1"/>
  <c r="BK122" i="1" s="1"/>
  <c r="BL122" i="1" s="1"/>
  <c r="BG123" i="1"/>
  <c r="BH123" i="1" s="1"/>
  <c r="Z11" i="1"/>
  <c r="H24" i="1" l="1"/>
  <c r="K25" i="1"/>
  <c r="N26" i="1"/>
  <c r="Q27" i="1"/>
  <c r="T28" i="1"/>
  <c r="J30" i="1"/>
  <c r="M31" i="1"/>
  <c r="P32" i="1"/>
  <c r="S33" i="1"/>
  <c r="I35" i="1"/>
  <c r="L36" i="1"/>
  <c r="O37" i="1"/>
  <c r="R38" i="1"/>
  <c r="H40" i="1"/>
  <c r="K41" i="1"/>
  <c r="N42" i="1"/>
  <c r="Q43" i="1"/>
  <c r="T44" i="1"/>
  <c r="J46" i="1"/>
  <c r="M47" i="1"/>
  <c r="P48" i="1"/>
  <c r="S49" i="1"/>
  <c r="I51" i="1"/>
  <c r="L52" i="1"/>
  <c r="O53" i="1"/>
  <c r="R54" i="1"/>
  <c r="H56" i="1"/>
  <c r="K57" i="1"/>
  <c r="N58" i="1"/>
  <c r="Q59" i="1"/>
  <c r="T60" i="1"/>
  <c r="J62" i="1"/>
  <c r="M63" i="1"/>
  <c r="P64" i="1"/>
  <c r="S65" i="1"/>
  <c r="I67" i="1"/>
  <c r="L68" i="1"/>
  <c r="O69" i="1"/>
  <c r="R70" i="1"/>
  <c r="H72" i="1"/>
  <c r="K73" i="1"/>
  <c r="N74" i="1"/>
  <c r="Q75" i="1"/>
  <c r="T76" i="1"/>
  <c r="J78" i="1"/>
  <c r="M79" i="1"/>
  <c r="P80" i="1"/>
  <c r="S81" i="1"/>
  <c r="I83" i="1"/>
  <c r="L84" i="1"/>
  <c r="O85" i="1"/>
  <c r="R86" i="1"/>
  <c r="H88" i="1"/>
  <c r="K89" i="1"/>
  <c r="N90" i="1"/>
  <c r="Q91" i="1"/>
  <c r="T92" i="1"/>
  <c r="J94" i="1"/>
  <c r="M95" i="1"/>
  <c r="P96" i="1"/>
  <c r="S97" i="1"/>
  <c r="I99" i="1"/>
  <c r="L100" i="1"/>
  <c r="O101" i="1"/>
  <c r="K24" i="1"/>
  <c r="N25" i="1"/>
  <c r="Q26" i="1"/>
  <c r="T27" i="1"/>
  <c r="J29" i="1"/>
  <c r="M30" i="1"/>
  <c r="P31" i="1"/>
  <c r="S32" i="1"/>
  <c r="I34" i="1"/>
  <c r="L35" i="1"/>
  <c r="O36" i="1"/>
  <c r="R37" i="1"/>
  <c r="H39" i="1"/>
  <c r="K40" i="1"/>
  <c r="N41" i="1"/>
  <c r="Q42" i="1"/>
  <c r="T43" i="1"/>
  <c r="J45" i="1"/>
  <c r="M46" i="1"/>
  <c r="P47" i="1"/>
  <c r="S48" i="1"/>
  <c r="I50" i="1"/>
  <c r="L51" i="1"/>
  <c r="O52" i="1"/>
  <c r="R53" i="1"/>
  <c r="H55" i="1"/>
  <c r="K56" i="1"/>
  <c r="N57" i="1"/>
  <c r="Q58" i="1"/>
  <c r="T59" i="1"/>
  <c r="J61" i="1"/>
  <c r="M62" i="1"/>
  <c r="P63" i="1"/>
  <c r="S64" i="1"/>
  <c r="I66" i="1"/>
  <c r="L67" i="1"/>
  <c r="O68" i="1"/>
  <c r="R69" i="1"/>
  <c r="H71" i="1"/>
  <c r="K72" i="1"/>
  <c r="N73" i="1"/>
  <c r="Q74" i="1"/>
  <c r="T75" i="1"/>
  <c r="J77" i="1"/>
  <c r="M78" i="1"/>
  <c r="P79" i="1"/>
  <c r="S80" i="1"/>
  <c r="I82" i="1"/>
  <c r="L83" i="1"/>
  <c r="O84" i="1"/>
  <c r="R85" i="1"/>
  <c r="H87" i="1"/>
  <c r="K88" i="1"/>
  <c r="N89" i="1"/>
  <c r="Q90" i="1"/>
  <c r="T91" i="1"/>
  <c r="J93" i="1"/>
  <c r="M94" i="1"/>
  <c r="P95" i="1"/>
  <c r="S96" i="1"/>
  <c r="I98" i="1"/>
  <c r="L99" i="1"/>
  <c r="O100" i="1"/>
  <c r="R101" i="1"/>
  <c r="H103" i="1"/>
  <c r="K104" i="1"/>
  <c r="N105" i="1"/>
  <c r="Q106" i="1"/>
  <c r="T107" i="1"/>
  <c r="J109" i="1"/>
  <c r="M110" i="1"/>
  <c r="P111" i="1"/>
  <c r="T124" i="1"/>
  <c r="L24" i="1"/>
  <c r="O25" i="1"/>
  <c r="R26" i="1"/>
  <c r="H28" i="1"/>
  <c r="K29" i="1"/>
  <c r="N30" i="1"/>
  <c r="Q31" i="1"/>
  <c r="T32" i="1"/>
  <c r="J34" i="1"/>
  <c r="M35" i="1"/>
  <c r="P36" i="1"/>
  <c r="S37" i="1"/>
  <c r="I39" i="1"/>
  <c r="L40" i="1"/>
  <c r="O41" i="1"/>
  <c r="R42" i="1"/>
  <c r="H44" i="1"/>
  <c r="K45" i="1"/>
  <c r="N46" i="1"/>
  <c r="Q47" i="1"/>
  <c r="T48" i="1"/>
  <c r="J50" i="1"/>
  <c r="M51" i="1"/>
  <c r="P52" i="1"/>
  <c r="S53" i="1"/>
  <c r="I55" i="1"/>
  <c r="L56" i="1"/>
  <c r="O57" i="1"/>
  <c r="R58" i="1"/>
  <c r="H60" i="1"/>
  <c r="K61" i="1"/>
  <c r="N62" i="1"/>
  <c r="Q63" i="1"/>
  <c r="T64" i="1"/>
  <c r="J66" i="1"/>
  <c r="M67" i="1"/>
  <c r="P68" i="1"/>
  <c r="S69" i="1"/>
  <c r="I71" i="1"/>
  <c r="L72" i="1"/>
  <c r="O73" i="1"/>
  <c r="R74" i="1"/>
  <c r="H76" i="1"/>
  <c r="K77" i="1"/>
  <c r="N78" i="1"/>
  <c r="Q79" i="1"/>
  <c r="T80" i="1"/>
  <c r="J82" i="1"/>
  <c r="M83" i="1"/>
  <c r="P84" i="1"/>
  <c r="S85" i="1"/>
  <c r="I87" i="1"/>
  <c r="L88" i="1"/>
  <c r="O89" i="1"/>
  <c r="R90" i="1"/>
  <c r="H92" i="1"/>
  <c r="K93" i="1"/>
  <c r="N94" i="1"/>
  <c r="Q95" i="1"/>
  <c r="T96" i="1"/>
  <c r="J98" i="1"/>
  <c r="M99" i="1"/>
  <c r="P100" i="1"/>
  <c r="S101" i="1"/>
  <c r="I103" i="1"/>
  <c r="L104" i="1"/>
  <c r="O105" i="1"/>
  <c r="R106" i="1"/>
  <c r="H108" i="1"/>
  <c r="K109" i="1"/>
  <c r="N110" i="1"/>
  <c r="Q111" i="1"/>
  <c r="T112" i="1"/>
  <c r="J114" i="1"/>
  <c r="M115" i="1"/>
  <c r="P116" i="1"/>
  <c r="S117" i="1"/>
  <c r="I119" i="1"/>
  <c r="L120" i="1"/>
  <c r="O121" i="1"/>
  <c r="R122" i="1"/>
  <c r="R124" i="1"/>
  <c r="I25" i="1"/>
  <c r="L26" i="1"/>
  <c r="O27" i="1"/>
  <c r="R28" i="1"/>
  <c r="H30" i="1"/>
  <c r="K31" i="1"/>
  <c r="N32" i="1"/>
  <c r="Q33" i="1"/>
  <c r="T34" i="1"/>
  <c r="J36" i="1"/>
  <c r="M37" i="1"/>
  <c r="P38" i="1"/>
  <c r="S39" i="1"/>
  <c r="I41" i="1"/>
  <c r="L42" i="1"/>
  <c r="O43" i="1"/>
  <c r="R44" i="1"/>
  <c r="H46" i="1"/>
  <c r="K47" i="1"/>
  <c r="N48" i="1"/>
  <c r="Q49" i="1"/>
  <c r="T50" i="1"/>
  <c r="J52" i="1"/>
  <c r="M53" i="1"/>
  <c r="P54" i="1"/>
  <c r="S55" i="1"/>
  <c r="I57" i="1"/>
  <c r="L58" i="1"/>
  <c r="O59" i="1"/>
  <c r="R60" i="1"/>
  <c r="H62" i="1"/>
  <c r="K63" i="1"/>
  <c r="N64" i="1"/>
  <c r="Q65" i="1"/>
  <c r="T66" i="1"/>
  <c r="J68" i="1"/>
  <c r="M69" i="1"/>
  <c r="P70" i="1"/>
  <c r="S71" i="1"/>
  <c r="I73" i="1"/>
  <c r="K13" i="1"/>
  <c r="J25" i="1"/>
  <c r="M26" i="1"/>
  <c r="P27" i="1"/>
  <c r="S28" i="1"/>
  <c r="I30" i="1"/>
  <c r="L31" i="1"/>
  <c r="O32" i="1"/>
  <c r="R33" i="1"/>
  <c r="H35" i="1"/>
  <c r="K36" i="1"/>
  <c r="N37" i="1"/>
  <c r="Q38" i="1"/>
  <c r="T39" i="1"/>
  <c r="J41" i="1"/>
  <c r="M42" i="1"/>
  <c r="P43" i="1"/>
  <c r="S44" i="1"/>
  <c r="I46" i="1"/>
  <c r="L47" i="1"/>
  <c r="O48" i="1"/>
  <c r="R49" i="1"/>
  <c r="H51" i="1"/>
  <c r="K52" i="1"/>
  <c r="N53" i="1"/>
  <c r="Q54" i="1"/>
  <c r="T55" i="1"/>
  <c r="J57" i="1"/>
  <c r="M58" i="1"/>
  <c r="P59" i="1"/>
  <c r="S60" i="1"/>
  <c r="I62" i="1"/>
  <c r="L63" i="1"/>
  <c r="O64" i="1"/>
  <c r="R65" i="1"/>
  <c r="H67" i="1"/>
  <c r="K68" i="1"/>
  <c r="N69" i="1"/>
  <c r="Q70" i="1"/>
  <c r="T71" i="1"/>
  <c r="J73" i="1"/>
  <c r="Q25" i="1"/>
  <c r="L27" i="1"/>
  <c r="L29" i="1"/>
  <c r="T30" i="1"/>
  <c r="R32" i="1"/>
  <c r="O34" i="1"/>
  <c r="M36" i="1"/>
  <c r="J38" i="1"/>
  <c r="R39" i="1"/>
  <c r="R41" i="1"/>
  <c r="M43" i="1"/>
  <c r="M45" i="1"/>
  <c r="H47" i="1"/>
  <c r="H49" i="1"/>
  <c r="P50" i="1"/>
  <c r="N52" i="1"/>
  <c r="K54" i="1"/>
  <c r="I56" i="1"/>
  <c r="S57" i="1"/>
  <c r="N59" i="1"/>
  <c r="N61" i="1"/>
  <c r="I63" i="1"/>
  <c r="I65" i="1"/>
  <c r="Q66" i="1"/>
  <c r="Q68" i="1"/>
  <c r="L70" i="1"/>
  <c r="J72" i="1"/>
  <c r="T73" i="1"/>
  <c r="M75" i="1"/>
  <c r="S76" i="1"/>
  <c r="O78" i="1"/>
  <c r="H80" i="1"/>
  <c r="N81" i="1"/>
  <c r="T82" i="1"/>
  <c r="N84" i="1"/>
  <c r="I86" i="1"/>
  <c r="O87" i="1"/>
  <c r="H89" i="1"/>
  <c r="O90" i="1"/>
  <c r="J92" i="1"/>
  <c r="P93" i="1"/>
  <c r="I95" i="1"/>
  <c r="O96" i="1"/>
  <c r="K98" i="1"/>
  <c r="Q99" i="1"/>
  <c r="J101" i="1"/>
  <c r="P102" i="1"/>
  <c r="H104" i="1"/>
  <c r="M105" i="1"/>
  <c r="T106" i="1"/>
  <c r="L108" i="1"/>
  <c r="Q109" i="1"/>
  <c r="I111" i="1"/>
  <c r="N112" i="1"/>
  <c r="R113" i="1"/>
  <c r="I115" i="1"/>
  <c r="M116" i="1"/>
  <c r="Q117" i="1"/>
  <c r="H119" i="1"/>
  <c r="Q121" i="1"/>
  <c r="R99" i="1"/>
  <c r="Q102" i="1"/>
  <c r="M108" i="1"/>
  <c r="O112" i="1"/>
  <c r="J119" i="1"/>
  <c r="S109" i="1"/>
  <c r="K115" i="1"/>
  <c r="O120" i="1"/>
  <c r="R25" i="1"/>
  <c r="M27" i="1"/>
  <c r="M29" i="1"/>
  <c r="H31" i="1"/>
  <c r="H33" i="1"/>
  <c r="P34" i="1"/>
  <c r="N36" i="1"/>
  <c r="K38" i="1"/>
  <c r="I40" i="1"/>
  <c r="S41" i="1"/>
  <c r="N43" i="1"/>
  <c r="N45" i="1"/>
  <c r="I47" i="1"/>
  <c r="I49" i="1"/>
  <c r="Q50" i="1"/>
  <c r="Q52" i="1"/>
  <c r="L54" i="1"/>
  <c r="J56" i="1"/>
  <c r="T57" i="1"/>
  <c r="R59" i="1"/>
  <c r="O61" i="1"/>
  <c r="J63" i="1"/>
  <c r="J65" i="1"/>
  <c r="R66" i="1"/>
  <c r="R68" i="1"/>
  <c r="M70" i="1"/>
  <c r="M72" i="1"/>
  <c r="H74" i="1"/>
  <c r="N75" i="1"/>
  <c r="H77" i="1"/>
  <c r="P78" i="1"/>
  <c r="I80" i="1"/>
  <c r="O81" i="1"/>
  <c r="H83" i="1"/>
  <c r="Q84" i="1"/>
  <c r="J86" i="1"/>
  <c r="P87" i="1"/>
  <c r="I89" i="1"/>
  <c r="P90" i="1"/>
  <c r="K92" i="1"/>
  <c r="Q93" i="1"/>
  <c r="Q96" i="1"/>
  <c r="K101" i="1"/>
  <c r="H107" i="1"/>
  <c r="J115" i="1"/>
  <c r="I123" i="1"/>
  <c r="I24" i="1"/>
  <c r="S25" i="1"/>
  <c r="N27" i="1"/>
  <c r="N29" i="1"/>
  <c r="I31" i="1"/>
  <c r="I33" i="1"/>
  <c r="Q34" i="1"/>
  <c r="Q36" i="1"/>
  <c r="L38" i="1"/>
  <c r="J40" i="1"/>
  <c r="T41" i="1"/>
  <c r="R43" i="1"/>
  <c r="O45" i="1"/>
  <c r="J47" i="1"/>
  <c r="J49" i="1"/>
  <c r="R50" i="1"/>
  <c r="R52" i="1"/>
  <c r="M54" i="1"/>
  <c r="M56" i="1"/>
  <c r="H58" i="1"/>
  <c r="S59" i="1"/>
  <c r="P61" i="1"/>
  <c r="N63" i="1"/>
  <c r="K65" i="1"/>
  <c r="S66" i="1"/>
  <c r="S68" i="1"/>
  <c r="N70" i="1"/>
  <c r="N72" i="1"/>
  <c r="I74" i="1"/>
  <c r="O75" i="1"/>
  <c r="I77" i="1"/>
  <c r="Q78" i="1"/>
  <c r="J80" i="1"/>
  <c r="P81" i="1"/>
  <c r="J83" i="1"/>
  <c r="R84" i="1"/>
  <c r="K86" i="1"/>
  <c r="Q87" i="1"/>
  <c r="J89" i="1"/>
  <c r="S90" i="1"/>
  <c r="L92" i="1"/>
  <c r="R93" i="1"/>
  <c r="K95" i="1"/>
  <c r="R96" i="1"/>
  <c r="M98" i="1"/>
  <c r="S99" i="1"/>
  <c r="L101" i="1"/>
  <c r="R102" i="1"/>
  <c r="J104" i="1"/>
  <c r="Q105" i="1"/>
  <c r="K111" i="1"/>
  <c r="O116" i="1"/>
  <c r="J24" i="1"/>
  <c r="T25" i="1"/>
  <c r="R27" i="1"/>
  <c r="O29" i="1"/>
  <c r="J31" i="1"/>
  <c r="J33" i="1"/>
  <c r="R34" i="1"/>
  <c r="R36" i="1"/>
  <c r="M38" i="1"/>
  <c r="M40" i="1"/>
  <c r="H42" i="1"/>
  <c r="S43" i="1"/>
  <c r="P45" i="1"/>
  <c r="N47" i="1"/>
  <c r="K49" i="1"/>
  <c r="S50" i="1"/>
  <c r="S52" i="1"/>
  <c r="N54" i="1"/>
  <c r="N56" i="1"/>
  <c r="I58" i="1"/>
  <c r="I60" i="1"/>
  <c r="Q61" i="1"/>
  <c r="O63" i="1"/>
  <c r="L65" i="1"/>
  <c r="J67" i="1"/>
  <c r="T68" i="1"/>
  <c r="O70" i="1"/>
  <c r="O72" i="1"/>
  <c r="J74" i="1"/>
  <c r="P75" i="1"/>
  <c r="L77" i="1"/>
  <c r="R78" i="1"/>
  <c r="K80" i="1"/>
  <c r="Q81" i="1"/>
  <c r="K83" i="1"/>
  <c r="S84" i="1"/>
  <c r="L86" i="1"/>
  <c r="R87" i="1"/>
  <c r="L89" i="1"/>
  <c r="T90" i="1"/>
  <c r="M92" i="1"/>
  <c r="S93" i="1"/>
  <c r="L95" i="1"/>
  <c r="H97" i="1"/>
  <c r="N98" i="1"/>
  <c r="T99" i="1"/>
  <c r="M101" i="1"/>
  <c r="S102" i="1"/>
  <c r="M104" i="1"/>
  <c r="R105" i="1"/>
  <c r="J107" i="1"/>
  <c r="O108" i="1"/>
  <c r="T109" i="1"/>
  <c r="L111" i="1"/>
  <c r="Q112" i="1"/>
  <c r="H114" i="1"/>
  <c r="L115" i="1"/>
  <c r="Q116" i="1"/>
  <c r="H118" i="1"/>
  <c r="L119" i="1"/>
  <c r="P120" i="1"/>
  <c r="T121" i="1"/>
  <c r="K123" i="1"/>
  <c r="N38" i="1"/>
  <c r="I44" i="1"/>
  <c r="O47" i="1"/>
  <c r="J51" i="1"/>
  <c r="O54" i="1"/>
  <c r="J58" i="1"/>
  <c r="R63" i="1"/>
  <c r="K67" i="1"/>
  <c r="S70" i="1"/>
  <c r="K74" i="1"/>
  <c r="M77" i="1"/>
  <c r="L80" i="1"/>
  <c r="R81" i="1"/>
  <c r="T84" i="1"/>
  <c r="S87" i="1"/>
  <c r="H91" i="1"/>
  <c r="T93" i="1"/>
  <c r="I97" i="1"/>
  <c r="H100" i="1"/>
  <c r="T102" i="1"/>
  <c r="M24" i="1"/>
  <c r="H26" i="1"/>
  <c r="S27" i="1"/>
  <c r="P29" i="1"/>
  <c r="N31" i="1"/>
  <c r="K33" i="1"/>
  <c r="S34" i="1"/>
  <c r="S36" i="1"/>
  <c r="N40" i="1"/>
  <c r="I42" i="1"/>
  <c r="Q45" i="1"/>
  <c r="L49" i="1"/>
  <c r="T52" i="1"/>
  <c r="O56" i="1"/>
  <c r="J60" i="1"/>
  <c r="R61" i="1"/>
  <c r="M65" i="1"/>
  <c r="H69" i="1"/>
  <c r="P72" i="1"/>
  <c r="R75" i="1"/>
  <c r="S78" i="1"/>
  <c r="N83" i="1"/>
  <c r="M86" i="1"/>
  <c r="M89" i="1"/>
  <c r="N92" i="1"/>
  <c r="N95" i="1"/>
  <c r="O98" i="1"/>
  <c r="N101" i="1"/>
  <c r="N104" i="1"/>
  <c r="N24" i="1"/>
  <c r="I26" i="1"/>
  <c r="I28" i="1"/>
  <c r="Q29" i="1"/>
  <c r="O31" i="1"/>
  <c r="L33" i="1"/>
  <c r="J35" i="1"/>
  <c r="T36" i="1"/>
  <c r="O38" i="1"/>
  <c r="O40" i="1"/>
  <c r="J42" i="1"/>
  <c r="J44" i="1"/>
  <c r="R45" i="1"/>
  <c r="R47" i="1"/>
  <c r="M49" i="1"/>
  <c r="K51" i="1"/>
  <c r="H53" i="1"/>
  <c r="S54" i="1"/>
  <c r="P56" i="1"/>
  <c r="K58" i="1"/>
  <c r="K60" i="1"/>
  <c r="S61" i="1"/>
  <c r="S63" i="1"/>
  <c r="N65" i="1"/>
  <c r="N67" i="1"/>
  <c r="I69" i="1"/>
  <c r="T70" i="1"/>
  <c r="Q72" i="1"/>
  <c r="L74" i="1"/>
  <c r="S75" i="1"/>
  <c r="N77" i="1"/>
  <c r="T78" i="1"/>
  <c r="M80" i="1"/>
  <c r="T81" i="1"/>
  <c r="O83" i="1"/>
  <c r="H85" i="1"/>
  <c r="N86" i="1"/>
  <c r="T87" i="1"/>
  <c r="P89" i="1"/>
  <c r="I91" i="1"/>
  <c r="O92" i="1"/>
  <c r="H94" i="1"/>
  <c r="O95" i="1"/>
  <c r="J97" i="1"/>
  <c r="P98" i="1"/>
  <c r="I100" i="1"/>
  <c r="P101" i="1"/>
  <c r="J103" i="1"/>
  <c r="O104" i="1"/>
  <c r="T105" i="1"/>
  <c r="L107" i="1"/>
  <c r="Q108" i="1"/>
  <c r="I110" i="1"/>
  <c r="N111" i="1"/>
  <c r="S112" i="1"/>
  <c r="O24" i="1"/>
  <c r="J26" i="1"/>
  <c r="J28" i="1"/>
  <c r="R29" i="1"/>
  <c r="R31" i="1"/>
  <c r="M33" i="1"/>
  <c r="K35" i="1"/>
  <c r="H37" i="1"/>
  <c r="S38" i="1"/>
  <c r="P40" i="1"/>
  <c r="K42" i="1"/>
  <c r="K44" i="1"/>
  <c r="S45" i="1"/>
  <c r="S47" i="1"/>
  <c r="N49" i="1"/>
  <c r="N51" i="1"/>
  <c r="I53" i="1"/>
  <c r="T54" i="1"/>
  <c r="Q56" i="1"/>
  <c r="O58" i="1"/>
  <c r="L60" i="1"/>
  <c r="T61" i="1"/>
  <c r="T63" i="1"/>
  <c r="O65" i="1"/>
  <c r="O67" i="1"/>
  <c r="J69" i="1"/>
  <c r="J71" i="1"/>
  <c r="R72" i="1"/>
  <c r="M74" i="1"/>
  <c r="I76" i="1"/>
  <c r="O77" i="1"/>
  <c r="H79" i="1"/>
  <c r="N80" i="1"/>
  <c r="H82" i="1"/>
  <c r="P83" i="1"/>
  <c r="I85" i="1"/>
  <c r="O86" i="1"/>
  <c r="I88" i="1"/>
  <c r="Q89" i="1"/>
  <c r="J91" i="1"/>
  <c r="P92" i="1"/>
  <c r="I94" i="1"/>
  <c r="R95" i="1"/>
  <c r="K97" i="1"/>
  <c r="Q98" i="1"/>
  <c r="J100" i="1"/>
  <c r="Q101" i="1"/>
  <c r="K103" i="1"/>
  <c r="P104" i="1"/>
  <c r="H106" i="1"/>
  <c r="M107" i="1"/>
  <c r="R108" i="1"/>
  <c r="J110" i="1"/>
  <c r="O111" i="1"/>
  <c r="H113" i="1"/>
  <c r="L114" i="1"/>
  <c r="P115" i="1"/>
  <c r="P24" i="1"/>
  <c r="K26" i="1"/>
  <c r="K28" i="1"/>
  <c r="S29" i="1"/>
  <c r="S31" i="1"/>
  <c r="N33" i="1"/>
  <c r="N35" i="1"/>
  <c r="I37" i="1"/>
  <c r="T38" i="1"/>
  <c r="Q40" i="1"/>
  <c r="O42" i="1"/>
  <c r="L44" i="1"/>
  <c r="T45" i="1"/>
  <c r="T47" i="1"/>
  <c r="O49" i="1"/>
  <c r="O51" i="1"/>
  <c r="J53" i="1"/>
  <c r="J55" i="1"/>
  <c r="R56" i="1"/>
  <c r="P58" i="1"/>
  <c r="M60" i="1"/>
  <c r="Q24" i="1"/>
  <c r="O26" i="1"/>
  <c r="L28" i="1"/>
  <c r="T29" i="1"/>
  <c r="T31" i="1"/>
  <c r="O33" i="1"/>
  <c r="O35" i="1"/>
  <c r="J37" i="1"/>
  <c r="J39" i="1"/>
  <c r="R40" i="1"/>
  <c r="P42" i="1"/>
  <c r="M44" i="1"/>
  <c r="K46" i="1"/>
  <c r="H48" i="1"/>
  <c r="P49" i="1"/>
  <c r="P51" i="1"/>
  <c r="K53" i="1"/>
  <c r="K55" i="1"/>
  <c r="S56" i="1"/>
  <c r="S58" i="1"/>
  <c r="N60" i="1"/>
  <c r="L62" i="1"/>
  <c r="I64" i="1"/>
  <c r="T65" i="1"/>
  <c r="Q67" i="1"/>
  <c r="L69" i="1"/>
  <c r="L71" i="1"/>
  <c r="T72" i="1"/>
  <c r="P74" i="1"/>
  <c r="K76" i="1"/>
  <c r="Q77" i="1"/>
  <c r="J79" i="1"/>
  <c r="Q80" i="1"/>
  <c r="L82" i="1"/>
  <c r="R83" i="1"/>
  <c r="K85" i="1"/>
  <c r="Q86" i="1"/>
  <c r="M88" i="1"/>
  <c r="M25" i="1"/>
  <c r="J27" i="1"/>
  <c r="H29" i="1"/>
  <c r="R30" i="1"/>
  <c r="M32" i="1"/>
  <c r="M34" i="1"/>
  <c r="H36" i="1"/>
  <c r="H38" i="1"/>
  <c r="P39" i="1"/>
  <c r="P41" i="1"/>
  <c r="K43" i="1"/>
  <c r="I45" i="1"/>
  <c r="S46" i="1"/>
  <c r="Q48" i="1"/>
  <c r="N50" i="1"/>
  <c r="I52" i="1"/>
  <c r="I54" i="1"/>
  <c r="Q55" i="1"/>
  <c r="Q57" i="1"/>
  <c r="L59" i="1"/>
  <c r="L61" i="1"/>
  <c r="T62" i="1"/>
  <c r="R64" i="1"/>
  <c r="O66" i="1"/>
  <c r="M68" i="1"/>
  <c r="J70" i="1"/>
  <c r="R71" i="1"/>
  <c r="R73" i="1"/>
  <c r="K75" i="1"/>
  <c r="Q76" i="1"/>
  <c r="K78" i="1"/>
  <c r="S79" i="1"/>
  <c r="L81" i="1"/>
  <c r="R82" i="1"/>
  <c r="K84" i="1"/>
  <c r="T85" i="1"/>
  <c r="M87" i="1"/>
  <c r="S88" i="1"/>
  <c r="L90" i="1"/>
  <c r="S91" i="1"/>
  <c r="N93" i="1"/>
  <c r="T94" i="1"/>
  <c r="M96" i="1"/>
  <c r="T97" i="1"/>
  <c r="O99" i="1"/>
  <c r="H101" i="1"/>
  <c r="N102" i="1"/>
  <c r="S103" i="1"/>
  <c r="K105" i="1"/>
  <c r="P106" i="1"/>
  <c r="J108" i="1"/>
  <c r="O109" i="1"/>
  <c r="T110" i="1"/>
  <c r="L112" i="1"/>
  <c r="P113" i="1"/>
  <c r="T114" i="1"/>
  <c r="K116" i="1"/>
  <c r="O117" i="1"/>
  <c r="S118" i="1"/>
  <c r="J120" i="1"/>
  <c r="N121" i="1"/>
  <c r="S122" i="1"/>
  <c r="L98" i="1"/>
  <c r="I104" i="1"/>
  <c r="R109" i="1"/>
  <c r="S113" i="1"/>
  <c r="R117" i="1"/>
  <c r="R121" i="1"/>
  <c r="N108" i="1"/>
  <c r="T113" i="1"/>
  <c r="K119" i="1"/>
  <c r="P25" i="1"/>
  <c r="K27" i="1"/>
  <c r="I29" i="1"/>
  <c r="S30" i="1"/>
  <c r="Q32" i="1"/>
  <c r="N34" i="1"/>
  <c r="I36" i="1"/>
  <c r="I38" i="1"/>
  <c r="Q39" i="1"/>
  <c r="Q41" i="1"/>
  <c r="L43" i="1"/>
  <c r="L45" i="1"/>
  <c r="T46" i="1"/>
  <c r="R48" i="1"/>
  <c r="O50" i="1"/>
  <c r="M52" i="1"/>
  <c r="J54" i="1"/>
  <c r="R55" i="1"/>
  <c r="R57" i="1"/>
  <c r="M59" i="1"/>
  <c r="M61" i="1"/>
  <c r="H63" i="1"/>
  <c r="H65" i="1"/>
  <c r="P66" i="1"/>
  <c r="N68" i="1"/>
  <c r="K70" i="1"/>
  <c r="I72" i="1"/>
  <c r="S73" i="1"/>
  <c r="L75" i="1"/>
  <c r="R76" i="1"/>
  <c r="L78" i="1"/>
  <c r="T79" i="1"/>
  <c r="M81" i="1"/>
  <c r="S82" i="1"/>
  <c r="M84" i="1"/>
  <c r="H86" i="1"/>
  <c r="N87" i="1"/>
  <c r="T88" i="1"/>
  <c r="M90" i="1"/>
  <c r="I92" i="1"/>
  <c r="O93" i="1"/>
  <c r="H95" i="1"/>
  <c r="N96" i="1"/>
  <c r="H98" i="1"/>
  <c r="P99" i="1"/>
  <c r="I101" i="1"/>
  <c r="O102" i="1"/>
  <c r="T103" i="1"/>
  <c r="L105" i="1"/>
  <c r="S106" i="1"/>
  <c r="K108" i="1"/>
  <c r="P109" i="1"/>
  <c r="H111" i="1"/>
  <c r="M112" i="1"/>
  <c r="Q113" i="1"/>
  <c r="H115" i="1"/>
  <c r="L116" i="1"/>
  <c r="P117" i="1"/>
  <c r="T118" i="1"/>
  <c r="K120" i="1"/>
  <c r="P121" i="1"/>
  <c r="T122" i="1"/>
  <c r="M120" i="1"/>
  <c r="H123" i="1"/>
  <c r="J95" i="1"/>
  <c r="P105" i="1"/>
  <c r="J111" i="1"/>
  <c r="N116" i="1"/>
  <c r="N120" i="1"/>
  <c r="I107" i="1"/>
  <c r="P112" i="1"/>
  <c r="T117" i="1"/>
  <c r="S121" i="1"/>
  <c r="H25" i="1"/>
  <c r="Q30" i="1"/>
  <c r="K37" i="1"/>
  <c r="T42" i="1"/>
  <c r="K48" i="1"/>
  <c r="T53" i="1"/>
  <c r="K59" i="1"/>
  <c r="M64" i="1"/>
  <c r="Q69" i="1"/>
  <c r="O74" i="1"/>
  <c r="H78" i="1"/>
  <c r="N82" i="1"/>
  <c r="P86" i="1"/>
  <c r="I90" i="1"/>
  <c r="M93" i="1"/>
  <c r="M97" i="1"/>
  <c r="Q100" i="1"/>
  <c r="Q103" i="1"/>
  <c r="O106" i="1"/>
  <c r="N109" i="1"/>
  <c r="K112" i="1"/>
  <c r="R114" i="1"/>
  <c r="J117" i="1"/>
  <c r="N119" i="1"/>
  <c r="K121" i="1"/>
  <c r="N123" i="1"/>
  <c r="K90" i="1"/>
  <c r="Q104" i="1"/>
  <c r="I113" i="1"/>
  <c r="L117" i="1"/>
  <c r="P123" i="1"/>
  <c r="O115" i="1"/>
  <c r="Q119" i="1"/>
  <c r="Q110" i="1"/>
  <c r="Q88" i="1"/>
  <c r="R88" i="1"/>
  <c r="R116" i="1"/>
  <c r="Q35" i="1"/>
  <c r="N99" i="1"/>
  <c r="R46" i="1"/>
  <c r="Q118" i="1"/>
  <c r="L25" i="1"/>
  <c r="H32" i="1"/>
  <c r="L37" i="1"/>
  <c r="H43" i="1"/>
  <c r="L48" i="1"/>
  <c r="H54" i="1"/>
  <c r="O60" i="1"/>
  <c r="Q64" i="1"/>
  <c r="T69" i="1"/>
  <c r="S74" i="1"/>
  <c r="I78" i="1"/>
  <c r="O82" i="1"/>
  <c r="S86" i="1"/>
  <c r="J90" i="1"/>
  <c r="K94" i="1"/>
  <c r="N97" i="1"/>
  <c r="R100" i="1"/>
  <c r="R103" i="1"/>
  <c r="K107" i="1"/>
  <c r="H110" i="1"/>
  <c r="R112" i="1"/>
  <c r="S114" i="1"/>
  <c r="K117" i="1"/>
  <c r="O119" i="1"/>
  <c r="L121" i="1"/>
  <c r="O123" i="1"/>
  <c r="L94" i="1"/>
  <c r="S100" i="1"/>
  <c r="K110" i="1"/>
  <c r="N115" i="1"/>
  <c r="P119" i="1"/>
  <c r="J113" i="1"/>
  <c r="H122" i="1"/>
  <c r="M113" i="1"/>
  <c r="Q120" i="1"/>
  <c r="M57" i="1"/>
  <c r="J85" i="1"/>
  <c r="K114" i="1"/>
  <c r="I96" i="1"/>
  <c r="P122" i="1"/>
  <c r="H41" i="1"/>
  <c r="K106" i="1"/>
  <c r="L30" i="1"/>
  <c r="P26" i="1"/>
  <c r="I32" i="1"/>
  <c r="P37" i="1"/>
  <c r="I43" i="1"/>
  <c r="M48" i="1"/>
  <c r="L55" i="1"/>
  <c r="P60" i="1"/>
  <c r="P65" i="1"/>
  <c r="H70" i="1"/>
  <c r="T74" i="1"/>
  <c r="I79" i="1"/>
  <c r="P82" i="1"/>
  <c r="T86" i="1"/>
  <c r="O97" i="1"/>
  <c r="N107" i="1"/>
  <c r="M121" i="1"/>
  <c r="H105" i="1"/>
  <c r="K122" i="1"/>
  <c r="L34" i="1"/>
  <c r="P118" i="1"/>
  <c r="S89" i="1"/>
  <c r="S26" i="1"/>
  <c r="J32" i="1"/>
  <c r="Q37" i="1"/>
  <c r="J43" i="1"/>
  <c r="T49" i="1"/>
  <c r="M55" i="1"/>
  <c r="Q60" i="1"/>
  <c r="H66" i="1"/>
  <c r="I70" i="1"/>
  <c r="H75" i="1"/>
  <c r="K79" i="1"/>
  <c r="Q82" i="1"/>
  <c r="J87" i="1"/>
  <c r="K91" i="1"/>
  <c r="O94" i="1"/>
  <c r="P97" i="1"/>
  <c r="T100" i="1"/>
  <c r="R104" i="1"/>
  <c r="O107" i="1"/>
  <c r="L110" i="1"/>
  <c r="M117" i="1"/>
  <c r="Q123" i="1"/>
  <c r="T119" i="1"/>
  <c r="S116" i="1"/>
  <c r="H93" i="1"/>
  <c r="T26" i="1"/>
  <c r="K32" i="1"/>
  <c r="T37" i="1"/>
  <c r="N44" i="1"/>
  <c r="H50" i="1"/>
  <c r="N55" i="1"/>
  <c r="H61" i="1"/>
  <c r="K66" i="1"/>
  <c r="K71" i="1"/>
  <c r="I75" i="1"/>
  <c r="L79" i="1"/>
  <c r="Q83" i="1"/>
  <c r="K87" i="1"/>
  <c r="L91" i="1"/>
  <c r="P94" i="1"/>
  <c r="Q97" i="1"/>
  <c r="T101" i="1"/>
  <c r="S104" i="1"/>
  <c r="P107" i="1"/>
  <c r="O110" i="1"/>
  <c r="K113" i="1"/>
  <c r="Q115" i="1"/>
  <c r="N117" i="1"/>
  <c r="R119" i="1"/>
  <c r="I122" i="1"/>
  <c r="R123" i="1"/>
  <c r="L39" i="1"/>
  <c r="L50" i="1"/>
  <c r="K62" i="1"/>
  <c r="J76" i="1"/>
  <c r="T83" i="1"/>
  <c r="N91" i="1"/>
  <c r="R107" i="1"/>
  <c r="J118" i="1"/>
  <c r="N122" i="1"/>
  <c r="S67" i="1"/>
  <c r="H81" i="1"/>
  <c r="M102" i="1"/>
  <c r="N118" i="1"/>
  <c r="P76" i="1"/>
  <c r="J106" i="1"/>
  <c r="H64" i="1"/>
  <c r="R89" i="1"/>
  <c r="N114" i="1"/>
  <c r="J64" i="1"/>
  <c r="K81" i="1"/>
  <c r="N103" i="1"/>
  <c r="H121" i="1"/>
  <c r="H27" i="1"/>
  <c r="L32" i="1"/>
  <c r="K39" i="1"/>
  <c r="O44" i="1"/>
  <c r="K50" i="1"/>
  <c r="O55" i="1"/>
  <c r="I61" i="1"/>
  <c r="L66" i="1"/>
  <c r="M71" i="1"/>
  <c r="J75" i="1"/>
  <c r="N79" i="1"/>
  <c r="S83" i="1"/>
  <c r="L87" i="1"/>
  <c r="M91" i="1"/>
  <c r="Q94" i="1"/>
  <c r="R97" i="1"/>
  <c r="H102" i="1"/>
  <c r="T104" i="1"/>
  <c r="Q107" i="1"/>
  <c r="P110" i="1"/>
  <c r="L113" i="1"/>
  <c r="R115" i="1"/>
  <c r="I118" i="1"/>
  <c r="S119" i="1"/>
  <c r="J122" i="1"/>
  <c r="S123" i="1"/>
  <c r="P33" i="1"/>
  <c r="P44" i="1"/>
  <c r="P55" i="1"/>
  <c r="N71" i="1"/>
  <c r="O79" i="1"/>
  <c r="J88" i="1"/>
  <c r="R94" i="1"/>
  <c r="I102" i="1"/>
  <c r="S115" i="1"/>
  <c r="I114" i="1"/>
  <c r="R62" i="1"/>
  <c r="H96" i="1"/>
  <c r="S108" i="1"/>
  <c r="R120" i="1"/>
  <c r="H73" i="1"/>
  <c r="K99" i="1"/>
  <c r="O118" i="1"/>
  <c r="H52" i="1"/>
  <c r="P77" i="1"/>
  <c r="S92" i="1"/>
  <c r="T120" i="1"/>
  <c r="R24" i="1"/>
  <c r="M73" i="1"/>
  <c r="K96" i="1"/>
  <c r="H112" i="1"/>
  <c r="I27" i="1"/>
  <c r="M66" i="1"/>
  <c r="R98" i="1"/>
  <c r="T123" i="1"/>
  <c r="S72" i="1"/>
  <c r="I106" i="1"/>
  <c r="R92" i="1"/>
  <c r="J81" i="1"/>
  <c r="I109" i="1"/>
  <c r="M28" i="1"/>
  <c r="T33" i="1"/>
  <c r="M39" i="1"/>
  <c r="Q44" i="1"/>
  <c r="M50" i="1"/>
  <c r="T56" i="1"/>
  <c r="O62" i="1"/>
  <c r="N66" i="1"/>
  <c r="O71" i="1"/>
  <c r="L76" i="1"/>
  <c r="R79" i="1"/>
  <c r="H84" i="1"/>
  <c r="N88" i="1"/>
  <c r="O91" i="1"/>
  <c r="S94" i="1"/>
  <c r="S98" i="1"/>
  <c r="J102" i="1"/>
  <c r="I105" i="1"/>
  <c r="S107" i="1"/>
  <c r="R110" i="1"/>
  <c r="N113" i="1"/>
  <c r="T115" i="1"/>
  <c r="K118" i="1"/>
  <c r="H120" i="1"/>
  <c r="L122" i="1"/>
  <c r="I120" i="1"/>
  <c r="M118" i="1"/>
  <c r="O46" i="1"/>
  <c r="Q92" i="1"/>
  <c r="L85" i="1"/>
  <c r="S120" i="1"/>
  <c r="Q46" i="1"/>
  <c r="T111" i="1"/>
  <c r="L53" i="1"/>
  <c r="J123" i="1"/>
  <c r="N28" i="1"/>
  <c r="H34" i="1"/>
  <c r="N39" i="1"/>
  <c r="H45" i="1"/>
  <c r="Q51" i="1"/>
  <c r="H57" i="1"/>
  <c r="P62" i="1"/>
  <c r="P67" i="1"/>
  <c r="P71" i="1"/>
  <c r="M76" i="1"/>
  <c r="O80" i="1"/>
  <c r="I84" i="1"/>
  <c r="O88" i="1"/>
  <c r="P91" i="1"/>
  <c r="S95" i="1"/>
  <c r="T98" i="1"/>
  <c r="K102" i="1"/>
  <c r="J105" i="1"/>
  <c r="I108" i="1"/>
  <c r="S110" i="1"/>
  <c r="O113" i="1"/>
  <c r="H116" i="1"/>
  <c r="L118" i="1"/>
  <c r="M122" i="1"/>
  <c r="I116" i="1"/>
  <c r="S51" i="1"/>
  <c r="Q122" i="1"/>
  <c r="N85" i="1"/>
  <c r="O28" i="1"/>
  <c r="K34" i="1"/>
  <c r="O39" i="1"/>
  <c r="L46" i="1"/>
  <c r="R51" i="1"/>
  <c r="L57" i="1"/>
  <c r="Q62" i="1"/>
  <c r="R67" i="1"/>
  <c r="Q71" i="1"/>
  <c r="N76" i="1"/>
  <c r="R80" i="1"/>
  <c r="J84" i="1"/>
  <c r="P88" i="1"/>
  <c r="R91" i="1"/>
  <c r="T95" i="1"/>
  <c r="H99" i="1"/>
  <c r="L102" i="1"/>
  <c r="S105" i="1"/>
  <c r="P108" i="1"/>
  <c r="M111" i="1"/>
  <c r="S40" i="1"/>
  <c r="J99" i="1"/>
  <c r="P28" i="1"/>
  <c r="O76" i="1"/>
  <c r="O122" i="1"/>
  <c r="L103" i="1"/>
  <c r="K30" i="1"/>
  <c r="H109" i="1"/>
  <c r="H59" i="1"/>
  <c r="O114" i="1"/>
  <c r="Q28" i="1"/>
  <c r="P35" i="1"/>
  <c r="T40" i="1"/>
  <c r="P46" i="1"/>
  <c r="T51" i="1"/>
  <c r="P57" i="1"/>
  <c r="I81" i="1"/>
  <c r="S111" i="1"/>
  <c r="T58" i="1"/>
  <c r="I68" i="1"/>
  <c r="T116" i="1"/>
  <c r="S24" i="1"/>
  <c r="O30" i="1"/>
  <c r="S35" i="1"/>
  <c r="M41" i="1"/>
  <c r="I48" i="1"/>
  <c r="P53" i="1"/>
  <c r="I59" i="1"/>
  <c r="K64" i="1"/>
  <c r="K69" i="1"/>
  <c r="P73" i="1"/>
  <c r="S77" i="1"/>
  <c r="K82" i="1"/>
  <c r="P85" i="1"/>
  <c r="T89" i="1"/>
  <c r="I93" i="1"/>
  <c r="L96" i="1"/>
  <c r="M100" i="1"/>
  <c r="O103" i="1"/>
  <c r="M106" i="1"/>
  <c r="L109" i="1"/>
  <c r="I112" i="1"/>
  <c r="P114" i="1"/>
  <c r="H117" i="1"/>
  <c r="R118" i="1"/>
  <c r="I121" i="1"/>
  <c r="L123" i="1"/>
  <c r="J116" i="1"/>
  <c r="T67" i="1"/>
  <c r="M114" i="1"/>
  <c r="H68" i="1"/>
  <c r="M85" i="1"/>
  <c r="M103" i="1"/>
  <c r="R35" i="1"/>
  <c r="T24" i="1"/>
  <c r="P30" i="1"/>
  <c r="T35" i="1"/>
  <c r="S42" i="1"/>
  <c r="J48" i="1"/>
  <c r="Q53" i="1"/>
  <c r="J59" i="1"/>
  <c r="L64" i="1"/>
  <c r="P69" i="1"/>
  <c r="Q73" i="1"/>
  <c r="T77" i="1"/>
  <c r="M82" i="1"/>
  <c r="Q85" i="1"/>
  <c r="H90" i="1"/>
  <c r="L93" i="1"/>
  <c r="L97" i="1"/>
  <c r="N100" i="1"/>
  <c r="P103" i="1"/>
  <c r="N106" i="1"/>
  <c r="M109" i="1"/>
  <c r="J112" i="1"/>
  <c r="Q114" i="1"/>
  <c r="I117" i="1"/>
  <c r="M119" i="1"/>
  <c r="J121" i="1"/>
  <c r="M123" i="1"/>
  <c r="R111" i="1"/>
  <c r="S62" i="1"/>
  <c r="T108" i="1"/>
  <c r="L73" i="1"/>
  <c r="J96" i="1"/>
  <c r="L41" i="1"/>
  <c r="R77" i="1"/>
  <c r="K100" i="1"/>
  <c r="L106" i="1"/>
  <c r="BP122" i="1"/>
  <c r="BN122" i="1"/>
  <c r="B49" i="1"/>
  <c r="B51" i="1" s="1"/>
  <c r="BJ123" i="1"/>
  <c r="BK123" i="1" s="1"/>
  <c r="BL123" i="1" s="1"/>
  <c r="BN123" i="1" s="1"/>
  <c r="BP123" i="1" l="1"/>
  <c r="K12" i="1"/>
  <c r="K5" i="1" l="1"/>
  <c r="B52" i="1"/>
  <c r="B50" i="1"/>
  <c r="A110" i="5" l="1"/>
  <c r="B39" i="1"/>
  <c r="B22" i="4"/>
  <c r="K16" i="1"/>
  <c r="B38" i="1"/>
  <c r="B41" i="1" s="1"/>
  <c r="K6" i="1" l="1"/>
  <c r="B40" i="1"/>
  <c r="B54" i="4"/>
  <c r="B57" i="4" s="1"/>
  <c r="A114" i="5" s="1"/>
  <c r="B22" i="2"/>
  <c r="B24" i="4"/>
  <c r="B10" i="2"/>
  <c r="B13" i="4"/>
  <c r="B42" i="1"/>
  <c r="K7" i="1" l="1"/>
  <c r="C22" i="2"/>
  <c r="B130" i="5"/>
  <c r="B59" i="4"/>
  <c r="D130" i="5" l="1"/>
  <c r="B65" i="2"/>
  <c r="E22" i="2"/>
  <c r="E27" i="2" s="1"/>
  <c r="B41" i="2" s="1"/>
  <c r="K14" i="1"/>
  <c r="A120" i="5"/>
  <c r="B61" i="4"/>
  <c r="F130" i="5" l="1"/>
  <c r="D147" i="5"/>
  <c r="D135" i="5"/>
  <c r="B43" i="2"/>
  <c r="B46" i="2"/>
  <c r="A150" i="5" l="1"/>
  <c r="D148" i="5"/>
  <c r="K15" i="1"/>
  <c r="B45" i="2"/>
  <c r="A153" i="5" s="1"/>
</calcChain>
</file>

<file path=xl/sharedStrings.xml><?xml version="1.0" encoding="utf-8"?>
<sst xmlns="http://schemas.openxmlformats.org/spreadsheetml/2006/main" count="886" uniqueCount="604">
  <si>
    <t>Item</t>
  </si>
  <si>
    <t>Value</t>
  </si>
  <si>
    <t>Unit</t>
  </si>
  <si>
    <t>Type</t>
  </si>
  <si>
    <t>Basis / instruction</t>
  </si>
  <si>
    <t>Length perpendicular to wind, B</t>
  </si>
  <si>
    <t>m</t>
  </si>
  <si>
    <t>Length along wind, D</t>
  </si>
  <si>
    <t>RC</t>
  </si>
  <si>
    <t>text</t>
  </si>
  <si>
    <t>Topographic factor, St</t>
  </si>
  <si>
    <t>factor</t>
  </si>
  <si>
    <t>Directionality factor, Sθ</t>
  </si>
  <si>
    <t>Fixed most-critical factor</t>
  </si>
  <si>
    <t>Fundamental frequency Nx</t>
  </si>
  <si>
    <t>Hz</t>
  </si>
  <si>
    <t>AUTOMATIC</t>
  </si>
  <si>
    <t>RC damping ratio</t>
  </si>
  <si>
    <t>ratio</t>
  </si>
  <si>
    <t>Input status</t>
  </si>
  <si>
    <t>Wind load calculation — single direction</t>
  </si>
  <si>
    <t>Calculation</t>
  </si>
  <si>
    <t>Result</t>
  </si>
  <si>
    <t>Formula / copy line</t>
  </si>
  <si>
    <t>2019 code note</t>
  </si>
  <si>
    <t>Frontal breadth, B</t>
  </si>
  <si>
    <t>B</t>
  </si>
  <si>
    <t>Input from top</t>
  </si>
  <si>
    <t>Along-wind depth, D</t>
  </si>
  <si>
    <t>D</t>
  </si>
  <si>
    <t>Geometry</t>
  </si>
  <si>
    <t>Breadth-to-depth ratio, B/D</t>
  </si>
  <si>
    <t>B / D</t>
  </si>
  <si>
    <t>Fundamental frequency, Nx</t>
  </si>
  <si>
    <t>Reference pressure, Qo,z</t>
  </si>
  <si>
    <t>kPa</t>
  </si>
  <si>
    <t>Qo,z = 3.7(Ze / 500)^0.16</t>
  </si>
  <si>
    <t>Eq. 3-2</t>
  </si>
  <si>
    <t>Fixed value</t>
  </si>
  <si>
    <t>Design pressure, Qz</t>
  </si>
  <si>
    <t>Qz = Qo,z × St × Sθ</t>
  </si>
  <si>
    <t>Eq. 3-1</t>
  </si>
  <si>
    <t>Force coefficient, Cf</t>
  </si>
  <si>
    <t>Cf</t>
  </si>
  <si>
    <t>Eq. 4-1 / Figure 4-2</t>
  </si>
  <si>
    <t>Half-perimeter, L0.5p</t>
  </si>
  <si>
    <t>Size factor, Ss</t>
  </si>
  <si>
    <t>Ss = exp(0.17 − 0.07 L0.5p^0.32)</t>
  </si>
  <si>
    <t>Eq. C1-1a</t>
  </si>
  <si>
    <t>Damping ratio, ξx</t>
  </si>
  <si>
    <t>kN</t>
  </si>
  <si>
    <t>ULS wind force / base shear</t>
  </si>
  <si>
    <t>V × γw</t>
  </si>
  <si>
    <t>M × γw</t>
  </si>
  <si>
    <t>Across-wind assessment</t>
  </si>
  <si>
    <t>Separate analysis if required</t>
  </si>
  <si>
    <t>Single direction shown</t>
  </si>
  <si>
    <t>Geometry status</t>
  </si>
  <si>
    <t>Check geometry limits</t>
  </si>
  <si>
    <t>Review if outside code limits</t>
  </si>
  <si>
    <t>Code reference: Hong Kong Code of Practice on Wind Effects 2019 (Buildings Department official publication).</t>
  </si>
  <si>
    <t>Qo,z</t>
  </si>
  <si>
    <t>Qz</t>
  </si>
  <si>
    <t>Sq,z</t>
  </si>
  <si>
    <t>Wz</t>
  </si>
  <si>
    <t>ΔV</t>
  </si>
  <si>
    <t>ΔM</t>
  </si>
  <si>
    <t>If the building has no basement, uplift stability does not need to be checked.</t>
  </si>
  <si>
    <t>Colour key: yellow = user input; orange = fixed value; blue = linked/calculated data.</t>
  </si>
  <si>
    <t>Base data, linked data and fixed values</t>
  </si>
  <si>
    <t>Basement present?</t>
  </si>
  <si>
    <t>Yes / No</t>
  </si>
  <si>
    <t>User input</t>
  </si>
  <si>
    <t>Linked from Wind Load Check</t>
  </si>
  <si>
    <t>Uplift load factor</t>
  </si>
  <si>
    <t>Linked from Overturning Check</t>
  </si>
  <si>
    <t>Tower self-weight, S/W1</t>
  </si>
  <si>
    <t>Calculated from the self-weight input table at right</t>
  </si>
  <si>
    <t>Podium self-weight, S/W2</t>
  </si>
  <si>
    <t>kN/m3</t>
  </si>
  <si>
    <t>Fixed constant; no user input required</t>
  </si>
  <si>
    <t>Uplift calculation</t>
  </si>
  <si>
    <t>Formula basis</t>
  </si>
  <si>
    <t>Factored uplift force</t>
  </si>
  <si>
    <t>Total stabilising self-weight</t>
  </si>
  <si>
    <t>S/W1 + S/W2</t>
  </si>
  <si>
    <t>Uplift FOS</t>
  </si>
  <si>
    <t>Self-weight / factored uplift</t>
  </si>
  <si>
    <t>Required FOS</t>
  </si>
  <si>
    <t>Status</t>
  </si>
  <si>
    <t>No basement: check not required</t>
  </si>
  <si>
    <t>Building self-weight inputs</t>
  </si>
  <si>
    <t>Input</t>
  </si>
  <si>
    <t>storeys</t>
  </si>
  <si>
    <t>Loading per floor</t>
  </si>
  <si>
    <t>Calculated self-weight</t>
  </si>
  <si>
    <t>Linked from Uplift Check</t>
  </si>
  <si>
    <t>Active earth pressure coefficient, Ka</t>
  </si>
  <si>
    <t>Passive earth pressure coefficient, Kp</t>
  </si>
  <si>
    <t>Characteristic wind base shear</t>
  </si>
  <si>
    <t>Active hydrostatic load factor</t>
  </si>
  <si>
    <t>Active soil sliding load factor</t>
  </si>
  <si>
    <t>Passive resistance factor</t>
  </si>
  <si>
    <t>Required basement sliding FOS</t>
  </si>
  <si>
    <t>Total driving force, Fs</t>
  </si>
  <si>
    <t>Total resisting force, Fr</t>
  </si>
  <si>
    <t>Sliding FOS</t>
  </si>
  <si>
    <t>pass when FOS &gt;= required FOS</t>
  </si>
  <si>
    <t>degrees</t>
  </si>
  <si>
    <t>Fixed photo factor</t>
  </si>
  <si>
    <t>Effective base normal force</t>
  </si>
  <si>
    <t>Base friction resistance</t>
  </si>
  <si>
    <t>Forces are linked from the preceding checks. All moments are taken about point O at the right-hand base edge.</t>
  </si>
  <si>
    <t>Base data and linked wind results</t>
  </si>
  <si>
    <t>Fixed load factors</t>
  </si>
  <si>
    <t>Wind</t>
  </si>
  <si>
    <t>Active hydrostatic</t>
  </si>
  <si>
    <t>Active soil</t>
  </si>
  <si>
    <t>Wind direction</t>
  </si>
  <si>
    <t>B perpendicular to wind; D along wind</t>
  </si>
  <si>
    <t>Uplift</t>
  </si>
  <si>
    <t>Resisting actions</t>
  </si>
  <si>
    <t>Stabilising force results</t>
  </si>
  <si>
    <t>Required overturning FOS</t>
  </si>
  <si>
    <t>Fixed criterion</t>
  </si>
  <si>
    <t>Overturning moments, Mo</t>
  </si>
  <si>
    <t>Action</t>
  </si>
  <si>
    <t>Force (kN)</t>
  </si>
  <si>
    <t>Moment arm (m)</t>
  </si>
  <si>
    <t>Factor</t>
  </si>
  <si>
    <t>Moment-arm basis</t>
  </si>
  <si>
    <t>Total overturning moment, Mo</t>
  </si>
  <si>
    <t>Sum of wind, water, soil, surcharge and uplift moments</t>
  </si>
  <si>
    <t>Active surcharge</t>
  </si>
  <si>
    <t>Resisting moments, Mr</t>
  </si>
  <si>
    <t>Passive soil</t>
  </si>
  <si>
    <t>Passive hydrostatic</t>
  </si>
  <si>
    <t>Total resisting moment, Mr</t>
  </si>
  <si>
    <t>Sum of factored resisting moments</t>
  </si>
  <si>
    <t>Overturning stability result</t>
  </si>
  <si>
    <t>Overturning moment, Mo</t>
  </si>
  <si>
    <t>Linked from the Mo table</t>
  </si>
  <si>
    <t>Resisting moment, Mr</t>
  </si>
  <si>
    <t>Linked from the Mr table</t>
  </si>
  <si>
    <t>Overturning FOS, Mr / Mo</t>
  </si>
  <si>
    <t>Mr / Mo</t>
  </si>
  <si>
    <t>Net overturning moment, Mo - Mr</t>
  </si>
  <si>
    <t>Positive value indicates a resisting-moment shortfall</t>
  </si>
  <si>
    <t>Tower arm</t>
  </si>
  <si>
    <t>Default D - tower D/2 assumes tower flush with far edge; edit for actual position</t>
  </si>
  <si>
    <t>Podium arm</t>
  </si>
  <si>
    <t>Default D/2 assumes podium centred on base; edit for actual position</t>
  </si>
  <si>
    <t>Wind arm</t>
  </si>
  <si>
    <t>Active</t>
  </si>
  <si>
    <t>Passive</t>
  </si>
  <si>
    <t>FOS</t>
  </si>
  <si>
    <t>Hydrostatic</t>
  </si>
  <si>
    <t>Soil</t>
  </si>
  <si>
    <t>Surcharge</t>
  </si>
  <si>
    <t>Uniform wind V</t>
  </si>
  <si>
    <t>Uniform wind M</t>
  </si>
  <si>
    <t>Uniform sliding driving force</t>
  </si>
  <si>
    <t>Adopted wind force V (kN)</t>
  </si>
  <si>
    <t>Geometry valid</t>
  </si>
  <si>
    <t>Uniform calculation ready</t>
  </si>
  <si>
    <t>Uniform sliding FOS</t>
  </si>
  <si>
    <t>Uniform overturning FOS</t>
  </si>
  <si>
    <t>Storey input status</t>
  </si>
  <si>
    <t>Storey calculation ready</t>
  </si>
  <si>
    <t>Entered total height (m)</t>
  </si>
  <si>
    <t>Storey wind force (kN)</t>
  </si>
  <si>
    <t>Adopted sliding FOS</t>
  </si>
  <si>
    <t>Adopted overturning FOS</t>
  </si>
  <si>
    <t>Calculation result</t>
  </si>
  <si>
    <t>Pressure profile source: HK Wind Code 2019, Table 3-1, Eq. 3-1/3-2 and 4-1; https://www.bd.gov.hk/doc/en/resources/codes-and-references/code-and-design-manuals/WindEffects2019e.pdf</t>
  </si>
  <si>
    <t>Storey</t>
  </si>
  <si>
    <t>Height hi (m)</t>
  </si>
  <si>
    <t>Width Bi (m)</t>
  </si>
  <si>
    <t>Bottom z (m)</t>
  </si>
  <si>
    <t>Top z (m)</t>
  </si>
  <si>
    <t>Cf used</t>
  </si>
  <si>
    <t>Average Qo (kPa)</t>
  </si>
  <si>
    <t>Average p (kPa)</t>
  </si>
  <si>
    <t>Wind Fi (kN)</t>
  </si>
  <si>
    <t>Wind / height (kN/m)</t>
  </si>
  <si>
    <t>Integral Qo dz</t>
  </si>
  <si>
    <t>Integral z Qo dz</t>
  </si>
  <si>
    <t>Adopted wind force, V</t>
    <phoneticPr fontId="6" type="noConversion"/>
  </si>
  <si>
    <t>Selected mode</t>
    <phoneticPr fontId="6" type="noConversion"/>
  </si>
  <si>
    <t>Mode / input status</t>
    <phoneticPr fontId="6" type="noConversion"/>
  </si>
  <si>
    <t>Automatic switching removed</t>
    <phoneticPr fontId="6" type="noConversion"/>
  </si>
  <si>
    <t>Wind geometry and fixed values</t>
    <phoneticPr fontId="6" type="noConversion"/>
  </si>
  <si>
    <t>Layered H sums all storey heights automatically. D remains constant; no storey width may exceed B.</t>
    <phoneticPr fontId="6" type="noConversion"/>
  </si>
  <si>
    <t>—</t>
  </si>
  <si>
    <t>Formula</t>
  </si>
  <si>
    <t>Colour key: yellow = user input; coloured headers; other cells have no fill.</t>
    <phoneticPr fontId="6" type="noConversion"/>
  </si>
  <si>
    <t>Size and dynamic factor, Sq</t>
    <phoneticPr fontId="6" type="noConversion"/>
  </si>
  <si>
    <t>ESTIMATE</t>
  </si>
  <si>
    <t>UNIFORM</t>
    <phoneticPr fontId="6" type="noConversion"/>
  </si>
  <si>
    <t>Plan breadth normal to wind</t>
    <phoneticPr fontId="6" type="noConversion"/>
  </si>
  <si>
    <t>Plan depth parallel to wind</t>
    <phoneticPr fontId="6" type="noConversion"/>
  </si>
  <si>
    <t>Supplied reference value</t>
    <phoneticPr fontId="6" type="noConversion"/>
  </si>
  <si>
    <t>Assumed H/D. Conservative damping bands; see guide.</t>
    <phoneticPr fontId="6" type="noConversion"/>
  </si>
  <si>
    <t>ULS factor; characteristic V shown separately</t>
    <phoneticPr fontId="6" type="noConversion"/>
  </si>
  <si>
    <t>Conservative bands, no interpolation; see guide</t>
    <phoneticPr fontId="6" type="noConversion"/>
  </si>
  <si>
    <t>Selected mode on this sheet</t>
    <phoneticPr fontId="6" type="noConversion"/>
  </si>
  <si>
    <t>Basement plan width, B</t>
    <phoneticPr fontId="6" type="noConversion"/>
  </si>
  <si>
    <t>Basement plan depth, D</t>
    <phoneticPr fontId="6" type="noConversion"/>
  </si>
  <si>
    <t>User input: basement dimension B, normal to wind</t>
    <phoneticPr fontId="6" type="noConversion"/>
  </si>
  <si>
    <t>User input: basement dimension D, along wind</t>
    <phoneticPr fontId="6" type="noConversion"/>
  </si>
  <si>
    <t>Total</t>
    <phoneticPr fontId="6" type="noConversion"/>
  </si>
  <si>
    <t>Unit</t>
    <phoneticPr fontId="6" type="noConversion"/>
  </si>
  <si>
    <t>Self-weight lever arm to O</t>
  </si>
  <si>
    <t>Only combine regions participating in the same stability system. For a second region, enter lever arms to O for each active part in its group.</t>
  </si>
  <si>
    <t>Tower self-weight, total</t>
    <phoneticPr fontId="6" type="noConversion"/>
  </si>
  <si>
    <t>Basement self-weight, total</t>
    <phoneticPr fontId="6" type="noConversion"/>
  </si>
  <si>
    <t>Combined towers; enter individual lever arms if Tower 2 is used</t>
    <phoneticPr fontId="6" type="noConversion"/>
  </si>
  <si>
    <t>Combined basements; enter individual lever arms if Basement 2 is used</t>
    <phoneticPr fontId="6" type="noConversion"/>
  </si>
  <si>
    <t>Self-weight schedule only. Uplift area still uses the basement B x D inputs above; separate uplift areas are not automatically added.</t>
  </si>
  <si>
    <t>Layered wind — equivalent average pressure</t>
  </si>
  <si>
    <t>Total wind-facing area, A</t>
  </si>
  <si>
    <t>m2</t>
  </si>
  <si>
    <t>A = sum(Bi x hi)</t>
  </si>
  <si>
    <t>Area-weighted average pressure</t>
  </si>
  <si>
    <t>p_avg = sum(Fi) / A</t>
  </si>
  <si>
    <t>Equivalent average width</t>
  </si>
  <si>
    <t>B_avg = A / H</t>
  </si>
  <si>
    <t>zR = sum(Mi) / sum(Fi)</t>
  </si>
  <si>
    <t>Same total force, not necessarily the same moment.</t>
  </si>
  <si>
    <t>Left / right levels and surface surcharge</t>
  </si>
  <si>
    <t>Left (active)</t>
  </si>
  <si>
    <t>Right (passive)</t>
  </si>
  <si>
    <t>Existing level, EL</t>
  </si>
  <si>
    <t>Groundwater level, GWL</t>
  </si>
  <si>
    <t>Surface surcharge, q</t>
  </si>
  <si>
    <t>Common datum</t>
  </si>
  <si>
    <t>Bulk soil weight above GWL, γu</t>
  </si>
  <si>
    <t>Retained soil height, Hs</t>
  </si>
  <si>
    <t>Positive water head, hw</t>
  </si>
  <si>
    <t>Soil above GWL, a</t>
  </si>
  <si>
    <t>Soil below GWL, b</t>
  </si>
  <si>
    <t>Side input status</t>
  </si>
  <si>
    <t>Combined input status</t>
  </si>
  <si>
    <t>Left is active and right is passive for the shown left-to-right action. Reversed loading requires a separate case.</t>
  </si>
  <si>
    <t>Enter levels on one datum (e.g. mPD). q is total equivalent surface load, not self-weight storeys. Initial q values retain the previous surcharge assumptions.</t>
  </si>
  <si>
    <t>Basis: CEDD Geoguide 1, sections 6.5.2, 7.3 and 8.2.2. https://www.cedd.gov.hk/filemanager/eng/content_106/eg1_20200601.pdf</t>
  </si>
  <si>
    <t>Basement: separate left/right ground, groundwater and surface loads. No-basement wind/friction method retained.</t>
    <phoneticPr fontId="6" type="noConversion"/>
  </si>
  <si>
    <t>Left retained soil height, Hs,A</t>
    <phoneticPr fontId="6" type="noConversion"/>
  </si>
  <si>
    <t>Loaded basement wall breadth, B</t>
    <phoneticPr fontId="6" type="noConversion"/>
  </si>
  <si>
    <t>Unit weight of water, γw</t>
    <phoneticPr fontId="6" type="noConversion"/>
  </si>
  <si>
    <t>Current left surcharge, qA</t>
  </si>
  <si>
    <t>Current right surcharge, qP</t>
  </si>
  <si>
    <t>Left EL minus common base level</t>
    <phoneticPr fontId="6" type="noConversion"/>
  </si>
  <si>
    <t>Base depth along wind, D</t>
    <phoneticPr fontId="6" type="noConversion"/>
  </si>
  <si>
    <t>Basement D for O and uplift; no basement uses wind D</t>
    <phoneticPr fontId="6" type="noConversion"/>
  </si>
  <si>
    <t>Left hw / 3</t>
    <phoneticPr fontId="6" type="noConversion"/>
  </si>
  <si>
    <t>Left soil moment / soil force</t>
    <phoneticPr fontId="6" type="noConversion"/>
  </si>
  <si>
    <t>Right soil moment / soil force</t>
    <phoneticPr fontId="6" type="noConversion"/>
  </si>
  <si>
    <t>Right hw / 3</t>
    <phoneticPr fontId="6" type="noConversion"/>
  </si>
  <si>
    <t>Basis</t>
    <phoneticPr fontId="6" type="noConversion"/>
  </si>
  <si>
    <t>Unit</t>
    <phoneticPr fontId="6" type="noConversion"/>
  </si>
  <si>
    <t>Same datum as RL0</t>
    <phoneticPr fontId="6" type="noConversion"/>
  </si>
  <si>
    <t>m</t>
    <phoneticPr fontId="6" type="noConversion"/>
  </si>
  <si>
    <t>No suction below base</t>
    <phoneticPr fontId="6" type="noConversion"/>
  </si>
  <si>
    <t>Total equivalent kPa</t>
    <phoneticPr fontId="6" type="noConversion"/>
  </si>
  <si>
    <t>kPa</t>
    <phoneticPr fontId="6" type="noConversion"/>
  </si>
  <si>
    <t>Common to both sides</t>
    <phoneticPr fontId="6" type="noConversion"/>
  </si>
  <si>
    <t>Enter if a &gt; 0</t>
    <phoneticPr fontId="6" type="noConversion"/>
  </si>
  <si>
    <t>kN/m³</t>
    <phoneticPr fontId="6" type="noConversion"/>
  </si>
  <si>
    <t>EL − RL0</t>
    <phoneticPr fontId="6" type="noConversion"/>
  </si>
  <si>
    <t>MAX(GWL − RL0, 0)</t>
    <phoneticPr fontId="6" type="noConversion"/>
  </si>
  <si>
    <t>Hs − b</t>
    <phoneticPr fontId="6" type="noConversion"/>
  </si>
  <si>
    <t>MIN(Hs, hw)</t>
    <phoneticPr fontId="6" type="noConversion"/>
  </si>
  <si>
    <t>B 面  独立输入</t>
  </si>
  <si>
    <t>D 面  独立输入</t>
  </si>
  <si>
    <t>Basement</t>
  </si>
  <si>
    <t>Wind mode</t>
  </si>
  <si>
    <t>UNIFORM</t>
  </si>
  <si>
    <t>Wind action: left to right</t>
  </si>
  <si>
    <t>q left (kPa)</t>
  </si>
  <si>
    <t>q right (kPa)</t>
  </si>
  <si>
    <t>B 面  土参数及独立系数</t>
  </si>
  <si>
    <t>D 面  土参数及独立系数</t>
  </si>
  <si>
    <t>水 γw (kN/m³)</t>
  </si>
  <si>
    <t>Ka</t>
  </si>
  <si>
    <t>Kp</t>
  </si>
  <si>
    <t>Topographic St</t>
  </si>
  <si>
    <t>Directionality Sθ</t>
  </si>
  <si>
    <t>Sliding water factor</t>
  </si>
  <si>
    <t>Sliding soil factor</t>
  </si>
  <si>
    <t>Sliding passive factor</t>
  </si>
  <si>
    <t>Sliding required FOS</t>
  </si>
  <si>
    <t>No-basement required FOS</t>
  </si>
  <si>
    <t>OT wind factor</t>
  </si>
  <si>
    <t>OT water factor</t>
  </si>
  <si>
    <t>OT soil factor</t>
  </si>
  <si>
    <t>Uplift factor</t>
  </si>
  <si>
    <t>OT resisting factor</t>
  </si>
  <si>
    <t>Component</t>
  </si>
  <si>
    <t>Storeys</t>
  </si>
  <si>
    <t>kPa/floor</t>
  </si>
  <si>
    <t>Arm to O m</t>
  </si>
  <si>
    <t>B 面  逐层风输入：仅本面 LAYERED 模式使用</t>
  </si>
  <si>
    <t>D 面  逐层风输入：仅本面 LAYERED 模式使用</t>
  </si>
  <si>
    <t>Layer</t>
  </si>
  <si>
    <t>Height m</t>
  </si>
  <si>
    <t>Breadth m</t>
  </si>
  <si>
    <t>B / D 独立计算比较</t>
  </si>
  <si>
    <t>B result</t>
  </si>
  <si>
    <t>B criterion</t>
  </si>
  <si>
    <t>D result</t>
  </si>
  <si>
    <t>D criterion</t>
  </si>
  <si>
    <t>Critical / note</t>
  </si>
  <si>
    <t>Wind review</t>
  </si>
  <si>
    <t>Wind shear V (kN)</t>
  </si>
  <si>
    <t>Overturning FOS</t>
  </si>
  <si>
    <t>Sliding utilisation</t>
  </si>
  <si>
    <t>Overturning utilisation</t>
  </si>
  <si>
    <t>Uplift utilisation</t>
  </si>
  <si>
    <t>Maximum assessed utilisation</t>
  </si>
  <si>
    <t>Governing check</t>
  </si>
  <si>
    <t>Overall comparison scope</t>
  </si>
  <si>
    <t>A partial comparison is not a complete design assessment. Missing / unsupported checks remain explicitly unassessed.</t>
  </si>
  <si>
    <t>No-basement mode retains the existing scope; confirm actual foundation groundwater conditions.</t>
  </si>
  <si>
    <t>No basement: self-weight x tan(input phi); basement: factored active soil + surcharge</t>
  </si>
  <si>
    <t>B face: user-defined dimensions, left-to-right action</t>
    <phoneticPr fontId="6" type="noConversion"/>
  </si>
  <si>
    <t>St from this face input</t>
    <phoneticPr fontId="6" type="noConversion"/>
  </si>
  <si>
    <t>S-theta from this face input</t>
    <phoneticPr fontId="6" type="noConversion"/>
  </si>
  <si>
    <t>This face input wind ULS factor</t>
    <phoneticPr fontId="6" type="noConversion"/>
  </si>
  <si>
    <t>COMMITTED INPUT</t>
    <phoneticPr fontId="6" type="noConversion"/>
  </si>
  <si>
    <t>楼顶 / Top (mPD)</t>
    <phoneticPr fontId="6" type="noConversion"/>
  </si>
  <si>
    <t>右地面 (mPD)</t>
    <phoneticPr fontId="6" type="noConversion"/>
  </si>
  <si>
    <t>左地面 (mPD)</t>
    <phoneticPr fontId="6" type="noConversion"/>
  </si>
  <si>
    <t>左水位 (mPD)</t>
    <phoneticPr fontId="6" type="noConversion"/>
  </si>
  <si>
    <t>右水位 (mPD)</t>
    <phoneticPr fontId="6" type="noConversion"/>
  </si>
  <si>
    <t>O 点 (mPD)</t>
    <phoneticPr fontId="6" type="noConversion"/>
  </si>
  <si>
    <t>Uniform moment at O (factored)</t>
    <phoneticPr fontId="6" type="noConversion"/>
  </si>
  <si>
    <t>Wind moment uses the agreed midpoint approximation. Vertical self-weight uses horizontal arms to O.</t>
    <phoneticPr fontId="6" type="noConversion"/>
  </si>
  <si>
    <t>Wind moment: midpoint approximation at O; not the exact layered pressure moment.</t>
    <phoneticPr fontId="6" type="noConversion"/>
  </si>
  <si>
    <t>Calculate both faces with valid inputs first.</t>
  </si>
  <si>
    <t>Basement B (m)</t>
    <phoneticPr fontId="6" type="noConversion"/>
  </si>
  <si>
    <t>Basement D (m)</t>
    <phoneticPr fontId="6" type="noConversion"/>
  </si>
  <si>
    <t>B</t>
    <phoneticPr fontId="6" type="noConversion"/>
  </si>
  <si>
    <t>左侧 水位以上 γ (kN/m³)</t>
    <phoneticPr fontId="6" type="noConversion"/>
  </si>
  <si>
    <t>右侧 水位以上 γ (kN/m³)</t>
    <phoneticPr fontId="6" type="noConversion"/>
  </si>
  <si>
    <t>左侧 浮重度 γ′ (kN/m³)</t>
    <phoneticPr fontId="6" type="noConversion"/>
  </si>
  <si>
    <t>右侧 浮重度 γ′ (kN/m³)</t>
    <phoneticPr fontId="6" type="noConversion"/>
  </si>
  <si>
    <t>水位以上 γ = 19；水位以下浮重度 γ′ = 9.19 kN/m³；侧向水压力另计。其他系数须按项目核实。</t>
    <phoneticPr fontId="6" type="noConversion"/>
  </si>
  <si>
    <t>Submerged soil unit weight, γ′</t>
    <phoneticPr fontId="6" type="noConversion"/>
  </si>
  <si>
    <t>Direct submerged value; do not subtract γw again</t>
    <phoneticPr fontId="6" type="noConversion"/>
  </si>
  <si>
    <t>Fixed factors and current surcharge</t>
    <phoneticPr fontId="6" type="noConversion"/>
  </si>
  <si>
    <t>Left submerged soil unit weight, γ′</t>
    <phoneticPr fontId="6" type="noConversion"/>
  </si>
  <si>
    <t>使用：两面独立填写 → 点击计算 → 在计算页查看 B／D。比较页保留各面上次计算结果；改输入后须重新计算。</t>
  </si>
  <si>
    <t>View</t>
  </si>
  <si>
    <t>B、D 独立计算快照；更改输入后结果标为过期。右侧切换仅改变展示。</t>
    <phoneticPr fontId="6" type="noConversion"/>
  </si>
  <si>
    <t>Yes</t>
    <phoneticPr fontId="6" type="noConversion"/>
  </si>
  <si>
    <t>Adopted size/dynamic factor, Sq</t>
    <phoneticPr fontId="6" type="noConversion"/>
  </si>
  <si>
    <t>Same Sq in Uniform and Layered; no Eq. 5-2 height reduction</t>
    <phoneticPr fontId="6" type="noConversion"/>
  </si>
  <si>
    <t>p(z) = Qo(z) x St x S0 x Cf,i x adopted Sq. H &lt; 50 m: Eq. 5-3; H &gt;= 50 m: top Eq. 5-1 retained at all levels.</t>
    <phoneticPr fontId="6" type="noConversion"/>
  </si>
  <si>
    <t>Displayed face: B</t>
    <phoneticPr fontId="6" type="noConversion"/>
  </si>
  <si>
    <t>Wind start: left ground (mPD)</t>
    <phoneticPr fontId="6" type="noConversion"/>
  </si>
  <si>
    <t>Left ground above O</t>
    <phoneticPr fontId="6" type="noConversion"/>
  </si>
  <si>
    <t>Left ground mPD − O mPD</t>
    <phoneticPr fontId="6" type="noConversion"/>
  </si>
  <si>
    <t>Automatic from left Existing Ground Level</t>
    <phoneticPr fontId="6" type="noConversion"/>
  </si>
  <si>
    <t>Adopted midpoint height, H/2</t>
    <phoneticPr fontId="6" type="noConversion"/>
  </si>
  <si>
    <t>Agreed midpoint approximation, not exact layered resultant</t>
    <phoneticPr fontId="6" type="noConversion"/>
  </si>
  <si>
    <t>Base uplift: linear pressure between left and right groundwater heads. O is the right corner at the underside of the horizontal base.</t>
    <phoneticPr fontId="6" type="noConversion"/>
  </si>
  <si>
    <t>Inputs are on the graphical input sheet. Automatic values have no fill.</t>
    <phoneticPr fontId="6" type="noConversion"/>
  </si>
  <si>
    <t>Mean base water head (automatic)</t>
    <phoneticPr fontId="6" type="noConversion"/>
  </si>
  <si>
    <t>(hL + hR) / 2; total force only, not the centroid</t>
    <phoneticPr fontId="6" type="noConversion"/>
  </si>
  <si>
    <t>U x uplift factor; U = (pL + pR) B D / 2</t>
    <phoneticPr fontId="6" type="noConversion"/>
  </si>
  <si>
    <t>O / underside of base, RL0</t>
    <phoneticPr fontId="6" type="noConversion"/>
  </si>
  <si>
    <t>Base water-pressure model</t>
    <phoneticPr fontId="6" type="noConversion"/>
  </si>
  <si>
    <t>Adopted model: no suction; pL and pR vary linearly across a horizontal base. Verify seepage / drainage conditions before design use.</t>
    <phoneticPr fontId="6" type="noConversion"/>
  </si>
  <si>
    <t>Base uplift: force, horizontal arm and moment about right-hand O</t>
  </si>
  <si>
    <t>Left positive water head, hL</t>
  </si>
  <si>
    <t>MAX(left GWL - O, 0)</t>
  </si>
  <si>
    <t>Right positive water head, hR</t>
  </si>
  <si>
    <t>MAX(right GWL - O, 0)</t>
  </si>
  <si>
    <t>Left base pressure, pL</t>
  </si>
  <si>
    <t>water unit weight x hL</t>
  </si>
  <si>
    <t>Right base pressure, pR</t>
  </si>
  <si>
    <t>water unit weight x hR</t>
  </si>
  <si>
    <t>Uplift force, U (unfactored)</t>
  </si>
  <si>
    <t>(pL + pR) x basement B x D / 2</t>
  </si>
  <si>
    <t>Uplift horizontal arm to O, eU</t>
  </si>
  <si>
    <t>D (2 pL + pR) / [3 (pL + pR)]; 0 if U = 0</t>
  </si>
  <si>
    <t>Uplift moment about O</t>
  </si>
  <si>
    <t>U x eU (overturning)</t>
  </si>
  <si>
    <t>Hydraulic assumption only: linear base pressure is not a seepage analysis. Equal heads give eU = D/2; zero uplift is shown with eU = 0.</t>
  </si>
  <si>
    <t>D (2pL + pR) / [3(pL + pR)]; horizontal arm from right O</t>
    <phoneticPr fontId="6" type="noConversion"/>
  </si>
  <si>
    <t>Enter all values on the graphical input sheet. Below: unfactored actions first, then design checks.</t>
    <phoneticPr fontId="6" type="noConversion"/>
  </si>
  <si>
    <t>Force and moment magnitudes shown. Left/right actions have opposite directions; no extra factors in the action summary.</t>
    <phoneticPr fontId="6" type="noConversion"/>
  </si>
  <si>
    <t>Arm to O (m)</t>
  </si>
  <si>
    <t>hL / 3</t>
  </si>
  <si>
    <t>hR / 3</t>
  </si>
  <si>
    <t>Hs,L / 2</t>
  </si>
  <si>
    <t>gw x hL</t>
  </si>
  <si>
    <t>gw x hR</t>
  </si>
  <si>
    <t>Ka (gu a + g' b)</t>
  </si>
  <si>
    <t>Kp (gu a + g' b)</t>
  </si>
  <si>
    <t>qL x Ka</t>
  </si>
  <si>
    <t>qR x Kp</t>
  </si>
  <si>
    <t>B Ka [gu(a^3/6+a^2 b/2+a b^2/2)+g' b^3/6]</t>
  </si>
  <si>
    <t>B Kp [gu(a^3/6+a^2 b/2+a b^2/2)+g' b^3/6]</t>
  </si>
  <si>
    <t>MAX(self-weight - unfactored uplift, 0)</t>
  </si>
  <si>
    <t>Adopted top wind pressure</t>
  </si>
  <si>
    <t>Roof level - left existing ground level</t>
  </si>
  <si>
    <t>Wind moment about O (kN·m)</t>
    <phoneticPr fontId="6" type="noConversion"/>
  </si>
  <si>
    <t>kN·m</t>
  </si>
  <si>
    <t>kN·m</t>
    <phoneticPr fontId="6" type="noConversion"/>
  </si>
  <si>
    <t>Factored moment (kN·m)</t>
    <phoneticPr fontId="6" type="noConversion"/>
  </si>
  <si>
    <t>Left soil height Hs,A / 2</t>
  </si>
  <si>
    <t>Legacy arm estimates (not used by the B/D workflow)</t>
  </si>
  <si>
    <t>Wind resultant above O, including datum-to-base offset</t>
  </si>
  <si>
    <t>Wind action about O (unfactored)</t>
  </si>
  <si>
    <t>Pressure and soil moment integrals</t>
  </si>
  <si>
    <t>Sliding stability</t>
  </si>
  <si>
    <t>Base friction and wind inputs</t>
  </si>
  <si>
    <t>ACTIVE — LEFT</t>
  </si>
  <si>
    <t>PASSIVE — RIGHT</t>
  </si>
  <si>
    <t>Water</t>
  </si>
  <si>
    <t>Surcharge (not credited to resistance)</t>
  </si>
  <si>
    <t>Base uplift</t>
  </si>
  <si>
    <t>Total self-weight</t>
  </si>
  <si>
    <t>Moment (kN·m)</t>
  </si>
  <si>
    <t>Fwind × ewind</t>
  </si>
  <si>
    <t>Soil moment integral / soil force</t>
  </si>
  <si>
    <t>Fsoil × esoil</t>
  </si>
  <si>
    <t>γw × hL² × B / 2</t>
  </si>
  <si>
    <t>γw × hR² × B / 2</t>
  </si>
  <si>
    <t>Fwater × ewater</t>
  </si>
  <si>
    <t>qL × Ka × Hs,L × B</t>
  </si>
  <si>
    <t>qR × Kp × Hs,R × B</t>
  </si>
  <si>
    <t>Hs,R / 2</t>
  </si>
  <si>
    <t>Fq × eq</t>
  </si>
  <si>
    <t>(pL + pR) × B × D / 2</t>
  </si>
  <si>
    <t>Σ(length × width × storeys × floor load)</t>
  </si>
  <si>
    <t>D(2pL + pR) / [3(pL + pR)]</t>
  </si>
  <si>
    <t>Σ(Wi × ei) / ΣWi</t>
  </si>
  <si>
    <t>U × eU</t>
  </si>
  <si>
    <t>ΣWi × eSW</t>
  </si>
  <si>
    <t>Right surcharge is displayed but excluded from resisting force and moment.</t>
  </si>
  <si>
    <t>Arms are measured to O. Zero force: arm and moment shown as zero. Missing inputs remain blank.</t>
  </si>
  <si>
    <t>B = loaded basement width; D = along-wind base depth. All moments are about right-hand base O.</t>
  </si>
  <si>
    <t>Wind uses the agreed midpoint approximation, including layered mode. Review tall-building dynamic effects.</t>
  </si>
  <si>
    <t>Water pressure (kPa)</t>
  </si>
  <si>
    <t>Soil pressure (kPa)</t>
  </si>
  <si>
    <t>Surcharge pressure (kPa)</t>
  </si>
  <si>
    <t>Soil moment (kN·m)</t>
  </si>
  <si>
    <t>Formula / factor</t>
  </si>
  <si>
    <t>T1 self-weight</t>
  </si>
  <si>
    <t>T1 input horizontal arm to O</t>
  </si>
  <si>
    <t>T2 self-weight</t>
  </si>
  <si>
    <t>T2 input horizontal arm to O</t>
  </si>
  <si>
    <t>P1 self-weight</t>
  </si>
  <si>
    <t>P1 input horizontal arm to O</t>
  </si>
  <si>
    <t>P2 self-weight</t>
  </si>
  <si>
    <t>P2 input horizontal arm to O</t>
  </si>
  <si>
    <t>Adopted wind moment about O (kN·m)</t>
    <phoneticPr fontId="6" type="noConversion"/>
  </si>
  <si>
    <t>Wind lever arm to O (m)</t>
    <phoneticPr fontId="6" type="noConversion"/>
  </si>
  <si>
    <t>ULS wind moment about O (kN·m)</t>
    <phoneticPr fontId="6" type="noConversion"/>
  </si>
  <si>
    <t>Number of storeys</t>
    <phoneticPr fontId="6" type="noConversion"/>
  </si>
  <si>
    <t>B — Width across wind (m)</t>
    <phoneticPr fontId="6" type="noConversion"/>
  </si>
  <si>
    <t>D — Depth along wind (m)</t>
    <phoneticPr fontId="6" type="noConversion"/>
  </si>
  <si>
    <t>B self-weight: dimensions and horizontal arms</t>
    <phoneticPr fontId="6" type="noConversion"/>
  </si>
  <si>
    <t>D self-weight: dimensions and horizontal arms</t>
    <phoneticPr fontId="6" type="noConversion"/>
  </si>
  <si>
    <t>T1 — Tower 1</t>
    <phoneticPr fontId="6" type="noConversion"/>
  </si>
  <si>
    <t>T1</t>
    <phoneticPr fontId="6" type="noConversion"/>
  </si>
  <si>
    <t>T2 — Tower 2</t>
    <phoneticPr fontId="6" type="noConversion"/>
  </si>
  <si>
    <t>T2</t>
    <phoneticPr fontId="6" type="noConversion"/>
  </si>
  <si>
    <t>P1 — Podium 1</t>
    <phoneticPr fontId="6" type="noConversion"/>
  </si>
  <si>
    <t>P1</t>
    <phoneticPr fontId="6" type="noConversion"/>
  </si>
  <si>
    <t>P2 — Podium 2</t>
    <phoneticPr fontId="6" type="noConversion"/>
  </si>
  <si>
    <t>P2</t>
    <phoneticPr fontId="6" type="noConversion"/>
  </si>
  <si>
    <t>Utilisation = required FOS / achieved FOS. Larger is more critical.</t>
    <phoneticPr fontId="6" type="noConversion"/>
  </si>
  <si>
    <t>View switches the displayed face. Calculate commits results and time.</t>
    <phoneticPr fontId="6" type="noConversion"/>
  </si>
  <si>
    <t>mPD</t>
    <phoneticPr fontId="6" type="noConversion"/>
  </si>
  <si>
    <r>
      <t>Unit weight of water, γ</t>
    </r>
    <r>
      <rPr>
        <vertAlign val="subscript"/>
        <sz val="10"/>
        <color rgb="FF1F1F1F"/>
        <rFont val="Arial"/>
        <family val="2"/>
      </rPr>
      <t>w</t>
    </r>
    <r>
      <rPr>
        <sz val="10"/>
        <color rgb="FF1F1F1F"/>
        <rFont val="Arial"/>
        <family val="2"/>
      </rPr>
      <t xml:space="preserve"> (fixed)</t>
    </r>
    <phoneticPr fontId="6" type="noConversion"/>
  </si>
  <si>
    <r>
      <t xml:space="preserve">Pass when FOS </t>
    </r>
    <r>
      <rPr>
        <sz val="10"/>
        <rFont val="Carlito"/>
      </rPr>
      <t>≥</t>
    </r>
    <r>
      <rPr>
        <sz val="10"/>
        <rFont val="Arial"/>
        <family val="2"/>
      </rPr>
      <t xml:space="preserve"> required FOS</t>
    </r>
  </si>
  <si>
    <r>
      <t>B Ka [γu(a²/2 + ab) + γ</t>
    </r>
    <r>
      <rPr>
        <sz val="10"/>
        <color rgb="FF000000"/>
        <rFont val="Carlito"/>
      </rPr>
      <t>′</t>
    </r>
    <r>
      <rPr>
        <sz val="10"/>
        <color rgb="FF000000"/>
        <rFont val="Arial"/>
        <family val="2"/>
      </rPr>
      <t>b²/2]</t>
    </r>
  </si>
  <si>
    <r>
      <t>B Kp [γu(a²/2 + ab) + γ</t>
    </r>
    <r>
      <rPr>
        <sz val="10"/>
        <color rgb="FF000000"/>
        <rFont val="Carlito"/>
      </rPr>
      <t>′</t>
    </r>
    <r>
      <rPr>
        <sz val="10"/>
        <color rgb="FF000000"/>
        <rFont val="Arial"/>
        <family val="2"/>
      </rPr>
      <t>b²/2]</t>
    </r>
  </si>
  <si>
    <r>
      <t>a = soil above GWL; b = soil below GWL; γu = bulk unit weight; γ</t>
    </r>
    <r>
      <rPr>
        <sz val="10"/>
        <color rgb="FF000000"/>
        <rFont val="Carlito"/>
      </rPr>
      <t>′</t>
    </r>
    <r>
      <rPr>
        <sz val="10"/>
        <color rgb="FF000000"/>
        <rFont val="Arial"/>
        <family val="2"/>
      </rPr>
      <t xml:space="preserve"> = submerged unit weight.</t>
    </r>
  </si>
  <si>
    <t>Building stability — independent B / D inputs</t>
  </si>
  <si>
    <t>OT / uplift required FOS</t>
    <phoneticPr fontId="6" type="noConversion"/>
  </si>
  <si>
    <t>Yellow: project inputs. Orange: defaults / factors. Unfilled: calculated results. All cells are editable. Edit, then click Calculate.</t>
    <phoneticPr fontId="6" type="noConversion"/>
  </si>
  <si>
    <t>D (m)</t>
    <phoneticPr fontId="6" type="noConversion"/>
  </si>
  <si>
    <t>B (m)</t>
    <phoneticPr fontId="6" type="noConversion"/>
  </si>
  <si>
    <t>D (along wind)</t>
    <phoneticPr fontId="6" type="noConversion"/>
  </si>
  <si>
    <t>B (across wind)</t>
    <phoneticPr fontId="6" type="noConversion"/>
  </si>
  <si>
    <t>Wind shear, V</t>
    <phoneticPr fontId="6" type="noConversion"/>
  </si>
  <si>
    <t>Foundation soil φ (°)</t>
    <phoneticPr fontId="6" type="noConversion"/>
  </si>
  <si>
    <t>Foundation soil friction angle, phi</t>
    <phoneticPr fontId="6" type="noConversion"/>
  </si>
  <si>
    <t>Base friction angle = 2/3 × phi (adopted)</t>
    <phoneticPr fontId="6" type="noConversion"/>
  </si>
  <si>
    <t>Effective normal force × TAN(2/3 × soil friction angle)</t>
    <phoneticPr fontId="6" type="noConversion"/>
  </si>
  <si>
    <t>Exposed wind height, He</t>
    <phoneticPr fontId="6" type="noConversion"/>
  </si>
  <si>
    <t>CALCULATED</t>
  </si>
  <si>
    <t>He = roof level − left existing ground level</t>
    <phoneticPr fontId="6" type="noConversion"/>
  </si>
  <si>
    <t>Pressure height, Hp (= Ze)</t>
    <phoneticPr fontId="6" type="noConversion"/>
  </si>
  <si>
    <t>Hp = max(roof − EL left, roof − EL right)</t>
    <phoneticPr fontId="6" type="noConversion"/>
  </si>
  <si>
    <t>Adopted lower-ground reference; no shelter reduction</t>
    <phoneticPr fontId="6" type="noConversion"/>
  </si>
  <si>
    <t>Height-to-depth ratio, Hp/D</t>
    <phoneticPr fontId="6" type="noConversion"/>
  </si>
  <si>
    <t>Hp / D</t>
    <phoneticPr fontId="6" type="noConversion"/>
  </si>
  <si>
    <t>Damping aspect ratio, Hp/D</t>
    <phoneticPr fontId="6" type="noConversion"/>
  </si>
  <si>
    <t>Nx = 46/Hp (existing estimate)</t>
    <phoneticPr fontId="6" type="noConversion"/>
  </si>
  <si>
    <t>Top along-wind pressure, p(Hp)</t>
    <phoneticPr fontId="6" type="noConversion"/>
  </si>
  <si>
    <t>Uniform: p(Hp) × B × He; Layered: sum Fi</t>
    <phoneticPr fontId="6" type="noConversion"/>
  </si>
  <si>
    <t>Moment about base O</t>
    <phoneticPr fontId="6" type="noConversion"/>
  </si>
  <si>
    <t>Vertical distance from O to wind resultant</t>
    <phoneticPr fontId="6" type="noConversion"/>
  </si>
  <si>
    <t>Hp controls wind pressure. He = roof − left ground controls exposed area and the adopted midpoint arm.</t>
    <phoneticPr fontId="6" type="noConversion"/>
  </si>
  <si>
    <t>Existing 46/Hp estimate. Hp &gt;= 100 m: modal review required.</t>
    <phoneticPr fontId="6" type="noConversion"/>
  </si>
  <si>
    <t>Existing frequency estimate retained; Hp &gt;= 100 m: modal review required.</t>
    <phoneticPr fontId="6" type="noConversion"/>
  </si>
  <si>
    <t>Existing damping model using Hp/D</t>
    <phoneticPr fontId="6" type="noConversion"/>
  </si>
  <si>
    <t>Layer heights sum to He. Pressure elevations are measured above the lower ground.</t>
    <phoneticPr fontId="6" type="noConversion"/>
  </si>
  <si>
    <t>z / He</t>
    <phoneticPr fontId="6" type="noConversion"/>
  </si>
  <si>
    <t>z above left ground</t>
    <phoneticPr fontId="6" type="noConversion"/>
  </si>
  <si>
    <t>z above lower ground</t>
    <phoneticPr fontId="6" type="noConversion"/>
  </si>
  <si>
    <t>Pressure height Hp (m)</t>
  </si>
  <si>
    <t>Exposed height He (m)</t>
    <phoneticPr fontId="6" type="noConversion"/>
  </si>
  <si>
    <t>He = roof − left ground</t>
    <phoneticPr fontId="6" type="noConversion"/>
  </si>
  <si>
    <t>Hp = roof − min(left ground, right ground). He = roof − left ground. M at O = V × (He/2 + left ground − O).</t>
    <phoneticPr fontId="6" type="noConversion"/>
  </si>
  <si>
    <t>Exposed wind height He</t>
    <phoneticPr fontId="6" type="noConversion"/>
  </si>
  <si>
    <t>He/2 + left ground level − O</t>
    <phoneticPr fontId="6" type="noConversion"/>
  </si>
  <si>
    <t>Adopted model: pressure from lower ground; exposed area starts at left ground. Extra exposed right wall is not included.</t>
    <phoneticPr fontId="6" type="noConversion"/>
  </si>
  <si>
    <t>INPUT REQUIRED: Enter breadth (V8)</t>
    <phoneticPr fontId="6" type="noConversion"/>
  </si>
  <si>
    <t>INPUT REQUIRED: Enter building top mPD</t>
    <phoneticPr fontId="6" type="noConversion"/>
  </si>
  <si>
    <t>逐层风高度合计须等于楼顶 − 左地面。力矩统一用 V × He/2，另加至 O 的标高差；这是简化取矩。</t>
    <phoneticPr fontId="6" type="noConversion"/>
  </si>
  <si>
    <t>W = B × D × storeys × floor load. Arm = horizontal distance from centroid to O.</t>
    <phoneticPr fontId="6" type="noConversion"/>
  </si>
  <si>
    <t>Wind pressure height, Hp</t>
    <phoneticPr fontId="6" type="noConversion"/>
  </si>
  <si>
    <t>m</t>
    <phoneticPr fontId="6" type="noConversion"/>
  </si>
  <si>
    <t>CALCULATED</t>
    <phoneticPr fontId="6" type="noConversion"/>
  </si>
  <si>
    <t>Roof level − min(left ground, right ground)</t>
    <phoneticPr fontId="6" type="noConversion"/>
  </si>
  <si>
    <t>Structure type</t>
    <phoneticPr fontId="6" type="noConversion"/>
  </si>
  <si>
    <t>FIXED</t>
    <phoneticPr fontId="6" type="noConversion"/>
  </si>
  <si>
    <t>Fixed as reinforced concrete; selected wind mode is shown at K3.</t>
    <phoneticPr fontId="6" type="noConversion"/>
  </si>
  <si>
    <t>p = ROUNDUP(Qz × Cf × Sq, 2)</t>
    <phoneticPr fontId="6" type="noConversion"/>
  </si>
  <si>
    <t>Round up to 0.01 kPa before downstream use</t>
    <phoneticPr fontId="6" type="noConversion"/>
  </si>
  <si>
    <t>Rounded up to 0.01 kPa in Wind Load Check</t>
    <phoneticPr fontId="6" type="noConversion"/>
  </si>
  <si>
    <t>Wind load factor</t>
    <phoneticPr fontId="6" type="noConversion"/>
  </si>
  <si>
    <t>Wind load factor for ULS</t>
    <phoneticPr fontId="6" type="noConversion"/>
  </si>
  <si>
    <r>
      <t xml:space="preserve">B - Wind Load Check
</t>
    </r>
    <r>
      <rPr>
        <sz val="9"/>
        <color rgb="FF000000"/>
        <rFont val="Arial"/>
        <family val="2"/>
      </rPr>
      <t>INPUT REQUIRED: Enter building top mPD</t>
    </r>
    <phoneticPr fontId="6" type="noConversion"/>
  </si>
  <si>
    <r>
      <t xml:space="preserve">B - Uplift Check
</t>
    </r>
    <r>
      <rPr>
        <sz val="9"/>
        <color rgb="FF1F1F1F"/>
        <rFont val="Arial"/>
        <family val="2"/>
      </rPr>
      <t>INPUT REQUIRED: Enter building top mPD</t>
    </r>
    <phoneticPr fontId="6" type="noConversion"/>
  </si>
  <si>
    <r>
      <t xml:space="preserve">B - Sliding Check
</t>
    </r>
    <r>
      <rPr>
        <sz val="9"/>
        <color rgb="FF000000"/>
        <rFont val="Arial"/>
        <family val="2"/>
      </rPr>
      <t>INPUT REQUIRED: Enter building top mPD</t>
    </r>
    <phoneticPr fontId="6" type="noConversion"/>
  </si>
  <si>
    <r>
      <t xml:space="preserve">B - Overturning Check
</t>
    </r>
    <r>
      <rPr>
        <sz val="9"/>
        <color rgb="FF1F1F1F"/>
        <rFont val="Arial"/>
        <family val="2"/>
      </rPr>
      <t>INPUT REQUIRED: Enter building top mPD</t>
    </r>
    <phoneticPr fontId="6" type="noConversion"/>
  </si>
  <si>
    <r>
      <t xml:space="preserve">B - Copy
</t>
    </r>
    <r>
      <rPr>
        <sz val="9"/>
        <color rgb="FF1F1F1F"/>
        <rFont val="Arial"/>
        <family val="2"/>
      </rPr>
      <t>INPUT REQUIRED: Enter building top mPD</t>
    </r>
    <phoneticPr fontId="6" type="noConversion"/>
  </si>
  <si>
    <t>D) Overall Stability</t>
  </si>
  <si>
    <t>i) Wind Load</t>
  </si>
  <si>
    <t>- Assume no topography effect</t>
  </si>
  <si>
    <t>- Use most critical directionality factor</t>
  </si>
  <si>
    <t>- refer to Wind Code 2019 Figure 4-2</t>
  </si>
  <si>
    <t>- refer to Wind Code 2019 Table C2-1</t>
  </si>
  <si>
    <t>ii) Soil Load</t>
  </si>
  <si>
    <t>- Since eastern boundary is a
  5-storey religious building
  with shallow footing and
  same earth profile in
  both West and East.</t>
  </si>
  <si>
    <t>- Critical section will be along
  East to West section as larger
  lateral load.</t>
  </si>
  <si>
    <t>Uplift Stability (H.P.G.T.)</t>
  </si>
  <si>
    <t>Sliding Stability</t>
  </si>
  <si>
    <t>For religious building, assume 10 kPa DL per storey, 4 kPa LL per storey</t>
  </si>
  <si>
    <t>Load Type</t>
  </si>
  <si>
    <t>Ww</t>
  </si>
  <si>
    <t>Fww</t>
  </si>
  <si>
    <t>Ws</t>
  </si>
  <si>
    <t>Fws</t>
  </si>
  <si>
    <t>Wsur</t>
  </si>
  <si>
    <t>Fwsur</t>
  </si>
  <si>
    <t>Overturning Stability (H.P.G.W.T.)</t>
  </si>
  <si>
    <t>Take moment at O</t>
  </si>
  <si>
    <t>Moment Arm (m)</t>
  </si>
  <si>
    <t>Factored Moment (kNm)</t>
  </si>
  <si>
    <t>SW Tower1</t>
  </si>
  <si>
    <t>SW Tower2</t>
  </si>
  <si>
    <t>SW Podium1</t>
  </si>
  <si>
    <t>SW Podium2</t>
  </si>
  <si>
    <t>MR</t>
  </si>
  <si>
    <t>Paper No. 10</t>
  </si>
  <si>
    <t>Paper No. 11</t>
  </si>
  <si>
    <t>Paper No. 12</t>
  </si>
  <si>
    <t>Paper No. 13</t>
  </si>
  <si>
    <r>
      <t xml:space="preserve">Since the building has a regular plan shape and the height is </t>
    </r>
    <r>
      <rPr>
        <sz val="12"/>
        <color rgb="FF375A78"/>
        <rFont val="Carlito"/>
      </rPr>
      <t>≈</t>
    </r>
    <r>
      <rPr>
        <sz val="12"/>
        <color rgb="FF375A78"/>
        <rFont val="Arial"/>
        <family val="2"/>
      </rPr>
      <t xml:space="preserve"> 100 m,
fundamental freq. along wind (Nx) should very close to 46/H</t>
    </r>
  </si>
  <si>
    <t>B - Generated: --</t>
    <phoneticPr fontId="6" type="noConversion"/>
  </si>
  <si>
    <t>Basement (B/D)</t>
    <phoneticPr fontId="6" type="noConversion"/>
  </si>
  <si>
    <t>Level</t>
  </si>
  <si>
    <t>Z (mPD)</t>
  </si>
  <si>
    <t>B (m)</t>
  </si>
  <si>
    <t>D (m)</t>
  </si>
  <si>
    <t>Qz,flat (kPa)</t>
  </si>
  <si>
    <t>Sθ</t>
  </si>
  <si>
    <t>St</t>
  </si>
  <si>
    <t>Qz (kPa)</t>
  </si>
  <si>
    <t>Sq</t>
  </si>
  <si>
    <t>Shear Fi (kN)</t>
  </si>
  <si>
    <t>M (kN·m)</t>
  </si>
  <si>
    <t>Layer midpoint arm to O (m)</t>
    <phoneticPr fontId="6" type="noConversion"/>
  </si>
  <si>
    <t>Layer moment to O (kN·m)</t>
    <phoneticPr fontId="6" type="noConversion"/>
  </si>
  <si>
    <t>Select wind mode on the Input worksheet, then click Calculate.</t>
    <phoneticPr fontId="6" type="noConversion"/>
  </si>
  <si>
    <t>Wind resultant arm to O (m)</t>
    <phoneticPr fontId="6" type="noConversion"/>
  </si>
  <si>
    <t>Storey wind moment about O (kN·m)</t>
    <phoneticPr fontId="6" type="noConversion"/>
  </si>
  <si>
    <t>LAYERED: SUM(Fi x ei); UNIFORM: V x (He/2 + left ground - O)</t>
    <phoneticPr fontId="6" type="noConversion"/>
  </si>
  <si>
    <t>Resultant arm = wind moment about O / V</t>
    <phoneticPr fontId="6" type="noConversion"/>
  </si>
  <si>
    <t>Fi = Bi x integral[p(z) dz]; ei = layer midpoint + left ground - O; M = SUM(Fi x ei).</t>
    <phoneticPr fontId="6" type="noConversion"/>
  </si>
  <si>
    <t>Layer-average pressure; midpoint arm for each layer. Nx = 46/H remains provisional at H &gt;= 100 m.</t>
    <phoneticPr fontId="6" type="noConversion"/>
  </si>
  <si>
    <t>Hp = Top - min(EL left, EL right); He = Top - EL left. Wind arm: see calculated Wind Load Check. Levels: mPD.</t>
    <phoneticPr fontId="6" type="noConversion"/>
  </si>
  <si>
    <t>TOTAL</t>
  </si>
  <si>
    <t>请按题目原文抄写，勿直接套用示例。</t>
  </si>
  <si>
    <t>S/W = [No self-weight components entered]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</si>
</sst>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00"/>
    <numFmt numFmtId="178" formatCode="#,##0.0"/>
    <numFmt numFmtId="179" formatCode="#,##0.000"/>
    <numFmt numFmtId="180" formatCode="yyyy\-mm\-dd\ hh:mm:ss"/>
    <numFmt numFmtId="181" formatCode=";;;"/>
  </numFmts>
  <fonts count="34">
    <font>
      <sz val="11"/>
      <name val="Carlito"/>
    </font>
    <font>
      <sz val="10"/>
      <color rgb="FF1F1F1F"/>
      <name val="Arial"/>
      <family val="2"/>
    </font>
    <font>
      <i/>
      <sz val="10"/>
      <color rgb="FF595959"/>
      <name val="Arial"/>
      <family val="2"/>
    </font>
    <font>
      <b/>
      <sz val="10"/>
      <color rgb="FF1F1F1F"/>
      <name val="Arial"/>
      <family val="2"/>
    </font>
    <font>
      <b/>
      <sz val="10"/>
      <color rgb="FFFFFFFF"/>
      <name val="Arial"/>
      <family val="2"/>
    </font>
    <font>
      <sz val="11"/>
      <name val="Carlito"/>
    </font>
    <font>
      <sz val="9"/>
      <name val="宋体"/>
      <family val="3"/>
      <charset val="134"/>
    </font>
    <font>
      <b/>
      <sz val="10"/>
      <color rgb="FF000000"/>
      <name val="Calibri"/>
      <family val="2"/>
    </font>
    <font>
      <u/>
      <sz val="11"/>
      <color theme="10"/>
      <name val="Carlito"/>
    </font>
    <font>
      <sz val="1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505050"/>
      <name val="Arial"/>
      <family val="2"/>
    </font>
    <font>
      <sz val="10"/>
      <color rgb="FFB34A00"/>
      <name val="Arial"/>
      <family val="2"/>
    </font>
    <font>
      <u/>
      <sz val="10"/>
      <color theme="10"/>
      <name val="Arial"/>
      <family val="2"/>
    </font>
    <font>
      <vertAlign val="subscript"/>
      <sz val="10"/>
      <color rgb="FF1F1F1F"/>
      <name val="Arial"/>
      <family val="2"/>
    </font>
    <font>
      <sz val="10"/>
      <name val="Carlito"/>
    </font>
    <font>
      <b/>
      <sz val="10"/>
      <color rgb="FF1F4E79"/>
      <name val="Arial"/>
      <family val="2"/>
    </font>
    <font>
      <sz val="10"/>
      <color rgb="FF000000"/>
      <name val="Carlito"/>
    </font>
    <font>
      <b/>
      <sz val="14"/>
      <name val="Carlito"/>
    </font>
    <font>
      <b/>
      <sz val="14"/>
      <color rgb="FF000000"/>
      <name val="Arial"/>
      <family val="2"/>
    </font>
    <font>
      <sz val="9"/>
      <color rgb="FF000000"/>
      <name val="Arial"/>
      <family val="2"/>
    </font>
    <font>
      <b/>
      <sz val="14"/>
      <color rgb="FF1F1F1F"/>
      <name val="Arial"/>
      <family val="2"/>
    </font>
    <font>
      <sz val="9"/>
      <color rgb="FF1F1F1F"/>
      <name val="Arial"/>
      <family val="2"/>
    </font>
    <font>
      <sz val="12"/>
      <color rgb="FF375A78"/>
      <name val="Arial"/>
      <family val="2"/>
    </font>
    <font>
      <sz val="12"/>
      <color rgb="FF375A78"/>
      <name val="Carlito"/>
    </font>
    <font>
      <u/>
      <sz val="13"/>
      <color rgb="FF375A78"/>
      <name val="Arial"/>
      <family val="2"/>
    </font>
    <font>
      <sz val="10.5"/>
      <color rgb="FF375A78"/>
      <name val="Arial"/>
      <family val="2"/>
    </font>
    <font>
      <sz val="11"/>
      <color rgb="FF375A78"/>
      <name val="Arial"/>
      <family val="2"/>
    </font>
    <font>
      <sz val="10"/>
      <color rgb="FF375A78"/>
      <name val="Arial"/>
      <family val="2"/>
    </font>
    <font>
      <i/>
      <sz val="9"/>
      <color rgb="FF595959"/>
      <name val="Arial"/>
      <family val="2"/>
    </font>
    <font>
      <b/>
      <sz val="9"/>
      <color rgb="FF9C5700"/>
      <name val="Microsoft YaHei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E4DFEC"/>
      </patternFill>
    </fill>
    <fill>
      <patternFill patternType="solid">
        <fgColor rgb="FFFFF2CC"/>
      </patternFill>
    </fill>
    <fill>
      <patternFill patternType="solid">
        <fgColor rgb="FFFFF2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9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14F75"/>
      </patternFill>
    </fill>
    <fill>
      <patternFill patternType="solid">
        <fgColor rgb="FFFCE4D6"/>
        <bgColor indexed="64"/>
      </patternFill>
    </fill>
    <fill>
      <patternFill patternType="solid">
        <fgColor rgb="FF204E78"/>
        <bgColor indexed="64"/>
      </patternFill>
    </fill>
    <fill>
      <patternFill patternType="solid">
        <fgColor rgb="FF232E70"/>
        <bgColor indexed="64"/>
      </patternFill>
    </fill>
    <fill>
      <patternFill patternType="solid">
        <fgColor rgb="FFE6E6E6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/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indexed="64"/>
      </top>
      <bottom/>
      <diagonal/>
    </border>
    <border>
      <left style="thin">
        <color rgb="FF375A78"/>
      </left>
      <right style="thin">
        <color rgb="FF375A78"/>
      </right>
      <top style="thin">
        <color rgb="FF375A78"/>
      </top>
      <bottom style="thin">
        <color rgb="FF375A78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3">
    <xf numFmtId="0" fontId="0" fillId="0" borderId="0"/>
    <xf numFmtId="0" fontId="5" fillId="0" borderId="0"/>
    <xf numFmtId="0" fontId="8" fillId="0" borderId="0" applyNumberFormat="0" applyFill="0" applyBorder="0" applyAlignment="0" applyProtection="0"/>
  </cellStyleXfs>
  <cellXfs count="190">
    <xf numFmtId="0" fontId="0" fillId="0" borderId="0" xfId="0"/>
    <xf numFmtId="0" fontId="9" fillId="0" borderId="0" xfId="1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" fillId="11" borderId="0" xfId="1" applyFont="1" applyFill="1" applyAlignment="1" applyProtection="1">
      <alignment vertical="center" wrapText="1"/>
      <protection locked="0"/>
    </xf>
    <xf numFmtId="0" fontId="9" fillId="0" borderId="0" xfId="1" applyFont="1" applyAlignment="1" applyProtection="1">
      <alignment vertical="center" wrapText="1"/>
      <protection locked="0"/>
    </xf>
    <xf numFmtId="0" fontId="9" fillId="0" borderId="0" xfId="0" applyFont="1" applyProtection="1">
      <protection locked="0"/>
    </xf>
    <xf numFmtId="4" fontId="9" fillId="0" borderId="0" xfId="1" applyNumberFormat="1" applyFont="1" applyAlignment="1" applyProtection="1">
      <alignment vertical="center" wrapText="1"/>
      <protection locked="0"/>
    </xf>
    <xf numFmtId="4" fontId="9" fillId="0" borderId="0" xfId="1" applyNumberFormat="1" applyFont="1" applyAlignment="1" applyProtection="1">
      <alignment horizontal="center" vertical="center" wrapText="1"/>
      <protection locked="0"/>
    </xf>
    <xf numFmtId="177" fontId="9" fillId="0" borderId="0" xfId="1" applyNumberFormat="1" applyFont="1" applyAlignment="1" applyProtection="1">
      <alignment vertical="center" wrapText="1"/>
      <protection locked="0"/>
    </xf>
    <xf numFmtId="177" fontId="9" fillId="0" borderId="0" xfId="1" applyNumberFormat="1" applyFont="1" applyAlignment="1" applyProtection="1">
      <alignment horizontal="center" vertical="center" wrapText="1"/>
      <protection locked="0"/>
    </xf>
    <xf numFmtId="0" fontId="12" fillId="0" borderId="0" xfId="1" applyFont="1" applyAlignment="1" applyProtection="1">
      <alignment vertical="center"/>
      <protection locked="0"/>
    </xf>
    <xf numFmtId="0" fontId="10" fillId="0" borderId="0" xfId="1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2" fontId="10" fillId="0" borderId="0" xfId="0" applyNumberFormat="1" applyFont="1" applyProtection="1"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6" fillId="0" borderId="0" xfId="2" applyFont="1" applyFill="1" applyAlignment="1" applyProtection="1">
      <alignment vertical="center"/>
      <protection locked="0"/>
    </xf>
    <xf numFmtId="0" fontId="12" fillId="7" borderId="0" xfId="1" applyFont="1" applyFill="1" applyAlignment="1" applyProtection="1">
      <alignment vertical="center" wrapText="1"/>
      <protection locked="0"/>
    </xf>
    <xf numFmtId="0" fontId="4" fillId="8" borderId="1" xfId="1" applyFont="1" applyFill="1" applyBorder="1" applyAlignment="1" applyProtection="1">
      <alignment horizontal="center" vertical="center" wrapText="1"/>
      <protection locked="0"/>
    </xf>
    <xf numFmtId="0" fontId="4" fillId="8" borderId="2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12" fillId="0" borderId="0" xfId="1" applyFont="1" applyAlignment="1" applyProtection="1">
      <alignment vertical="center" wrapText="1"/>
      <protection locked="0"/>
    </xf>
    <xf numFmtId="176" fontId="10" fillId="0" borderId="0" xfId="1" applyNumberFormat="1" applyFont="1" applyAlignment="1" applyProtection="1">
      <alignment vertical="center" wrapText="1"/>
      <protection locked="0"/>
    </xf>
    <xf numFmtId="0" fontId="10" fillId="0" borderId="0" xfId="1" applyFont="1" applyAlignment="1" applyProtection="1">
      <alignment vertical="center" wrapText="1"/>
      <protection locked="0"/>
    </xf>
    <xf numFmtId="2" fontId="10" fillId="0" borderId="0" xfId="1" applyNumberFormat="1" applyFont="1" applyAlignment="1" applyProtection="1">
      <alignment vertical="center" wrapText="1"/>
      <protection locked="0"/>
    </xf>
    <xf numFmtId="177" fontId="10" fillId="0" borderId="0" xfId="1" applyNumberFormat="1" applyFont="1" applyAlignment="1" applyProtection="1">
      <alignment vertical="center" wrapText="1"/>
      <protection locked="0"/>
    </xf>
    <xf numFmtId="0" fontId="4" fillId="8" borderId="7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vertical="center" wrapText="1"/>
      <protection locked="0"/>
    </xf>
    <xf numFmtId="176" fontId="10" fillId="0" borderId="7" xfId="0" applyNumberFormat="1" applyFont="1" applyBorder="1" applyAlignment="1" applyProtection="1">
      <alignment vertical="center" wrapText="1"/>
      <protection locked="0"/>
    </xf>
    <xf numFmtId="2" fontId="10" fillId="0" borderId="7" xfId="0" applyNumberFormat="1" applyFont="1" applyBorder="1" applyAlignment="1" applyProtection="1">
      <alignment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4" fontId="10" fillId="0" borderId="0" xfId="0" applyNumberFormat="1" applyFont="1" applyAlignment="1" applyProtection="1">
      <alignment vertical="center"/>
      <protection locked="0"/>
    </xf>
    <xf numFmtId="177" fontId="10" fillId="0" borderId="7" xfId="0" applyNumberFormat="1" applyFont="1" applyBorder="1" applyAlignment="1" applyProtection="1">
      <alignment vertical="center" wrapText="1"/>
      <protection locked="0"/>
    </xf>
    <xf numFmtId="0" fontId="12" fillId="0" borderId="7" xfId="0" applyFont="1" applyBorder="1" applyAlignment="1" applyProtection="1">
      <alignment vertical="center" wrapText="1"/>
      <protection locked="0"/>
    </xf>
    <xf numFmtId="4" fontId="10" fillId="0" borderId="7" xfId="0" applyNumberFormat="1" applyFont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177" fontId="9" fillId="0" borderId="0" xfId="0" applyNumberFormat="1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" fillId="0" borderId="0" xfId="1" applyFont="1" applyAlignment="1" applyProtection="1">
      <alignment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12" fillId="9" borderId="0" xfId="1" applyFont="1" applyFill="1" applyAlignment="1" applyProtection="1">
      <alignment vertical="center"/>
      <protection locked="0"/>
    </xf>
    <xf numFmtId="0" fontId="3" fillId="2" borderId="0" xfId="1" applyFont="1" applyFill="1" applyAlignment="1" applyProtection="1">
      <alignment vertical="center"/>
      <protection locked="0"/>
    </xf>
    <xf numFmtId="0" fontId="1" fillId="0" borderId="0" xfId="1" applyFont="1" applyAlignment="1" applyProtection="1">
      <alignment vertical="center" wrapText="1"/>
      <protection locked="0"/>
    </xf>
    <xf numFmtId="0" fontId="1" fillId="0" borderId="0" xfId="1" applyFont="1" applyAlignment="1" applyProtection="1">
      <alignment horizontal="left" vertical="center" wrapText="1"/>
      <protection locked="0"/>
    </xf>
    <xf numFmtId="2" fontId="1" fillId="0" borderId="0" xfId="1" applyNumberFormat="1" applyFont="1" applyAlignment="1" applyProtection="1">
      <alignment horizontal="right" vertical="center" wrapText="1"/>
      <protection locked="0"/>
    </xf>
    <xf numFmtId="177" fontId="1" fillId="0" borderId="0" xfId="1" applyNumberFormat="1" applyFont="1" applyAlignment="1" applyProtection="1">
      <alignment horizontal="right" vertical="center" wrapText="1"/>
      <protection locked="0"/>
    </xf>
    <xf numFmtId="0" fontId="1" fillId="0" borderId="0" xfId="1" applyFont="1" applyAlignment="1" applyProtection="1">
      <alignment horizontal="right" vertical="center" wrapText="1"/>
      <protection locked="0"/>
    </xf>
    <xf numFmtId="0" fontId="12" fillId="9" borderId="0" xfId="1" applyFont="1" applyFill="1" applyAlignment="1" applyProtection="1">
      <alignment vertical="center" wrapText="1"/>
      <protection locked="0"/>
    </xf>
    <xf numFmtId="0" fontId="12" fillId="9" borderId="0" xfId="1" applyFont="1" applyFill="1" applyAlignment="1" applyProtection="1">
      <alignment horizontal="right" vertical="center" wrapText="1"/>
      <protection locked="0"/>
    </xf>
    <xf numFmtId="0" fontId="4" fillId="8" borderId="2" xfId="1" applyFont="1" applyFill="1" applyBorder="1" applyAlignment="1" applyProtection="1">
      <alignment horizontal="right" vertical="center" wrapText="1"/>
      <protection locked="0"/>
    </xf>
    <xf numFmtId="0" fontId="4" fillId="8" borderId="0" xfId="1" applyFont="1" applyFill="1" applyAlignment="1" applyProtection="1">
      <alignment vertical="center"/>
      <protection locked="0"/>
    </xf>
    <xf numFmtId="4" fontId="1" fillId="0" borderId="0" xfId="1" applyNumberFormat="1" applyFont="1" applyAlignment="1" applyProtection="1">
      <alignment horizontal="right" vertical="center" wrapText="1"/>
      <protection locked="0"/>
    </xf>
    <xf numFmtId="177" fontId="9" fillId="0" borderId="0" xfId="0" applyNumberFormat="1" applyFont="1" applyAlignment="1" applyProtection="1">
      <alignment horizontal="right" vertical="center" wrapText="1"/>
      <protection locked="0"/>
    </xf>
    <xf numFmtId="0" fontId="9" fillId="0" borderId="0" xfId="0" applyFont="1" applyAlignment="1" applyProtection="1">
      <alignment horizontal="left" vertical="center" wrapText="1" indent="1"/>
      <protection locked="0"/>
    </xf>
    <xf numFmtId="0" fontId="4" fillId="8" borderId="7" xfId="1" applyFont="1" applyFill="1" applyBorder="1" applyAlignment="1" applyProtection="1">
      <alignment horizontal="center" vertical="center" wrapText="1"/>
      <protection locked="0"/>
    </xf>
    <xf numFmtId="1" fontId="1" fillId="0" borderId="0" xfId="1" applyNumberFormat="1" applyFont="1" applyAlignment="1" applyProtection="1">
      <alignment horizontal="right" vertical="center" wrapText="1"/>
      <protection locked="0"/>
    </xf>
    <xf numFmtId="177" fontId="2" fillId="0" borderId="0" xfId="1" applyNumberFormat="1" applyFont="1" applyAlignment="1" applyProtection="1">
      <alignment horizontal="right" vertical="center" wrapText="1"/>
      <protection locked="0"/>
    </xf>
    <xf numFmtId="0" fontId="2" fillId="0" borderId="0" xfId="1" applyFont="1" applyAlignment="1" applyProtection="1">
      <alignment horizontal="left" vertical="center" wrapText="1" indent="1"/>
      <protection locked="0"/>
    </xf>
    <xf numFmtId="4" fontId="3" fillId="0" borderId="0" xfId="1" applyNumberFormat="1" applyFont="1" applyAlignment="1" applyProtection="1">
      <alignment horizontal="right" vertical="center" wrapText="1"/>
      <protection locked="0"/>
    </xf>
    <xf numFmtId="177" fontId="9" fillId="0" borderId="0" xfId="0" applyNumberFormat="1" applyFont="1" applyAlignment="1" applyProtection="1">
      <alignment vertical="center"/>
      <protection locked="0"/>
    </xf>
    <xf numFmtId="4" fontId="9" fillId="0" borderId="0" xfId="0" applyNumberFormat="1" applyFont="1" applyAlignment="1" applyProtection="1">
      <alignment vertical="center" wrapText="1"/>
      <protection locked="0"/>
    </xf>
    <xf numFmtId="0" fontId="12" fillId="3" borderId="0" xfId="1" applyFont="1" applyFill="1" applyAlignment="1" applyProtection="1">
      <alignment vertical="center" wrapText="1"/>
      <protection locked="0"/>
    </xf>
    <xf numFmtId="179" fontId="10" fillId="0" borderId="0" xfId="1" applyNumberFormat="1" applyFont="1" applyAlignment="1" applyProtection="1">
      <alignment vertical="center" wrapText="1"/>
      <protection locked="0"/>
    </xf>
    <xf numFmtId="179" fontId="10" fillId="0" borderId="0" xfId="0" applyNumberFormat="1" applyFont="1" applyAlignment="1" applyProtection="1">
      <alignment vertical="center" wrapText="1"/>
      <protection locked="0"/>
    </xf>
    <xf numFmtId="0" fontId="4" fillId="14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4" fontId="10" fillId="0" borderId="0" xfId="0" applyNumberFormat="1" applyFont="1" applyAlignment="1" applyProtection="1">
      <alignment horizontal="right" vertical="center" wrapText="1" indent="1"/>
      <protection locked="0"/>
    </xf>
    <xf numFmtId="177" fontId="10" fillId="0" borderId="0" xfId="0" applyNumberFormat="1" applyFont="1" applyAlignment="1" applyProtection="1">
      <alignment horizontal="right" vertical="center" wrapText="1" indent="1"/>
      <protection locked="0"/>
    </xf>
    <xf numFmtId="0" fontId="4" fillId="0" borderId="0" xfId="0" applyFont="1" applyAlignment="1" applyProtection="1">
      <alignment vertical="center" wrapText="1"/>
      <protection locked="0"/>
    </xf>
    <xf numFmtId="4" fontId="4" fillId="14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1" applyFont="1" applyProtection="1">
      <protection locked="0"/>
    </xf>
    <xf numFmtId="0" fontId="2" fillId="0" borderId="0" xfId="1" applyFont="1" applyProtection="1">
      <protection locked="0"/>
    </xf>
    <xf numFmtId="0" fontId="2" fillId="0" borderId="0" xfId="1" applyFont="1" applyAlignment="1" applyProtection="1">
      <alignment wrapText="1"/>
      <protection locked="0"/>
    </xf>
    <xf numFmtId="0" fontId="3" fillId="0" borderId="4" xfId="1" applyFont="1" applyBorder="1" applyAlignment="1" applyProtection="1">
      <alignment vertical="center" wrapText="1"/>
      <protection locked="0"/>
    </xf>
    <xf numFmtId="0" fontId="3" fillId="0" borderId="5" xfId="1" applyFont="1" applyBorder="1" applyAlignment="1" applyProtection="1">
      <alignment vertical="center" wrapText="1"/>
      <protection locked="0"/>
    </xf>
    <xf numFmtId="0" fontId="3" fillId="0" borderId="6" xfId="1" applyFont="1" applyBorder="1" applyAlignment="1" applyProtection="1">
      <alignment vertical="center" wrapText="1"/>
      <protection locked="0"/>
    </xf>
    <xf numFmtId="0" fontId="3" fillId="0" borderId="6" xfId="1" applyFont="1" applyBorder="1" applyProtection="1">
      <protection locked="0"/>
    </xf>
    <xf numFmtId="177" fontId="1" fillId="0" borderId="0" xfId="1" applyNumberFormat="1" applyFont="1" applyAlignment="1" applyProtection="1">
      <alignment vertical="center" wrapText="1"/>
      <protection locked="0"/>
    </xf>
    <xf numFmtId="178" fontId="1" fillId="0" borderId="0" xfId="1" applyNumberFormat="1" applyFont="1" applyAlignment="1" applyProtection="1">
      <alignment vertical="center" wrapText="1"/>
      <protection locked="0"/>
    </xf>
    <xf numFmtId="0" fontId="4" fillId="14" borderId="7" xfId="1" applyFont="1" applyFill="1" applyBorder="1" applyAlignment="1" applyProtection="1">
      <alignment horizontal="center" vertical="center" wrapText="1"/>
      <protection locked="0"/>
    </xf>
    <xf numFmtId="4" fontId="1" fillId="0" borderId="0" xfId="1" applyNumberFormat="1" applyFont="1" applyAlignment="1" applyProtection="1">
      <alignment horizontal="right" vertical="center" wrapText="1" indent="1"/>
      <protection locked="0"/>
    </xf>
    <xf numFmtId="177" fontId="1" fillId="0" borderId="0" xfId="1" applyNumberFormat="1" applyFont="1" applyAlignment="1" applyProtection="1">
      <alignment horizontal="right" vertical="center" wrapText="1" indent="1"/>
      <protection locked="0"/>
    </xf>
    <xf numFmtId="0" fontId="1" fillId="0" borderId="0" xfId="1" applyFont="1" applyAlignment="1" applyProtection="1">
      <alignment horizontal="left" vertical="center" wrapText="1" indent="1"/>
      <protection locked="0"/>
    </xf>
    <xf numFmtId="4" fontId="9" fillId="0" borderId="0" xfId="0" applyNumberFormat="1" applyFont="1" applyAlignment="1" applyProtection="1">
      <alignment horizontal="right" vertical="center" wrapText="1" indent="1"/>
      <protection locked="0"/>
    </xf>
    <xf numFmtId="177" fontId="9" fillId="0" borderId="0" xfId="0" applyNumberFormat="1" applyFont="1" applyAlignment="1" applyProtection="1">
      <alignment horizontal="right" vertical="center" wrapText="1" indent="1"/>
      <protection locked="0"/>
    </xf>
    <xf numFmtId="0" fontId="13" fillId="0" borderId="0" xfId="0" applyFont="1" applyAlignment="1" applyProtection="1">
      <alignment vertical="center" wrapText="1"/>
      <protection locked="0"/>
    </xf>
    <xf numFmtId="4" fontId="13" fillId="0" borderId="0" xfId="0" applyNumberFormat="1" applyFont="1" applyAlignment="1" applyProtection="1">
      <alignment horizontal="right" vertical="center" wrapText="1" indent="1"/>
      <protection locked="0"/>
    </xf>
    <xf numFmtId="177" fontId="13" fillId="0" borderId="0" xfId="0" applyNumberFormat="1" applyFont="1" applyAlignment="1" applyProtection="1">
      <alignment horizontal="right" vertical="center" wrapText="1" indent="1"/>
      <protection locked="0"/>
    </xf>
    <xf numFmtId="4" fontId="3" fillId="0" borderId="5" xfId="1" applyNumberFormat="1" applyFont="1" applyBorder="1" applyAlignment="1" applyProtection="1">
      <alignment horizontal="right" vertical="center" wrapText="1" indent="1"/>
      <protection locked="0"/>
    </xf>
    <xf numFmtId="177" fontId="3" fillId="0" borderId="5" xfId="1" applyNumberFormat="1" applyFont="1" applyBorder="1" applyAlignment="1" applyProtection="1">
      <alignment horizontal="right" vertical="center" wrapText="1" indent="1"/>
      <protection locked="0"/>
    </xf>
    <xf numFmtId="0" fontId="3" fillId="0" borderId="6" xfId="1" applyFont="1" applyBorder="1" applyAlignment="1" applyProtection="1">
      <alignment horizontal="left" vertical="center" wrapText="1" indent="1"/>
      <protection locked="0"/>
    </xf>
    <xf numFmtId="4" fontId="4" fillId="14" borderId="7" xfId="1" applyNumberFormat="1" applyFont="1" applyFill="1" applyBorder="1" applyAlignment="1" applyProtection="1">
      <alignment horizontal="center" vertical="center" wrapText="1"/>
      <protection locked="0"/>
    </xf>
    <xf numFmtId="177" fontId="4" fillId="14" borderId="7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vertical="center" wrapText="1"/>
      <protection locked="0"/>
    </xf>
    <xf numFmtId="4" fontId="13" fillId="0" borderId="10" xfId="0" applyNumberFormat="1" applyFont="1" applyBorder="1" applyAlignment="1" applyProtection="1">
      <alignment horizontal="right" vertical="center" wrapText="1" indent="1"/>
      <protection locked="0"/>
    </xf>
    <xf numFmtId="178" fontId="9" fillId="0" borderId="0" xfId="0" applyNumberFormat="1" applyFon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9" fillId="0" borderId="0" xfId="0" applyFont="1" applyAlignment="1" applyProtection="1">
      <alignment horizontal="left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179" fontId="29" fillId="0" borderId="0" xfId="0" applyNumberFormat="1" applyFont="1" applyAlignment="1" applyProtection="1">
      <alignment horizontal="center" vertical="center" wrapText="1"/>
      <protection locked="0"/>
    </xf>
    <xf numFmtId="179" fontId="26" fillId="0" borderId="0" xfId="0" applyNumberFormat="1" applyFont="1" applyAlignment="1" applyProtection="1">
      <alignment horizontal="center" vertical="center" wrapText="1"/>
      <protection locked="0"/>
    </xf>
    <xf numFmtId="176" fontId="26" fillId="0" borderId="0" xfId="0" applyNumberFormat="1" applyFont="1" applyAlignment="1" applyProtection="1">
      <alignment horizontal="center" vertical="center" wrapText="1"/>
      <protection locked="0"/>
    </xf>
    <xf numFmtId="176" fontId="29" fillId="0" borderId="0" xfId="0" applyNumberFormat="1" applyFont="1" applyAlignment="1" applyProtection="1">
      <alignment horizontal="center" vertical="center" wrapText="1"/>
      <protection locked="0"/>
    </xf>
    <xf numFmtId="179" fontId="12" fillId="0" borderId="0" xfId="0" applyNumberFormat="1" applyFont="1" applyAlignment="1" applyProtection="1">
      <alignment vertical="center"/>
      <protection locked="0"/>
    </xf>
    <xf numFmtId="0" fontId="12" fillId="15" borderId="12" xfId="0" applyFont="1" applyFill="1" applyBorder="1" applyAlignment="1" applyProtection="1">
      <alignment horizontal="center" vertical="center" wrapText="1"/>
      <protection locked="0"/>
    </xf>
    <xf numFmtId="1" fontId="9" fillId="0" borderId="13" xfId="0" applyNumberFormat="1" applyFont="1" applyBorder="1" applyAlignment="1" applyProtection="1">
      <alignment horizontal="center" vertical="center"/>
      <protection locked="0"/>
    </xf>
    <xf numFmtId="179" fontId="9" fillId="0" borderId="13" xfId="0" applyNumberFormat="1" applyFont="1" applyBorder="1" applyAlignment="1" applyProtection="1">
      <alignment horizontal="center" vertical="center"/>
      <protection locked="0"/>
    </xf>
    <xf numFmtId="0" fontId="15" fillId="0" borderId="0" xfId="1" applyFont="1" applyAlignment="1" applyProtection="1">
      <alignment vertical="center" wrapText="1"/>
      <protection locked="0"/>
    </xf>
    <xf numFmtId="0" fontId="9" fillId="0" borderId="0" xfId="1" applyFont="1" applyAlignment="1" applyProtection="1">
      <alignment vertical="center" wrapText="1"/>
      <protection locked="0"/>
    </xf>
    <xf numFmtId="177" fontId="9" fillId="4" borderId="0" xfId="1" applyNumberFormat="1" applyFont="1" applyFill="1" applyAlignment="1" applyProtection="1">
      <alignment vertical="center" wrapText="1"/>
      <protection locked="0"/>
    </xf>
    <xf numFmtId="177" fontId="10" fillId="5" borderId="0" xfId="1" applyNumberFormat="1" applyFont="1" applyFill="1" applyAlignment="1" applyProtection="1">
      <alignment vertical="center" wrapText="1"/>
      <protection locked="0"/>
    </xf>
    <xf numFmtId="177" fontId="10" fillId="0" borderId="0" xfId="1" applyNumberFormat="1" applyFont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4" fillId="11" borderId="0" xfId="1" applyFont="1" applyFill="1" applyAlignment="1" applyProtection="1">
      <alignment vertical="center" wrapText="1"/>
      <protection locked="0"/>
    </xf>
    <xf numFmtId="49" fontId="9" fillId="4" borderId="0" xfId="1" applyNumberFormat="1" applyFont="1" applyFill="1" applyAlignment="1" applyProtection="1">
      <alignment vertical="center" wrapText="1"/>
      <protection locked="0"/>
    </xf>
    <xf numFmtId="0" fontId="10" fillId="0" borderId="0" xfId="1" applyFont="1" applyAlignment="1" applyProtection="1">
      <alignment vertical="center" wrapText="1"/>
      <protection locked="0"/>
    </xf>
    <xf numFmtId="0" fontId="10" fillId="5" borderId="0" xfId="1" applyFont="1" applyFill="1" applyAlignment="1" applyProtection="1">
      <alignment vertical="center" wrapText="1"/>
      <protection locked="0"/>
    </xf>
    <xf numFmtId="0" fontId="9" fillId="0" borderId="0" xfId="1" applyFont="1" applyAlignment="1" applyProtection="1">
      <alignment horizontal="left" vertical="center" wrapText="1"/>
      <protection locked="0"/>
    </xf>
    <xf numFmtId="177" fontId="9" fillId="0" borderId="0" xfId="1" applyNumberFormat="1" applyFont="1" applyAlignment="1" applyProtection="1">
      <alignment horizontal="right" vertical="center" wrapText="1"/>
      <protection locked="0"/>
    </xf>
    <xf numFmtId="177" fontId="10" fillId="12" borderId="0" xfId="1" applyNumberFormat="1" applyFont="1" applyFill="1" applyAlignment="1" applyProtection="1">
      <alignment vertical="center" wrapText="1"/>
      <protection locked="0"/>
    </xf>
    <xf numFmtId="177" fontId="10" fillId="5" borderId="0" xfId="1" applyNumberFormat="1" applyFont="1" applyFill="1" applyAlignment="1" applyProtection="1">
      <alignment horizontal="right" vertical="center" wrapText="1" indent="1"/>
      <protection locked="0"/>
    </xf>
    <xf numFmtId="0" fontId="10" fillId="0" borderId="0" xfId="1" applyFont="1" applyAlignment="1" applyProtection="1">
      <alignment horizontal="left" vertical="center" wrapText="1" indent="2"/>
      <protection locked="0"/>
    </xf>
    <xf numFmtId="0" fontId="10" fillId="5" borderId="0" xfId="1" applyFont="1" applyFill="1" applyAlignment="1" applyProtection="1">
      <alignment horizontal="right" vertical="center" wrapText="1" indent="1"/>
      <protection locked="0"/>
    </xf>
    <xf numFmtId="181" fontId="9" fillId="0" borderId="0" xfId="1" applyNumberFormat="1" applyFont="1" applyAlignment="1" applyProtection="1">
      <alignment vertical="center" wrapText="1"/>
      <protection locked="0"/>
    </xf>
    <xf numFmtId="181" fontId="10" fillId="0" borderId="0" xfId="1" applyNumberFormat="1" applyFont="1" applyAlignment="1" applyProtection="1">
      <alignment vertical="center" wrapText="1"/>
      <protection locked="0"/>
    </xf>
    <xf numFmtId="0" fontId="21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9" fillId="0" borderId="0" xfId="1" applyFont="1" applyAlignment="1" applyProtection="1">
      <alignment vertical="center"/>
      <protection locked="0"/>
    </xf>
    <xf numFmtId="0" fontId="13" fillId="0" borderId="0" xfId="1" applyFont="1" applyAlignment="1" applyProtection="1">
      <alignment vertical="center" wrapText="1"/>
      <protection locked="0"/>
    </xf>
    <xf numFmtId="180" fontId="9" fillId="0" borderId="0" xfId="1" applyNumberFormat="1" applyFont="1" applyAlignment="1" applyProtection="1">
      <alignment vertical="center" wrapText="1"/>
      <protection locked="0"/>
    </xf>
    <xf numFmtId="0" fontId="12" fillId="9" borderId="0" xfId="0" applyFont="1" applyFill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horizontal="left" vertical="top" wrapText="1"/>
      <protection locked="0"/>
    </xf>
    <xf numFmtId="0" fontId="12" fillId="0" borderId="0" xfId="1" applyFont="1" applyAlignment="1" applyProtection="1">
      <alignment horizontal="left" vertical="top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12" fillId="7" borderId="7" xfId="0" applyFont="1" applyFill="1" applyBorder="1" applyAlignment="1" applyProtection="1">
      <alignment vertical="center" wrapText="1"/>
      <protection locked="0"/>
    </xf>
    <xf numFmtId="0" fontId="12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vertical="center" wrapText="1"/>
      <protection locked="0"/>
    </xf>
    <xf numFmtId="4" fontId="10" fillId="0" borderId="0" xfId="0" applyNumberFormat="1" applyFont="1" applyAlignment="1" applyProtection="1">
      <alignment vertical="center" wrapText="1"/>
      <protection locked="0"/>
    </xf>
    <xf numFmtId="177" fontId="10" fillId="0" borderId="0" xfId="0" applyNumberFormat="1" applyFont="1" applyAlignment="1" applyProtection="1">
      <alignment vertical="center" wrapText="1"/>
      <protection locked="0"/>
    </xf>
    <xf numFmtId="0" fontId="12" fillId="0" borderId="14" xfId="0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4" fillId="13" borderId="0" xfId="0" applyFont="1" applyFill="1" applyAlignment="1" applyProtection="1">
      <alignment vertical="center" wrapText="1"/>
      <protection locked="0"/>
    </xf>
    <xf numFmtId="0" fontId="14" fillId="0" borderId="0" xfId="0" applyFont="1" applyAlignment="1" applyProtection="1">
      <alignment vertical="center" wrapText="1"/>
      <protection locked="0"/>
    </xf>
    <xf numFmtId="177" fontId="9" fillId="0" borderId="0" xfId="0" applyNumberFormat="1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left" vertical="center" wrapText="1" indent="1"/>
      <protection locked="0"/>
    </xf>
    <xf numFmtId="0" fontId="24" fillId="0" borderId="0" xfId="1" applyFont="1" applyAlignment="1" applyProtection="1">
      <alignment horizontal="left" vertical="top" wrapText="1"/>
      <protection locked="0"/>
    </xf>
    <xf numFmtId="0" fontId="3" fillId="0" borderId="0" xfId="1" applyFont="1" applyAlignment="1" applyProtection="1">
      <alignment horizontal="left" vertical="top" wrapText="1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12" fillId="9" borderId="8" xfId="1" applyFont="1" applyFill="1" applyBorder="1" applyAlignment="1" applyProtection="1">
      <alignment vertical="center" wrapText="1"/>
      <protection locked="0"/>
    </xf>
    <xf numFmtId="0" fontId="12" fillId="9" borderId="0" xfId="1" applyFont="1" applyFill="1" applyAlignment="1" applyProtection="1">
      <alignment vertical="center" wrapText="1"/>
      <protection locked="0"/>
    </xf>
    <xf numFmtId="0" fontId="13" fillId="10" borderId="0" xfId="0" applyFont="1" applyFill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 wrapText="1" indent="1"/>
      <protection locked="0"/>
    </xf>
    <xf numFmtId="4" fontId="10" fillId="0" borderId="0" xfId="0" applyNumberFormat="1" applyFont="1" applyAlignment="1" applyProtection="1">
      <alignment horizontal="right" vertical="center" wrapText="1" indent="1"/>
      <protection locked="0"/>
    </xf>
    <xf numFmtId="0" fontId="4" fillId="14" borderId="0" xfId="0" applyFont="1" applyFill="1" applyAlignment="1" applyProtection="1">
      <alignment vertical="center" wrapText="1"/>
      <protection locked="0"/>
    </xf>
    <xf numFmtId="4" fontId="4" fillId="14" borderId="0" xfId="0" applyNumberFormat="1" applyFont="1" applyFill="1" applyAlignment="1" applyProtection="1">
      <alignment horizontal="right" vertical="center" wrapText="1" indent="1"/>
      <protection locked="0"/>
    </xf>
    <xf numFmtId="0" fontId="4" fillId="14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2" fillId="0" borderId="9" xfId="0" applyFont="1" applyBorder="1" applyAlignment="1" applyProtection="1">
      <alignment vertical="center" wrapText="1"/>
      <protection locked="0"/>
    </xf>
    <xf numFmtId="4" fontId="12" fillId="0" borderId="9" xfId="0" applyNumberFormat="1" applyFont="1" applyBorder="1" applyAlignment="1" applyProtection="1">
      <alignment horizontal="right" vertical="center" wrapText="1" indent="1"/>
      <protection locked="0"/>
    </xf>
    <xf numFmtId="0" fontId="12" fillId="6" borderId="0" xfId="1" applyFont="1" applyFill="1" applyAlignment="1" applyProtection="1">
      <alignment vertical="center" wrapText="1"/>
      <protection locked="0"/>
    </xf>
    <xf numFmtId="0" fontId="13" fillId="0" borderId="10" xfId="0" applyFont="1" applyBorder="1" applyAlignment="1" applyProtection="1">
      <alignment horizontal="left" vertical="center" wrapText="1" indent="1"/>
      <protection locked="0"/>
    </xf>
    <xf numFmtId="0" fontId="4" fillId="14" borderId="3" xfId="1" applyFont="1" applyFill="1" applyBorder="1" applyAlignment="1" applyProtection="1">
      <alignment horizontal="center" vertical="center" wrapText="1"/>
      <protection locked="0"/>
    </xf>
    <xf numFmtId="0" fontId="4" fillId="14" borderId="0" xfId="1" applyFont="1" applyFill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left" vertical="center" wrapText="1" indent="1"/>
      <protection locked="0"/>
    </xf>
    <xf numFmtId="0" fontId="19" fillId="0" borderId="0" xfId="0" applyFont="1" applyProtection="1">
      <protection locked="0"/>
    </xf>
    <xf numFmtId="0" fontId="29" fillId="0" borderId="0" xfId="0" applyFont="1" applyAlignment="1" applyProtection="1">
      <alignment horizontal="left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left" vertical="center" wrapText="1"/>
      <protection locked="0"/>
    </xf>
    <xf numFmtId="179" fontId="26" fillId="0" borderId="0" xfId="0" applyNumberFormat="1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179" fontId="29" fillId="0" borderId="0" xfId="0" applyNumberFormat="1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176" fontId="26" fillId="0" borderId="0" xfId="0" applyNumberFormat="1" applyFont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26" fillId="5" borderId="0" xfId="0" applyFont="1" applyFill="1" applyAlignment="1" applyProtection="1">
      <alignment horizontal="left" vertical="center" wrapText="1"/>
      <protection locked="0"/>
    </xf>
  </cellXfs>
  <cellStyles count="3">
    <cellStyle name="Normal" xfId="1" xr:uid="{00000000-0005-0000-0000-000000000000}"/>
    <cellStyle name="常规" xfId="0" builtinId="0"/>
    <cellStyle name="超链接" xfId="2" builtinId="8"/>
  </cellStyles>
  <dxfs count="10">
    <dxf>
      <font>
        <color rgb="FFC00000"/>
      </font>
      <fill>
        <patternFill patternType="none">
          <bgColor rgb="FFFFCCCC"/>
        </patternFill>
      </fill>
    </dxf>
    <dxf>
      <font>
        <b/>
        <color rgb="FF1F4E78"/>
      </font>
      <fill>
        <patternFill patternType="none">
          <bgColor rgb="FFD9EAF7"/>
        </patternFill>
      </fill>
    </dxf>
    <dxf>
      <font>
        <b/>
        <color rgb="FF274E13"/>
      </font>
      <fill>
        <patternFill patternType="none">
          <bgColor rgb="FFD9EAD3"/>
        </patternFill>
      </fill>
    </dxf>
    <dxf>
      <font>
        <b/>
        <color rgb="FF9C0006"/>
      </font>
      <fill>
        <patternFill patternType="none">
          <bgColor rgb="FFF4CCCC"/>
        </patternFill>
      </fill>
    </dxf>
    <dxf>
      <font>
        <b/>
        <color rgb="FF1F4E78"/>
      </font>
      <fill>
        <patternFill patternType="none">
          <bgColor rgb="FFD9EAF7"/>
        </patternFill>
      </fill>
    </dxf>
    <dxf>
      <font>
        <b/>
        <color rgb="FF274E13"/>
      </font>
      <fill>
        <patternFill patternType="none">
          <bgColor rgb="FFD9EAD3"/>
        </patternFill>
      </fill>
    </dxf>
    <dxf>
      <font>
        <b/>
        <color rgb="FF9C0006"/>
      </font>
      <fill>
        <patternFill patternType="none">
          <bgColor rgb="FFF4CCCC"/>
        </patternFill>
      </fill>
    </dxf>
    <dxf>
      <font>
        <b/>
        <color rgb="FF1F4E78"/>
      </font>
      <fill>
        <patternFill patternType="none">
          <bgColor rgb="FFD9EAF7"/>
        </patternFill>
      </fill>
    </dxf>
    <dxf>
      <font>
        <b/>
        <color rgb="FF274E13"/>
      </font>
      <fill>
        <patternFill patternType="none">
          <bgColor rgb="FFD9EAD3"/>
        </patternFill>
      </fill>
    </dxf>
    <dxf>
      <font>
        <b/>
        <color rgb="FF9C0006"/>
      </font>
      <fill>
        <patternFill patternType="none"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Wind pressure profile - check inputs and click Calculate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No calculated data</c:v>
          </c:tx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#N/A</c:v>
              </c:pt>
              <c:pt idx="1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2B7-4640-A2E4-2D56C0DB04DA}"/>
            </c:ext>
          </c:extLst>
        </c:ser>
        <c:ser>
          <c:idx val="0"/>
          <c:order val="0"/>
          <c:tx>
            <c:v>Storey wind pressure</c:v>
          </c:tx>
          <c:spPr>
            <a:ln w="25400">
              <a:solidFill>
                <a:srgbClr val="0070C0"/>
              </a:solidFill>
            </a:ln>
          </c:spPr>
          <c:xVal>
            <c:numRef>
              <c:f>[0]!StoreyPressure</c:f>
            </c:numRef>
          </c:xVal>
          <c:yVal>
            <c:numRef>
              <c:f>[0]!StoreyLever</c:f>
            </c:numRef>
          </c:yVal>
          <c:smooth val="0"/>
          <c:extLst>
            <c:ext xmlns:c16="http://schemas.microsoft.com/office/drawing/2014/chart" uri="{C3380CC4-5D6E-409C-BE32-E72D297353CC}">
              <c16:uniqueId val="{00000000-E6B4-4A74-BE0E-E27B5E72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112"/>
        <c:axId val="48672768"/>
      </c:scatterChart>
      <c:valAx>
        <c:axId val="48672768"/>
        <c:scaling>
          <c:orientation val="minMax"/>
          <c:max val="1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Height above left ground (m)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48650112"/>
        <c:crosses val="autoZero"/>
        <c:crossBetween val="midCat"/>
      </c:valAx>
      <c:valAx>
        <c:axId val="48650112"/>
        <c:scaling>
          <c:orientation val="minMax"/>
          <c:max val="1.1000000000000001"/>
          <c:min val="0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Wind pressure (kPa)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48672768"/>
        <c:crosses val="autoZero"/>
        <c:crossBetween val="midCat"/>
      </c:valAx>
    </c:plotArea>
    <c:plotVisOnly val="1"/>
    <c:dispBlanksAs val="gap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312420</xdr:rowOff>
    </xdr:from>
    <xdr:to>
      <xdr:col>5</xdr:col>
      <xdr:colOff>386080</xdr:colOff>
      <xdr:row>2</xdr:row>
      <xdr:rowOff>2540</xdr:rowOff>
    </xdr:to>
    <xdr:sp macro="[0]!CalculateFaces" textlink="">
      <xdr:nvSpPr>
        <xdr:cNvPr id="2" name="btnCalculateFaces">
          <a:extLst>
            <a:ext uri="{FF2B5EF4-FFF2-40B4-BE49-F238E27FC236}">
              <a16:creationId xmlns:a16="http://schemas.microsoft.com/office/drawing/2014/main" id="{847C9D41-A4C8-0278-BA65-91F903E260D1}"/>
            </a:ext>
          </a:extLst>
        </xdr:cNvPr>
        <xdr:cNvSpPr/>
      </xdr:nvSpPr>
      <xdr:spPr>
        <a:xfrm>
          <a:off x="152400" y="312420"/>
          <a:ext cx="2540000" cy="279400"/>
        </a:xfrm>
        <a:prstGeom prst="roundRect">
          <a:avLst/>
        </a:prstGeom>
        <a:solidFill>
          <a:srgbClr val="214F7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rgbClr val="FFFFFF"/>
              </a:solidFill>
            </a:rPr>
            <a:t>计算 </a:t>
          </a:r>
          <a:r>
            <a:rPr lang="en-US" altLang="zh-CN" sz="1100">
              <a:solidFill>
                <a:srgbClr val="FFFFFF"/>
              </a:solidFill>
            </a:rPr>
            <a:t>B</a:t>
          </a:r>
          <a:r>
            <a:rPr lang="zh-CN" altLang="en-US" sz="1100">
              <a:solidFill>
                <a:srgbClr val="FFFFFF"/>
              </a:solidFill>
            </a:rPr>
            <a:t>、</a:t>
          </a:r>
          <a:r>
            <a:rPr lang="en-US" altLang="zh-CN" sz="1100">
              <a:solidFill>
                <a:srgbClr val="FFFFFF"/>
              </a:solidFill>
            </a:rPr>
            <a:t>D </a:t>
          </a:r>
          <a:r>
            <a:rPr lang="zh-CN" altLang="en-US" sz="1100">
              <a:solidFill>
                <a:srgbClr val="FFFFFF"/>
              </a:solidFill>
            </a:rPr>
            <a:t>并比较</a:t>
          </a:r>
        </a:p>
      </xdr:txBody>
    </xdr:sp>
    <xdr:clientData/>
  </xdr:twoCellAnchor>
  <xdr:twoCellAnchor>
    <xdr:from>
      <xdr:col>8</xdr:col>
      <xdr:colOff>101600</xdr:colOff>
      <xdr:row>8</xdr:row>
      <xdr:rowOff>231140</xdr:rowOff>
    </xdr:from>
    <xdr:to>
      <xdr:col>8</xdr:col>
      <xdr:colOff>482600</xdr:colOff>
      <xdr:row>9</xdr:row>
      <xdr:rowOff>248920</xdr:rowOff>
    </xdr:to>
    <xdr:sp macro="" textlink="">
      <xdr:nvSpPr>
        <xdr:cNvPr id="3" name="ui_B_Dlabel">
          <a:extLst>
            <a:ext uri="{FF2B5EF4-FFF2-40B4-BE49-F238E27FC236}">
              <a16:creationId xmlns:a16="http://schemas.microsoft.com/office/drawing/2014/main" id="{8F446E6B-1EA1-9B51-E0A0-DED96353A59F}"/>
            </a:ext>
          </a:extLst>
        </xdr:cNvPr>
        <xdr:cNvSpPr txBox="1"/>
      </xdr:nvSpPr>
      <xdr:spPr>
        <a:xfrm>
          <a:off x="3987800" y="2555240"/>
          <a:ext cx="381000" cy="292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altLang="zh-CN" sz="1200"/>
            <a:t>D</a:t>
          </a:r>
          <a:endParaRPr lang="zh-CN" altLang="en-US" sz="1200"/>
        </a:p>
      </xdr:txBody>
    </xdr:sp>
    <xdr:clientData/>
  </xdr:twoCellAnchor>
  <xdr:twoCellAnchor editAs="absolute">
    <xdr:from>
      <xdr:col>7</xdr:col>
      <xdr:colOff>50800</xdr:colOff>
      <xdr:row>10</xdr:row>
      <xdr:rowOff>0</xdr:rowOff>
    </xdr:from>
    <xdr:to>
      <xdr:col>9</xdr:col>
      <xdr:colOff>457200</xdr:colOff>
      <xdr:row>10</xdr:row>
      <xdr:rowOff>0</xdr:rowOff>
    </xdr:to>
    <xdr:cxnSp macro="">
      <xdr:nvCxnSpPr>
        <xdr:cNvPr id="4" name="ui_B_roof">
          <a:extLst>
            <a:ext uri="{FF2B5EF4-FFF2-40B4-BE49-F238E27FC236}">
              <a16:creationId xmlns:a16="http://schemas.microsoft.com/office/drawing/2014/main" id="{A391B374-25C8-3747-4BA6-32C2C1F7973F}"/>
            </a:ext>
          </a:extLst>
        </xdr:cNvPr>
        <xdr:cNvCxnSpPr/>
      </xdr:nvCxnSpPr>
      <xdr:spPr>
        <a:xfrm>
          <a:off x="3403600" y="2872740"/>
          <a:ext cx="1473200" cy="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50800</xdr:colOff>
      <xdr:row>10</xdr:row>
      <xdr:rowOff>0</xdr:rowOff>
    </xdr:from>
    <xdr:to>
      <xdr:col>7</xdr:col>
      <xdr:colOff>50800</xdr:colOff>
      <xdr:row>29</xdr:row>
      <xdr:rowOff>0</xdr:rowOff>
    </xdr:to>
    <xdr:cxnSp macro="">
      <xdr:nvCxnSpPr>
        <xdr:cNvPr id="5" name="ui_B_left">
          <a:extLst>
            <a:ext uri="{FF2B5EF4-FFF2-40B4-BE49-F238E27FC236}">
              <a16:creationId xmlns:a16="http://schemas.microsoft.com/office/drawing/2014/main" id="{CE28D221-3DFC-64E6-3D62-E38EB9609550}"/>
            </a:ext>
          </a:extLst>
        </xdr:cNvPr>
        <xdr:cNvCxnSpPr/>
      </xdr:nvCxnSpPr>
      <xdr:spPr>
        <a:xfrm>
          <a:off x="3403600" y="2872740"/>
          <a:ext cx="0" cy="521208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457200</xdr:colOff>
      <xdr:row>10</xdr:row>
      <xdr:rowOff>0</xdr:rowOff>
    </xdr:from>
    <xdr:to>
      <xdr:col>9</xdr:col>
      <xdr:colOff>457200</xdr:colOff>
      <xdr:row>29</xdr:row>
      <xdr:rowOff>0</xdr:rowOff>
    </xdr:to>
    <xdr:cxnSp macro="">
      <xdr:nvCxnSpPr>
        <xdr:cNvPr id="6" name="ui_B_right">
          <a:extLst>
            <a:ext uri="{FF2B5EF4-FFF2-40B4-BE49-F238E27FC236}">
              <a16:creationId xmlns:a16="http://schemas.microsoft.com/office/drawing/2014/main" id="{53F082FB-24EC-BE7D-81BD-B5FE2AE2CB50}"/>
            </a:ext>
          </a:extLst>
        </xdr:cNvPr>
        <xdr:cNvCxnSpPr/>
      </xdr:nvCxnSpPr>
      <xdr:spPr>
        <a:xfrm>
          <a:off x="4876800" y="2872740"/>
          <a:ext cx="0" cy="521208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50800</xdr:colOff>
      <xdr:row>29</xdr:row>
      <xdr:rowOff>0</xdr:rowOff>
    </xdr:from>
    <xdr:to>
      <xdr:col>9</xdr:col>
      <xdr:colOff>457200</xdr:colOff>
      <xdr:row>29</xdr:row>
      <xdr:rowOff>0</xdr:rowOff>
    </xdr:to>
    <xdr:cxnSp macro="">
      <xdr:nvCxnSpPr>
        <xdr:cNvPr id="7" name="ui_B_base">
          <a:extLst>
            <a:ext uri="{FF2B5EF4-FFF2-40B4-BE49-F238E27FC236}">
              <a16:creationId xmlns:a16="http://schemas.microsoft.com/office/drawing/2014/main" id="{8101BB3D-969A-0253-503D-0CCAE0D63417}"/>
            </a:ext>
          </a:extLst>
        </xdr:cNvPr>
        <xdr:cNvCxnSpPr/>
      </xdr:nvCxnSpPr>
      <xdr:spPr>
        <a:xfrm>
          <a:off x="3403600" y="8084820"/>
          <a:ext cx="1473200" cy="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101600</xdr:colOff>
      <xdr:row>20</xdr:row>
      <xdr:rowOff>0</xdr:rowOff>
    </xdr:from>
    <xdr:to>
      <xdr:col>7</xdr:col>
      <xdr:colOff>50800</xdr:colOff>
      <xdr:row>20</xdr:row>
      <xdr:rowOff>0</xdr:rowOff>
    </xdr:to>
    <xdr:cxnSp macro="">
      <xdr:nvCxnSpPr>
        <xdr:cNvPr id="8" name="ui_B_groundA">
          <a:extLst>
            <a:ext uri="{FF2B5EF4-FFF2-40B4-BE49-F238E27FC236}">
              <a16:creationId xmlns:a16="http://schemas.microsoft.com/office/drawing/2014/main" id="{6D4A243D-075F-4790-4248-C88CA4580C4C}"/>
            </a:ext>
          </a:extLst>
        </xdr:cNvPr>
        <xdr:cNvCxnSpPr/>
      </xdr:nvCxnSpPr>
      <xdr:spPr>
        <a:xfrm>
          <a:off x="2921000" y="5615940"/>
          <a:ext cx="482600" cy="0"/>
        </a:xfrm>
        <a:prstGeom prst="line">
          <a:avLst/>
        </a:prstGeom>
        <a:ln w="17780">
          <a:solidFill>
            <a:srgbClr val="505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457200</xdr:colOff>
      <xdr:row>20</xdr:row>
      <xdr:rowOff>0</xdr:rowOff>
    </xdr:from>
    <xdr:to>
      <xdr:col>10</xdr:col>
      <xdr:colOff>469900</xdr:colOff>
      <xdr:row>20</xdr:row>
      <xdr:rowOff>0</xdr:rowOff>
    </xdr:to>
    <xdr:cxnSp macro="">
      <xdr:nvCxnSpPr>
        <xdr:cNvPr id="9" name="ui_B_groundP">
          <a:extLst>
            <a:ext uri="{FF2B5EF4-FFF2-40B4-BE49-F238E27FC236}">
              <a16:creationId xmlns:a16="http://schemas.microsoft.com/office/drawing/2014/main" id="{E5DC3E93-D6EA-1C14-489F-CCD454C77F24}"/>
            </a:ext>
          </a:extLst>
        </xdr:cNvPr>
        <xdr:cNvCxnSpPr/>
      </xdr:nvCxnSpPr>
      <xdr:spPr>
        <a:xfrm>
          <a:off x="4876800" y="5615940"/>
          <a:ext cx="546100" cy="0"/>
        </a:xfrm>
        <a:prstGeom prst="line">
          <a:avLst/>
        </a:prstGeom>
        <a:ln w="17780">
          <a:solidFill>
            <a:srgbClr val="505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101600</xdr:colOff>
      <xdr:row>12</xdr:row>
      <xdr:rowOff>0</xdr:rowOff>
    </xdr:from>
    <xdr:to>
      <xdr:col>6</xdr:col>
      <xdr:colOff>482600</xdr:colOff>
      <xdr:row>12</xdr:row>
      <xdr:rowOff>0</xdr:rowOff>
    </xdr:to>
    <xdr:cxnSp macro="">
      <xdr:nvCxnSpPr>
        <xdr:cNvPr id="10" name="ui_B_wind0">
          <a:extLst>
            <a:ext uri="{FF2B5EF4-FFF2-40B4-BE49-F238E27FC236}">
              <a16:creationId xmlns:a16="http://schemas.microsoft.com/office/drawing/2014/main" id="{5F26A5AD-6A96-F1F8-E105-1272E633A2F3}"/>
            </a:ext>
          </a:extLst>
        </xdr:cNvPr>
        <xdr:cNvCxnSpPr/>
      </xdr:nvCxnSpPr>
      <xdr:spPr>
        <a:xfrm>
          <a:off x="2921000" y="342138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101600</xdr:colOff>
      <xdr:row>14</xdr:row>
      <xdr:rowOff>0</xdr:rowOff>
    </xdr:from>
    <xdr:to>
      <xdr:col>6</xdr:col>
      <xdr:colOff>482600</xdr:colOff>
      <xdr:row>14</xdr:row>
      <xdr:rowOff>0</xdr:rowOff>
    </xdr:to>
    <xdr:cxnSp macro="">
      <xdr:nvCxnSpPr>
        <xdr:cNvPr id="11" name="ui_B_wind1">
          <a:extLst>
            <a:ext uri="{FF2B5EF4-FFF2-40B4-BE49-F238E27FC236}">
              <a16:creationId xmlns:a16="http://schemas.microsoft.com/office/drawing/2014/main" id="{8ED275FA-CDFC-B0B4-2E20-7B12001A6C8E}"/>
            </a:ext>
          </a:extLst>
        </xdr:cNvPr>
        <xdr:cNvCxnSpPr/>
      </xdr:nvCxnSpPr>
      <xdr:spPr>
        <a:xfrm>
          <a:off x="2921000" y="397002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101600</xdr:colOff>
      <xdr:row>16</xdr:row>
      <xdr:rowOff>0</xdr:rowOff>
    </xdr:from>
    <xdr:to>
      <xdr:col>6</xdr:col>
      <xdr:colOff>482600</xdr:colOff>
      <xdr:row>16</xdr:row>
      <xdr:rowOff>0</xdr:rowOff>
    </xdr:to>
    <xdr:cxnSp macro="">
      <xdr:nvCxnSpPr>
        <xdr:cNvPr id="12" name="ui_B_wind2">
          <a:extLst>
            <a:ext uri="{FF2B5EF4-FFF2-40B4-BE49-F238E27FC236}">
              <a16:creationId xmlns:a16="http://schemas.microsoft.com/office/drawing/2014/main" id="{9A89EE3E-35F4-6305-764C-0188D86A9E53}"/>
            </a:ext>
          </a:extLst>
        </xdr:cNvPr>
        <xdr:cNvCxnSpPr/>
      </xdr:nvCxnSpPr>
      <xdr:spPr>
        <a:xfrm>
          <a:off x="2921000" y="451866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101600</xdr:colOff>
      <xdr:row>18</xdr:row>
      <xdr:rowOff>0</xdr:rowOff>
    </xdr:from>
    <xdr:to>
      <xdr:col>6</xdr:col>
      <xdr:colOff>482600</xdr:colOff>
      <xdr:row>18</xdr:row>
      <xdr:rowOff>0</xdr:rowOff>
    </xdr:to>
    <xdr:cxnSp macro="">
      <xdr:nvCxnSpPr>
        <xdr:cNvPr id="13" name="ui_B_wind3">
          <a:extLst>
            <a:ext uri="{FF2B5EF4-FFF2-40B4-BE49-F238E27FC236}">
              <a16:creationId xmlns:a16="http://schemas.microsoft.com/office/drawing/2014/main" id="{E685CC78-0DFB-2AEF-8166-C137C01B21AB}"/>
            </a:ext>
          </a:extLst>
        </xdr:cNvPr>
        <xdr:cNvCxnSpPr/>
      </xdr:nvCxnSpPr>
      <xdr:spPr>
        <a:xfrm>
          <a:off x="2921000" y="506730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76200</xdr:colOff>
      <xdr:row>20</xdr:row>
      <xdr:rowOff>25400</xdr:rowOff>
    </xdr:from>
    <xdr:to>
      <xdr:col>6</xdr:col>
      <xdr:colOff>482600</xdr:colOff>
      <xdr:row>28</xdr:row>
      <xdr:rowOff>172720</xdr:rowOff>
    </xdr:to>
    <xdr:cxnSp macro="">
      <xdr:nvCxnSpPr>
        <xdr:cNvPr id="14" name="ui_B_soilA">
          <a:extLst>
            <a:ext uri="{FF2B5EF4-FFF2-40B4-BE49-F238E27FC236}">
              <a16:creationId xmlns:a16="http://schemas.microsoft.com/office/drawing/2014/main" id="{E54C8E8A-DF64-9932-EC25-B2F3071FB5BA}"/>
            </a:ext>
          </a:extLst>
        </xdr:cNvPr>
        <xdr:cNvCxnSpPr/>
      </xdr:nvCxnSpPr>
      <xdr:spPr>
        <a:xfrm flipH="1">
          <a:off x="2895600" y="5641340"/>
          <a:ext cx="406400" cy="2341880"/>
        </a:xfrm>
        <a:prstGeom prst="line">
          <a:avLst/>
        </a:prstGeom>
        <a:ln w="17780">
          <a:solidFill>
            <a:srgbClr val="0091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76200</xdr:colOff>
      <xdr:row>28</xdr:row>
      <xdr:rowOff>172720</xdr:rowOff>
    </xdr:from>
    <xdr:to>
      <xdr:col>6</xdr:col>
      <xdr:colOff>482600</xdr:colOff>
      <xdr:row>28</xdr:row>
      <xdr:rowOff>172720</xdr:rowOff>
    </xdr:to>
    <xdr:cxnSp macro="">
      <xdr:nvCxnSpPr>
        <xdr:cNvPr id="15" name="ui_B_soilAbase">
          <a:extLst>
            <a:ext uri="{FF2B5EF4-FFF2-40B4-BE49-F238E27FC236}">
              <a16:creationId xmlns:a16="http://schemas.microsoft.com/office/drawing/2014/main" id="{E63049E1-B121-F857-617A-889399CB7920}"/>
            </a:ext>
          </a:extLst>
        </xdr:cNvPr>
        <xdr:cNvCxnSpPr/>
      </xdr:nvCxnSpPr>
      <xdr:spPr>
        <a:xfrm>
          <a:off x="2895600" y="7983220"/>
          <a:ext cx="406400" cy="0"/>
        </a:xfrm>
        <a:prstGeom prst="line">
          <a:avLst/>
        </a:prstGeom>
        <a:ln w="17780">
          <a:solidFill>
            <a:srgbClr val="0091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25400</xdr:colOff>
      <xdr:row>20</xdr:row>
      <xdr:rowOff>25400</xdr:rowOff>
    </xdr:from>
    <xdr:to>
      <xdr:col>10</xdr:col>
      <xdr:colOff>431800</xdr:colOff>
      <xdr:row>28</xdr:row>
      <xdr:rowOff>172720</xdr:rowOff>
    </xdr:to>
    <xdr:cxnSp macro="">
      <xdr:nvCxnSpPr>
        <xdr:cNvPr id="16" name="ui_B_soilP">
          <a:extLst>
            <a:ext uri="{FF2B5EF4-FFF2-40B4-BE49-F238E27FC236}">
              <a16:creationId xmlns:a16="http://schemas.microsoft.com/office/drawing/2014/main" id="{513BF3F1-EC94-A39B-A090-A9EE56171BF6}"/>
            </a:ext>
          </a:extLst>
        </xdr:cNvPr>
        <xdr:cNvCxnSpPr/>
      </xdr:nvCxnSpPr>
      <xdr:spPr>
        <a:xfrm>
          <a:off x="4978400" y="5641340"/>
          <a:ext cx="406400" cy="2341880"/>
        </a:xfrm>
        <a:prstGeom prst="line">
          <a:avLst/>
        </a:prstGeom>
        <a:ln w="17780">
          <a:solidFill>
            <a:srgbClr val="0091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25400</xdr:colOff>
      <xdr:row>28</xdr:row>
      <xdr:rowOff>172720</xdr:rowOff>
    </xdr:from>
    <xdr:to>
      <xdr:col>10</xdr:col>
      <xdr:colOff>431800</xdr:colOff>
      <xdr:row>28</xdr:row>
      <xdr:rowOff>172720</xdr:rowOff>
    </xdr:to>
    <xdr:cxnSp macro="">
      <xdr:nvCxnSpPr>
        <xdr:cNvPr id="17" name="ui_B_soilPbase">
          <a:extLst>
            <a:ext uri="{FF2B5EF4-FFF2-40B4-BE49-F238E27FC236}">
              <a16:creationId xmlns:a16="http://schemas.microsoft.com/office/drawing/2014/main" id="{35370AEC-86A6-6C21-782E-61415BA920FF}"/>
            </a:ext>
          </a:extLst>
        </xdr:cNvPr>
        <xdr:cNvCxnSpPr/>
      </xdr:nvCxnSpPr>
      <xdr:spPr>
        <a:xfrm flipH="1">
          <a:off x="4978400" y="7983220"/>
          <a:ext cx="406400" cy="0"/>
        </a:xfrm>
        <a:prstGeom prst="line">
          <a:avLst/>
        </a:prstGeom>
        <a:ln w="17780">
          <a:solidFill>
            <a:srgbClr val="0091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482600</xdr:colOff>
      <xdr:row>28</xdr:row>
      <xdr:rowOff>261620</xdr:rowOff>
    </xdr:from>
    <xdr:to>
      <xdr:col>10</xdr:col>
      <xdr:colOff>228600</xdr:colOff>
      <xdr:row>29</xdr:row>
      <xdr:rowOff>241300</xdr:rowOff>
    </xdr:to>
    <xdr:sp macro="" textlink="">
      <xdr:nvSpPr>
        <xdr:cNvPr id="18" name="ui_B_Olabel">
          <a:extLst>
            <a:ext uri="{FF2B5EF4-FFF2-40B4-BE49-F238E27FC236}">
              <a16:creationId xmlns:a16="http://schemas.microsoft.com/office/drawing/2014/main" id="{709922BC-6762-C3D5-50FB-BBCA7826D7F6}"/>
            </a:ext>
          </a:extLst>
        </xdr:cNvPr>
        <xdr:cNvSpPr txBox="1"/>
      </xdr:nvSpPr>
      <xdr:spPr>
        <a:xfrm>
          <a:off x="4902200" y="8072120"/>
          <a:ext cx="2794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altLang="zh-CN" sz="1000"/>
            <a:t>O</a:t>
          </a:r>
          <a:endParaRPr lang="zh-CN" altLang="en-US" sz="1000"/>
        </a:p>
      </xdr:txBody>
    </xdr:sp>
    <xdr:clientData/>
  </xdr:twoCellAnchor>
  <xdr:twoCellAnchor editAs="absolute">
    <xdr:from>
      <xdr:col>1</xdr:col>
      <xdr:colOff>76200</xdr:colOff>
      <xdr:row>17</xdr:row>
      <xdr:rowOff>38100</xdr:rowOff>
    </xdr:from>
    <xdr:to>
      <xdr:col>3</xdr:col>
      <xdr:colOff>431800</xdr:colOff>
      <xdr:row>17</xdr:row>
      <xdr:rowOff>38100</xdr:rowOff>
    </xdr:to>
    <xdr:cxnSp macro="">
      <xdr:nvCxnSpPr>
        <xdr:cNvPr id="19" name="ui_B_surcharge0_bar">
          <a:extLst>
            <a:ext uri="{FF2B5EF4-FFF2-40B4-BE49-F238E27FC236}">
              <a16:creationId xmlns:a16="http://schemas.microsoft.com/office/drawing/2014/main" id="{3230E51E-93D0-D0B5-22A7-E639D2EF2D9E}"/>
            </a:ext>
          </a:extLst>
        </xdr:cNvPr>
        <xdr:cNvCxnSpPr/>
      </xdr:nvCxnSpPr>
      <xdr:spPr>
        <a:xfrm>
          <a:off x="228600" y="4831080"/>
          <a:ext cx="1422400" cy="0"/>
        </a:xfrm>
        <a:prstGeom prst="line">
          <a:avLst/>
        </a:prstGeom>
        <a:ln w="1778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76200</xdr:colOff>
      <xdr:row>17</xdr:row>
      <xdr:rowOff>38100</xdr:rowOff>
    </xdr:from>
    <xdr:to>
      <xdr:col>1</xdr:col>
      <xdr:colOff>76200</xdr:colOff>
      <xdr:row>18</xdr:row>
      <xdr:rowOff>81280</xdr:rowOff>
    </xdr:to>
    <xdr:cxnSp macro="">
      <xdr:nvCxnSpPr>
        <xdr:cNvPr id="20" name="ui_B_surcharge0_arrow0">
          <a:extLst>
            <a:ext uri="{FF2B5EF4-FFF2-40B4-BE49-F238E27FC236}">
              <a16:creationId xmlns:a16="http://schemas.microsoft.com/office/drawing/2014/main" id="{53F8C18C-118E-9A8F-0B7A-73263566A731}"/>
            </a:ext>
          </a:extLst>
        </xdr:cNvPr>
        <xdr:cNvCxnSpPr/>
      </xdr:nvCxnSpPr>
      <xdr:spPr>
        <a:xfrm>
          <a:off x="228600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16933</xdr:colOff>
      <xdr:row>17</xdr:row>
      <xdr:rowOff>38100</xdr:rowOff>
    </xdr:from>
    <xdr:to>
      <xdr:col>2</xdr:col>
      <xdr:colOff>16933</xdr:colOff>
      <xdr:row>18</xdr:row>
      <xdr:rowOff>81280</xdr:rowOff>
    </xdr:to>
    <xdr:cxnSp macro="">
      <xdr:nvCxnSpPr>
        <xdr:cNvPr id="21" name="ui_B_surcharge0_arrow1">
          <a:extLst>
            <a:ext uri="{FF2B5EF4-FFF2-40B4-BE49-F238E27FC236}">
              <a16:creationId xmlns:a16="http://schemas.microsoft.com/office/drawing/2014/main" id="{6C940D74-669D-FF1D-BAF8-D9B1B00D656B}"/>
            </a:ext>
          </a:extLst>
        </xdr:cNvPr>
        <xdr:cNvCxnSpPr/>
      </xdr:nvCxnSpPr>
      <xdr:spPr>
        <a:xfrm>
          <a:off x="702733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491067</xdr:colOff>
      <xdr:row>17</xdr:row>
      <xdr:rowOff>38100</xdr:rowOff>
    </xdr:from>
    <xdr:to>
      <xdr:col>2</xdr:col>
      <xdr:colOff>491067</xdr:colOff>
      <xdr:row>18</xdr:row>
      <xdr:rowOff>81280</xdr:rowOff>
    </xdr:to>
    <xdr:cxnSp macro="">
      <xdr:nvCxnSpPr>
        <xdr:cNvPr id="22" name="ui_B_surcharge0_arrow2">
          <a:extLst>
            <a:ext uri="{FF2B5EF4-FFF2-40B4-BE49-F238E27FC236}">
              <a16:creationId xmlns:a16="http://schemas.microsoft.com/office/drawing/2014/main" id="{677D504E-2DA4-ED34-B3A4-A56E6232A5DB}"/>
            </a:ext>
          </a:extLst>
        </xdr:cNvPr>
        <xdr:cNvCxnSpPr/>
      </xdr:nvCxnSpPr>
      <xdr:spPr>
        <a:xfrm>
          <a:off x="1176867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431800</xdr:colOff>
      <xdr:row>17</xdr:row>
      <xdr:rowOff>38100</xdr:rowOff>
    </xdr:from>
    <xdr:to>
      <xdr:col>3</xdr:col>
      <xdr:colOff>431800</xdr:colOff>
      <xdr:row>18</xdr:row>
      <xdr:rowOff>81280</xdr:rowOff>
    </xdr:to>
    <xdr:cxnSp macro="">
      <xdr:nvCxnSpPr>
        <xdr:cNvPr id="23" name="ui_B_surcharge0_arrow3">
          <a:extLst>
            <a:ext uri="{FF2B5EF4-FFF2-40B4-BE49-F238E27FC236}">
              <a16:creationId xmlns:a16="http://schemas.microsoft.com/office/drawing/2014/main" id="{358A7CE3-7960-2311-6C0D-058F07D234DE}"/>
            </a:ext>
          </a:extLst>
        </xdr:cNvPr>
        <xdr:cNvCxnSpPr/>
      </xdr:nvCxnSpPr>
      <xdr:spPr>
        <a:xfrm>
          <a:off x="1651000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76200</xdr:colOff>
      <xdr:row>17</xdr:row>
      <xdr:rowOff>38100</xdr:rowOff>
    </xdr:from>
    <xdr:to>
      <xdr:col>13</xdr:col>
      <xdr:colOff>431800</xdr:colOff>
      <xdr:row>17</xdr:row>
      <xdr:rowOff>38100</xdr:rowOff>
    </xdr:to>
    <xdr:cxnSp macro="">
      <xdr:nvCxnSpPr>
        <xdr:cNvPr id="24" name="ui_B_surcharge1_bar">
          <a:extLst>
            <a:ext uri="{FF2B5EF4-FFF2-40B4-BE49-F238E27FC236}">
              <a16:creationId xmlns:a16="http://schemas.microsoft.com/office/drawing/2014/main" id="{3D080354-BD78-DF6A-7A18-F9FBAD23727F}"/>
            </a:ext>
          </a:extLst>
        </xdr:cNvPr>
        <xdr:cNvCxnSpPr/>
      </xdr:nvCxnSpPr>
      <xdr:spPr>
        <a:xfrm>
          <a:off x="5562600" y="4831080"/>
          <a:ext cx="1422400" cy="0"/>
        </a:xfrm>
        <a:prstGeom prst="line">
          <a:avLst/>
        </a:prstGeom>
        <a:ln w="1778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76200</xdr:colOff>
      <xdr:row>17</xdr:row>
      <xdr:rowOff>38100</xdr:rowOff>
    </xdr:from>
    <xdr:to>
      <xdr:col>11</xdr:col>
      <xdr:colOff>76200</xdr:colOff>
      <xdr:row>18</xdr:row>
      <xdr:rowOff>81280</xdr:rowOff>
    </xdr:to>
    <xdr:cxnSp macro="">
      <xdr:nvCxnSpPr>
        <xdr:cNvPr id="25" name="ui_B_surcharge1_arrow0">
          <a:extLst>
            <a:ext uri="{FF2B5EF4-FFF2-40B4-BE49-F238E27FC236}">
              <a16:creationId xmlns:a16="http://schemas.microsoft.com/office/drawing/2014/main" id="{AD944078-0928-7CDF-8C93-9169EA30F9EF}"/>
            </a:ext>
          </a:extLst>
        </xdr:cNvPr>
        <xdr:cNvCxnSpPr/>
      </xdr:nvCxnSpPr>
      <xdr:spPr>
        <a:xfrm>
          <a:off x="5562600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16933</xdr:colOff>
      <xdr:row>17</xdr:row>
      <xdr:rowOff>38100</xdr:rowOff>
    </xdr:from>
    <xdr:to>
      <xdr:col>12</xdr:col>
      <xdr:colOff>16933</xdr:colOff>
      <xdr:row>18</xdr:row>
      <xdr:rowOff>81280</xdr:rowOff>
    </xdr:to>
    <xdr:cxnSp macro="">
      <xdr:nvCxnSpPr>
        <xdr:cNvPr id="26" name="ui_B_surcharge1_arrow1">
          <a:extLst>
            <a:ext uri="{FF2B5EF4-FFF2-40B4-BE49-F238E27FC236}">
              <a16:creationId xmlns:a16="http://schemas.microsoft.com/office/drawing/2014/main" id="{6A8201B5-0089-8CDE-CA21-E77E0F969CCA}"/>
            </a:ext>
          </a:extLst>
        </xdr:cNvPr>
        <xdr:cNvCxnSpPr/>
      </xdr:nvCxnSpPr>
      <xdr:spPr>
        <a:xfrm>
          <a:off x="6036733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491067</xdr:colOff>
      <xdr:row>17</xdr:row>
      <xdr:rowOff>38100</xdr:rowOff>
    </xdr:from>
    <xdr:to>
      <xdr:col>12</xdr:col>
      <xdr:colOff>491067</xdr:colOff>
      <xdr:row>18</xdr:row>
      <xdr:rowOff>81280</xdr:rowOff>
    </xdr:to>
    <xdr:cxnSp macro="">
      <xdr:nvCxnSpPr>
        <xdr:cNvPr id="27" name="ui_B_surcharge1_arrow2">
          <a:extLst>
            <a:ext uri="{FF2B5EF4-FFF2-40B4-BE49-F238E27FC236}">
              <a16:creationId xmlns:a16="http://schemas.microsoft.com/office/drawing/2014/main" id="{6BBC7ABB-4D6F-083E-9CAC-7D94F87F34F6}"/>
            </a:ext>
          </a:extLst>
        </xdr:cNvPr>
        <xdr:cNvCxnSpPr/>
      </xdr:nvCxnSpPr>
      <xdr:spPr>
        <a:xfrm>
          <a:off x="6510867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431800</xdr:colOff>
      <xdr:row>17</xdr:row>
      <xdr:rowOff>38100</xdr:rowOff>
    </xdr:from>
    <xdr:to>
      <xdr:col>13</xdr:col>
      <xdr:colOff>431800</xdr:colOff>
      <xdr:row>18</xdr:row>
      <xdr:rowOff>81280</xdr:rowOff>
    </xdr:to>
    <xdr:cxnSp macro="">
      <xdr:nvCxnSpPr>
        <xdr:cNvPr id="28" name="ui_B_surcharge1_arrow3">
          <a:extLst>
            <a:ext uri="{FF2B5EF4-FFF2-40B4-BE49-F238E27FC236}">
              <a16:creationId xmlns:a16="http://schemas.microsoft.com/office/drawing/2014/main" id="{698EBE00-9692-BCC9-78CB-FB0E5F1EFBF1}"/>
            </a:ext>
          </a:extLst>
        </xdr:cNvPr>
        <xdr:cNvCxnSpPr/>
      </xdr:nvCxnSpPr>
      <xdr:spPr>
        <a:xfrm>
          <a:off x="6985000" y="4831080"/>
          <a:ext cx="0" cy="31750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101600</xdr:colOff>
      <xdr:row>8</xdr:row>
      <xdr:rowOff>231140</xdr:rowOff>
    </xdr:from>
    <xdr:to>
      <xdr:col>23</xdr:col>
      <xdr:colOff>482600</xdr:colOff>
      <xdr:row>9</xdr:row>
      <xdr:rowOff>248920</xdr:rowOff>
    </xdr:to>
    <xdr:sp macro="" textlink="">
      <xdr:nvSpPr>
        <xdr:cNvPr id="29" name="ui_D_Dlabel">
          <a:extLst>
            <a:ext uri="{FF2B5EF4-FFF2-40B4-BE49-F238E27FC236}">
              <a16:creationId xmlns:a16="http://schemas.microsoft.com/office/drawing/2014/main" id="{012D0338-63D5-4CCA-A86E-02F9FCD92D44}"/>
            </a:ext>
          </a:extLst>
        </xdr:cNvPr>
        <xdr:cNvSpPr txBox="1"/>
      </xdr:nvSpPr>
      <xdr:spPr>
        <a:xfrm>
          <a:off x="11684000" y="2555240"/>
          <a:ext cx="381000" cy="292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altLang="zh-CN" sz="1200"/>
            <a:t>D</a:t>
          </a:r>
          <a:endParaRPr lang="zh-CN" altLang="en-US" sz="1200"/>
        </a:p>
      </xdr:txBody>
    </xdr:sp>
    <xdr:clientData/>
  </xdr:twoCellAnchor>
  <xdr:twoCellAnchor editAs="absolute">
    <xdr:from>
      <xdr:col>22</xdr:col>
      <xdr:colOff>50800</xdr:colOff>
      <xdr:row>10</xdr:row>
      <xdr:rowOff>0</xdr:rowOff>
    </xdr:from>
    <xdr:to>
      <xdr:col>24</xdr:col>
      <xdr:colOff>457200</xdr:colOff>
      <xdr:row>10</xdr:row>
      <xdr:rowOff>0</xdr:rowOff>
    </xdr:to>
    <xdr:cxnSp macro="">
      <xdr:nvCxnSpPr>
        <xdr:cNvPr id="30" name="ui_D_roof">
          <a:extLst>
            <a:ext uri="{FF2B5EF4-FFF2-40B4-BE49-F238E27FC236}">
              <a16:creationId xmlns:a16="http://schemas.microsoft.com/office/drawing/2014/main" id="{35D9377E-5648-AC05-C953-A38C8ADF70F9}"/>
            </a:ext>
          </a:extLst>
        </xdr:cNvPr>
        <xdr:cNvCxnSpPr/>
      </xdr:nvCxnSpPr>
      <xdr:spPr>
        <a:xfrm>
          <a:off x="11099800" y="2872740"/>
          <a:ext cx="1473200" cy="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22</xdr:col>
      <xdr:colOff>50800</xdr:colOff>
      <xdr:row>10</xdr:row>
      <xdr:rowOff>0</xdr:rowOff>
    </xdr:from>
    <xdr:to>
      <xdr:col>22</xdr:col>
      <xdr:colOff>50800</xdr:colOff>
      <xdr:row>29</xdr:row>
      <xdr:rowOff>0</xdr:rowOff>
    </xdr:to>
    <xdr:cxnSp macro="">
      <xdr:nvCxnSpPr>
        <xdr:cNvPr id="31" name="ui_D_left">
          <a:extLst>
            <a:ext uri="{FF2B5EF4-FFF2-40B4-BE49-F238E27FC236}">
              <a16:creationId xmlns:a16="http://schemas.microsoft.com/office/drawing/2014/main" id="{C12D2FB8-4839-C4B3-ABC3-3F48A0349B6D}"/>
            </a:ext>
          </a:extLst>
        </xdr:cNvPr>
        <xdr:cNvCxnSpPr/>
      </xdr:nvCxnSpPr>
      <xdr:spPr>
        <a:xfrm>
          <a:off x="11099800" y="2872740"/>
          <a:ext cx="0" cy="521208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457200</xdr:colOff>
      <xdr:row>10</xdr:row>
      <xdr:rowOff>0</xdr:rowOff>
    </xdr:from>
    <xdr:to>
      <xdr:col>24</xdr:col>
      <xdr:colOff>457200</xdr:colOff>
      <xdr:row>29</xdr:row>
      <xdr:rowOff>0</xdr:rowOff>
    </xdr:to>
    <xdr:cxnSp macro="">
      <xdr:nvCxnSpPr>
        <xdr:cNvPr id="32" name="ui_D_right">
          <a:extLst>
            <a:ext uri="{FF2B5EF4-FFF2-40B4-BE49-F238E27FC236}">
              <a16:creationId xmlns:a16="http://schemas.microsoft.com/office/drawing/2014/main" id="{6E95390D-5F24-B8EB-2863-A1DAFED14BFE}"/>
            </a:ext>
          </a:extLst>
        </xdr:cNvPr>
        <xdr:cNvCxnSpPr/>
      </xdr:nvCxnSpPr>
      <xdr:spPr>
        <a:xfrm>
          <a:off x="12573000" y="2872740"/>
          <a:ext cx="0" cy="521208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22</xdr:col>
      <xdr:colOff>50800</xdr:colOff>
      <xdr:row>29</xdr:row>
      <xdr:rowOff>0</xdr:rowOff>
    </xdr:from>
    <xdr:to>
      <xdr:col>24</xdr:col>
      <xdr:colOff>457200</xdr:colOff>
      <xdr:row>29</xdr:row>
      <xdr:rowOff>0</xdr:rowOff>
    </xdr:to>
    <xdr:cxnSp macro="">
      <xdr:nvCxnSpPr>
        <xdr:cNvPr id="33" name="ui_D_base">
          <a:extLst>
            <a:ext uri="{FF2B5EF4-FFF2-40B4-BE49-F238E27FC236}">
              <a16:creationId xmlns:a16="http://schemas.microsoft.com/office/drawing/2014/main" id="{6402BA54-7012-ED0F-A0D3-B942E5615652}"/>
            </a:ext>
          </a:extLst>
        </xdr:cNvPr>
        <xdr:cNvCxnSpPr/>
      </xdr:nvCxnSpPr>
      <xdr:spPr>
        <a:xfrm>
          <a:off x="11099800" y="8084820"/>
          <a:ext cx="1473200" cy="0"/>
        </a:xfrm>
        <a:prstGeom prst="line">
          <a:avLst/>
        </a:prstGeom>
        <a:ln w="17780">
          <a:solidFill>
            <a:srgbClr val="0055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101600</xdr:colOff>
      <xdr:row>20</xdr:row>
      <xdr:rowOff>0</xdr:rowOff>
    </xdr:from>
    <xdr:to>
      <xdr:col>22</xdr:col>
      <xdr:colOff>50800</xdr:colOff>
      <xdr:row>20</xdr:row>
      <xdr:rowOff>0</xdr:rowOff>
    </xdr:to>
    <xdr:cxnSp macro="">
      <xdr:nvCxnSpPr>
        <xdr:cNvPr id="34" name="ui_D_groundA">
          <a:extLst>
            <a:ext uri="{FF2B5EF4-FFF2-40B4-BE49-F238E27FC236}">
              <a16:creationId xmlns:a16="http://schemas.microsoft.com/office/drawing/2014/main" id="{774D5F19-F4F9-BA5D-49DD-736BDBC2560B}"/>
            </a:ext>
          </a:extLst>
        </xdr:cNvPr>
        <xdr:cNvCxnSpPr/>
      </xdr:nvCxnSpPr>
      <xdr:spPr>
        <a:xfrm>
          <a:off x="10617200" y="5615940"/>
          <a:ext cx="482600" cy="0"/>
        </a:xfrm>
        <a:prstGeom prst="line">
          <a:avLst/>
        </a:prstGeom>
        <a:ln w="17780">
          <a:solidFill>
            <a:srgbClr val="505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457200</xdr:colOff>
      <xdr:row>20</xdr:row>
      <xdr:rowOff>0</xdr:rowOff>
    </xdr:from>
    <xdr:to>
      <xdr:col>25</xdr:col>
      <xdr:colOff>469900</xdr:colOff>
      <xdr:row>20</xdr:row>
      <xdr:rowOff>0</xdr:rowOff>
    </xdr:to>
    <xdr:cxnSp macro="">
      <xdr:nvCxnSpPr>
        <xdr:cNvPr id="35" name="ui_D_groundP">
          <a:extLst>
            <a:ext uri="{FF2B5EF4-FFF2-40B4-BE49-F238E27FC236}">
              <a16:creationId xmlns:a16="http://schemas.microsoft.com/office/drawing/2014/main" id="{27AC4FC9-42A8-57B5-E267-8C1633FFA32E}"/>
            </a:ext>
          </a:extLst>
        </xdr:cNvPr>
        <xdr:cNvCxnSpPr/>
      </xdr:nvCxnSpPr>
      <xdr:spPr>
        <a:xfrm>
          <a:off x="12573000" y="5615940"/>
          <a:ext cx="546100" cy="0"/>
        </a:xfrm>
        <a:prstGeom prst="line">
          <a:avLst/>
        </a:prstGeom>
        <a:ln w="17780">
          <a:solidFill>
            <a:srgbClr val="505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101600</xdr:colOff>
      <xdr:row>12</xdr:row>
      <xdr:rowOff>0</xdr:rowOff>
    </xdr:from>
    <xdr:to>
      <xdr:col>21</xdr:col>
      <xdr:colOff>482600</xdr:colOff>
      <xdr:row>12</xdr:row>
      <xdr:rowOff>0</xdr:rowOff>
    </xdr:to>
    <xdr:cxnSp macro="">
      <xdr:nvCxnSpPr>
        <xdr:cNvPr id="36" name="ui_D_wind0">
          <a:extLst>
            <a:ext uri="{FF2B5EF4-FFF2-40B4-BE49-F238E27FC236}">
              <a16:creationId xmlns:a16="http://schemas.microsoft.com/office/drawing/2014/main" id="{5CB88D71-005B-059E-9806-1397820C5EB8}"/>
            </a:ext>
          </a:extLst>
        </xdr:cNvPr>
        <xdr:cNvCxnSpPr/>
      </xdr:nvCxnSpPr>
      <xdr:spPr>
        <a:xfrm>
          <a:off x="10617200" y="342138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101600</xdr:colOff>
      <xdr:row>14</xdr:row>
      <xdr:rowOff>0</xdr:rowOff>
    </xdr:from>
    <xdr:to>
      <xdr:col>21</xdr:col>
      <xdr:colOff>482600</xdr:colOff>
      <xdr:row>14</xdr:row>
      <xdr:rowOff>0</xdr:rowOff>
    </xdr:to>
    <xdr:cxnSp macro="">
      <xdr:nvCxnSpPr>
        <xdr:cNvPr id="37" name="ui_D_wind1">
          <a:extLst>
            <a:ext uri="{FF2B5EF4-FFF2-40B4-BE49-F238E27FC236}">
              <a16:creationId xmlns:a16="http://schemas.microsoft.com/office/drawing/2014/main" id="{7AFF51A0-BC9E-DEAA-49A8-9DFB8D5D15F8}"/>
            </a:ext>
          </a:extLst>
        </xdr:cNvPr>
        <xdr:cNvCxnSpPr/>
      </xdr:nvCxnSpPr>
      <xdr:spPr>
        <a:xfrm>
          <a:off x="10617200" y="397002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101600</xdr:colOff>
      <xdr:row>16</xdr:row>
      <xdr:rowOff>0</xdr:rowOff>
    </xdr:from>
    <xdr:to>
      <xdr:col>21</xdr:col>
      <xdr:colOff>482600</xdr:colOff>
      <xdr:row>16</xdr:row>
      <xdr:rowOff>0</xdr:rowOff>
    </xdr:to>
    <xdr:cxnSp macro="">
      <xdr:nvCxnSpPr>
        <xdr:cNvPr id="38" name="ui_D_wind2">
          <a:extLst>
            <a:ext uri="{FF2B5EF4-FFF2-40B4-BE49-F238E27FC236}">
              <a16:creationId xmlns:a16="http://schemas.microsoft.com/office/drawing/2014/main" id="{C750C401-D6EF-05C1-E45A-004B8EFA38E2}"/>
            </a:ext>
          </a:extLst>
        </xdr:cNvPr>
        <xdr:cNvCxnSpPr/>
      </xdr:nvCxnSpPr>
      <xdr:spPr>
        <a:xfrm>
          <a:off x="10617200" y="451866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101600</xdr:colOff>
      <xdr:row>18</xdr:row>
      <xdr:rowOff>0</xdr:rowOff>
    </xdr:from>
    <xdr:to>
      <xdr:col>21</xdr:col>
      <xdr:colOff>482600</xdr:colOff>
      <xdr:row>18</xdr:row>
      <xdr:rowOff>0</xdr:rowOff>
    </xdr:to>
    <xdr:cxnSp macro="">
      <xdr:nvCxnSpPr>
        <xdr:cNvPr id="39" name="ui_D_wind3">
          <a:extLst>
            <a:ext uri="{FF2B5EF4-FFF2-40B4-BE49-F238E27FC236}">
              <a16:creationId xmlns:a16="http://schemas.microsoft.com/office/drawing/2014/main" id="{D557CC76-2688-BF0E-F75C-F0E4D62768BD}"/>
            </a:ext>
          </a:extLst>
        </xdr:cNvPr>
        <xdr:cNvCxnSpPr/>
      </xdr:nvCxnSpPr>
      <xdr:spPr>
        <a:xfrm>
          <a:off x="10617200" y="5067300"/>
          <a:ext cx="381000" cy="0"/>
        </a:xfrm>
        <a:prstGeom prst="line">
          <a:avLst/>
        </a:prstGeom>
        <a:ln w="1778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76200</xdr:colOff>
      <xdr:row>20</xdr:row>
      <xdr:rowOff>25400</xdr:rowOff>
    </xdr:from>
    <xdr:to>
      <xdr:col>21</xdr:col>
      <xdr:colOff>482600</xdr:colOff>
      <xdr:row>28</xdr:row>
      <xdr:rowOff>172720</xdr:rowOff>
    </xdr:to>
    <xdr:cxnSp macro="">
      <xdr:nvCxnSpPr>
        <xdr:cNvPr id="40" name="ui_D_soilA">
          <a:extLst>
            <a:ext uri="{FF2B5EF4-FFF2-40B4-BE49-F238E27FC236}">
              <a16:creationId xmlns:a16="http://schemas.microsoft.com/office/drawing/2014/main" id="{3CE3CB89-D1A2-7C72-28A5-697E6FB9A801}"/>
            </a:ext>
          </a:extLst>
        </xdr:cNvPr>
        <xdr:cNvCxnSpPr/>
      </xdr:nvCxnSpPr>
      <xdr:spPr>
        <a:xfrm flipH="1">
          <a:off x="10591800" y="5641340"/>
          <a:ext cx="406400" cy="2341880"/>
        </a:xfrm>
        <a:prstGeom prst="line">
          <a:avLst/>
        </a:prstGeom>
        <a:ln w="17780">
          <a:solidFill>
            <a:srgbClr val="0091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21</xdr:col>
      <xdr:colOff>76200</xdr:colOff>
      <xdr:row>28</xdr:row>
      <xdr:rowOff>172720</xdr:rowOff>
    </xdr:from>
    <xdr:to>
      <xdr:col>21</xdr:col>
      <xdr:colOff>482600</xdr:colOff>
      <xdr:row>28</xdr:row>
      <xdr:rowOff>172720</xdr:rowOff>
    </xdr:to>
    <xdr:cxnSp macro="">
      <xdr:nvCxnSpPr>
        <xdr:cNvPr id="41" name="ui_D_soilAbase">
          <a:extLst>
            <a:ext uri="{FF2B5EF4-FFF2-40B4-BE49-F238E27FC236}">
              <a16:creationId xmlns:a16="http://schemas.microsoft.com/office/drawing/2014/main" id="{47A0AA6C-A63F-86FC-46F3-4B5DA7CDD142}"/>
            </a:ext>
          </a:extLst>
        </xdr:cNvPr>
        <xdr:cNvCxnSpPr/>
      </xdr:nvCxnSpPr>
      <xdr:spPr>
        <a:xfrm>
          <a:off x="10591800" y="7983220"/>
          <a:ext cx="406400" cy="0"/>
        </a:xfrm>
        <a:prstGeom prst="line">
          <a:avLst/>
        </a:prstGeom>
        <a:ln w="17780">
          <a:solidFill>
            <a:srgbClr val="0091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25400</xdr:colOff>
      <xdr:row>20</xdr:row>
      <xdr:rowOff>25400</xdr:rowOff>
    </xdr:from>
    <xdr:to>
      <xdr:col>25</xdr:col>
      <xdr:colOff>431800</xdr:colOff>
      <xdr:row>28</xdr:row>
      <xdr:rowOff>172720</xdr:rowOff>
    </xdr:to>
    <xdr:cxnSp macro="">
      <xdr:nvCxnSpPr>
        <xdr:cNvPr id="80" name="ui_D_soilP">
          <a:extLst>
            <a:ext uri="{FF2B5EF4-FFF2-40B4-BE49-F238E27FC236}">
              <a16:creationId xmlns:a16="http://schemas.microsoft.com/office/drawing/2014/main" id="{449EB8D2-5968-D7B7-436C-08789F0F0DC4}"/>
            </a:ext>
          </a:extLst>
        </xdr:cNvPr>
        <xdr:cNvCxnSpPr/>
      </xdr:nvCxnSpPr>
      <xdr:spPr>
        <a:xfrm>
          <a:off x="12674600" y="5641340"/>
          <a:ext cx="406400" cy="2341880"/>
        </a:xfrm>
        <a:prstGeom prst="line">
          <a:avLst/>
        </a:prstGeom>
        <a:ln w="17780">
          <a:solidFill>
            <a:srgbClr val="0091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25400</xdr:colOff>
      <xdr:row>28</xdr:row>
      <xdr:rowOff>172720</xdr:rowOff>
    </xdr:from>
    <xdr:to>
      <xdr:col>25</xdr:col>
      <xdr:colOff>431800</xdr:colOff>
      <xdr:row>28</xdr:row>
      <xdr:rowOff>172720</xdr:rowOff>
    </xdr:to>
    <xdr:cxnSp macro="">
      <xdr:nvCxnSpPr>
        <xdr:cNvPr id="81" name="ui_D_soilPbase">
          <a:extLst>
            <a:ext uri="{FF2B5EF4-FFF2-40B4-BE49-F238E27FC236}">
              <a16:creationId xmlns:a16="http://schemas.microsoft.com/office/drawing/2014/main" id="{88B03736-9996-7F1B-D13C-D5F5F8188663}"/>
            </a:ext>
          </a:extLst>
        </xdr:cNvPr>
        <xdr:cNvCxnSpPr/>
      </xdr:nvCxnSpPr>
      <xdr:spPr>
        <a:xfrm flipH="1">
          <a:off x="12674600" y="7983220"/>
          <a:ext cx="406400" cy="0"/>
        </a:xfrm>
        <a:prstGeom prst="line">
          <a:avLst/>
        </a:prstGeom>
        <a:ln w="17780">
          <a:solidFill>
            <a:srgbClr val="0091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482600</xdr:colOff>
      <xdr:row>28</xdr:row>
      <xdr:rowOff>261620</xdr:rowOff>
    </xdr:from>
    <xdr:to>
      <xdr:col>25</xdr:col>
      <xdr:colOff>228600</xdr:colOff>
      <xdr:row>29</xdr:row>
      <xdr:rowOff>241300</xdr:rowOff>
    </xdr:to>
    <xdr:sp macro="" textlink="">
      <xdr:nvSpPr>
        <xdr:cNvPr id="82" name="ui_D_Olabel">
          <a:extLst>
            <a:ext uri="{FF2B5EF4-FFF2-40B4-BE49-F238E27FC236}">
              <a16:creationId xmlns:a16="http://schemas.microsoft.com/office/drawing/2014/main" id="{07C85FAF-2504-A730-7D4D-2A89701FB823}"/>
            </a:ext>
          </a:extLst>
        </xdr:cNvPr>
        <xdr:cNvSpPr txBox="1"/>
      </xdr:nvSpPr>
      <xdr:spPr>
        <a:xfrm>
          <a:off x="12598400" y="8072120"/>
          <a:ext cx="2794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altLang="zh-CN" sz="1000"/>
            <a:t>O</a:t>
          </a:r>
          <a:endParaRPr lang="zh-CN" alt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2</xdr:row>
      <xdr:rowOff>43180</xdr:rowOff>
    </xdr:to>
    <xdr:sp macro="[0]!GoToFaceInputs" textlink="">
      <xdr:nvSpPr>
        <xdr:cNvPr id="2" name="btnFaceInputs">
          <a:extLst>
            <a:ext uri="{FF2B5EF4-FFF2-40B4-BE49-F238E27FC236}">
              <a16:creationId xmlns:a16="http://schemas.microsoft.com/office/drawing/2014/main" id="{CBDA976D-B9F3-557F-0312-6A3C6CDCD249}"/>
            </a:ext>
          </a:extLst>
        </xdr:cNvPr>
        <xdr:cNvSpPr/>
      </xdr:nvSpPr>
      <xdr:spPr>
        <a:xfrm>
          <a:off x="8610600" y="274320"/>
          <a:ext cx="35052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返回图形输入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1200149</xdr:colOff>
      <xdr:row>2</xdr:row>
      <xdr:rowOff>0</xdr:rowOff>
    </xdr:from>
    <xdr:to>
      <xdr:col>22</xdr:col>
      <xdr:colOff>240029</xdr:colOff>
      <xdr:row>16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7A2BAF3C-3A6C-5CB4-05E4-B7B09B479F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1219200</xdr:colOff>
      <xdr:row>0</xdr:row>
      <xdr:rowOff>25400</xdr:rowOff>
    </xdr:from>
    <xdr:to>
      <xdr:col>3</xdr:col>
      <xdr:colOff>50800</xdr:colOff>
      <xdr:row>0</xdr:row>
      <xdr:rowOff>304800</xdr:rowOff>
    </xdr:to>
    <xdr:sp macro="[0]!ViewB" textlink="">
      <xdr:nvSpPr>
        <xdr:cNvPr id="3" name="view_face_B">
          <a:extLst>
            <a:ext uri="{FF2B5EF4-FFF2-40B4-BE49-F238E27FC236}">
              <a16:creationId xmlns:a16="http://schemas.microsoft.com/office/drawing/2014/main" id="{D6074C87-0C0B-A533-BC70-2A6141B55A74}"/>
            </a:ext>
          </a:extLst>
        </xdr:cNvPr>
        <xdr:cNvSpPr/>
      </xdr:nvSpPr>
      <xdr:spPr>
        <a:xfrm>
          <a:off x="38100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127000</xdr:colOff>
      <xdr:row>0</xdr:row>
      <xdr:rowOff>25400</xdr:rowOff>
    </xdr:from>
    <xdr:to>
      <xdr:col>3</xdr:col>
      <xdr:colOff>1092200</xdr:colOff>
      <xdr:row>0</xdr:row>
      <xdr:rowOff>304800</xdr:rowOff>
    </xdr:to>
    <xdr:sp macro="[0]!ViewD" textlink="">
      <xdr:nvSpPr>
        <xdr:cNvPr id="4" name="view_face_D">
          <a:extLst>
            <a:ext uri="{FF2B5EF4-FFF2-40B4-BE49-F238E27FC236}">
              <a16:creationId xmlns:a16="http://schemas.microsoft.com/office/drawing/2014/main" id="{36012277-FB83-3B79-37B1-142C0DD9A1EB}"/>
            </a:ext>
          </a:extLst>
        </xdr:cNvPr>
        <xdr:cNvSpPr/>
      </xdr:nvSpPr>
      <xdr:spPr>
        <a:xfrm>
          <a:off x="48514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909918</xdr:colOff>
      <xdr:row>0</xdr:row>
      <xdr:rowOff>579120</xdr:rowOff>
    </xdr:from>
    <xdr:to>
      <xdr:col>9</xdr:col>
      <xdr:colOff>197971</xdr:colOff>
      <xdr:row>17</xdr:row>
      <xdr:rowOff>238461</xdr:rowOff>
    </xdr:to>
    <xdr:sp macro="" textlink="">
      <xdr:nvSpPr>
        <xdr:cNvPr id="2" name="dyn_background_1">
          <a:extLst>
            <a:ext uri="{FF2B5EF4-FFF2-40B4-BE49-F238E27FC236}">
              <a16:creationId xmlns:a16="http://schemas.microsoft.com/office/drawing/2014/main" id="{125F4270-019A-8ECF-934A-F2C63D2755B0}"/>
            </a:ext>
          </a:extLst>
        </xdr:cNvPr>
        <xdr:cNvSpPr/>
      </xdr:nvSpPr>
      <xdr:spPr>
        <a:xfrm>
          <a:off x="10896600" y="579120"/>
          <a:ext cx="6540500" cy="6096000"/>
        </a:xfrm>
        <a:prstGeom prst="rect">
          <a:avLst/>
        </a:prstGeom>
        <a:solidFill>
          <a:srgbClr val="FFFF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absolute">
    <xdr:from>
      <xdr:col>5</xdr:col>
      <xdr:colOff>224118</xdr:colOff>
      <xdr:row>1</xdr:row>
      <xdr:rowOff>148814</xdr:rowOff>
    </xdr:from>
    <xdr:to>
      <xdr:col>8</xdr:col>
      <xdr:colOff>1280459</xdr:colOff>
      <xdr:row>2</xdr:row>
      <xdr:rowOff>212314</xdr:rowOff>
    </xdr:to>
    <xdr:sp macro="" textlink="">
      <xdr:nvSpPr>
        <xdr:cNvPr id="3" name="dyn_missing_title_2">
          <a:extLst>
            <a:ext uri="{FF2B5EF4-FFF2-40B4-BE49-F238E27FC236}">
              <a16:creationId xmlns:a16="http://schemas.microsoft.com/office/drawing/2014/main" id="{703AEB60-7A7F-CC65-D9E7-BFB027587DC4}"/>
            </a:ext>
          </a:extLst>
        </xdr:cNvPr>
        <xdr:cNvSpPr txBox="1"/>
      </xdr:nvSpPr>
      <xdr:spPr>
        <a:xfrm>
          <a:off x="11125200" y="731520"/>
          <a:ext cx="5969000" cy="368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0052A0"/>
              </a:solidFill>
              <a:latin typeface="Arial" panose="020B0604020202020204" pitchFamily="34" charset="0"/>
            </a:rPr>
            <a:t>Two-sided ground and groundwater levels</a:t>
          </a:r>
          <a:endParaRPr lang="zh-CN" altLang="en-US" sz="1200">
            <a:solidFill>
              <a:srgbClr val="0052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224118</xdr:colOff>
      <xdr:row>3</xdr:row>
      <xdr:rowOff>157032</xdr:rowOff>
    </xdr:from>
    <xdr:to>
      <xdr:col>8</xdr:col>
      <xdr:colOff>1280459</xdr:colOff>
      <xdr:row>5</xdr:row>
      <xdr:rowOff>201855</xdr:rowOff>
    </xdr:to>
    <xdr:sp macro="" textlink="">
      <xdr:nvSpPr>
        <xdr:cNvPr id="4" name="dyn_missing_levels_3">
          <a:extLst>
            <a:ext uri="{FF2B5EF4-FFF2-40B4-BE49-F238E27FC236}">
              <a16:creationId xmlns:a16="http://schemas.microsoft.com/office/drawing/2014/main" id="{467ECD1A-87D3-9D76-35EB-0D39447D65B3}"/>
            </a:ext>
          </a:extLst>
        </xdr:cNvPr>
        <xdr:cNvSpPr txBox="1"/>
      </xdr:nvSpPr>
      <xdr:spPr>
        <a:xfrm>
          <a:off x="11125200" y="1430020"/>
          <a:ext cx="59690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644600"/>
              </a:solidFill>
              <a:latin typeface="Arial" panose="020B0604020202020204" pitchFamily="34" charset="0"/>
            </a:rPr>
            <a:t>Enter left/right levels and base RL in Uplift Check</a:t>
          </a:r>
          <a:endParaRPr lang="zh-CN" altLang="en-US" sz="1200">
            <a:solidFill>
              <a:srgbClr val="6446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224118</xdr:colOff>
      <xdr:row>5</xdr:row>
      <xdr:rowOff>354255</xdr:rowOff>
    </xdr:from>
    <xdr:to>
      <xdr:col>8</xdr:col>
      <xdr:colOff>1280459</xdr:colOff>
      <xdr:row>7</xdr:row>
      <xdr:rowOff>157032</xdr:rowOff>
    </xdr:to>
    <xdr:sp macro="" textlink="">
      <xdr:nvSpPr>
        <xdr:cNvPr id="5" name="dyn_missing_detail_4">
          <a:extLst>
            <a:ext uri="{FF2B5EF4-FFF2-40B4-BE49-F238E27FC236}">
              <a16:creationId xmlns:a16="http://schemas.microsoft.com/office/drawing/2014/main" id="{AC287438-3A8E-6A5A-7A2B-206AAD9929D4}"/>
            </a:ext>
          </a:extLst>
        </xdr:cNvPr>
        <xdr:cNvSpPr txBox="1"/>
      </xdr:nvSpPr>
      <xdr:spPr>
        <a:xfrm>
          <a:off x="11125200" y="21920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Required: Existing level and Groundwater level on both sides, plus a common base RL. Use the same level datum throughout.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224118</xdr:colOff>
      <xdr:row>7</xdr:row>
      <xdr:rowOff>398332</xdr:rowOff>
    </xdr:from>
    <xdr:to>
      <xdr:col>8</xdr:col>
      <xdr:colOff>1280459</xdr:colOff>
      <xdr:row>9</xdr:row>
      <xdr:rowOff>353508</xdr:rowOff>
    </xdr:to>
    <xdr:sp macro="" textlink="">
      <xdr:nvSpPr>
        <xdr:cNvPr id="6" name="dyn_missing_validity_5">
          <a:extLst>
            <a:ext uri="{FF2B5EF4-FFF2-40B4-BE49-F238E27FC236}">
              <a16:creationId xmlns:a16="http://schemas.microsoft.com/office/drawing/2014/main" id="{1DECD219-AB15-0299-7A0E-28CE79266A95}"/>
            </a:ext>
          </a:extLst>
        </xdr:cNvPr>
        <xdr:cNvSpPr txBox="1"/>
      </xdr:nvSpPr>
      <xdr:spPr>
        <a:xfrm>
          <a:off x="11125200" y="31953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Existing level must be at or above the base. Groundwater level must not exceed the corresponding Existing level for this model.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224118</xdr:colOff>
      <xdr:row>10</xdr:row>
      <xdr:rowOff>204096</xdr:rowOff>
    </xdr:from>
    <xdr:to>
      <xdr:col>8</xdr:col>
      <xdr:colOff>1280459</xdr:colOff>
      <xdr:row>12</xdr:row>
      <xdr:rowOff>32273</xdr:rowOff>
    </xdr:to>
    <xdr:sp macro="" textlink="">
      <xdr:nvSpPr>
        <xdr:cNvPr id="7" name="dyn_missing_warning_6">
          <a:extLst>
            <a:ext uri="{FF2B5EF4-FFF2-40B4-BE49-F238E27FC236}">
              <a16:creationId xmlns:a16="http://schemas.microsoft.com/office/drawing/2014/main" id="{B47ADB7B-6C19-D051-4BA1-6D1DC1BACA59}"/>
            </a:ext>
          </a:extLst>
        </xdr:cNvPr>
        <xdr:cNvSpPr txBox="1"/>
      </xdr:nvSpPr>
      <xdr:spPr>
        <a:xfrm>
          <a:off x="11125200" y="42113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No assumed equal-height soil/water diagram is displayed while the level data are missing or invalid.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224118</xdr:colOff>
      <xdr:row>12</xdr:row>
      <xdr:rowOff>324373</xdr:rowOff>
    </xdr:from>
    <xdr:to>
      <xdr:col>8</xdr:col>
      <xdr:colOff>1280459</xdr:colOff>
      <xdr:row>15</xdr:row>
      <xdr:rowOff>149</xdr:rowOff>
    </xdr:to>
    <xdr:sp macro="" textlink="">
      <xdr:nvSpPr>
        <xdr:cNvPr id="8" name="dyn_uplift_scope_7">
          <a:extLst>
            <a:ext uri="{FF2B5EF4-FFF2-40B4-BE49-F238E27FC236}">
              <a16:creationId xmlns:a16="http://schemas.microsoft.com/office/drawing/2014/main" id="{5DAFE8A8-293F-8FB5-8419-2E6CBA3F3177}"/>
            </a:ext>
          </a:extLst>
        </xdr:cNvPr>
        <xdr:cNvSpPr txBox="1"/>
      </xdr:nvSpPr>
      <xdr:spPr>
        <a:xfrm>
          <a:off x="11125200" y="51384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7030A0"/>
              </a:solidFill>
              <a:latin typeface="Arial" panose="020B0604020202020204" pitchFamily="34" charset="0"/>
            </a:rPr>
            <a:t>Uplift derives from both GWLs and O. Linear base pressure is assumed; no independent head input.</a:t>
          </a:r>
          <a:endParaRPr lang="zh-CN" altLang="en-US" sz="1000">
            <a:solidFill>
              <a:srgbClr val="7030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914400</xdr:colOff>
      <xdr:row>0</xdr:row>
      <xdr:rowOff>25400</xdr:rowOff>
    </xdr:from>
    <xdr:to>
      <xdr:col>1</xdr:col>
      <xdr:colOff>1879600</xdr:colOff>
      <xdr:row>0</xdr:row>
      <xdr:rowOff>304800</xdr:rowOff>
    </xdr:to>
    <xdr:sp macro="[0]!ViewB" textlink="">
      <xdr:nvSpPr>
        <xdr:cNvPr id="9" name="view_face_B">
          <a:extLst>
            <a:ext uri="{FF2B5EF4-FFF2-40B4-BE49-F238E27FC236}">
              <a16:creationId xmlns:a16="http://schemas.microsoft.com/office/drawing/2014/main" id="{1B3ED455-FA84-5A05-08BC-33C8D947DC99}"/>
            </a:ext>
          </a:extLst>
        </xdr:cNvPr>
        <xdr:cNvSpPr/>
      </xdr:nvSpPr>
      <xdr:spPr>
        <a:xfrm>
          <a:off x="38100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</xdr:col>
      <xdr:colOff>1955800</xdr:colOff>
      <xdr:row>0</xdr:row>
      <xdr:rowOff>25400</xdr:rowOff>
    </xdr:from>
    <xdr:to>
      <xdr:col>2</xdr:col>
      <xdr:colOff>859118</xdr:colOff>
      <xdr:row>0</xdr:row>
      <xdr:rowOff>304800</xdr:rowOff>
    </xdr:to>
    <xdr:sp macro="[0]!ViewD" textlink="">
      <xdr:nvSpPr>
        <xdr:cNvPr id="10" name="view_face_D">
          <a:extLst>
            <a:ext uri="{FF2B5EF4-FFF2-40B4-BE49-F238E27FC236}">
              <a16:creationId xmlns:a16="http://schemas.microsoft.com/office/drawing/2014/main" id="{F6CF2898-F695-69F1-0DAE-F94E8C195F26}"/>
            </a:ext>
          </a:extLst>
        </xdr:cNvPr>
        <xdr:cNvSpPr/>
      </xdr:nvSpPr>
      <xdr:spPr>
        <a:xfrm>
          <a:off x="48514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1</xdr:row>
      <xdr:rowOff>0</xdr:rowOff>
    </xdr:from>
    <xdr:to>
      <xdr:col>19</xdr:col>
      <xdr:colOff>505460</xdr:colOff>
      <xdr:row>17</xdr:row>
      <xdr:rowOff>114300</xdr:rowOff>
    </xdr:to>
    <xdr:sp macro="" textlink="">
      <xdr:nvSpPr>
        <xdr:cNvPr id="2" name="dyn_background_1">
          <a:extLst>
            <a:ext uri="{FF2B5EF4-FFF2-40B4-BE49-F238E27FC236}">
              <a16:creationId xmlns:a16="http://schemas.microsoft.com/office/drawing/2014/main" id="{DCF2589A-A720-AA16-ACE0-55EE5DC623B1}"/>
            </a:ext>
          </a:extLst>
        </xdr:cNvPr>
        <xdr:cNvSpPr/>
      </xdr:nvSpPr>
      <xdr:spPr>
        <a:xfrm>
          <a:off x="13571220" y="579120"/>
          <a:ext cx="6540500" cy="6096000"/>
        </a:xfrm>
        <a:prstGeom prst="rect">
          <a:avLst/>
        </a:prstGeom>
        <a:solidFill>
          <a:srgbClr val="FFFF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absolute">
    <xdr:from>
      <xdr:col>10</xdr:col>
      <xdr:colOff>228600</xdr:colOff>
      <xdr:row>1</xdr:row>
      <xdr:rowOff>152400</xdr:rowOff>
    </xdr:from>
    <xdr:to>
      <xdr:col>19</xdr:col>
      <xdr:colOff>162560</xdr:colOff>
      <xdr:row>2</xdr:row>
      <xdr:rowOff>170180</xdr:rowOff>
    </xdr:to>
    <xdr:sp macro="" textlink="">
      <xdr:nvSpPr>
        <xdr:cNvPr id="3" name="dyn_missing_title_2">
          <a:extLst>
            <a:ext uri="{FF2B5EF4-FFF2-40B4-BE49-F238E27FC236}">
              <a16:creationId xmlns:a16="http://schemas.microsoft.com/office/drawing/2014/main" id="{C377D15C-A322-CFEA-B95B-3B17D40F8C6D}"/>
            </a:ext>
          </a:extLst>
        </xdr:cNvPr>
        <xdr:cNvSpPr txBox="1"/>
      </xdr:nvSpPr>
      <xdr:spPr>
        <a:xfrm>
          <a:off x="13799820" y="731520"/>
          <a:ext cx="5969000" cy="368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0052A0"/>
              </a:solidFill>
              <a:latin typeface="Arial" panose="020B0604020202020204" pitchFamily="34" charset="0"/>
            </a:rPr>
            <a:t>Two-sided ground and groundwater levels</a:t>
          </a:r>
          <a:endParaRPr lang="zh-CN" altLang="en-US" sz="1200">
            <a:solidFill>
              <a:srgbClr val="0052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228600</xdr:colOff>
      <xdr:row>3</xdr:row>
      <xdr:rowOff>149860</xdr:rowOff>
    </xdr:from>
    <xdr:to>
      <xdr:col>19</xdr:col>
      <xdr:colOff>162560</xdr:colOff>
      <xdr:row>5</xdr:row>
      <xdr:rowOff>73660</xdr:rowOff>
    </xdr:to>
    <xdr:sp macro="" textlink="">
      <xdr:nvSpPr>
        <xdr:cNvPr id="4" name="dyn_missing_levels_3">
          <a:extLst>
            <a:ext uri="{FF2B5EF4-FFF2-40B4-BE49-F238E27FC236}">
              <a16:creationId xmlns:a16="http://schemas.microsoft.com/office/drawing/2014/main" id="{78E1C14A-1D06-6483-E7B1-976554EF2AB7}"/>
            </a:ext>
          </a:extLst>
        </xdr:cNvPr>
        <xdr:cNvSpPr txBox="1"/>
      </xdr:nvSpPr>
      <xdr:spPr>
        <a:xfrm>
          <a:off x="13799820" y="1430020"/>
          <a:ext cx="59690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644600"/>
              </a:solidFill>
              <a:latin typeface="Arial" panose="020B0604020202020204" pitchFamily="34" charset="0"/>
            </a:rPr>
            <a:t>Enter left/right levels and base RL in Uplift Check</a:t>
          </a:r>
          <a:endParaRPr lang="zh-CN" altLang="en-US" sz="1200">
            <a:solidFill>
              <a:srgbClr val="6446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228600</xdr:colOff>
      <xdr:row>5</xdr:row>
      <xdr:rowOff>226060</xdr:rowOff>
    </xdr:from>
    <xdr:to>
      <xdr:col>19</xdr:col>
      <xdr:colOff>162560</xdr:colOff>
      <xdr:row>7</xdr:row>
      <xdr:rowOff>226060</xdr:rowOff>
    </xdr:to>
    <xdr:sp macro="" textlink="">
      <xdr:nvSpPr>
        <xdr:cNvPr id="5" name="dyn_missing_detail_4">
          <a:extLst>
            <a:ext uri="{FF2B5EF4-FFF2-40B4-BE49-F238E27FC236}">
              <a16:creationId xmlns:a16="http://schemas.microsoft.com/office/drawing/2014/main" id="{5EFB47BA-6C3D-7F8F-BF8C-3F09FC247122}"/>
            </a:ext>
          </a:extLst>
        </xdr:cNvPr>
        <xdr:cNvSpPr txBox="1"/>
      </xdr:nvSpPr>
      <xdr:spPr>
        <a:xfrm>
          <a:off x="13799820" y="21920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Required: Existing level and Groundwater level on both sides, plus a common base RL. Use the same level datum throughout.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228600</xdr:colOff>
      <xdr:row>8</xdr:row>
      <xdr:rowOff>86360</xdr:rowOff>
    </xdr:from>
    <xdr:to>
      <xdr:col>19</xdr:col>
      <xdr:colOff>162560</xdr:colOff>
      <xdr:row>10</xdr:row>
      <xdr:rowOff>86360</xdr:rowOff>
    </xdr:to>
    <xdr:sp macro="" textlink="">
      <xdr:nvSpPr>
        <xdr:cNvPr id="6" name="dyn_missing_validity_5">
          <a:extLst>
            <a:ext uri="{FF2B5EF4-FFF2-40B4-BE49-F238E27FC236}">
              <a16:creationId xmlns:a16="http://schemas.microsoft.com/office/drawing/2014/main" id="{E867B736-FFF5-0E97-2D39-E2375C58E2E3}"/>
            </a:ext>
          </a:extLst>
        </xdr:cNvPr>
        <xdr:cNvSpPr txBox="1"/>
      </xdr:nvSpPr>
      <xdr:spPr>
        <a:xfrm>
          <a:off x="13799820" y="31953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Existing level must be at or above the base. Groundwater level must not exceed the corresponding Existing level for this model.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228600</xdr:colOff>
      <xdr:row>10</xdr:row>
      <xdr:rowOff>340360</xdr:rowOff>
    </xdr:from>
    <xdr:to>
      <xdr:col>19</xdr:col>
      <xdr:colOff>162560</xdr:colOff>
      <xdr:row>12</xdr:row>
      <xdr:rowOff>213360</xdr:rowOff>
    </xdr:to>
    <xdr:sp macro="" textlink="">
      <xdr:nvSpPr>
        <xdr:cNvPr id="7" name="dyn_missing_warning_6">
          <a:extLst>
            <a:ext uri="{FF2B5EF4-FFF2-40B4-BE49-F238E27FC236}">
              <a16:creationId xmlns:a16="http://schemas.microsoft.com/office/drawing/2014/main" id="{560ABAB5-BE4F-0A56-A2B7-D185216AD846}"/>
            </a:ext>
          </a:extLst>
        </xdr:cNvPr>
        <xdr:cNvSpPr txBox="1"/>
      </xdr:nvSpPr>
      <xdr:spPr>
        <a:xfrm>
          <a:off x="13799820" y="42113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No assumed equal-height soil/water diagram is displayed while the level data are missing or invalid.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228600</xdr:colOff>
      <xdr:row>13</xdr:row>
      <xdr:rowOff>124460</xdr:rowOff>
    </xdr:from>
    <xdr:to>
      <xdr:col>19</xdr:col>
      <xdr:colOff>162560</xdr:colOff>
      <xdr:row>14</xdr:row>
      <xdr:rowOff>355600</xdr:rowOff>
    </xdr:to>
    <xdr:sp macro="" textlink="">
      <xdr:nvSpPr>
        <xdr:cNvPr id="8" name="dyn_uplift_scope_7">
          <a:extLst>
            <a:ext uri="{FF2B5EF4-FFF2-40B4-BE49-F238E27FC236}">
              <a16:creationId xmlns:a16="http://schemas.microsoft.com/office/drawing/2014/main" id="{0E738E93-DA04-B5AE-6AA3-1F9579C0498E}"/>
            </a:ext>
          </a:extLst>
        </xdr:cNvPr>
        <xdr:cNvSpPr txBox="1"/>
      </xdr:nvSpPr>
      <xdr:spPr>
        <a:xfrm>
          <a:off x="13799820" y="51384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7030A0"/>
              </a:solidFill>
              <a:latin typeface="Arial" panose="020B0604020202020204" pitchFamily="34" charset="0"/>
            </a:rPr>
            <a:t>Uplift derives from both GWLs and O. Linear base pressure is assumed; no independent head input.</a:t>
          </a:r>
          <a:endParaRPr lang="zh-CN" altLang="en-US" sz="1000">
            <a:solidFill>
              <a:srgbClr val="7030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2</xdr:col>
      <xdr:colOff>579120</xdr:colOff>
      <xdr:row>0</xdr:row>
      <xdr:rowOff>25400</xdr:rowOff>
    </xdr:from>
    <xdr:to>
      <xdr:col>2</xdr:col>
      <xdr:colOff>1544320</xdr:colOff>
      <xdr:row>0</xdr:row>
      <xdr:rowOff>304800</xdr:rowOff>
    </xdr:to>
    <xdr:sp macro="[0]!ViewB" textlink="">
      <xdr:nvSpPr>
        <xdr:cNvPr id="9" name="view_face_B">
          <a:extLst>
            <a:ext uri="{FF2B5EF4-FFF2-40B4-BE49-F238E27FC236}">
              <a16:creationId xmlns:a16="http://schemas.microsoft.com/office/drawing/2014/main" id="{104B9CDE-5A0B-E72E-27C8-0D4800777988}"/>
            </a:ext>
          </a:extLst>
        </xdr:cNvPr>
        <xdr:cNvSpPr/>
      </xdr:nvSpPr>
      <xdr:spPr>
        <a:xfrm>
          <a:off x="38100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43180</xdr:colOff>
      <xdr:row>0</xdr:row>
      <xdr:rowOff>25400</xdr:rowOff>
    </xdr:from>
    <xdr:to>
      <xdr:col>3</xdr:col>
      <xdr:colOff>1008380</xdr:colOff>
      <xdr:row>0</xdr:row>
      <xdr:rowOff>304800</xdr:rowOff>
    </xdr:to>
    <xdr:sp macro="[0]!ViewD" textlink="">
      <xdr:nvSpPr>
        <xdr:cNvPr id="10" name="view_face_D">
          <a:extLst>
            <a:ext uri="{FF2B5EF4-FFF2-40B4-BE49-F238E27FC236}">
              <a16:creationId xmlns:a16="http://schemas.microsoft.com/office/drawing/2014/main" id="{722B366C-872E-29BA-DA9A-FF4FBA7AF3F4}"/>
            </a:ext>
          </a:extLst>
        </xdr:cNvPr>
        <xdr:cNvSpPr/>
      </xdr:nvSpPr>
      <xdr:spPr>
        <a:xfrm>
          <a:off x="48514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</xdr:row>
      <xdr:rowOff>0</xdr:rowOff>
    </xdr:from>
    <xdr:to>
      <xdr:col>16</xdr:col>
      <xdr:colOff>215899</xdr:colOff>
      <xdr:row>21</xdr:row>
      <xdr:rowOff>220980</xdr:rowOff>
    </xdr:to>
    <xdr:sp macro="" textlink="">
      <xdr:nvSpPr>
        <xdr:cNvPr id="2" name="dyn_background_1">
          <a:extLst>
            <a:ext uri="{FF2B5EF4-FFF2-40B4-BE49-F238E27FC236}">
              <a16:creationId xmlns:a16="http://schemas.microsoft.com/office/drawing/2014/main" id="{94062273-2350-F0C4-1BE4-A02EACB2FF89}"/>
            </a:ext>
          </a:extLst>
        </xdr:cNvPr>
        <xdr:cNvSpPr/>
      </xdr:nvSpPr>
      <xdr:spPr>
        <a:xfrm>
          <a:off x="11788140" y="579120"/>
          <a:ext cx="6540499" cy="6096000"/>
        </a:xfrm>
        <a:prstGeom prst="rect">
          <a:avLst/>
        </a:prstGeom>
        <a:solidFill>
          <a:srgbClr val="FFFF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absolute">
    <xdr:from>
      <xdr:col>8</xdr:col>
      <xdr:colOff>228600</xdr:colOff>
      <xdr:row>1</xdr:row>
      <xdr:rowOff>152400</xdr:rowOff>
    </xdr:from>
    <xdr:to>
      <xdr:col>15</xdr:col>
      <xdr:colOff>558800</xdr:colOff>
      <xdr:row>2</xdr:row>
      <xdr:rowOff>215900</xdr:rowOff>
    </xdr:to>
    <xdr:sp macro="" textlink="">
      <xdr:nvSpPr>
        <xdr:cNvPr id="3" name="dyn_missing_title_2">
          <a:extLst>
            <a:ext uri="{FF2B5EF4-FFF2-40B4-BE49-F238E27FC236}">
              <a16:creationId xmlns:a16="http://schemas.microsoft.com/office/drawing/2014/main" id="{329DF510-EBDB-4300-7452-68F395307D0C}"/>
            </a:ext>
          </a:extLst>
        </xdr:cNvPr>
        <xdr:cNvSpPr txBox="1"/>
      </xdr:nvSpPr>
      <xdr:spPr>
        <a:xfrm>
          <a:off x="12016740" y="731520"/>
          <a:ext cx="5969000" cy="368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0052A0"/>
              </a:solidFill>
              <a:latin typeface="Arial" panose="020B0604020202020204" pitchFamily="34" charset="0"/>
            </a:rPr>
            <a:t>Two-sided ground and groundwater levels</a:t>
          </a:r>
          <a:endParaRPr lang="zh-CN" altLang="en-US" sz="1200">
            <a:solidFill>
              <a:srgbClr val="0052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228600</xdr:colOff>
      <xdr:row>3</xdr:row>
      <xdr:rowOff>43180</xdr:rowOff>
    </xdr:from>
    <xdr:to>
      <xdr:col>15</xdr:col>
      <xdr:colOff>558800</xdr:colOff>
      <xdr:row>5</xdr:row>
      <xdr:rowOff>81280</xdr:rowOff>
    </xdr:to>
    <xdr:sp macro="" textlink="">
      <xdr:nvSpPr>
        <xdr:cNvPr id="4" name="dyn_missing_levels_3">
          <a:extLst>
            <a:ext uri="{FF2B5EF4-FFF2-40B4-BE49-F238E27FC236}">
              <a16:creationId xmlns:a16="http://schemas.microsoft.com/office/drawing/2014/main" id="{0C22C82B-2B35-18E7-5BB1-CC46D59A31D7}"/>
            </a:ext>
          </a:extLst>
        </xdr:cNvPr>
        <xdr:cNvSpPr txBox="1"/>
      </xdr:nvSpPr>
      <xdr:spPr>
        <a:xfrm>
          <a:off x="12016740" y="1430020"/>
          <a:ext cx="59690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200">
              <a:solidFill>
                <a:srgbClr val="644600"/>
              </a:solidFill>
              <a:latin typeface="Arial" panose="020B0604020202020204" pitchFamily="34" charset="0"/>
            </a:rPr>
            <a:t>Enter left/right levels and base RL in Uplift Check</a:t>
          </a:r>
          <a:endParaRPr lang="zh-CN" altLang="en-US" sz="1200">
            <a:solidFill>
              <a:srgbClr val="6446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228600</xdr:colOff>
      <xdr:row>5</xdr:row>
      <xdr:rowOff>233680</xdr:rowOff>
    </xdr:from>
    <xdr:to>
      <xdr:col>15</xdr:col>
      <xdr:colOff>558800</xdr:colOff>
      <xdr:row>8</xdr:row>
      <xdr:rowOff>81280</xdr:rowOff>
    </xdr:to>
    <xdr:sp macro="" textlink="">
      <xdr:nvSpPr>
        <xdr:cNvPr id="5" name="dyn_missing_detail_4">
          <a:extLst>
            <a:ext uri="{FF2B5EF4-FFF2-40B4-BE49-F238E27FC236}">
              <a16:creationId xmlns:a16="http://schemas.microsoft.com/office/drawing/2014/main" id="{868C2136-59C8-B2EC-71C0-7155F6FAA745}"/>
            </a:ext>
          </a:extLst>
        </xdr:cNvPr>
        <xdr:cNvSpPr txBox="1"/>
      </xdr:nvSpPr>
      <xdr:spPr>
        <a:xfrm>
          <a:off x="12016740" y="21920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Required: Existing level and Groundwater level on both sides, plus a common base RL. Use the same level datum throughout.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228600</xdr:colOff>
      <xdr:row>9</xdr:row>
      <xdr:rowOff>17780</xdr:rowOff>
    </xdr:from>
    <xdr:to>
      <xdr:col>15</xdr:col>
      <xdr:colOff>558800</xdr:colOff>
      <xdr:row>13</xdr:row>
      <xdr:rowOff>208280</xdr:rowOff>
    </xdr:to>
    <xdr:sp macro="" textlink="">
      <xdr:nvSpPr>
        <xdr:cNvPr id="6" name="dyn_missing_validity_5">
          <a:extLst>
            <a:ext uri="{FF2B5EF4-FFF2-40B4-BE49-F238E27FC236}">
              <a16:creationId xmlns:a16="http://schemas.microsoft.com/office/drawing/2014/main" id="{7B3B32B5-44AE-9880-BFB5-4B5CAAEC2761}"/>
            </a:ext>
          </a:extLst>
        </xdr:cNvPr>
        <xdr:cNvSpPr txBox="1"/>
      </xdr:nvSpPr>
      <xdr:spPr>
        <a:xfrm>
          <a:off x="12016740" y="3195320"/>
          <a:ext cx="5969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Existing level must be at or above the base. Groundwater level must not exceed the corresponding Existing level for this model.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228600</xdr:colOff>
      <xdr:row>14</xdr:row>
      <xdr:rowOff>195580</xdr:rowOff>
    </xdr:from>
    <xdr:to>
      <xdr:col>15</xdr:col>
      <xdr:colOff>558800</xdr:colOff>
      <xdr:row>16</xdr:row>
      <xdr:rowOff>220980</xdr:rowOff>
    </xdr:to>
    <xdr:sp macro="" textlink="">
      <xdr:nvSpPr>
        <xdr:cNvPr id="7" name="dyn_missing_warning_6">
          <a:extLst>
            <a:ext uri="{FF2B5EF4-FFF2-40B4-BE49-F238E27FC236}">
              <a16:creationId xmlns:a16="http://schemas.microsoft.com/office/drawing/2014/main" id="{A228DB46-3E67-2A5E-386A-EB0AEA787CAD}"/>
            </a:ext>
          </a:extLst>
        </xdr:cNvPr>
        <xdr:cNvSpPr txBox="1"/>
      </xdr:nvSpPr>
      <xdr:spPr>
        <a:xfrm>
          <a:off x="12016740" y="42113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4B4B4B"/>
              </a:solidFill>
              <a:latin typeface="Arial" panose="020B0604020202020204" pitchFamily="34" charset="0"/>
            </a:rPr>
            <a:t>No assumed equal-height soil/water diagram is displayed while the level data are missing or invalid.</a:t>
          </a:r>
          <a:endParaRPr lang="zh-CN" altLang="en-US" sz="1000">
            <a:solidFill>
              <a:srgbClr val="4B4B4B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228600</xdr:colOff>
      <xdr:row>17</xdr:row>
      <xdr:rowOff>208280</xdr:rowOff>
    </xdr:from>
    <xdr:to>
      <xdr:col>15</xdr:col>
      <xdr:colOff>558800</xdr:colOff>
      <xdr:row>18</xdr:row>
      <xdr:rowOff>386080</xdr:rowOff>
    </xdr:to>
    <xdr:sp macro="" textlink="">
      <xdr:nvSpPr>
        <xdr:cNvPr id="8" name="dyn_uplift_scope_7">
          <a:extLst>
            <a:ext uri="{FF2B5EF4-FFF2-40B4-BE49-F238E27FC236}">
              <a16:creationId xmlns:a16="http://schemas.microsoft.com/office/drawing/2014/main" id="{2456EB24-C61A-FA41-DE08-73A7F13EAD83}"/>
            </a:ext>
          </a:extLst>
        </xdr:cNvPr>
        <xdr:cNvSpPr txBox="1"/>
      </xdr:nvSpPr>
      <xdr:spPr>
        <a:xfrm>
          <a:off x="12016740" y="5138420"/>
          <a:ext cx="5969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altLang="zh-CN" sz="1000">
              <a:solidFill>
                <a:srgbClr val="7030A0"/>
              </a:solidFill>
              <a:latin typeface="Arial" panose="020B0604020202020204" pitchFamily="34" charset="0"/>
            </a:rPr>
            <a:t>Uplift derives from both GWLs and O. Linear base pressure is assumed; no independent head input.</a:t>
          </a:r>
          <a:endParaRPr lang="zh-CN" altLang="en-US" sz="1000">
            <a:solidFill>
              <a:srgbClr val="7030A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absolute">
    <xdr:from>
      <xdr:col>2</xdr:col>
      <xdr:colOff>121920</xdr:colOff>
      <xdr:row>0</xdr:row>
      <xdr:rowOff>25400</xdr:rowOff>
    </xdr:from>
    <xdr:to>
      <xdr:col>2</xdr:col>
      <xdr:colOff>1087120</xdr:colOff>
      <xdr:row>0</xdr:row>
      <xdr:rowOff>304800</xdr:rowOff>
    </xdr:to>
    <xdr:sp macro="[0]!ViewB" textlink="">
      <xdr:nvSpPr>
        <xdr:cNvPr id="9" name="view_face_B">
          <a:extLst>
            <a:ext uri="{FF2B5EF4-FFF2-40B4-BE49-F238E27FC236}">
              <a16:creationId xmlns:a16="http://schemas.microsoft.com/office/drawing/2014/main" id="{AE55A542-81FB-04AA-1919-26AB8CA2DA81}"/>
            </a:ext>
          </a:extLst>
        </xdr:cNvPr>
        <xdr:cNvSpPr/>
      </xdr:nvSpPr>
      <xdr:spPr>
        <a:xfrm>
          <a:off x="38100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</xdr:col>
      <xdr:colOff>1163320</xdr:colOff>
      <xdr:row>0</xdr:row>
      <xdr:rowOff>25400</xdr:rowOff>
    </xdr:from>
    <xdr:to>
      <xdr:col>3</xdr:col>
      <xdr:colOff>855980</xdr:colOff>
      <xdr:row>0</xdr:row>
      <xdr:rowOff>304800</xdr:rowOff>
    </xdr:to>
    <xdr:sp macro="[0]!ViewD" textlink="">
      <xdr:nvSpPr>
        <xdr:cNvPr id="10" name="view_face_D">
          <a:extLst>
            <a:ext uri="{FF2B5EF4-FFF2-40B4-BE49-F238E27FC236}">
              <a16:creationId xmlns:a16="http://schemas.microsoft.com/office/drawing/2014/main" id="{4AAE0E36-F3A3-1247-BE2E-A0FB7B03DC35}"/>
            </a:ext>
          </a:extLst>
        </xdr:cNvPr>
        <xdr:cNvSpPr/>
      </xdr:nvSpPr>
      <xdr:spPr>
        <a:xfrm>
          <a:off x="48514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162</xdr:row>
      <xdr:rowOff>1</xdr:rowOff>
    </xdr:from>
    <xdr:to>
      <xdr:col>6</xdr:col>
      <xdr:colOff>0</xdr:colOff>
      <xdr:row>162</xdr:row>
      <xdr:rowOff>1</xdr:rowOff>
    </xdr:to>
    <xdr:cxnSp macro="">
      <xdr:nvCxnSpPr>
        <xdr:cNvPr id="4154" name="copy_rule_4154">
          <a:extLst>
            <a:ext uri="{FF2B5EF4-FFF2-40B4-BE49-F238E27FC236}">
              <a16:creationId xmlns:a16="http://schemas.microsoft.com/office/drawing/2014/main" id="{3E3D06CE-E5C8-A24B-E685-6C9F3A587E92}"/>
            </a:ext>
          </a:extLst>
        </xdr:cNvPr>
        <xdr:cNvCxnSpPr/>
      </xdr:nvCxnSpPr>
      <xdr:spPr>
        <a:xfrm>
          <a:off x="0" y="35798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161</xdr:row>
      <xdr:rowOff>1</xdr:rowOff>
    </xdr:from>
    <xdr:to>
      <xdr:col>6</xdr:col>
      <xdr:colOff>0</xdr:colOff>
      <xdr:row>161</xdr:row>
      <xdr:rowOff>1</xdr:rowOff>
    </xdr:to>
    <xdr:cxnSp macro="">
      <xdr:nvCxnSpPr>
        <xdr:cNvPr id="4153" name="copy_rule_4153">
          <a:extLst>
            <a:ext uri="{FF2B5EF4-FFF2-40B4-BE49-F238E27FC236}">
              <a16:creationId xmlns:a16="http://schemas.microsoft.com/office/drawing/2014/main" id="{B9E28ECA-45BD-0712-F758-ED091F488D4B}"/>
            </a:ext>
          </a:extLst>
        </xdr:cNvPr>
        <xdr:cNvCxnSpPr/>
      </xdr:nvCxnSpPr>
      <xdr:spPr>
        <a:xfrm>
          <a:off x="0" y="35570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160</xdr:row>
      <xdr:rowOff>1</xdr:rowOff>
    </xdr:from>
    <xdr:to>
      <xdr:col>6</xdr:col>
      <xdr:colOff>0</xdr:colOff>
      <xdr:row>160</xdr:row>
      <xdr:rowOff>1</xdr:rowOff>
    </xdr:to>
    <xdr:cxnSp macro="">
      <xdr:nvCxnSpPr>
        <xdr:cNvPr id="4152" name="copy_rule_4152">
          <a:extLst>
            <a:ext uri="{FF2B5EF4-FFF2-40B4-BE49-F238E27FC236}">
              <a16:creationId xmlns:a16="http://schemas.microsoft.com/office/drawing/2014/main" id="{612698B4-61D5-0BC9-613A-1333D2992722}"/>
            </a:ext>
          </a:extLst>
        </xdr:cNvPr>
        <xdr:cNvCxnSpPr/>
      </xdr:nvCxnSpPr>
      <xdr:spPr>
        <a:xfrm>
          <a:off x="0" y="35341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159</xdr:row>
      <xdr:rowOff>1</xdr:rowOff>
    </xdr:from>
    <xdr:to>
      <xdr:col>6</xdr:col>
      <xdr:colOff>0</xdr:colOff>
      <xdr:row>159</xdr:row>
      <xdr:rowOff>1</xdr:rowOff>
    </xdr:to>
    <xdr:cxnSp macro="">
      <xdr:nvCxnSpPr>
        <xdr:cNvPr id="4151" name="copy_rule_4151">
          <a:extLst>
            <a:ext uri="{FF2B5EF4-FFF2-40B4-BE49-F238E27FC236}">
              <a16:creationId xmlns:a16="http://schemas.microsoft.com/office/drawing/2014/main" id="{10B37905-46A8-10AC-1817-88C6259FEB2B}"/>
            </a:ext>
          </a:extLst>
        </xdr:cNvPr>
        <xdr:cNvCxnSpPr/>
      </xdr:nvCxnSpPr>
      <xdr:spPr>
        <a:xfrm>
          <a:off x="0" y="35112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158</xdr:row>
      <xdr:rowOff>1</xdr:rowOff>
    </xdr:from>
    <xdr:to>
      <xdr:col>6</xdr:col>
      <xdr:colOff>0</xdr:colOff>
      <xdr:row>158</xdr:row>
      <xdr:rowOff>1</xdr:rowOff>
    </xdr:to>
    <xdr:cxnSp macro="">
      <xdr:nvCxnSpPr>
        <xdr:cNvPr id="4150" name="copy_rule_4150">
          <a:extLst>
            <a:ext uri="{FF2B5EF4-FFF2-40B4-BE49-F238E27FC236}">
              <a16:creationId xmlns:a16="http://schemas.microsoft.com/office/drawing/2014/main" id="{02F36731-5120-0EB0-7129-754201C5A0C2}"/>
            </a:ext>
          </a:extLst>
        </xdr:cNvPr>
        <xdr:cNvCxnSpPr/>
      </xdr:nvCxnSpPr>
      <xdr:spPr>
        <a:xfrm>
          <a:off x="0" y="34884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157</xdr:row>
      <xdr:rowOff>1</xdr:rowOff>
    </xdr:from>
    <xdr:to>
      <xdr:col>6</xdr:col>
      <xdr:colOff>0</xdr:colOff>
      <xdr:row>157</xdr:row>
      <xdr:rowOff>1</xdr:rowOff>
    </xdr:to>
    <xdr:cxnSp macro="">
      <xdr:nvCxnSpPr>
        <xdr:cNvPr id="4149" name="copy_rule_4149">
          <a:extLst>
            <a:ext uri="{FF2B5EF4-FFF2-40B4-BE49-F238E27FC236}">
              <a16:creationId xmlns:a16="http://schemas.microsoft.com/office/drawing/2014/main" id="{28584C4F-DC3C-A6C3-99E8-17D8B0E888CD}"/>
            </a:ext>
          </a:extLst>
        </xdr:cNvPr>
        <xdr:cNvCxnSpPr/>
      </xdr:nvCxnSpPr>
      <xdr:spPr>
        <a:xfrm>
          <a:off x="0" y="34655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156</xdr:row>
      <xdr:rowOff>1</xdr:rowOff>
    </xdr:from>
    <xdr:to>
      <xdr:col>6</xdr:col>
      <xdr:colOff>0</xdr:colOff>
      <xdr:row>156</xdr:row>
      <xdr:rowOff>1</xdr:rowOff>
    </xdr:to>
    <xdr:cxnSp macro="">
      <xdr:nvCxnSpPr>
        <xdr:cNvPr id="4148" name="copy_rule_4148">
          <a:extLst>
            <a:ext uri="{FF2B5EF4-FFF2-40B4-BE49-F238E27FC236}">
              <a16:creationId xmlns:a16="http://schemas.microsoft.com/office/drawing/2014/main" id="{BF4B2344-FCAB-BB8F-AD8E-781726CEA71A}"/>
            </a:ext>
          </a:extLst>
        </xdr:cNvPr>
        <xdr:cNvCxnSpPr/>
      </xdr:nvCxnSpPr>
      <xdr:spPr>
        <a:xfrm>
          <a:off x="0" y="34427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155</xdr:row>
      <xdr:rowOff>1</xdr:rowOff>
    </xdr:from>
    <xdr:to>
      <xdr:col>6</xdr:col>
      <xdr:colOff>0</xdr:colOff>
      <xdr:row>155</xdr:row>
      <xdr:rowOff>1</xdr:rowOff>
    </xdr:to>
    <xdr:cxnSp macro="">
      <xdr:nvCxnSpPr>
        <xdr:cNvPr id="4147" name="copy_rule_4147">
          <a:extLst>
            <a:ext uri="{FF2B5EF4-FFF2-40B4-BE49-F238E27FC236}">
              <a16:creationId xmlns:a16="http://schemas.microsoft.com/office/drawing/2014/main" id="{61399787-F070-9EB1-FA06-FB69B6147330}"/>
            </a:ext>
          </a:extLst>
        </xdr:cNvPr>
        <xdr:cNvCxnSpPr/>
      </xdr:nvCxnSpPr>
      <xdr:spPr>
        <a:xfrm>
          <a:off x="0" y="34198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154</xdr:row>
      <xdr:rowOff>1</xdr:rowOff>
    </xdr:from>
    <xdr:to>
      <xdr:col>6</xdr:col>
      <xdr:colOff>0</xdr:colOff>
      <xdr:row>154</xdr:row>
      <xdr:rowOff>1</xdr:rowOff>
    </xdr:to>
    <xdr:cxnSp macro="">
      <xdr:nvCxnSpPr>
        <xdr:cNvPr id="4146" name="copy_rule_4146">
          <a:extLst>
            <a:ext uri="{FF2B5EF4-FFF2-40B4-BE49-F238E27FC236}">
              <a16:creationId xmlns:a16="http://schemas.microsoft.com/office/drawing/2014/main" id="{4DDAB755-B6BF-1171-F861-6A388F32EBDB}"/>
            </a:ext>
          </a:extLst>
        </xdr:cNvPr>
        <xdr:cNvCxnSpPr/>
      </xdr:nvCxnSpPr>
      <xdr:spPr>
        <a:xfrm>
          <a:off x="0" y="33969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152</xdr:row>
      <xdr:rowOff>1</xdr:rowOff>
    </xdr:from>
    <xdr:to>
      <xdr:col>6</xdr:col>
      <xdr:colOff>0</xdr:colOff>
      <xdr:row>152</xdr:row>
      <xdr:rowOff>1</xdr:rowOff>
    </xdr:to>
    <xdr:cxnSp macro="">
      <xdr:nvCxnSpPr>
        <xdr:cNvPr id="4145" name="copy_rule_4145">
          <a:extLst>
            <a:ext uri="{FF2B5EF4-FFF2-40B4-BE49-F238E27FC236}">
              <a16:creationId xmlns:a16="http://schemas.microsoft.com/office/drawing/2014/main" id="{688FF1E2-0C45-A54F-B82D-D5F5D136B446}"/>
            </a:ext>
          </a:extLst>
        </xdr:cNvPr>
        <xdr:cNvCxnSpPr/>
      </xdr:nvCxnSpPr>
      <xdr:spPr>
        <a:xfrm>
          <a:off x="0" y="33512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151</xdr:row>
      <xdr:rowOff>1</xdr:rowOff>
    </xdr:from>
    <xdr:to>
      <xdr:col>6</xdr:col>
      <xdr:colOff>0</xdr:colOff>
      <xdr:row>151</xdr:row>
      <xdr:rowOff>1</xdr:rowOff>
    </xdr:to>
    <xdr:cxnSp macro="">
      <xdr:nvCxnSpPr>
        <xdr:cNvPr id="4144" name="copy_rule_4144">
          <a:extLst>
            <a:ext uri="{FF2B5EF4-FFF2-40B4-BE49-F238E27FC236}">
              <a16:creationId xmlns:a16="http://schemas.microsoft.com/office/drawing/2014/main" id="{A7B2C240-1215-76F5-B824-D35513D3A367}"/>
            </a:ext>
          </a:extLst>
        </xdr:cNvPr>
        <xdr:cNvCxnSpPr/>
      </xdr:nvCxnSpPr>
      <xdr:spPr>
        <a:xfrm>
          <a:off x="0" y="33284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149</xdr:row>
      <xdr:rowOff>1</xdr:rowOff>
    </xdr:from>
    <xdr:to>
      <xdr:col>6</xdr:col>
      <xdr:colOff>0</xdr:colOff>
      <xdr:row>149</xdr:row>
      <xdr:rowOff>1</xdr:rowOff>
    </xdr:to>
    <xdr:cxnSp macro="">
      <xdr:nvCxnSpPr>
        <xdr:cNvPr id="4143" name="copy_rule_4143">
          <a:extLst>
            <a:ext uri="{FF2B5EF4-FFF2-40B4-BE49-F238E27FC236}">
              <a16:creationId xmlns:a16="http://schemas.microsoft.com/office/drawing/2014/main" id="{8A42ADC8-D7A1-4A5D-03F8-94AEC5521BA2}"/>
            </a:ext>
          </a:extLst>
        </xdr:cNvPr>
        <xdr:cNvCxnSpPr/>
      </xdr:nvCxnSpPr>
      <xdr:spPr>
        <a:xfrm>
          <a:off x="0" y="32826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148</xdr:row>
      <xdr:rowOff>1</xdr:rowOff>
    </xdr:from>
    <xdr:to>
      <xdr:col>6</xdr:col>
      <xdr:colOff>0</xdr:colOff>
      <xdr:row>148</xdr:row>
      <xdr:rowOff>1</xdr:rowOff>
    </xdr:to>
    <xdr:cxnSp macro="">
      <xdr:nvCxnSpPr>
        <xdr:cNvPr id="4142" name="copy_rule_4142">
          <a:extLst>
            <a:ext uri="{FF2B5EF4-FFF2-40B4-BE49-F238E27FC236}">
              <a16:creationId xmlns:a16="http://schemas.microsoft.com/office/drawing/2014/main" id="{DA639D86-F65F-57C1-A0EE-FE263D749E6A}"/>
            </a:ext>
          </a:extLst>
        </xdr:cNvPr>
        <xdr:cNvCxnSpPr/>
      </xdr:nvCxnSpPr>
      <xdr:spPr>
        <a:xfrm>
          <a:off x="0" y="32598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147</xdr:row>
      <xdr:rowOff>1</xdr:rowOff>
    </xdr:from>
    <xdr:to>
      <xdr:col>6</xdr:col>
      <xdr:colOff>0</xdr:colOff>
      <xdr:row>147</xdr:row>
      <xdr:rowOff>1</xdr:rowOff>
    </xdr:to>
    <xdr:cxnSp macro="">
      <xdr:nvCxnSpPr>
        <xdr:cNvPr id="4141" name="copy_rule_4141">
          <a:extLst>
            <a:ext uri="{FF2B5EF4-FFF2-40B4-BE49-F238E27FC236}">
              <a16:creationId xmlns:a16="http://schemas.microsoft.com/office/drawing/2014/main" id="{3A3455EC-0AE8-150C-FBC5-0B21F8A3E583}"/>
            </a:ext>
          </a:extLst>
        </xdr:cNvPr>
        <xdr:cNvCxnSpPr/>
      </xdr:nvCxnSpPr>
      <xdr:spPr>
        <a:xfrm>
          <a:off x="0" y="32369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146</xdr:row>
      <xdr:rowOff>1</xdr:rowOff>
    </xdr:from>
    <xdr:to>
      <xdr:col>6</xdr:col>
      <xdr:colOff>0</xdr:colOff>
      <xdr:row>146</xdr:row>
      <xdr:rowOff>1</xdr:rowOff>
    </xdr:to>
    <xdr:cxnSp macro="">
      <xdr:nvCxnSpPr>
        <xdr:cNvPr id="4140" name="copy_rule_4140">
          <a:extLst>
            <a:ext uri="{FF2B5EF4-FFF2-40B4-BE49-F238E27FC236}">
              <a16:creationId xmlns:a16="http://schemas.microsoft.com/office/drawing/2014/main" id="{DFB9FBF9-0BC3-E5F4-2882-7D9379E16537}"/>
            </a:ext>
          </a:extLst>
        </xdr:cNvPr>
        <xdr:cNvCxnSpPr/>
      </xdr:nvCxnSpPr>
      <xdr:spPr>
        <a:xfrm>
          <a:off x="0" y="32141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141</xdr:row>
      <xdr:rowOff>1</xdr:rowOff>
    </xdr:from>
    <xdr:to>
      <xdr:col>6</xdr:col>
      <xdr:colOff>0</xdr:colOff>
      <xdr:row>141</xdr:row>
      <xdr:rowOff>1</xdr:rowOff>
    </xdr:to>
    <xdr:cxnSp macro="">
      <xdr:nvCxnSpPr>
        <xdr:cNvPr id="4139" name="copy_rule_4139">
          <a:extLst>
            <a:ext uri="{FF2B5EF4-FFF2-40B4-BE49-F238E27FC236}">
              <a16:creationId xmlns:a16="http://schemas.microsoft.com/office/drawing/2014/main" id="{48E0A9C1-B631-365C-5026-6B412D648A91}"/>
            </a:ext>
          </a:extLst>
        </xdr:cNvPr>
        <xdr:cNvCxnSpPr/>
      </xdr:nvCxnSpPr>
      <xdr:spPr>
        <a:xfrm>
          <a:off x="0" y="31912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140</xdr:row>
      <xdr:rowOff>1</xdr:rowOff>
    </xdr:from>
    <xdr:to>
      <xdr:col>6</xdr:col>
      <xdr:colOff>0</xdr:colOff>
      <xdr:row>140</xdr:row>
      <xdr:rowOff>1</xdr:rowOff>
    </xdr:to>
    <xdr:cxnSp macro="">
      <xdr:nvCxnSpPr>
        <xdr:cNvPr id="4138" name="copy_rule_4138">
          <a:extLst>
            <a:ext uri="{FF2B5EF4-FFF2-40B4-BE49-F238E27FC236}">
              <a16:creationId xmlns:a16="http://schemas.microsoft.com/office/drawing/2014/main" id="{E0F92FFE-C429-E0CE-FA7F-E4514488CA33}"/>
            </a:ext>
          </a:extLst>
        </xdr:cNvPr>
        <xdr:cNvCxnSpPr/>
      </xdr:nvCxnSpPr>
      <xdr:spPr>
        <a:xfrm>
          <a:off x="0" y="31683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139</xdr:row>
      <xdr:rowOff>1</xdr:rowOff>
    </xdr:from>
    <xdr:to>
      <xdr:col>6</xdr:col>
      <xdr:colOff>0</xdr:colOff>
      <xdr:row>139</xdr:row>
      <xdr:rowOff>1</xdr:rowOff>
    </xdr:to>
    <xdr:cxnSp macro="">
      <xdr:nvCxnSpPr>
        <xdr:cNvPr id="4137" name="copy_rule_4137">
          <a:extLst>
            <a:ext uri="{FF2B5EF4-FFF2-40B4-BE49-F238E27FC236}">
              <a16:creationId xmlns:a16="http://schemas.microsoft.com/office/drawing/2014/main" id="{2A9FA352-2236-686C-5AAA-EB87197F6218}"/>
            </a:ext>
          </a:extLst>
        </xdr:cNvPr>
        <xdr:cNvCxnSpPr/>
      </xdr:nvCxnSpPr>
      <xdr:spPr>
        <a:xfrm>
          <a:off x="0" y="31455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138</xdr:row>
      <xdr:rowOff>1</xdr:rowOff>
    </xdr:from>
    <xdr:to>
      <xdr:col>6</xdr:col>
      <xdr:colOff>0</xdr:colOff>
      <xdr:row>138</xdr:row>
      <xdr:rowOff>1</xdr:rowOff>
    </xdr:to>
    <xdr:cxnSp macro="">
      <xdr:nvCxnSpPr>
        <xdr:cNvPr id="4136" name="copy_rule_4136">
          <a:extLst>
            <a:ext uri="{FF2B5EF4-FFF2-40B4-BE49-F238E27FC236}">
              <a16:creationId xmlns:a16="http://schemas.microsoft.com/office/drawing/2014/main" id="{7FDA7B68-CDB1-88FC-AC03-BDB6FEFB4A3C}"/>
            </a:ext>
          </a:extLst>
        </xdr:cNvPr>
        <xdr:cNvCxnSpPr/>
      </xdr:nvCxnSpPr>
      <xdr:spPr>
        <a:xfrm>
          <a:off x="0" y="31226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137</xdr:row>
      <xdr:rowOff>1</xdr:rowOff>
    </xdr:from>
    <xdr:to>
      <xdr:col>6</xdr:col>
      <xdr:colOff>0</xdr:colOff>
      <xdr:row>137</xdr:row>
      <xdr:rowOff>1</xdr:rowOff>
    </xdr:to>
    <xdr:cxnSp macro="">
      <xdr:nvCxnSpPr>
        <xdr:cNvPr id="4135" name="copy_rule_4135">
          <a:extLst>
            <a:ext uri="{FF2B5EF4-FFF2-40B4-BE49-F238E27FC236}">
              <a16:creationId xmlns:a16="http://schemas.microsoft.com/office/drawing/2014/main" id="{E768AE96-36DC-073D-A080-EA8837DD1357}"/>
            </a:ext>
          </a:extLst>
        </xdr:cNvPr>
        <xdr:cNvCxnSpPr/>
      </xdr:nvCxnSpPr>
      <xdr:spPr>
        <a:xfrm>
          <a:off x="0" y="30998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136</xdr:row>
      <xdr:rowOff>1</xdr:rowOff>
    </xdr:from>
    <xdr:to>
      <xdr:col>6</xdr:col>
      <xdr:colOff>0</xdr:colOff>
      <xdr:row>136</xdr:row>
      <xdr:rowOff>1</xdr:rowOff>
    </xdr:to>
    <xdr:cxnSp macro="">
      <xdr:nvCxnSpPr>
        <xdr:cNvPr id="4134" name="copy_rule_4134">
          <a:extLst>
            <a:ext uri="{FF2B5EF4-FFF2-40B4-BE49-F238E27FC236}">
              <a16:creationId xmlns:a16="http://schemas.microsoft.com/office/drawing/2014/main" id="{BFE277A5-BF44-91CC-4E27-49E32797BC1C}"/>
            </a:ext>
          </a:extLst>
        </xdr:cNvPr>
        <xdr:cNvCxnSpPr/>
      </xdr:nvCxnSpPr>
      <xdr:spPr>
        <a:xfrm>
          <a:off x="0" y="30769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135</xdr:row>
      <xdr:rowOff>1</xdr:rowOff>
    </xdr:from>
    <xdr:to>
      <xdr:col>6</xdr:col>
      <xdr:colOff>0</xdr:colOff>
      <xdr:row>135</xdr:row>
      <xdr:rowOff>1</xdr:rowOff>
    </xdr:to>
    <xdr:cxnSp macro="">
      <xdr:nvCxnSpPr>
        <xdr:cNvPr id="4133" name="copy_rule_4133">
          <a:extLst>
            <a:ext uri="{FF2B5EF4-FFF2-40B4-BE49-F238E27FC236}">
              <a16:creationId xmlns:a16="http://schemas.microsoft.com/office/drawing/2014/main" id="{F2215F91-91C3-82A7-277F-6F008F80DD35}"/>
            </a:ext>
          </a:extLst>
        </xdr:cNvPr>
        <xdr:cNvCxnSpPr/>
      </xdr:nvCxnSpPr>
      <xdr:spPr>
        <a:xfrm>
          <a:off x="0" y="30540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134</xdr:row>
      <xdr:rowOff>1</xdr:rowOff>
    </xdr:from>
    <xdr:to>
      <xdr:col>6</xdr:col>
      <xdr:colOff>0</xdr:colOff>
      <xdr:row>134</xdr:row>
      <xdr:rowOff>1</xdr:rowOff>
    </xdr:to>
    <xdr:cxnSp macro="">
      <xdr:nvCxnSpPr>
        <xdr:cNvPr id="4132" name="copy_rule_4132">
          <a:extLst>
            <a:ext uri="{FF2B5EF4-FFF2-40B4-BE49-F238E27FC236}">
              <a16:creationId xmlns:a16="http://schemas.microsoft.com/office/drawing/2014/main" id="{AA33CA2D-B48F-F5D2-7AE2-59361BD3C694}"/>
            </a:ext>
          </a:extLst>
        </xdr:cNvPr>
        <xdr:cNvCxnSpPr/>
      </xdr:nvCxnSpPr>
      <xdr:spPr>
        <a:xfrm>
          <a:off x="0" y="30312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133</xdr:row>
      <xdr:rowOff>1</xdr:rowOff>
    </xdr:from>
    <xdr:to>
      <xdr:col>6</xdr:col>
      <xdr:colOff>0</xdr:colOff>
      <xdr:row>133</xdr:row>
      <xdr:rowOff>1</xdr:rowOff>
    </xdr:to>
    <xdr:cxnSp macro="">
      <xdr:nvCxnSpPr>
        <xdr:cNvPr id="4131" name="copy_rule_4131">
          <a:extLst>
            <a:ext uri="{FF2B5EF4-FFF2-40B4-BE49-F238E27FC236}">
              <a16:creationId xmlns:a16="http://schemas.microsoft.com/office/drawing/2014/main" id="{1F333594-3DC8-E486-4295-1E23C4251B53}"/>
            </a:ext>
          </a:extLst>
        </xdr:cNvPr>
        <xdr:cNvCxnSpPr/>
      </xdr:nvCxnSpPr>
      <xdr:spPr>
        <a:xfrm>
          <a:off x="0" y="30083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132</xdr:row>
      <xdr:rowOff>1</xdr:rowOff>
    </xdr:from>
    <xdr:to>
      <xdr:col>6</xdr:col>
      <xdr:colOff>0</xdr:colOff>
      <xdr:row>132</xdr:row>
      <xdr:rowOff>1</xdr:rowOff>
    </xdr:to>
    <xdr:cxnSp macro="">
      <xdr:nvCxnSpPr>
        <xdr:cNvPr id="4130" name="copy_rule_4130">
          <a:extLst>
            <a:ext uri="{FF2B5EF4-FFF2-40B4-BE49-F238E27FC236}">
              <a16:creationId xmlns:a16="http://schemas.microsoft.com/office/drawing/2014/main" id="{A102AEB0-7963-583F-6D8E-1D40EF0D5455}"/>
            </a:ext>
          </a:extLst>
        </xdr:cNvPr>
        <xdr:cNvCxnSpPr/>
      </xdr:nvCxnSpPr>
      <xdr:spPr>
        <a:xfrm>
          <a:off x="0" y="29855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131</xdr:row>
      <xdr:rowOff>1</xdr:rowOff>
    </xdr:from>
    <xdr:to>
      <xdr:col>6</xdr:col>
      <xdr:colOff>0</xdr:colOff>
      <xdr:row>131</xdr:row>
      <xdr:rowOff>1</xdr:rowOff>
    </xdr:to>
    <xdr:cxnSp macro="">
      <xdr:nvCxnSpPr>
        <xdr:cNvPr id="4129" name="copy_rule_4129">
          <a:extLst>
            <a:ext uri="{FF2B5EF4-FFF2-40B4-BE49-F238E27FC236}">
              <a16:creationId xmlns:a16="http://schemas.microsoft.com/office/drawing/2014/main" id="{04EB4392-F7F7-3FB2-5C14-DD91875547EE}"/>
            </a:ext>
          </a:extLst>
        </xdr:cNvPr>
        <xdr:cNvCxnSpPr/>
      </xdr:nvCxnSpPr>
      <xdr:spPr>
        <a:xfrm>
          <a:off x="0" y="29626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130</xdr:row>
      <xdr:rowOff>1</xdr:rowOff>
    </xdr:from>
    <xdr:to>
      <xdr:col>6</xdr:col>
      <xdr:colOff>0</xdr:colOff>
      <xdr:row>130</xdr:row>
      <xdr:rowOff>1</xdr:rowOff>
    </xdr:to>
    <xdr:cxnSp macro="">
      <xdr:nvCxnSpPr>
        <xdr:cNvPr id="4128" name="copy_rule_4128">
          <a:extLst>
            <a:ext uri="{FF2B5EF4-FFF2-40B4-BE49-F238E27FC236}">
              <a16:creationId xmlns:a16="http://schemas.microsoft.com/office/drawing/2014/main" id="{ECCF74E4-C045-90BD-6B74-0CB1FA83D6D2}"/>
            </a:ext>
          </a:extLst>
        </xdr:cNvPr>
        <xdr:cNvCxnSpPr/>
      </xdr:nvCxnSpPr>
      <xdr:spPr>
        <a:xfrm>
          <a:off x="0" y="29397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129</xdr:row>
      <xdr:rowOff>1</xdr:rowOff>
    </xdr:from>
    <xdr:to>
      <xdr:col>6</xdr:col>
      <xdr:colOff>0</xdr:colOff>
      <xdr:row>129</xdr:row>
      <xdr:rowOff>1</xdr:rowOff>
    </xdr:to>
    <xdr:cxnSp macro="">
      <xdr:nvCxnSpPr>
        <xdr:cNvPr id="4127" name="copy_rule_4127">
          <a:extLst>
            <a:ext uri="{FF2B5EF4-FFF2-40B4-BE49-F238E27FC236}">
              <a16:creationId xmlns:a16="http://schemas.microsoft.com/office/drawing/2014/main" id="{5ED8A7FA-6AE2-5793-259B-0D4F17BD63DB}"/>
            </a:ext>
          </a:extLst>
        </xdr:cNvPr>
        <xdr:cNvCxnSpPr/>
      </xdr:nvCxnSpPr>
      <xdr:spPr>
        <a:xfrm>
          <a:off x="0" y="29169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128</xdr:row>
      <xdr:rowOff>1</xdr:rowOff>
    </xdr:from>
    <xdr:to>
      <xdr:col>6</xdr:col>
      <xdr:colOff>0</xdr:colOff>
      <xdr:row>128</xdr:row>
      <xdr:rowOff>1</xdr:rowOff>
    </xdr:to>
    <xdr:cxnSp macro="">
      <xdr:nvCxnSpPr>
        <xdr:cNvPr id="4126" name="copy_rule_4126">
          <a:extLst>
            <a:ext uri="{FF2B5EF4-FFF2-40B4-BE49-F238E27FC236}">
              <a16:creationId xmlns:a16="http://schemas.microsoft.com/office/drawing/2014/main" id="{9A7F5944-BB83-3D1A-C869-0C5FC254216C}"/>
            </a:ext>
          </a:extLst>
        </xdr:cNvPr>
        <xdr:cNvCxnSpPr/>
      </xdr:nvCxnSpPr>
      <xdr:spPr>
        <a:xfrm>
          <a:off x="0" y="28940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127</xdr:row>
      <xdr:rowOff>1</xdr:rowOff>
    </xdr:from>
    <xdr:to>
      <xdr:col>6</xdr:col>
      <xdr:colOff>0</xdr:colOff>
      <xdr:row>127</xdr:row>
      <xdr:rowOff>1</xdr:rowOff>
    </xdr:to>
    <xdr:cxnSp macro="">
      <xdr:nvCxnSpPr>
        <xdr:cNvPr id="4125" name="copy_rule_4125">
          <a:extLst>
            <a:ext uri="{FF2B5EF4-FFF2-40B4-BE49-F238E27FC236}">
              <a16:creationId xmlns:a16="http://schemas.microsoft.com/office/drawing/2014/main" id="{08E3140D-6CF2-FB96-6E2E-EDC31D62C7C4}"/>
            </a:ext>
          </a:extLst>
        </xdr:cNvPr>
        <xdr:cNvCxnSpPr/>
      </xdr:nvCxnSpPr>
      <xdr:spPr>
        <a:xfrm>
          <a:off x="0" y="28712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126</xdr:row>
      <xdr:rowOff>1</xdr:rowOff>
    </xdr:from>
    <xdr:to>
      <xdr:col>6</xdr:col>
      <xdr:colOff>0</xdr:colOff>
      <xdr:row>126</xdr:row>
      <xdr:rowOff>1</xdr:rowOff>
    </xdr:to>
    <xdr:cxnSp macro="">
      <xdr:nvCxnSpPr>
        <xdr:cNvPr id="4124" name="copy_rule_4124">
          <a:extLst>
            <a:ext uri="{FF2B5EF4-FFF2-40B4-BE49-F238E27FC236}">
              <a16:creationId xmlns:a16="http://schemas.microsoft.com/office/drawing/2014/main" id="{A5E32629-57AF-CBC2-BCDC-77367917738A}"/>
            </a:ext>
          </a:extLst>
        </xdr:cNvPr>
        <xdr:cNvCxnSpPr/>
      </xdr:nvCxnSpPr>
      <xdr:spPr>
        <a:xfrm>
          <a:off x="0" y="28483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125</xdr:row>
      <xdr:rowOff>1</xdr:rowOff>
    </xdr:from>
    <xdr:to>
      <xdr:col>6</xdr:col>
      <xdr:colOff>0</xdr:colOff>
      <xdr:row>125</xdr:row>
      <xdr:rowOff>1</xdr:rowOff>
    </xdr:to>
    <xdr:cxnSp macro="">
      <xdr:nvCxnSpPr>
        <xdr:cNvPr id="4123" name="copy_rule_4123">
          <a:extLst>
            <a:ext uri="{FF2B5EF4-FFF2-40B4-BE49-F238E27FC236}">
              <a16:creationId xmlns:a16="http://schemas.microsoft.com/office/drawing/2014/main" id="{C3A094F1-F2FB-2F2F-1ED4-7C5C81AF6C46}"/>
            </a:ext>
          </a:extLst>
        </xdr:cNvPr>
        <xdr:cNvCxnSpPr/>
      </xdr:nvCxnSpPr>
      <xdr:spPr>
        <a:xfrm>
          <a:off x="0" y="28254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0</xdr:colOff>
      <xdr:row>124</xdr:row>
      <xdr:rowOff>6351</xdr:rowOff>
    </xdr:from>
    <xdr:to>
      <xdr:col>6</xdr:col>
      <xdr:colOff>0</xdr:colOff>
      <xdr:row>162</xdr:row>
      <xdr:rowOff>1</xdr:rowOff>
    </xdr:to>
    <xdr:cxnSp macro="">
      <xdr:nvCxnSpPr>
        <xdr:cNvPr id="4122" name="copy_rule_4122">
          <a:extLst>
            <a:ext uri="{FF2B5EF4-FFF2-40B4-BE49-F238E27FC236}">
              <a16:creationId xmlns:a16="http://schemas.microsoft.com/office/drawing/2014/main" id="{C3A78527-5B0A-635D-2AA7-E1650E2234CE}"/>
            </a:ext>
          </a:extLst>
        </xdr:cNvPr>
        <xdr:cNvCxnSpPr/>
      </xdr:nvCxnSpPr>
      <xdr:spPr>
        <a:xfrm>
          <a:off x="7940040" y="28032711"/>
          <a:ext cx="0" cy="77660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124</xdr:row>
      <xdr:rowOff>6351</xdr:rowOff>
    </xdr:from>
    <xdr:to>
      <xdr:col>0</xdr:col>
      <xdr:colOff>0</xdr:colOff>
      <xdr:row>162</xdr:row>
      <xdr:rowOff>1</xdr:rowOff>
    </xdr:to>
    <xdr:cxnSp macro="">
      <xdr:nvCxnSpPr>
        <xdr:cNvPr id="4121" name="copy_rule_4121">
          <a:extLst>
            <a:ext uri="{FF2B5EF4-FFF2-40B4-BE49-F238E27FC236}">
              <a16:creationId xmlns:a16="http://schemas.microsoft.com/office/drawing/2014/main" id="{A35FA326-273E-55BD-1ACF-AC63133D9A0E}"/>
            </a:ext>
          </a:extLst>
        </xdr:cNvPr>
        <xdr:cNvCxnSpPr/>
      </xdr:nvCxnSpPr>
      <xdr:spPr>
        <a:xfrm>
          <a:off x="0" y="28032711"/>
          <a:ext cx="0" cy="77660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122</xdr:row>
      <xdr:rowOff>1</xdr:rowOff>
    </xdr:from>
    <xdr:to>
      <xdr:col>6</xdr:col>
      <xdr:colOff>0</xdr:colOff>
      <xdr:row>122</xdr:row>
      <xdr:rowOff>1</xdr:rowOff>
    </xdr:to>
    <xdr:cxnSp macro="">
      <xdr:nvCxnSpPr>
        <xdr:cNvPr id="4120" name="copy_rule_4120">
          <a:extLst>
            <a:ext uri="{FF2B5EF4-FFF2-40B4-BE49-F238E27FC236}">
              <a16:creationId xmlns:a16="http://schemas.microsoft.com/office/drawing/2014/main" id="{575C304E-1F3F-C968-37DF-1D0B06FE786A}"/>
            </a:ext>
          </a:extLst>
        </xdr:cNvPr>
        <xdr:cNvCxnSpPr/>
      </xdr:nvCxnSpPr>
      <xdr:spPr>
        <a:xfrm>
          <a:off x="0" y="27569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121</xdr:row>
      <xdr:rowOff>1</xdr:rowOff>
    </xdr:from>
    <xdr:to>
      <xdr:col>6</xdr:col>
      <xdr:colOff>0</xdr:colOff>
      <xdr:row>121</xdr:row>
      <xdr:rowOff>1</xdr:rowOff>
    </xdr:to>
    <xdr:cxnSp macro="">
      <xdr:nvCxnSpPr>
        <xdr:cNvPr id="4119" name="copy_rule_4119">
          <a:extLst>
            <a:ext uri="{FF2B5EF4-FFF2-40B4-BE49-F238E27FC236}">
              <a16:creationId xmlns:a16="http://schemas.microsoft.com/office/drawing/2014/main" id="{CB03DA8B-28FB-B6DC-97B8-266A70BE5A64}"/>
            </a:ext>
          </a:extLst>
        </xdr:cNvPr>
        <xdr:cNvCxnSpPr/>
      </xdr:nvCxnSpPr>
      <xdr:spPr>
        <a:xfrm>
          <a:off x="0" y="27340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120</xdr:row>
      <xdr:rowOff>1</xdr:rowOff>
    </xdr:from>
    <xdr:to>
      <xdr:col>6</xdr:col>
      <xdr:colOff>0</xdr:colOff>
      <xdr:row>120</xdr:row>
      <xdr:rowOff>1</xdr:rowOff>
    </xdr:to>
    <xdr:cxnSp macro="">
      <xdr:nvCxnSpPr>
        <xdr:cNvPr id="4118" name="copy_rule_4118">
          <a:extLst>
            <a:ext uri="{FF2B5EF4-FFF2-40B4-BE49-F238E27FC236}">
              <a16:creationId xmlns:a16="http://schemas.microsoft.com/office/drawing/2014/main" id="{74B67CF6-5160-203C-54EB-14DF22C98F62}"/>
            </a:ext>
          </a:extLst>
        </xdr:cNvPr>
        <xdr:cNvCxnSpPr/>
      </xdr:nvCxnSpPr>
      <xdr:spPr>
        <a:xfrm>
          <a:off x="0" y="27111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119</xdr:row>
      <xdr:rowOff>1</xdr:rowOff>
    </xdr:from>
    <xdr:to>
      <xdr:col>6</xdr:col>
      <xdr:colOff>0</xdr:colOff>
      <xdr:row>119</xdr:row>
      <xdr:rowOff>1</xdr:rowOff>
    </xdr:to>
    <xdr:cxnSp macro="">
      <xdr:nvCxnSpPr>
        <xdr:cNvPr id="4117" name="copy_rule_4117">
          <a:extLst>
            <a:ext uri="{FF2B5EF4-FFF2-40B4-BE49-F238E27FC236}">
              <a16:creationId xmlns:a16="http://schemas.microsoft.com/office/drawing/2014/main" id="{1F48B61F-0B53-99CD-1E3C-AC89896EF72C}"/>
            </a:ext>
          </a:extLst>
        </xdr:cNvPr>
        <xdr:cNvCxnSpPr/>
      </xdr:nvCxnSpPr>
      <xdr:spPr>
        <a:xfrm>
          <a:off x="0" y="26883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118</xdr:row>
      <xdr:rowOff>1</xdr:rowOff>
    </xdr:from>
    <xdr:to>
      <xdr:col>6</xdr:col>
      <xdr:colOff>0</xdr:colOff>
      <xdr:row>118</xdr:row>
      <xdr:rowOff>1</xdr:rowOff>
    </xdr:to>
    <xdr:cxnSp macro="">
      <xdr:nvCxnSpPr>
        <xdr:cNvPr id="4116" name="copy_rule_4116">
          <a:extLst>
            <a:ext uri="{FF2B5EF4-FFF2-40B4-BE49-F238E27FC236}">
              <a16:creationId xmlns:a16="http://schemas.microsoft.com/office/drawing/2014/main" id="{DD90DDB8-7450-4418-2584-A4FC3CFC0949}"/>
            </a:ext>
          </a:extLst>
        </xdr:cNvPr>
        <xdr:cNvCxnSpPr/>
      </xdr:nvCxnSpPr>
      <xdr:spPr>
        <a:xfrm>
          <a:off x="0" y="26654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117</xdr:row>
      <xdr:rowOff>1</xdr:rowOff>
    </xdr:from>
    <xdr:to>
      <xdr:col>6</xdr:col>
      <xdr:colOff>0</xdr:colOff>
      <xdr:row>117</xdr:row>
      <xdr:rowOff>1</xdr:rowOff>
    </xdr:to>
    <xdr:cxnSp macro="">
      <xdr:nvCxnSpPr>
        <xdr:cNvPr id="4115" name="copy_rule_4115">
          <a:extLst>
            <a:ext uri="{FF2B5EF4-FFF2-40B4-BE49-F238E27FC236}">
              <a16:creationId xmlns:a16="http://schemas.microsoft.com/office/drawing/2014/main" id="{DA60F29D-F5D7-92FC-E5FC-1073BBC7D11A}"/>
            </a:ext>
          </a:extLst>
        </xdr:cNvPr>
        <xdr:cNvCxnSpPr/>
      </xdr:nvCxnSpPr>
      <xdr:spPr>
        <a:xfrm>
          <a:off x="0" y="26426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115</xdr:row>
      <xdr:rowOff>1</xdr:rowOff>
    </xdr:from>
    <xdr:to>
      <xdr:col>6</xdr:col>
      <xdr:colOff>0</xdr:colOff>
      <xdr:row>115</xdr:row>
      <xdr:rowOff>1</xdr:rowOff>
    </xdr:to>
    <xdr:cxnSp macro="">
      <xdr:nvCxnSpPr>
        <xdr:cNvPr id="4114" name="copy_rule_4114">
          <a:extLst>
            <a:ext uri="{FF2B5EF4-FFF2-40B4-BE49-F238E27FC236}">
              <a16:creationId xmlns:a16="http://schemas.microsoft.com/office/drawing/2014/main" id="{D1CBED96-7A37-CDC3-10F7-C112097A889E}"/>
            </a:ext>
          </a:extLst>
        </xdr:cNvPr>
        <xdr:cNvCxnSpPr/>
      </xdr:nvCxnSpPr>
      <xdr:spPr>
        <a:xfrm>
          <a:off x="0" y="25968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114</xdr:row>
      <xdr:rowOff>1</xdr:rowOff>
    </xdr:from>
    <xdr:to>
      <xdr:col>6</xdr:col>
      <xdr:colOff>0</xdr:colOff>
      <xdr:row>114</xdr:row>
      <xdr:rowOff>1</xdr:rowOff>
    </xdr:to>
    <xdr:cxnSp macro="">
      <xdr:nvCxnSpPr>
        <xdr:cNvPr id="4113" name="copy_rule_4113">
          <a:extLst>
            <a:ext uri="{FF2B5EF4-FFF2-40B4-BE49-F238E27FC236}">
              <a16:creationId xmlns:a16="http://schemas.microsoft.com/office/drawing/2014/main" id="{590F6207-1C58-F23C-09EE-5CDB62408174}"/>
            </a:ext>
          </a:extLst>
        </xdr:cNvPr>
        <xdr:cNvCxnSpPr/>
      </xdr:nvCxnSpPr>
      <xdr:spPr>
        <a:xfrm>
          <a:off x="0" y="25740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113</xdr:row>
      <xdr:rowOff>1</xdr:rowOff>
    </xdr:from>
    <xdr:to>
      <xdr:col>6</xdr:col>
      <xdr:colOff>0</xdr:colOff>
      <xdr:row>113</xdr:row>
      <xdr:rowOff>1</xdr:rowOff>
    </xdr:to>
    <xdr:cxnSp macro="">
      <xdr:nvCxnSpPr>
        <xdr:cNvPr id="4112" name="copy_rule_4112">
          <a:extLst>
            <a:ext uri="{FF2B5EF4-FFF2-40B4-BE49-F238E27FC236}">
              <a16:creationId xmlns:a16="http://schemas.microsoft.com/office/drawing/2014/main" id="{BE689664-1D36-62BC-701D-E497435E284B}"/>
            </a:ext>
          </a:extLst>
        </xdr:cNvPr>
        <xdr:cNvCxnSpPr/>
      </xdr:nvCxnSpPr>
      <xdr:spPr>
        <a:xfrm>
          <a:off x="0" y="25511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111</xdr:row>
      <xdr:rowOff>1</xdr:rowOff>
    </xdr:from>
    <xdr:to>
      <xdr:col>6</xdr:col>
      <xdr:colOff>0</xdr:colOff>
      <xdr:row>111</xdr:row>
      <xdr:rowOff>1</xdr:rowOff>
    </xdr:to>
    <xdr:cxnSp macro="">
      <xdr:nvCxnSpPr>
        <xdr:cNvPr id="4111" name="copy_rule_4111">
          <a:extLst>
            <a:ext uri="{FF2B5EF4-FFF2-40B4-BE49-F238E27FC236}">
              <a16:creationId xmlns:a16="http://schemas.microsoft.com/office/drawing/2014/main" id="{DECAD2ED-3865-45A3-BCD7-694C0455B15A}"/>
            </a:ext>
          </a:extLst>
        </xdr:cNvPr>
        <xdr:cNvCxnSpPr/>
      </xdr:nvCxnSpPr>
      <xdr:spPr>
        <a:xfrm>
          <a:off x="0" y="25054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110</xdr:row>
      <xdr:rowOff>1</xdr:rowOff>
    </xdr:from>
    <xdr:to>
      <xdr:col>6</xdr:col>
      <xdr:colOff>0</xdr:colOff>
      <xdr:row>110</xdr:row>
      <xdr:rowOff>1</xdr:rowOff>
    </xdr:to>
    <xdr:cxnSp macro="">
      <xdr:nvCxnSpPr>
        <xdr:cNvPr id="4110" name="copy_rule_4110">
          <a:extLst>
            <a:ext uri="{FF2B5EF4-FFF2-40B4-BE49-F238E27FC236}">
              <a16:creationId xmlns:a16="http://schemas.microsoft.com/office/drawing/2014/main" id="{35A48802-4BA6-F758-4E18-A6B78C0FA399}"/>
            </a:ext>
          </a:extLst>
        </xdr:cNvPr>
        <xdr:cNvCxnSpPr/>
      </xdr:nvCxnSpPr>
      <xdr:spPr>
        <a:xfrm>
          <a:off x="0" y="24825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109</xdr:row>
      <xdr:rowOff>1</xdr:rowOff>
    </xdr:from>
    <xdr:to>
      <xdr:col>6</xdr:col>
      <xdr:colOff>0</xdr:colOff>
      <xdr:row>109</xdr:row>
      <xdr:rowOff>1</xdr:rowOff>
    </xdr:to>
    <xdr:cxnSp macro="">
      <xdr:nvCxnSpPr>
        <xdr:cNvPr id="4109" name="copy_rule_4109">
          <a:extLst>
            <a:ext uri="{FF2B5EF4-FFF2-40B4-BE49-F238E27FC236}">
              <a16:creationId xmlns:a16="http://schemas.microsoft.com/office/drawing/2014/main" id="{78ED56D2-6CE5-A753-86CA-0A6744C86743}"/>
            </a:ext>
          </a:extLst>
        </xdr:cNvPr>
        <xdr:cNvCxnSpPr/>
      </xdr:nvCxnSpPr>
      <xdr:spPr>
        <a:xfrm>
          <a:off x="0" y="24597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108</xdr:row>
      <xdr:rowOff>1</xdr:rowOff>
    </xdr:from>
    <xdr:to>
      <xdr:col>6</xdr:col>
      <xdr:colOff>0</xdr:colOff>
      <xdr:row>108</xdr:row>
      <xdr:rowOff>1</xdr:rowOff>
    </xdr:to>
    <xdr:cxnSp macro="">
      <xdr:nvCxnSpPr>
        <xdr:cNvPr id="4108" name="copy_rule_4108">
          <a:extLst>
            <a:ext uri="{FF2B5EF4-FFF2-40B4-BE49-F238E27FC236}">
              <a16:creationId xmlns:a16="http://schemas.microsoft.com/office/drawing/2014/main" id="{3C43833C-89A5-EB14-30F0-A82AB1F3D543}"/>
            </a:ext>
          </a:extLst>
        </xdr:cNvPr>
        <xdr:cNvCxnSpPr/>
      </xdr:nvCxnSpPr>
      <xdr:spPr>
        <a:xfrm>
          <a:off x="0" y="24368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88</xdr:row>
      <xdr:rowOff>1</xdr:rowOff>
    </xdr:from>
    <xdr:to>
      <xdr:col>6</xdr:col>
      <xdr:colOff>0</xdr:colOff>
      <xdr:row>88</xdr:row>
      <xdr:rowOff>1</xdr:rowOff>
    </xdr:to>
    <xdr:cxnSp macro="">
      <xdr:nvCxnSpPr>
        <xdr:cNvPr id="4107" name="copy_rule_4107">
          <a:extLst>
            <a:ext uri="{FF2B5EF4-FFF2-40B4-BE49-F238E27FC236}">
              <a16:creationId xmlns:a16="http://schemas.microsoft.com/office/drawing/2014/main" id="{1FC2AA02-9464-4D70-3595-7506D42CD418}"/>
            </a:ext>
          </a:extLst>
        </xdr:cNvPr>
        <xdr:cNvCxnSpPr/>
      </xdr:nvCxnSpPr>
      <xdr:spPr>
        <a:xfrm>
          <a:off x="0" y="19796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87</xdr:row>
      <xdr:rowOff>1</xdr:rowOff>
    </xdr:from>
    <xdr:to>
      <xdr:col>6</xdr:col>
      <xdr:colOff>0</xdr:colOff>
      <xdr:row>87</xdr:row>
      <xdr:rowOff>1</xdr:rowOff>
    </xdr:to>
    <xdr:cxnSp macro="">
      <xdr:nvCxnSpPr>
        <xdr:cNvPr id="4106" name="copy_rule_4106">
          <a:extLst>
            <a:ext uri="{FF2B5EF4-FFF2-40B4-BE49-F238E27FC236}">
              <a16:creationId xmlns:a16="http://schemas.microsoft.com/office/drawing/2014/main" id="{F600B420-66CA-5C4C-ABB6-6C1A10AA3FBF}"/>
            </a:ext>
          </a:extLst>
        </xdr:cNvPr>
        <xdr:cNvCxnSpPr/>
      </xdr:nvCxnSpPr>
      <xdr:spPr>
        <a:xfrm>
          <a:off x="0" y="19568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86</xdr:row>
      <xdr:rowOff>1</xdr:rowOff>
    </xdr:from>
    <xdr:to>
      <xdr:col>6</xdr:col>
      <xdr:colOff>0</xdr:colOff>
      <xdr:row>86</xdr:row>
      <xdr:rowOff>1</xdr:rowOff>
    </xdr:to>
    <xdr:cxnSp macro="">
      <xdr:nvCxnSpPr>
        <xdr:cNvPr id="4105" name="copy_rule_4105">
          <a:extLst>
            <a:ext uri="{FF2B5EF4-FFF2-40B4-BE49-F238E27FC236}">
              <a16:creationId xmlns:a16="http://schemas.microsoft.com/office/drawing/2014/main" id="{170C867C-BDA8-C017-E81F-26D25904C0C3}"/>
            </a:ext>
          </a:extLst>
        </xdr:cNvPr>
        <xdr:cNvCxnSpPr/>
      </xdr:nvCxnSpPr>
      <xdr:spPr>
        <a:xfrm>
          <a:off x="0" y="19339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85</xdr:row>
      <xdr:rowOff>1</xdr:rowOff>
    </xdr:from>
    <xdr:to>
      <xdr:col>6</xdr:col>
      <xdr:colOff>0</xdr:colOff>
      <xdr:row>85</xdr:row>
      <xdr:rowOff>1</xdr:rowOff>
    </xdr:to>
    <xdr:cxnSp macro="">
      <xdr:nvCxnSpPr>
        <xdr:cNvPr id="4104" name="copy_rule_4104">
          <a:extLst>
            <a:ext uri="{FF2B5EF4-FFF2-40B4-BE49-F238E27FC236}">
              <a16:creationId xmlns:a16="http://schemas.microsoft.com/office/drawing/2014/main" id="{85A2BB2B-90ED-C5E7-BDD8-C76C666C9159}"/>
            </a:ext>
          </a:extLst>
        </xdr:cNvPr>
        <xdr:cNvCxnSpPr/>
      </xdr:nvCxnSpPr>
      <xdr:spPr>
        <a:xfrm>
          <a:off x="0" y="19110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0</xdr:colOff>
      <xdr:row>84</xdr:row>
      <xdr:rowOff>6351</xdr:rowOff>
    </xdr:from>
    <xdr:to>
      <xdr:col>6</xdr:col>
      <xdr:colOff>0</xdr:colOff>
      <xdr:row>122</xdr:row>
      <xdr:rowOff>1</xdr:rowOff>
    </xdr:to>
    <xdr:cxnSp macro="">
      <xdr:nvCxnSpPr>
        <xdr:cNvPr id="4103" name="copy_rule_4103">
          <a:extLst>
            <a:ext uri="{FF2B5EF4-FFF2-40B4-BE49-F238E27FC236}">
              <a16:creationId xmlns:a16="http://schemas.microsoft.com/office/drawing/2014/main" id="{EE202885-6537-3A25-5F9A-0DDBE98CACD5}"/>
            </a:ext>
          </a:extLst>
        </xdr:cNvPr>
        <xdr:cNvCxnSpPr/>
      </xdr:nvCxnSpPr>
      <xdr:spPr>
        <a:xfrm>
          <a:off x="7940040" y="18888711"/>
          <a:ext cx="0" cy="86804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84</xdr:row>
      <xdr:rowOff>6351</xdr:rowOff>
    </xdr:from>
    <xdr:to>
      <xdr:col>0</xdr:col>
      <xdr:colOff>0</xdr:colOff>
      <xdr:row>122</xdr:row>
      <xdr:rowOff>1</xdr:rowOff>
    </xdr:to>
    <xdr:cxnSp macro="">
      <xdr:nvCxnSpPr>
        <xdr:cNvPr id="4102" name="copy_rule_4102">
          <a:extLst>
            <a:ext uri="{FF2B5EF4-FFF2-40B4-BE49-F238E27FC236}">
              <a16:creationId xmlns:a16="http://schemas.microsoft.com/office/drawing/2014/main" id="{4E7EA0FA-A8B7-5B1A-6624-0F58B1D2FAB1}"/>
            </a:ext>
          </a:extLst>
        </xdr:cNvPr>
        <xdr:cNvCxnSpPr/>
      </xdr:nvCxnSpPr>
      <xdr:spPr>
        <a:xfrm>
          <a:off x="0" y="18888711"/>
          <a:ext cx="0" cy="86804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82</xdr:row>
      <xdr:rowOff>1</xdr:rowOff>
    </xdr:from>
    <xdr:to>
      <xdr:col>6</xdr:col>
      <xdr:colOff>0</xdr:colOff>
      <xdr:row>82</xdr:row>
      <xdr:rowOff>1</xdr:rowOff>
    </xdr:to>
    <xdr:cxnSp macro="">
      <xdr:nvCxnSpPr>
        <xdr:cNvPr id="4101" name="copy_rule_4101">
          <a:extLst>
            <a:ext uri="{FF2B5EF4-FFF2-40B4-BE49-F238E27FC236}">
              <a16:creationId xmlns:a16="http://schemas.microsoft.com/office/drawing/2014/main" id="{5CA9A8FC-74DB-7CF4-B2C5-33D784DF917C}"/>
            </a:ext>
          </a:extLst>
        </xdr:cNvPr>
        <xdr:cNvCxnSpPr/>
      </xdr:nvCxnSpPr>
      <xdr:spPr>
        <a:xfrm>
          <a:off x="0" y="18425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81</xdr:row>
      <xdr:rowOff>1</xdr:rowOff>
    </xdr:from>
    <xdr:to>
      <xdr:col>6</xdr:col>
      <xdr:colOff>0</xdr:colOff>
      <xdr:row>81</xdr:row>
      <xdr:rowOff>1</xdr:rowOff>
    </xdr:to>
    <xdr:cxnSp macro="">
      <xdr:nvCxnSpPr>
        <xdr:cNvPr id="4100" name="copy_rule_4100">
          <a:extLst>
            <a:ext uri="{FF2B5EF4-FFF2-40B4-BE49-F238E27FC236}">
              <a16:creationId xmlns:a16="http://schemas.microsoft.com/office/drawing/2014/main" id="{05806906-BC8E-8C92-6209-0A2A3CAE94DF}"/>
            </a:ext>
          </a:extLst>
        </xdr:cNvPr>
        <xdr:cNvCxnSpPr/>
      </xdr:nvCxnSpPr>
      <xdr:spPr>
        <a:xfrm>
          <a:off x="0" y="18196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80</xdr:row>
      <xdr:rowOff>1</xdr:rowOff>
    </xdr:from>
    <xdr:to>
      <xdr:col>6</xdr:col>
      <xdr:colOff>0</xdr:colOff>
      <xdr:row>80</xdr:row>
      <xdr:rowOff>1</xdr:rowOff>
    </xdr:to>
    <xdr:cxnSp macro="">
      <xdr:nvCxnSpPr>
        <xdr:cNvPr id="4099" name="copy_rule_4099">
          <a:extLst>
            <a:ext uri="{FF2B5EF4-FFF2-40B4-BE49-F238E27FC236}">
              <a16:creationId xmlns:a16="http://schemas.microsoft.com/office/drawing/2014/main" id="{42B9578E-037A-B65E-EEBE-7BC76F3BCF86}"/>
            </a:ext>
          </a:extLst>
        </xdr:cNvPr>
        <xdr:cNvCxnSpPr/>
      </xdr:nvCxnSpPr>
      <xdr:spPr>
        <a:xfrm>
          <a:off x="0" y="17967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79</xdr:row>
      <xdr:rowOff>1</xdr:rowOff>
    </xdr:from>
    <xdr:to>
      <xdr:col>6</xdr:col>
      <xdr:colOff>0</xdr:colOff>
      <xdr:row>79</xdr:row>
      <xdr:rowOff>1</xdr:rowOff>
    </xdr:to>
    <xdr:cxnSp macro="">
      <xdr:nvCxnSpPr>
        <xdr:cNvPr id="4098" name="copy_rule_4098">
          <a:extLst>
            <a:ext uri="{FF2B5EF4-FFF2-40B4-BE49-F238E27FC236}">
              <a16:creationId xmlns:a16="http://schemas.microsoft.com/office/drawing/2014/main" id="{A975992E-F0DC-8467-9F90-3E55E785F721}"/>
            </a:ext>
          </a:extLst>
        </xdr:cNvPr>
        <xdr:cNvCxnSpPr/>
      </xdr:nvCxnSpPr>
      <xdr:spPr>
        <a:xfrm>
          <a:off x="0" y="17739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78</xdr:row>
      <xdr:rowOff>1</xdr:rowOff>
    </xdr:from>
    <xdr:to>
      <xdr:col>6</xdr:col>
      <xdr:colOff>0</xdr:colOff>
      <xdr:row>78</xdr:row>
      <xdr:rowOff>1</xdr:rowOff>
    </xdr:to>
    <xdr:cxnSp macro="">
      <xdr:nvCxnSpPr>
        <xdr:cNvPr id="4096" name="copy_rule_4096">
          <a:extLst>
            <a:ext uri="{FF2B5EF4-FFF2-40B4-BE49-F238E27FC236}">
              <a16:creationId xmlns:a16="http://schemas.microsoft.com/office/drawing/2014/main" id="{8C13B4A2-7B64-1A9C-4C29-C37D570BA0E5}"/>
            </a:ext>
          </a:extLst>
        </xdr:cNvPr>
        <xdr:cNvCxnSpPr/>
      </xdr:nvCxnSpPr>
      <xdr:spPr>
        <a:xfrm>
          <a:off x="0" y="17510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77</xdr:row>
      <xdr:rowOff>1</xdr:rowOff>
    </xdr:from>
    <xdr:to>
      <xdr:col>6</xdr:col>
      <xdr:colOff>0</xdr:colOff>
      <xdr:row>77</xdr:row>
      <xdr:rowOff>1</xdr:rowOff>
    </xdr:to>
    <xdr:cxnSp macro="">
      <xdr:nvCxnSpPr>
        <xdr:cNvPr id="63" name="copy_rule_63">
          <a:extLst>
            <a:ext uri="{FF2B5EF4-FFF2-40B4-BE49-F238E27FC236}">
              <a16:creationId xmlns:a16="http://schemas.microsoft.com/office/drawing/2014/main" id="{DC7F0DD2-6D92-68E2-8EE4-76ADCD146E72}"/>
            </a:ext>
          </a:extLst>
        </xdr:cNvPr>
        <xdr:cNvCxnSpPr/>
      </xdr:nvCxnSpPr>
      <xdr:spPr>
        <a:xfrm>
          <a:off x="0" y="17282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76</xdr:row>
      <xdr:rowOff>1</xdr:rowOff>
    </xdr:from>
    <xdr:to>
      <xdr:col>6</xdr:col>
      <xdr:colOff>0</xdr:colOff>
      <xdr:row>76</xdr:row>
      <xdr:rowOff>1</xdr:rowOff>
    </xdr:to>
    <xdr:cxnSp macro="">
      <xdr:nvCxnSpPr>
        <xdr:cNvPr id="62" name="copy_rule_62">
          <a:extLst>
            <a:ext uri="{FF2B5EF4-FFF2-40B4-BE49-F238E27FC236}">
              <a16:creationId xmlns:a16="http://schemas.microsoft.com/office/drawing/2014/main" id="{E9B53442-16CD-5A20-FC70-141022C71F40}"/>
            </a:ext>
          </a:extLst>
        </xdr:cNvPr>
        <xdr:cNvCxnSpPr/>
      </xdr:nvCxnSpPr>
      <xdr:spPr>
        <a:xfrm>
          <a:off x="0" y="17053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74</xdr:row>
      <xdr:rowOff>1</xdr:rowOff>
    </xdr:from>
    <xdr:to>
      <xdr:col>6</xdr:col>
      <xdr:colOff>0</xdr:colOff>
      <xdr:row>74</xdr:row>
      <xdr:rowOff>1</xdr:rowOff>
    </xdr:to>
    <xdr:cxnSp macro="">
      <xdr:nvCxnSpPr>
        <xdr:cNvPr id="61" name="copy_rule_61">
          <a:extLst>
            <a:ext uri="{FF2B5EF4-FFF2-40B4-BE49-F238E27FC236}">
              <a16:creationId xmlns:a16="http://schemas.microsoft.com/office/drawing/2014/main" id="{1ED3078E-CE18-9658-4102-AEC69A7F628A}"/>
            </a:ext>
          </a:extLst>
        </xdr:cNvPr>
        <xdr:cNvCxnSpPr/>
      </xdr:nvCxnSpPr>
      <xdr:spPr>
        <a:xfrm>
          <a:off x="0" y="16596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73</xdr:row>
      <xdr:rowOff>1</xdr:rowOff>
    </xdr:from>
    <xdr:to>
      <xdr:col>6</xdr:col>
      <xdr:colOff>0</xdr:colOff>
      <xdr:row>73</xdr:row>
      <xdr:rowOff>1</xdr:rowOff>
    </xdr:to>
    <xdr:cxnSp macro="">
      <xdr:nvCxnSpPr>
        <xdr:cNvPr id="60" name="copy_rule_60">
          <a:extLst>
            <a:ext uri="{FF2B5EF4-FFF2-40B4-BE49-F238E27FC236}">
              <a16:creationId xmlns:a16="http://schemas.microsoft.com/office/drawing/2014/main" id="{AFFB7C28-91F0-46EC-C5AD-C59ED7855A50}"/>
            </a:ext>
          </a:extLst>
        </xdr:cNvPr>
        <xdr:cNvCxnSpPr/>
      </xdr:nvCxnSpPr>
      <xdr:spPr>
        <a:xfrm>
          <a:off x="0" y="16367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68</xdr:row>
      <xdr:rowOff>1</xdr:rowOff>
    </xdr:from>
    <xdr:to>
      <xdr:col>6</xdr:col>
      <xdr:colOff>0</xdr:colOff>
      <xdr:row>68</xdr:row>
      <xdr:rowOff>1</xdr:rowOff>
    </xdr:to>
    <xdr:cxnSp macro="">
      <xdr:nvCxnSpPr>
        <xdr:cNvPr id="59" name="copy_rule_59">
          <a:extLst>
            <a:ext uri="{FF2B5EF4-FFF2-40B4-BE49-F238E27FC236}">
              <a16:creationId xmlns:a16="http://schemas.microsoft.com/office/drawing/2014/main" id="{CD470BB9-244A-B742-E1BE-CCF7E5CF981E}"/>
            </a:ext>
          </a:extLst>
        </xdr:cNvPr>
        <xdr:cNvCxnSpPr/>
      </xdr:nvCxnSpPr>
      <xdr:spPr>
        <a:xfrm>
          <a:off x="0" y="16139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67</xdr:row>
      <xdr:rowOff>1</xdr:rowOff>
    </xdr:from>
    <xdr:to>
      <xdr:col>6</xdr:col>
      <xdr:colOff>0</xdr:colOff>
      <xdr:row>67</xdr:row>
      <xdr:rowOff>1</xdr:rowOff>
    </xdr:to>
    <xdr:cxnSp macro="">
      <xdr:nvCxnSpPr>
        <xdr:cNvPr id="58" name="copy_rule_58">
          <a:extLst>
            <a:ext uri="{FF2B5EF4-FFF2-40B4-BE49-F238E27FC236}">
              <a16:creationId xmlns:a16="http://schemas.microsoft.com/office/drawing/2014/main" id="{1DB19A20-23D4-5ED1-697C-DCB987A9D698}"/>
            </a:ext>
          </a:extLst>
        </xdr:cNvPr>
        <xdr:cNvCxnSpPr/>
      </xdr:nvCxnSpPr>
      <xdr:spPr>
        <a:xfrm>
          <a:off x="0" y="15910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66</xdr:row>
      <xdr:rowOff>1</xdr:rowOff>
    </xdr:from>
    <xdr:to>
      <xdr:col>6</xdr:col>
      <xdr:colOff>0</xdr:colOff>
      <xdr:row>66</xdr:row>
      <xdr:rowOff>1</xdr:rowOff>
    </xdr:to>
    <xdr:cxnSp macro="">
      <xdr:nvCxnSpPr>
        <xdr:cNvPr id="57" name="copy_rule_57">
          <a:extLst>
            <a:ext uri="{FF2B5EF4-FFF2-40B4-BE49-F238E27FC236}">
              <a16:creationId xmlns:a16="http://schemas.microsoft.com/office/drawing/2014/main" id="{A72B2C51-6D8E-A0F1-26AB-7F865E2D511D}"/>
            </a:ext>
          </a:extLst>
        </xdr:cNvPr>
        <xdr:cNvCxnSpPr/>
      </xdr:nvCxnSpPr>
      <xdr:spPr>
        <a:xfrm>
          <a:off x="0" y="15681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65</xdr:row>
      <xdr:rowOff>1</xdr:rowOff>
    </xdr:from>
    <xdr:to>
      <xdr:col>6</xdr:col>
      <xdr:colOff>0</xdr:colOff>
      <xdr:row>65</xdr:row>
      <xdr:rowOff>1</xdr:rowOff>
    </xdr:to>
    <xdr:cxnSp macro="">
      <xdr:nvCxnSpPr>
        <xdr:cNvPr id="56" name="copy_rule_56">
          <a:extLst>
            <a:ext uri="{FF2B5EF4-FFF2-40B4-BE49-F238E27FC236}">
              <a16:creationId xmlns:a16="http://schemas.microsoft.com/office/drawing/2014/main" id="{D61C466A-820B-C924-5B2E-F2ACECFAAA87}"/>
            </a:ext>
          </a:extLst>
        </xdr:cNvPr>
        <xdr:cNvCxnSpPr/>
      </xdr:nvCxnSpPr>
      <xdr:spPr>
        <a:xfrm>
          <a:off x="0" y="15453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64</xdr:row>
      <xdr:rowOff>1</xdr:rowOff>
    </xdr:from>
    <xdr:to>
      <xdr:col>6</xdr:col>
      <xdr:colOff>0</xdr:colOff>
      <xdr:row>64</xdr:row>
      <xdr:rowOff>1</xdr:rowOff>
    </xdr:to>
    <xdr:cxnSp macro="">
      <xdr:nvCxnSpPr>
        <xdr:cNvPr id="55" name="copy_rule_55">
          <a:extLst>
            <a:ext uri="{FF2B5EF4-FFF2-40B4-BE49-F238E27FC236}">
              <a16:creationId xmlns:a16="http://schemas.microsoft.com/office/drawing/2014/main" id="{27211173-8574-63D7-4221-A0836FBCF150}"/>
            </a:ext>
          </a:extLst>
        </xdr:cNvPr>
        <xdr:cNvCxnSpPr/>
      </xdr:nvCxnSpPr>
      <xdr:spPr>
        <a:xfrm>
          <a:off x="0" y="15224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63</xdr:row>
      <xdr:rowOff>1</xdr:rowOff>
    </xdr:from>
    <xdr:to>
      <xdr:col>6</xdr:col>
      <xdr:colOff>0</xdr:colOff>
      <xdr:row>63</xdr:row>
      <xdr:rowOff>1</xdr:rowOff>
    </xdr:to>
    <xdr:cxnSp macro="">
      <xdr:nvCxnSpPr>
        <xdr:cNvPr id="54" name="copy_rule_54">
          <a:extLst>
            <a:ext uri="{FF2B5EF4-FFF2-40B4-BE49-F238E27FC236}">
              <a16:creationId xmlns:a16="http://schemas.microsoft.com/office/drawing/2014/main" id="{F8BB0C1E-1540-2A08-4E24-A3542D5C0A4E}"/>
            </a:ext>
          </a:extLst>
        </xdr:cNvPr>
        <xdr:cNvCxnSpPr/>
      </xdr:nvCxnSpPr>
      <xdr:spPr>
        <a:xfrm>
          <a:off x="0" y="149961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62</xdr:row>
      <xdr:rowOff>1</xdr:rowOff>
    </xdr:from>
    <xdr:to>
      <xdr:col>6</xdr:col>
      <xdr:colOff>0</xdr:colOff>
      <xdr:row>62</xdr:row>
      <xdr:rowOff>1</xdr:rowOff>
    </xdr:to>
    <xdr:cxnSp macro="">
      <xdr:nvCxnSpPr>
        <xdr:cNvPr id="53" name="copy_rule_53">
          <a:extLst>
            <a:ext uri="{FF2B5EF4-FFF2-40B4-BE49-F238E27FC236}">
              <a16:creationId xmlns:a16="http://schemas.microsoft.com/office/drawing/2014/main" id="{7A05ECDC-4F2D-B597-8A18-6F7942E94FE6}"/>
            </a:ext>
          </a:extLst>
        </xdr:cNvPr>
        <xdr:cNvCxnSpPr/>
      </xdr:nvCxnSpPr>
      <xdr:spPr>
        <a:xfrm>
          <a:off x="0" y="147675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61</xdr:row>
      <xdr:rowOff>1</xdr:rowOff>
    </xdr:from>
    <xdr:to>
      <xdr:col>6</xdr:col>
      <xdr:colOff>0</xdr:colOff>
      <xdr:row>61</xdr:row>
      <xdr:rowOff>1</xdr:rowOff>
    </xdr:to>
    <xdr:cxnSp macro="">
      <xdr:nvCxnSpPr>
        <xdr:cNvPr id="52" name="copy_rule_52">
          <a:extLst>
            <a:ext uri="{FF2B5EF4-FFF2-40B4-BE49-F238E27FC236}">
              <a16:creationId xmlns:a16="http://schemas.microsoft.com/office/drawing/2014/main" id="{00A5D4E4-442B-A025-97AD-27B9125050D1}"/>
            </a:ext>
          </a:extLst>
        </xdr:cNvPr>
        <xdr:cNvCxnSpPr/>
      </xdr:nvCxnSpPr>
      <xdr:spPr>
        <a:xfrm>
          <a:off x="0" y="145389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60</xdr:row>
      <xdr:rowOff>1</xdr:rowOff>
    </xdr:from>
    <xdr:to>
      <xdr:col>6</xdr:col>
      <xdr:colOff>0</xdr:colOff>
      <xdr:row>60</xdr:row>
      <xdr:rowOff>1</xdr:rowOff>
    </xdr:to>
    <xdr:cxnSp macro="">
      <xdr:nvCxnSpPr>
        <xdr:cNvPr id="51" name="copy_rule_51">
          <a:extLst>
            <a:ext uri="{FF2B5EF4-FFF2-40B4-BE49-F238E27FC236}">
              <a16:creationId xmlns:a16="http://schemas.microsoft.com/office/drawing/2014/main" id="{E5199890-F5D4-5B4F-87A2-A47210EB8506}"/>
            </a:ext>
          </a:extLst>
        </xdr:cNvPr>
        <xdr:cNvCxnSpPr/>
      </xdr:nvCxnSpPr>
      <xdr:spPr>
        <a:xfrm>
          <a:off x="0" y="143103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59</xdr:row>
      <xdr:rowOff>1</xdr:rowOff>
    </xdr:from>
    <xdr:to>
      <xdr:col>6</xdr:col>
      <xdr:colOff>0</xdr:colOff>
      <xdr:row>59</xdr:row>
      <xdr:rowOff>1</xdr:rowOff>
    </xdr:to>
    <xdr:cxnSp macro="">
      <xdr:nvCxnSpPr>
        <xdr:cNvPr id="50" name="copy_rule_50">
          <a:extLst>
            <a:ext uri="{FF2B5EF4-FFF2-40B4-BE49-F238E27FC236}">
              <a16:creationId xmlns:a16="http://schemas.microsoft.com/office/drawing/2014/main" id="{CB1F34D4-E53E-842E-3FEA-2480ED681F69}"/>
            </a:ext>
          </a:extLst>
        </xdr:cNvPr>
        <xdr:cNvCxnSpPr/>
      </xdr:nvCxnSpPr>
      <xdr:spPr>
        <a:xfrm>
          <a:off x="0" y="14081761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58</xdr:row>
      <xdr:rowOff>1</xdr:rowOff>
    </xdr:from>
    <xdr:to>
      <xdr:col>3</xdr:col>
      <xdr:colOff>0</xdr:colOff>
      <xdr:row>58</xdr:row>
      <xdr:rowOff>1</xdr:rowOff>
    </xdr:to>
    <xdr:cxnSp macro="">
      <xdr:nvCxnSpPr>
        <xdr:cNvPr id="49" name="copy_rule_49">
          <a:extLst>
            <a:ext uri="{FF2B5EF4-FFF2-40B4-BE49-F238E27FC236}">
              <a16:creationId xmlns:a16="http://schemas.microsoft.com/office/drawing/2014/main" id="{1CD09E70-5C09-8DD1-751A-94A6DDCD081C}"/>
            </a:ext>
          </a:extLst>
        </xdr:cNvPr>
        <xdr:cNvCxnSpPr/>
      </xdr:nvCxnSpPr>
      <xdr:spPr>
        <a:xfrm>
          <a:off x="0" y="13853161"/>
          <a:ext cx="389382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54</xdr:row>
      <xdr:rowOff>0</xdr:rowOff>
    </xdr:from>
    <xdr:to>
      <xdr:col>3</xdr:col>
      <xdr:colOff>0</xdr:colOff>
      <xdr:row>54</xdr:row>
      <xdr:rowOff>0</xdr:rowOff>
    </xdr:to>
    <xdr:cxnSp macro="">
      <xdr:nvCxnSpPr>
        <xdr:cNvPr id="48" name="copy_rule_48">
          <a:extLst>
            <a:ext uri="{FF2B5EF4-FFF2-40B4-BE49-F238E27FC236}">
              <a16:creationId xmlns:a16="http://schemas.microsoft.com/office/drawing/2014/main" id="{789B4715-A4CD-6846-F58C-0F129AA3B870}"/>
            </a:ext>
          </a:extLst>
        </xdr:cNvPr>
        <xdr:cNvCxnSpPr/>
      </xdr:nvCxnSpPr>
      <xdr:spPr>
        <a:xfrm>
          <a:off x="0" y="12938760"/>
          <a:ext cx="389382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53</xdr:row>
      <xdr:rowOff>0</xdr:rowOff>
    </xdr:from>
    <xdr:to>
      <xdr:col>3</xdr:col>
      <xdr:colOff>0</xdr:colOff>
      <xdr:row>53</xdr:row>
      <xdr:rowOff>0</xdr:rowOff>
    </xdr:to>
    <xdr:cxnSp macro="">
      <xdr:nvCxnSpPr>
        <xdr:cNvPr id="47" name="copy_rule_47">
          <a:extLst>
            <a:ext uri="{FF2B5EF4-FFF2-40B4-BE49-F238E27FC236}">
              <a16:creationId xmlns:a16="http://schemas.microsoft.com/office/drawing/2014/main" id="{CF0AB269-B9EB-38AD-81FE-C878D898DFF0}"/>
            </a:ext>
          </a:extLst>
        </xdr:cNvPr>
        <xdr:cNvCxnSpPr/>
      </xdr:nvCxnSpPr>
      <xdr:spPr>
        <a:xfrm>
          <a:off x="0" y="12710160"/>
          <a:ext cx="389382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46</xdr:row>
      <xdr:rowOff>0</xdr:rowOff>
    </xdr:from>
    <xdr:to>
      <xdr:col>3</xdr:col>
      <xdr:colOff>0</xdr:colOff>
      <xdr:row>46</xdr:row>
      <xdr:rowOff>0</xdr:rowOff>
    </xdr:to>
    <xdr:cxnSp macro="">
      <xdr:nvCxnSpPr>
        <xdr:cNvPr id="46" name="copy_rule_46">
          <a:extLst>
            <a:ext uri="{FF2B5EF4-FFF2-40B4-BE49-F238E27FC236}">
              <a16:creationId xmlns:a16="http://schemas.microsoft.com/office/drawing/2014/main" id="{AAF1E7C5-BCE4-97CC-A3CA-C4BF3E9AE752}"/>
            </a:ext>
          </a:extLst>
        </xdr:cNvPr>
        <xdr:cNvCxnSpPr/>
      </xdr:nvCxnSpPr>
      <xdr:spPr>
        <a:xfrm>
          <a:off x="0" y="11109960"/>
          <a:ext cx="389382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45</xdr:row>
      <xdr:rowOff>0</xdr:rowOff>
    </xdr:from>
    <xdr:to>
      <xdr:col>6</xdr:col>
      <xdr:colOff>0</xdr:colOff>
      <xdr:row>45</xdr:row>
      <xdr:rowOff>0</xdr:rowOff>
    </xdr:to>
    <xdr:cxnSp macro="">
      <xdr:nvCxnSpPr>
        <xdr:cNvPr id="45" name="copy_rule_45">
          <a:extLst>
            <a:ext uri="{FF2B5EF4-FFF2-40B4-BE49-F238E27FC236}">
              <a16:creationId xmlns:a16="http://schemas.microsoft.com/office/drawing/2014/main" id="{19CC0ACF-26EE-CBDD-E8BA-721B1EC2416D}"/>
            </a:ext>
          </a:extLst>
        </xdr:cNvPr>
        <xdr:cNvCxnSpPr/>
      </xdr:nvCxnSpPr>
      <xdr:spPr>
        <a:xfrm>
          <a:off x="0" y="10881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0</xdr:colOff>
      <xdr:row>44</xdr:row>
      <xdr:rowOff>6350</xdr:rowOff>
    </xdr:from>
    <xdr:to>
      <xdr:col>6</xdr:col>
      <xdr:colOff>0</xdr:colOff>
      <xdr:row>82</xdr:row>
      <xdr:rowOff>1</xdr:rowOff>
    </xdr:to>
    <xdr:cxnSp macro="">
      <xdr:nvCxnSpPr>
        <xdr:cNvPr id="44" name="copy_rule_44">
          <a:extLst>
            <a:ext uri="{FF2B5EF4-FFF2-40B4-BE49-F238E27FC236}">
              <a16:creationId xmlns:a16="http://schemas.microsoft.com/office/drawing/2014/main" id="{D901C880-3DAD-705D-F0D6-3461AF5160A2}"/>
            </a:ext>
          </a:extLst>
        </xdr:cNvPr>
        <xdr:cNvCxnSpPr/>
      </xdr:nvCxnSpPr>
      <xdr:spPr>
        <a:xfrm>
          <a:off x="7940040" y="10659110"/>
          <a:ext cx="0" cy="7766051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44</xdr:row>
      <xdr:rowOff>6350</xdr:rowOff>
    </xdr:from>
    <xdr:to>
      <xdr:col>0</xdr:col>
      <xdr:colOff>0</xdr:colOff>
      <xdr:row>82</xdr:row>
      <xdr:rowOff>1</xdr:rowOff>
    </xdr:to>
    <xdr:cxnSp macro="">
      <xdr:nvCxnSpPr>
        <xdr:cNvPr id="43" name="copy_rule_43">
          <a:extLst>
            <a:ext uri="{FF2B5EF4-FFF2-40B4-BE49-F238E27FC236}">
              <a16:creationId xmlns:a16="http://schemas.microsoft.com/office/drawing/2014/main" id="{0291AFA4-E8AB-E71E-36D0-9B86D7297922}"/>
            </a:ext>
          </a:extLst>
        </xdr:cNvPr>
        <xdr:cNvCxnSpPr/>
      </xdr:nvCxnSpPr>
      <xdr:spPr>
        <a:xfrm>
          <a:off x="0" y="10659110"/>
          <a:ext cx="0" cy="7766051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42" name="copy_rule_42">
          <a:extLst>
            <a:ext uri="{FF2B5EF4-FFF2-40B4-BE49-F238E27FC236}">
              <a16:creationId xmlns:a16="http://schemas.microsoft.com/office/drawing/2014/main" id="{D5D81250-C821-DA2A-0F61-7FBD83278204}"/>
            </a:ext>
          </a:extLst>
        </xdr:cNvPr>
        <xdr:cNvCxnSpPr/>
      </xdr:nvCxnSpPr>
      <xdr:spPr>
        <a:xfrm>
          <a:off x="0" y="10195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41</xdr:row>
      <xdr:rowOff>0</xdr:rowOff>
    </xdr:from>
    <xdr:to>
      <xdr:col>6</xdr:col>
      <xdr:colOff>0</xdr:colOff>
      <xdr:row>41</xdr:row>
      <xdr:rowOff>0</xdr:rowOff>
    </xdr:to>
    <xdr:cxnSp macro="">
      <xdr:nvCxnSpPr>
        <xdr:cNvPr id="41" name="copy_rule_41">
          <a:extLst>
            <a:ext uri="{FF2B5EF4-FFF2-40B4-BE49-F238E27FC236}">
              <a16:creationId xmlns:a16="http://schemas.microsoft.com/office/drawing/2014/main" id="{4455753C-90DE-0C50-7011-FBC8098706DB}"/>
            </a:ext>
          </a:extLst>
        </xdr:cNvPr>
        <xdr:cNvCxnSpPr/>
      </xdr:nvCxnSpPr>
      <xdr:spPr>
        <a:xfrm>
          <a:off x="0" y="9966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40</xdr:row>
      <xdr:rowOff>0</xdr:rowOff>
    </xdr:from>
    <xdr:to>
      <xdr:col>6</xdr:col>
      <xdr:colOff>0</xdr:colOff>
      <xdr:row>40</xdr:row>
      <xdr:rowOff>0</xdr:rowOff>
    </xdr:to>
    <xdr:cxnSp macro="">
      <xdr:nvCxnSpPr>
        <xdr:cNvPr id="40" name="copy_rule_40">
          <a:extLst>
            <a:ext uri="{FF2B5EF4-FFF2-40B4-BE49-F238E27FC236}">
              <a16:creationId xmlns:a16="http://schemas.microsoft.com/office/drawing/2014/main" id="{0A00F65D-4B44-AEDB-7455-63242E93A929}"/>
            </a:ext>
          </a:extLst>
        </xdr:cNvPr>
        <xdr:cNvCxnSpPr/>
      </xdr:nvCxnSpPr>
      <xdr:spPr>
        <a:xfrm>
          <a:off x="0" y="9738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39</xdr:row>
      <xdr:rowOff>0</xdr:rowOff>
    </xdr:from>
    <xdr:to>
      <xdr:col>6</xdr:col>
      <xdr:colOff>0</xdr:colOff>
      <xdr:row>39</xdr:row>
      <xdr:rowOff>0</xdr:rowOff>
    </xdr:to>
    <xdr:cxnSp macro="">
      <xdr:nvCxnSpPr>
        <xdr:cNvPr id="39" name="copy_rule_39">
          <a:extLst>
            <a:ext uri="{FF2B5EF4-FFF2-40B4-BE49-F238E27FC236}">
              <a16:creationId xmlns:a16="http://schemas.microsoft.com/office/drawing/2014/main" id="{DC9F6FBD-84B2-97F9-8C5E-95F90123744B}"/>
            </a:ext>
          </a:extLst>
        </xdr:cNvPr>
        <xdr:cNvCxnSpPr/>
      </xdr:nvCxnSpPr>
      <xdr:spPr>
        <a:xfrm>
          <a:off x="0" y="9509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38</xdr:row>
      <xdr:rowOff>0</xdr:rowOff>
    </xdr:from>
    <xdr:to>
      <xdr:col>6</xdr:col>
      <xdr:colOff>0</xdr:colOff>
      <xdr:row>38</xdr:row>
      <xdr:rowOff>0</xdr:rowOff>
    </xdr:to>
    <xdr:cxnSp macro="">
      <xdr:nvCxnSpPr>
        <xdr:cNvPr id="38" name="copy_rule_38">
          <a:extLst>
            <a:ext uri="{FF2B5EF4-FFF2-40B4-BE49-F238E27FC236}">
              <a16:creationId xmlns:a16="http://schemas.microsoft.com/office/drawing/2014/main" id="{C8AD4DF1-B7B9-A2AA-26E0-365365D7DED9}"/>
            </a:ext>
          </a:extLst>
        </xdr:cNvPr>
        <xdr:cNvCxnSpPr/>
      </xdr:nvCxnSpPr>
      <xdr:spPr>
        <a:xfrm>
          <a:off x="0" y="9281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37</xdr:row>
      <xdr:rowOff>0</xdr:rowOff>
    </xdr:from>
    <xdr:to>
      <xdr:col>6</xdr:col>
      <xdr:colOff>0</xdr:colOff>
      <xdr:row>37</xdr:row>
      <xdr:rowOff>0</xdr:rowOff>
    </xdr:to>
    <xdr:cxnSp macro="">
      <xdr:nvCxnSpPr>
        <xdr:cNvPr id="37" name="copy_rule_37">
          <a:extLst>
            <a:ext uri="{FF2B5EF4-FFF2-40B4-BE49-F238E27FC236}">
              <a16:creationId xmlns:a16="http://schemas.microsoft.com/office/drawing/2014/main" id="{17CDF17D-8620-A49C-2848-0ECC83D96EC0}"/>
            </a:ext>
          </a:extLst>
        </xdr:cNvPr>
        <xdr:cNvCxnSpPr/>
      </xdr:nvCxnSpPr>
      <xdr:spPr>
        <a:xfrm>
          <a:off x="0" y="9052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36</xdr:row>
      <xdr:rowOff>0</xdr:rowOff>
    </xdr:from>
    <xdr:to>
      <xdr:col>6</xdr:col>
      <xdr:colOff>0</xdr:colOff>
      <xdr:row>36</xdr:row>
      <xdr:rowOff>0</xdr:rowOff>
    </xdr:to>
    <xdr:cxnSp macro="">
      <xdr:nvCxnSpPr>
        <xdr:cNvPr id="36" name="copy_rule_36">
          <a:extLst>
            <a:ext uri="{FF2B5EF4-FFF2-40B4-BE49-F238E27FC236}">
              <a16:creationId xmlns:a16="http://schemas.microsoft.com/office/drawing/2014/main" id="{E7B71778-195E-2734-ED47-AA7C8548B890}"/>
            </a:ext>
          </a:extLst>
        </xdr:cNvPr>
        <xdr:cNvCxnSpPr/>
      </xdr:nvCxnSpPr>
      <xdr:spPr>
        <a:xfrm>
          <a:off x="0" y="8823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35</xdr:row>
      <xdr:rowOff>0</xdr:rowOff>
    </xdr:from>
    <xdr:to>
      <xdr:col>6</xdr:col>
      <xdr:colOff>0</xdr:colOff>
      <xdr:row>35</xdr:row>
      <xdr:rowOff>0</xdr:rowOff>
    </xdr:to>
    <xdr:cxnSp macro="">
      <xdr:nvCxnSpPr>
        <xdr:cNvPr id="35" name="copy_rule_35">
          <a:extLst>
            <a:ext uri="{FF2B5EF4-FFF2-40B4-BE49-F238E27FC236}">
              <a16:creationId xmlns:a16="http://schemas.microsoft.com/office/drawing/2014/main" id="{88875C7F-ADF2-497A-D2EE-4A207E2576AC}"/>
            </a:ext>
          </a:extLst>
        </xdr:cNvPr>
        <xdr:cNvCxnSpPr/>
      </xdr:nvCxnSpPr>
      <xdr:spPr>
        <a:xfrm>
          <a:off x="0" y="8595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34</xdr:row>
      <xdr:rowOff>0</xdr:rowOff>
    </xdr:from>
    <xdr:to>
      <xdr:col>6</xdr:col>
      <xdr:colOff>0</xdr:colOff>
      <xdr:row>34</xdr:row>
      <xdr:rowOff>0</xdr:rowOff>
    </xdr:to>
    <xdr:cxnSp macro="">
      <xdr:nvCxnSpPr>
        <xdr:cNvPr id="34" name="copy_rule_34">
          <a:extLst>
            <a:ext uri="{FF2B5EF4-FFF2-40B4-BE49-F238E27FC236}">
              <a16:creationId xmlns:a16="http://schemas.microsoft.com/office/drawing/2014/main" id="{9575C049-C022-1F20-6E58-7C60AFD271B8}"/>
            </a:ext>
          </a:extLst>
        </xdr:cNvPr>
        <xdr:cNvCxnSpPr/>
      </xdr:nvCxnSpPr>
      <xdr:spPr>
        <a:xfrm>
          <a:off x="0" y="8366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33</xdr:row>
      <xdr:rowOff>0</xdr:rowOff>
    </xdr:from>
    <xdr:to>
      <xdr:col>6</xdr:col>
      <xdr:colOff>0</xdr:colOff>
      <xdr:row>33</xdr:row>
      <xdr:rowOff>0</xdr:rowOff>
    </xdr:to>
    <xdr:cxnSp macro="">
      <xdr:nvCxnSpPr>
        <xdr:cNvPr id="33" name="copy_rule_33">
          <a:extLst>
            <a:ext uri="{FF2B5EF4-FFF2-40B4-BE49-F238E27FC236}">
              <a16:creationId xmlns:a16="http://schemas.microsoft.com/office/drawing/2014/main" id="{13CB3EA5-DF37-AEE4-FA5A-6FD075941BA9}"/>
            </a:ext>
          </a:extLst>
        </xdr:cNvPr>
        <xdr:cNvCxnSpPr/>
      </xdr:nvCxnSpPr>
      <xdr:spPr>
        <a:xfrm>
          <a:off x="0" y="8138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32</xdr:row>
      <xdr:rowOff>0</xdr:rowOff>
    </xdr:from>
    <xdr:to>
      <xdr:col>6</xdr:col>
      <xdr:colOff>0</xdr:colOff>
      <xdr:row>32</xdr:row>
      <xdr:rowOff>0</xdr:rowOff>
    </xdr:to>
    <xdr:cxnSp macro="">
      <xdr:nvCxnSpPr>
        <xdr:cNvPr id="32" name="copy_rule_32">
          <a:extLst>
            <a:ext uri="{FF2B5EF4-FFF2-40B4-BE49-F238E27FC236}">
              <a16:creationId xmlns:a16="http://schemas.microsoft.com/office/drawing/2014/main" id="{1744AD93-151D-999A-C08E-DE5395B17B45}"/>
            </a:ext>
          </a:extLst>
        </xdr:cNvPr>
        <xdr:cNvCxnSpPr/>
      </xdr:nvCxnSpPr>
      <xdr:spPr>
        <a:xfrm>
          <a:off x="0" y="7909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31</xdr:row>
      <xdr:rowOff>0</xdr:rowOff>
    </xdr:from>
    <xdr:to>
      <xdr:col>6</xdr:col>
      <xdr:colOff>0</xdr:colOff>
      <xdr:row>31</xdr:row>
      <xdr:rowOff>0</xdr:rowOff>
    </xdr:to>
    <xdr:cxnSp macro="">
      <xdr:nvCxnSpPr>
        <xdr:cNvPr id="31" name="copy_rule_31">
          <a:extLst>
            <a:ext uri="{FF2B5EF4-FFF2-40B4-BE49-F238E27FC236}">
              <a16:creationId xmlns:a16="http://schemas.microsoft.com/office/drawing/2014/main" id="{3178A071-F639-0556-60A0-2102A84118F5}"/>
            </a:ext>
          </a:extLst>
        </xdr:cNvPr>
        <xdr:cNvCxnSpPr/>
      </xdr:nvCxnSpPr>
      <xdr:spPr>
        <a:xfrm>
          <a:off x="0" y="7680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30</xdr:row>
      <xdr:rowOff>0</xdr:rowOff>
    </xdr:from>
    <xdr:to>
      <xdr:col>6</xdr:col>
      <xdr:colOff>0</xdr:colOff>
      <xdr:row>30</xdr:row>
      <xdr:rowOff>0</xdr:rowOff>
    </xdr:to>
    <xdr:cxnSp macro="">
      <xdr:nvCxnSpPr>
        <xdr:cNvPr id="30" name="copy_rule_30">
          <a:extLst>
            <a:ext uri="{FF2B5EF4-FFF2-40B4-BE49-F238E27FC236}">
              <a16:creationId xmlns:a16="http://schemas.microsoft.com/office/drawing/2014/main" id="{E96E730D-2773-FBBF-AE4B-1AA754AB951B}"/>
            </a:ext>
          </a:extLst>
        </xdr:cNvPr>
        <xdr:cNvCxnSpPr/>
      </xdr:nvCxnSpPr>
      <xdr:spPr>
        <a:xfrm>
          <a:off x="0" y="7452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29</xdr:row>
      <xdr:rowOff>0</xdr:rowOff>
    </xdr:from>
    <xdr:to>
      <xdr:col>6</xdr:col>
      <xdr:colOff>0</xdr:colOff>
      <xdr:row>29</xdr:row>
      <xdr:rowOff>0</xdr:rowOff>
    </xdr:to>
    <xdr:cxnSp macro="">
      <xdr:nvCxnSpPr>
        <xdr:cNvPr id="29" name="copy_rule_29">
          <a:extLst>
            <a:ext uri="{FF2B5EF4-FFF2-40B4-BE49-F238E27FC236}">
              <a16:creationId xmlns:a16="http://schemas.microsoft.com/office/drawing/2014/main" id="{4CF7897F-31B8-C1C1-7527-2930EF2FF695}"/>
            </a:ext>
          </a:extLst>
        </xdr:cNvPr>
        <xdr:cNvCxnSpPr/>
      </xdr:nvCxnSpPr>
      <xdr:spPr>
        <a:xfrm>
          <a:off x="0" y="7223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28</xdr:row>
      <xdr:rowOff>0</xdr:rowOff>
    </xdr:from>
    <xdr:to>
      <xdr:col>6</xdr:col>
      <xdr:colOff>0</xdr:colOff>
      <xdr:row>28</xdr:row>
      <xdr:rowOff>0</xdr:rowOff>
    </xdr:to>
    <xdr:cxnSp macro="">
      <xdr:nvCxnSpPr>
        <xdr:cNvPr id="28" name="copy_rule_28">
          <a:extLst>
            <a:ext uri="{FF2B5EF4-FFF2-40B4-BE49-F238E27FC236}">
              <a16:creationId xmlns:a16="http://schemas.microsoft.com/office/drawing/2014/main" id="{6B61E122-E8D7-7E42-3C43-D751175C0D7E}"/>
            </a:ext>
          </a:extLst>
        </xdr:cNvPr>
        <xdr:cNvCxnSpPr/>
      </xdr:nvCxnSpPr>
      <xdr:spPr>
        <a:xfrm>
          <a:off x="0" y="6995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27</xdr:row>
      <xdr:rowOff>0</xdr:rowOff>
    </xdr:from>
    <xdr:to>
      <xdr:col>6</xdr:col>
      <xdr:colOff>0</xdr:colOff>
      <xdr:row>27</xdr:row>
      <xdr:rowOff>0</xdr:rowOff>
    </xdr:to>
    <xdr:cxnSp macro="">
      <xdr:nvCxnSpPr>
        <xdr:cNvPr id="27" name="copy_rule_27">
          <a:extLst>
            <a:ext uri="{FF2B5EF4-FFF2-40B4-BE49-F238E27FC236}">
              <a16:creationId xmlns:a16="http://schemas.microsoft.com/office/drawing/2014/main" id="{9859175E-370A-004A-AB8D-D9EE55F5F5E8}"/>
            </a:ext>
          </a:extLst>
        </xdr:cNvPr>
        <xdr:cNvCxnSpPr/>
      </xdr:nvCxnSpPr>
      <xdr:spPr>
        <a:xfrm>
          <a:off x="0" y="6766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26</xdr:row>
      <xdr:rowOff>0</xdr:rowOff>
    </xdr:from>
    <xdr:to>
      <xdr:col>6</xdr:col>
      <xdr:colOff>0</xdr:colOff>
      <xdr:row>26</xdr:row>
      <xdr:rowOff>0</xdr:rowOff>
    </xdr:to>
    <xdr:cxnSp macro="">
      <xdr:nvCxnSpPr>
        <xdr:cNvPr id="26" name="copy_rule_26">
          <a:extLst>
            <a:ext uri="{FF2B5EF4-FFF2-40B4-BE49-F238E27FC236}">
              <a16:creationId xmlns:a16="http://schemas.microsoft.com/office/drawing/2014/main" id="{8A4C4405-9024-5306-F686-BEAECFA95B6C}"/>
            </a:ext>
          </a:extLst>
        </xdr:cNvPr>
        <xdr:cNvCxnSpPr/>
      </xdr:nvCxnSpPr>
      <xdr:spPr>
        <a:xfrm>
          <a:off x="0" y="6537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25</xdr:row>
      <xdr:rowOff>0</xdr:rowOff>
    </xdr:from>
    <xdr:to>
      <xdr:col>6</xdr:col>
      <xdr:colOff>0</xdr:colOff>
      <xdr:row>25</xdr:row>
      <xdr:rowOff>0</xdr:rowOff>
    </xdr:to>
    <xdr:cxnSp macro="">
      <xdr:nvCxnSpPr>
        <xdr:cNvPr id="25" name="copy_rule_25">
          <a:extLst>
            <a:ext uri="{FF2B5EF4-FFF2-40B4-BE49-F238E27FC236}">
              <a16:creationId xmlns:a16="http://schemas.microsoft.com/office/drawing/2014/main" id="{CDB1BA78-2D6F-A66A-8F18-EAC379698AE6}"/>
            </a:ext>
          </a:extLst>
        </xdr:cNvPr>
        <xdr:cNvCxnSpPr/>
      </xdr:nvCxnSpPr>
      <xdr:spPr>
        <a:xfrm>
          <a:off x="0" y="6309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24</xdr:row>
      <xdr:rowOff>0</xdr:rowOff>
    </xdr:from>
    <xdr:to>
      <xdr:col>6</xdr:col>
      <xdr:colOff>0</xdr:colOff>
      <xdr:row>24</xdr:row>
      <xdr:rowOff>0</xdr:rowOff>
    </xdr:to>
    <xdr:cxnSp macro="">
      <xdr:nvCxnSpPr>
        <xdr:cNvPr id="24" name="copy_rule_24">
          <a:extLst>
            <a:ext uri="{FF2B5EF4-FFF2-40B4-BE49-F238E27FC236}">
              <a16:creationId xmlns:a16="http://schemas.microsoft.com/office/drawing/2014/main" id="{2C80E883-1C51-EE7E-8EC5-8AA7DBB0C6E7}"/>
            </a:ext>
          </a:extLst>
        </xdr:cNvPr>
        <xdr:cNvCxnSpPr/>
      </xdr:nvCxnSpPr>
      <xdr:spPr>
        <a:xfrm>
          <a:off x="0" y="6080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23</xdr:row>
      <xdr:rowOff>0</xdr:rowOff>
    </xdr:from>
    <xdr:to>
      <xdr:col>6</xdr:col>
      <xdr:colOff>0</xdr:colOff>
      <xdr:row>23</xdr:row>
      <xdr:rowOff>0</xdr:rowOff>
    </xdr:to>
    <xdr:cxnSp macro="">
      <xdr:nvCxnSpPr>
        <xdr:cNvPr id="23" name="copy_rule_23">
          <a:extLst>
            <a:ext uri="{FF2B5EF4-FFF2-40B4-BE49-F238E27FC236}">
              <a16:creationId xmlns:a16="http://schemas.microsoft.com/office/drawing/2014/main" id="{8A4EC32C-4BF8-38F6-6FDC-3C1D65654D86}"/>
            </a:ext>
          </a:extLst>
        </xdr:cNvPr>
        <xdr:cNvCxnSpPr/>
      </xdr:nvCxnSpPr>
      <xdr:spPr>
        <a:xfrm>
          <a:off x="0" y="5852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22</xdr:row>
      <xdr:rowOff>0</xdr:rowOff>
    </xdr:from>
    <xdr:to>
      <xdr:col>6</xdr:col>
      <xdr:colOff>0</xdr:colOff>
      <xdr:row>22</xdr:row>
      <xdr:rowOff>0</xdr:rowOff>
    </xdr:to>
    <xdr:cxnSp macro="">
      <xdr:nvCxnSpPr>
        <xdr:cNvPr id="22" name="copy_rule_22">
          <a:extLst>
            <a:ext uri="{FF2B5EF4-FFF2-40B4-BE49-F238E27FC236}">
              <a16:creationId xmlns:a16="http://schemas.microsoft.com/office/drawing/2014/main" id="{DFD5CD8F-D52D-91A2-A300-889C321247E4}"/>
            </a:ext>
          </a:extLst>
        </xdr:cNvPr>
        <xdr:cNvCxnSpPr/>
      </xdr:nvCxnSpPr>
      <xdr:spPr>
        <a:xfrm>
          <a:off x="0" y="5623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21</xdr:row>
      <xdr:rowOff>0</xdr:rowOff>
    </xdr:from>
    <xdr:to>
      <xdr:col>6</xdr:col>
      <xdr:colOff>0</xdr:colOff>
      <xdr:row>21</xdr:row>
      <xdr:rowOff>0</xdr:rowOff>
    </xdr:to>
    <xdr:cxnSp macro="">
      <xdr:nvCxnSpPr>
        <xdr:cNvPr id="21" name="copy_rule_21">
          <a:extLst>
            <a:ext uri="{FF2B5EF4-FFF2-40B4-BE49-F238E27FC236}">
              <a16:creationId xmlns:a16="http://schemas.microsoft.com/office/drawing/2014/main" id="{FD6BFAF5-22F3-B03C-C308-38F6FA9DA501}"/>
            </a:ext>
          </a:extLst>
        </xdr:cNvPr>
        <xdr:cNvCxnSpPr/>
      </xdr:nvCxnSpPr>
      <xdr:spPr>
        <a:xfrm>
          <a:off x="0" y="5394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20</xdr:row>
      <xdr:rowOff>0</xdr:rowOff>
    </xdr:from>
    <xdr:to>
      <xdr:col>6</xdr:col>
      <xdr:colOff>0</xdr:colOff>
      <xdr:row>20</xdr:row>
      <xdr:rowOff>0</xdr:rowOff>
    </xdr:to>
    <xdr:cxnSp macro="">
      <xdr:nvCxnSpPr>
        <xdr:cNvPr id="20" name="copy_rule_20">
          <a:extLst>
            <a:ext uri="{FF2B5EF4-FFF2-40B4-BE49-F238E27FC236}">
              <a16:creationId xmlns:a16="http://schemas.microsoft.com/office/drawing/2014/main" id="{906FD97D-CB51-BDBF-8C85-FF26A67DAF4B}"/>
            </a:ext>
          </a:extLst>
        </xdr:cNvPr>
        <xdr:cNvCxnSpPr/>
      </xdr:nvCxnSpPr>
      <xdr:spPr>
        <a:xfrm>
          <a:off x="0" y="5166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19</xdr:row>
      <xdr:rowOff>0</xdr:rowOff>
    </xdr:from>
    <xdr:to>
      <xdr:col>6</xdr:col>
      <xdr:colOff>0</xdr:colOff>
      <xdr:row>19</xdr:row>
      <xdr:rowOff>0</xdr:rowOff>
    </xdr:to>
    <xdr:cxnSp macro="">
      <xdr:nvCxnSpPr>
        <xdr:cNvPr id="19" name="copy_rule_19">
          <a:extLst>
            <a:ext uri="{FF2B5EF4-FFF2-40B4-BE49-F238E27FC236}">
              <a16:creationId xmlns:a16="http://schemas.microsoft.com/office/drawing/2014/main" id="{FBAFDB10-03AE-4B39-0CF4-6A5C21F83010}"/>
            </a:ext>
          </a:extLst>
        </xdr:cNvPr>
        <xdr:cNvCxnSpPr/>
      </xdr:nvCxnSpPr>
      <xdr:spPr>
        <a:xfrm>
          <a:off x="0" y="4937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18</xdr:row>
      <xdr:rowOff>0</xdr:rowOff>
    </xdr:from>
    <xdr:to>
      <xdr:col>6</xdr:col>
      <xdr:colOff>0</xdr:colOff>
      <xdr:row>18</xdr:row>
      <xdr:rowOff>0</xdr:rowOff>
    </xdr:to>
    <xdr:cxnSp macro="">
      <xdr:nvCxnSpPr>
        <xdr:cNvPr id="18" name="copy_rule_18">
          <a:extLst>
            <a:ext uri="{FF2B5EF4-FFF2-40B4-BE49-F238E27FC236}">
              <a16:creationId xmlns:a16="http://schemas.microsoft.com/office/drawing/2014/main" id="{E8177DE8-ABC1-A84B-FA23-2FE9F9A7F623}"/>
            </a:ext>
          </a:extLst>
        </xdr:cNvPr>
        <xdr:cNvCxnSpPr/>
      </xdr:nvCxnSpPr>
      <xdr:spPr>
        <a:xfrm>
          <a:off x="0" y="4709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17</xdr:row>
      <xdr:rowOff>0</xdr:rowOff>
    </xdr:from>
    <xdr:to>
      <xdr:col>6</xdr:col>
      <xdr:colOff>0</xdr:colOff>
      <xdr:row>17</xdr:row>
      <xdr:rowOff>0</xdr:rowOff>
    </xdr:to>
    <xdr:cxnSp macro="">
      <xdr:nvCxnSpPr>
        <xdr:cNvPr id="17" name="copy_rule_17">
          <a:extLst>
            <a:ext uri="{FF2B5EF4-FFF2-40B4-BE49-F238E27FC236}">
              <a16:creationId xmlns:a16="http://schemas.microsoft.com/office/drawing/2014/main" id="{C84B51FE-B6F4-63C1-333A-C60C617AA5E5}"/>
            </a:ext>
          </a:extLst>
        </xdr:cNvPr>
        <xdr:cNvCxnSpPr/>
      </xdr:nvCxnSpPr>
      <xdr:spPr>
        <a:xfrm>
          <a:off x="0" y="4480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16</xdr:row>
      <xdr:rowOff>0</xdr:rowOff>
    </xdr:from>
    <xdr:to>
      <xdr:col>6</xdr:col>
      <xdr:colOff>0</xdr:colOff>
      <xdr:row>16</xdr:row>
      <xdr:rowOff>0</xdr:rowOff>
    </xdr:to>
    <xdr:cxnSp macro="">
      <xdr:nvCxnSpPr>
        <xdr:cNvPr id="16" name="copy_rule_16">
          <a:extLst>
            <a:ext uri="{FF2B5EF4-FFF2-40B4-BE49-F238E27FC236}">
              <a16:creationId xmlns:a16="http://schemas.microsoft.com/office/drawing/2014/main" id="{811E3C5F-4107-E6B4-CF2F-A33649B49B46}"/>
            </a:ext>
          </a:extLst>
        </xdr:cNvPr>
        <xdr:cNvCxnSpPr/>
      </xdr:nvCxnSpPr>
      <xdr:spPr>
        <a:xfrm>
          <a:off x="0" y="4251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15</xdr:row>
      <xdr:rowOff>0</xdr:rowOff>
    </xdr:from>
    <xdr:to>
      <xdr:col>6</xdr:col>
      <xdr:colOff>0</xdr:colOff>
      <xdr:row>15</xdr:row>
      <xdr:rowOff>0</xdr:rowOff>
    </xdr:to>
    <xdr:cxnSp macro="">
      <xdr:nvCxnSpPr>
        <xdr:cNvPr id="15" name="copy_rule_15">
          <a:extLst>
            <a:ext uri="{FF2B5EF4-FFF2-40B4-BE49-F238E27FC236}">
              <a16:creationId xmlns:a16="http://schemas.microsoft.com/office/drawing/2014/main" id="{BD175F08-91BA-E9A0-EB19-816A561E7A6C}"/>
            </a:ext>
          </a:extLst>
        </xdr:cNvPr>
        <xdr:cNvCxnSpPr/>
      </xdr:nvCxnSpPr>
      <xdr:spPr>
        <a:xfrm>
          <a:off x="0" y="4023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14</xdr:row>
      <xdr:rowOff>0</xdr:rowOff>
    </xdr:from>
    <xdr:to>
      <xdr:col>6</xdr:col>
      <xdr:colOff>0</xdr:colOff>
      <xdr:row>14</xdr:row>
      <xdr:rowOff>0</xdr:rowOff>
    </xdr:to>
    <xdr:cxnSp macro="">
      <xdr:nvCxnSpPr>
        <xdr:cNvPr id="14" name="copy_rule_14">
          <a:extLst>
            <a:ext uri="{FF2B5EF4-FFF2-40B4-BE49-F238E27FC236}">
              <a16:creationId xmlns:a16="http://schemas.microsoft.com/office/drawing/2014/main" id="{B54E8507-8F67-340C-6E8E-072BBD0DC73B}"/>
            </a:ext>
          </a:extLst>
        </xdr:cNvPr>
        <xdr:cNvCxnSpPr/>
      </xdr:nvCxnSpPr>
      <xdr:spPr>
        <a:xfrm>
          <a:off x="0" y="3794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11</xdr:row>
      <xdr:rowOff>0</xdr:rowOff>
    </xdr:from>
    <xdr:to>
      <xdr:col>6</xdr:col>
      <xdr:colOff>0</xdr:colOff>
      <xdr:row>11</xdr:row>
      <xdr:rowOff>0</xdr:rowOff>
    </xdr:to>
    <xdr:cxnSp macro="">
      <xdr:nvCxnSpPr>
        <xdr:cNvPr id="13" name="copy_rule_13">
          <a:extLst>
            <a:ext uri="{FF2B5EF4-FFF2-40B4-BE49-F238E27FC236}">
              <a16:creationId xmlns:a16="http://schemas.microsoft.com/office/drawing/2014/main" id="{D8EB72E2-FE71-B2A2-11C2-19611795D993}"/>
            </a:ext>
          </a:extLst>
        </xdr:cNvPr>
        <xdr:cNvCxnSpPr/>
      </xdr:nvCxnSpPr>
      <xdr:spPr>
        <a:xfrm>
          <a:off x="0" y="3108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10</xdr:row>
      <xdr:rowOff>0</xdr:rowOff>
    </xdr:from>
    <xdr:to>
      <xdr:col>6</xdr:col>
      <xdr:colOff>0</xdr:colOff>
      <xdr:row>10</xdr:row>
      <xdr:rowOff>0</xdr:rowOff>
    </xdr:to>
    <xdr:cxnSp macro="">
      <xdr:nvCxnSpPr>
        <xdr:cNvPr id="12" name="copy_rule_12">
          <a:extLst>
            <a:ext uri="{FF2B5EF4-FFF2-40B4-BE49-F238E27FC236}">
              <a16:creationId xmlns:a16="http://schemas.microsoft.com/office/drawing/2014/main" id="{DC22601C-7E01-AD3E-3C1D-A0005ABACAEE}"/>
            </a:ext>
          </a:extLst>
        </xdr:cNvPr>
        <xdr:cNvCxnSpPr/>
      </xdr:nvCxnSpPr>
      <xdr:spPr>
        <a:xfrm>
          <a:off x="0" y="2880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11" name="copy_rule_11">
          <a:extLst>
            <a:ext uri="{FF2B5EF4-FFF2-40B4-BE49-F238E27FC236}">
              <a16:creationId xmlns:a16="http://schemas.microsoft.com/office/drawing/2014/main" id="{92A7384C-DFEB-BB04-8427-12416C61B24F}"/>
            </a:ext>
          </a:extLst>
        </xdr:cNvPr>
        <xdr:cNvCxnSpPr/>
      </xdr:nvCxnSpPr>
      <xdr:spPr>
        <a:xfrm>
          <a:off x="0" y="26517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8" name="copy_rule_8">
          <a:extLst>
            <a:ext uri="{FF2B5EF4-FFF2-40B4-BE49-F238E27FC236}">
              <a16:creationId xmlns:a16="http://schemas.microsoft.com/office/drawing/2014/main" id="{B1D7DE19-B49F-BB39-A4AF-E5392384700B}"/>
            </a:ext>
          </a:extLst>
        </xdr:cNvPr>
        <xdr:cNvCxnSpPr/>
      </xdr:nvCxnSpPr>
      <xdr:spPr>
        <a:xfrm>
          <a:off x="0" y="24231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7</xdr:row>
      <xdr:rowOff>0</xdr:rowOff>
    </xdr:from>
    <xdr:to>
      <xdr:col>6</xdr:col>
      <xdr:colOff>0</xdr:colOff>
      <xdr:row>7</xdr:row>
      <xdr:rowOff>0</xdr:rowOff>
    </xdr:to>
    <xdr:cxnSp macro="">
      <xdr:nvCxnSpPr>
        <xdr:cNvPr id="7" name="copy_rule_7">
          <a:extLst>
            <a:ext uri="{FF2B5EF4-FFF2-40B4-BE49-F238E27FC236}">
              <a16:creationId xmlns:a16="http://schemas.microsoft.com/office/drawing/2014/main" id="{280E8ECD-B29D-576B-A367-E0C60FFE0E16}"/>
            </a:ext>
          </a:extLst>
        </xdr:cNvPr>
        <xdr:cNvCxnSpPr/>
      </xdr:nvCxnSpPr>
      <xdr:spPr>
        <a:xfrm>
          <a:off x="0" y="21945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6" name="copy_rule_6">
          <a:extLst>
            <a:ext uri="{FF2B5EF4-FFF2-40B4-BE49-F238E27FC236}">
              <a16:creationId xmlns:a16="http://schemas.microsoft.com/office/drawing/2014/main" id="{C1D80A85-C079-E21E-B4EF-2E1A6F4C67CA}"/>
            </a:ext>
          </a:extLst>
        </xdr:cNvPr>
        <xdr:cNvCxnSpPr/>
      </xdr:nvCxnSpPr>
      <xdr:spPr>
        <a:xfrm>
          <a:off x="0" y="19659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5</xdr:row>
      <xdr:rowOff>0</xdr:rowOff>
    </xdr:from>
    <xdr:to>
      <xdr:col>6</xdr:col>
      <xdr:colOff>0</xdr:colOff>
      <xdr:row>5</xdr:row>
      <xdr:rowOff>0</xdr:rowOff>
    </xdr:to>
    <xdr:cxnSp macro="">
      <xdr:nvCxnSpPr>
        <xdr:cNvPr id="5" name="copy_rule_5">
          <a:extLst>
            <a:ext uri="{FF2B5EF4-FFF2-40B4-BE49-F238E27FC236}">
              <a16:creationId xmlns:a16="http://schemas.microsoft.com/office/drawing/2014/main" id="{74586F9D-95EF-61B4-F556-D31668FC6F99}"/>
            </a:ext>
          </a:extLst>
        </xdr:cNvPr>
        <xdr:cNvCxnSpPr/>
      </xdr:nvCxnSpPr>
      <xdr:spPr>
        <a:xfrm>
          <a:off x="0" y="173736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0</xdr:colOff>
      <xdr:row>4</xdr:row>
      <xdr:rowOff>6350</xdr:rowOff>
    </xdr:from>
    <xdr:to>
      <xdr:col>6</xdr:col>
      <xdr:colOff>0</xdr:colOff>
      <xdr:row>42</xdr:row>
      <xdr:rowOff>0</xdr:rowOff>
    </xdr:to>
    <xdr:cxnSp macro="">
      <xdr:nvCxnSpPr>
        <xdr:cNvPr id="4" name="copy_rule_4">
          <a:extLst>
            <a:ext uri="{FF2B5EF4-FFF2-40B4-BE49-F238E27FC236}">
              <a16:creationId xmlns:a16="http://schemas.microsoft.com/office/drawing/2014/main" id="{7519687E-549A-2D46-E0EA-685A5529EA29}"/>
            </a:ext>
          </a:extLst>
        </xdr:cNvPr>
        <xdr:cNvCxnSpPr/>
      </xdr:nvCxnSpPr>
      <xdr:spPr>
        <a:xfrm>
          <a:off x="7940040" y="1515110"/>
          <a:ext cx="0" cy="86804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</xdr:row>
      <xdr:rowOff>6350</xdr:rowOff>
    </xdr:from>
    <xdr:to>
      <xdr:col>0</xdr:col>
      <xdr:colOff>0</xdr:colOff>
      <xdr:row>42</xdr:row>
      <xdr:rowOff>0</xdr:rowOff>
    </xdr:to>
    <xdr:cxnSp macro="">
      <xdr:nvCxnSpPr>
        <xdr:cNvPr id="3" name="copy_rule_3">
          <a:extLst>
            <a:ext uri="{FF2B5EF4-FFF2-40B4-BE49-F238E27FC236}">
              <a16:creationId xmlns:a16="http://schemas.microsoft.com/office/drawing/2014/main" id="{BA71EBE4-7F65-279D-F633-075B3F40A72F}"/>
            </a:ext>
          </a:extLst>
        </xdr:cNvPr>
        <xdr:cNvCxnSpPr/>
      </xdr:nvCxnSpPr>
      <xdr:spPr>
        <a:xfrm>
          <a:off x="0" y="1515110"/>
          <a:ext cx="0" cy="868045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4</xdr:row>
      <xdr:rowOff>6350</xdr:rowOff>
    </xdr:from>
    <xdr:to>
      <xdr:col>6</xdr:col>
      <xdr:colOff>0</xdr:colOff>
      <xdr:row>4</xdr:row>
      <xdr:rowOff>6350</xdr:rowOff>
    </xdr:to>
    <xdr:cxnSp macro="">
      <xdr:nvCxnSpPr>
        <xdr:cNvPr id="2" name="copy_rule_2">
          <a:extLst>
            <a:ext uri="{FF2B5EF4-FFF2-40B4-BE49-F238E27FC236}">
              <a16:creationId xmlns:a16="http://schemas.microsoft.com/office/drawing/2014/main" id="{00DAEA97-EDF8-9BD4-1341-366B68EC23F8}"/>
            </a:ext>
          </a:extLst>
        </xdr:cNvPr>
        <xdr:cNvCxnSpPr/>
      </xdr:nvCxnSpPr>
      <xdr:spPr>
        <a:xfrm>
          <a:off x="0" y="1515110"/>
          <a:ext cx="7940040" cy="0"/>
        </a:xfrm>
        <a:prstGeom prst="line">
          <a:avLst/>
        </a:prstGeom>
        <a:ln w="6350">
          <a:solidFill>
            <a:srgbClr val="A6A6A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0</xdr:rowOff>
        </xdr:from>
        <xdr:to>
          <xdr:col>1</xdr:col>
          <xdr:colOff>457200</xdr:colOff>
          <xdr:row>2</xdr:row>
          <xdr:rowOff>327660</xdr:rowOff>
        </xdr:to>
        <xdr:sp macro="" textlink="">
          <xdr:nvSpPr>
            <xdr:cNvPr id="4097" name="btnGenerateCopySummary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生成抄写版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1493520</xdr:colOff>
      <xdr:row>0</xdr:row>
      <xdr:rowOff>25400</xdr:rowOff>
    </xdr:from>
    <xdr:to>
      <xdr:col>3</xdr:col>
      <xdr:colOff>881380</xdr:colOff>
      <xdr:row>0</xdr:row>
      <xdr:rowOff>304800</xdr:rowOff>
    </xdr:to>
    <xdr:sp macro="[0]!ViewB" textlink="">
      <xdr:nvSpPr>
        <xdr:cNvPr id="9" name="view_face_B">
          <a:extLst>
            <a:ext uri="{FF2B5EF4-FFF2-40B4-BE49-F238E27FC236}">
              <a16:creationId xmlns:a16="http://schemas.microsoft.com/office/drawing/2014/main" id="{FF433894-CCB4-1C5D-4790-8FE710F518FD}"/>
            </a:ext>
          </a:extLst>
        </xdr:cNvPr>
        <xdr:cNvSpPr/>
      </xdr:nvSpPr>
      <xdr:spPr>
        <a:xfrm>
          <a:off x="38100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957580</xdr:colOff>
      <xdr:row>0</xdr:row>
      <xdr:rowOff>25400</xdr:rowOff>
    </xdr:from>
    <xdr:to>
      <xdr:col>4</xdr:col>
      <xdr:colOff>345440</xdr:colOff>
      <xdr:row>0</xdr:row>
      <xdr:rowOff>304800</xdr:rowOff>
    </xdr:to>
    <xdr:sp macro="[0]!ViewD" textlink="">
      <xdr:nvSpPr>
        <xdr:cNvPr id="10" name="view_face_D">
          <a:extLst>
            <a:ext uri="{FF2B5EF4-FFF2-40B4-BE49-F238E27FC236}">
              <a16:creationId xmlns:a16="http://schemas.microsoft.com/office/drawing/2014/main" id="{254B051F-2C46-62A2-6860-3F27BBA780FA}"/>
            </a:ext>
          </a:extLst>
        </xdr:cNvPr>
        <xdr:cNvSpPr/>
      </xdr:nvSpPr>
      <xdr:spPr>
        <a:xfrm>
          <a:off x="4851400" y="25400"/>
          <a:ext cx="965200" cy="279400"/>
        </a:xfrm>
        <a:prstGeom prst="roundRect">
          <a:avLst/>
        </a:prstGeom>
        <a:solidFill>
          <a:srgbClr val="1F4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FD00C-5810-42F6-90D8-83E296F639A5}">
  <sheetPr codeName="FaceInputs">
    <pageSetUpPr fitToPage="1"/>
  </sheetPr>
  <dimension ref="A1:AE157"/>
  <sheetViews>
    <sheetView showGridLines="0" zoomScale="85" zoomScaleNormal="85" workbookViewId="0"/>
  </sheetViews>
  <sheetFormatPr defaultRowHeight="13.8"/>
  <cols>
    <col min="1" max="1" width="2" style="2" customWidth="1"/>
    <col min="2" max="15" width="7" style="2" customWidth="1"/>
    <col min="16" max="16" width="3" style="2" customWidth="1"/>
    <col min="17" max="30" width="7" style="2" customWidth="1"/>
    <col min="31" max="31" width="2" style="2" customWidth="1"/>
    <col min="32" max="16384" width="8.796875" style="2"/>
  </cols>
  <sheetData>
    <row r="1" spans="1:31" ht="25.05" customHeight="1">
      <c r="A1" s="1"/>
      <c r="B1" s="129" t="s">
        <v>483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"/>
    </row>
    <row r="2" spans="1:31" ht="22.95" customHeight="1">
      <c r="A2" s="1"/>
      <c r="H2" s="130" t="str">
        <f>IF(ISNUMBER('B-D 比较'!C7),"B last calculated: "&amp;TEXT('B-D 比较'!C7,"yyyy-mm-dd hh:mm:ss"),"B last calculated: not yet")</f>
        <v>B last calculated: not yet</v>
      </c>
      <c r="I2" s="130"/>
      <c r="J2" s="130"/>
      <c r="K2" s="130"/>
      <c r="L2" s="130"/>
      <c r="M2" s="130"/>
      <c r="N2" s="130"/>
      <c r="O2" s="130"/>
      <c r="W2" s="130" t="str">
        <f>IF(ISNUMBER('B-D 比较'!E7),"D last calculated: "&amp;TEXT('B-D 比较'!E7,"yyyy-mm-dd hh:mm:ss"),"D last calculated: not yet")</f>
        <v>D last calculated: not yet</v>
      </c>
      <c r="X2" s="130"/>
      <c r="Y2" s="130"/>
      <c r="Z2" s="130"/>
      <c r="AA2" s="130"/>
      <c r="AB2" s="130"/>
      <c r="AC2" s="130"/>
      <c r="AD2" s="130"/>
      <c r="AE2" s="1"/>
    </row>
    <row r="3" spans="1:31" ht="22.05" customHeight="1">
      <c r="A3" s="1"/>
      <c r="B3" s="116" t="s">
        <v>485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"/>
    </row>
    <row r="4" spans="1:31" ht="22.05" customHeight="1">
      <c r="A4" s="1"/>
      <c r="B4" s="117" t="s">
        <v>273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4"/>
      <c r="Q4" s="117" t="s">
        <v>274</v>
      </c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"/>
    </row>
    <row r="5" spans="1:31" ht="22.05" customHeight="1">
      <c r="A5" s="1"/>
      <c r="B5" s="112" t="s">
        <v>579</v>
      </c>
      <c r="C5" s="112"/>
      <c r="D5" s="112"/>
      <c r="E5" s="118" t="s">
        <v>355</v>
      </c>
      <c r="F5" s="118"/>
      <c r="G5" s="4"/>
      <c r="H5" s="112" t="s">
        <v>276</v>
      </c>
      <c r="I5" s="112"/>
      <c r="J5" s="112"/>
      <c r="K5" s="118" t="s">
        <v>277</v>
      </c>
      <c r="L5" s="118"/>
      <c r="M5" s="118"/>
      <c r="N5" s="118"/>
      <c r="O5" s="118"/>
      <c r="P5" s="4"/>
      <c r="Q5" s="112" t="s">
        <v>579</v>
      </c>
      <c r="R5" s="112"/>
      <c r="S5" s="112"/>
      <c r="T5" s="118" t="s">
        <v>355</v>
      </c>
      <c r="U5" s="118"/>
      <c r="V5" s="4"/>
      <c r="W5" s="112" t="s">
        <v>276</v>
      </c>
      <c r="X5" s="112"/>
      <c r="Y5" s="112"/>
      <c r="Z5" s="118" t="s">
        <v>277</v>
      </c>
      <c r="AA5" s="118"/>
      <c r="AB5" s="118"/>
      <c r="AC5" s="118"/>
      <c r="AD5" s="118"/>
      <c r="AE5" s="1"/>
    </row>
    <row r="6" spans="1:31" ht="22.05" customHeight="1">
      <c r="A6" s="1"/>
      <c r="B6" s="111" t="s">
        <v>525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4"/>
      <c r="Q6" s="111" t="s">
        <v>524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"/>
    </row>
    <row r="7" spans="1:31" ht="22.05" customHeight="1">
      <c r="A7" s="1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1"/>
    </row>
    <row r="8" spans="1:31" ht="28.05" customHeight="1">
      <c r="A8" s="1"/>
      <c r="B8" s="112" t="s">
        <v>463</v>
      </c>
      <c r="C8" s="112"/>
      <c r="D8" s="112"/>
      <c r="E8" s="112"/>
      <c r="F8" s="112"/>
      <c r="G8" s="113">
        <v>37</v>
      </c>
      <c r="H8" s="113"/>
      <c r="I8" s="112" t="s">
        <v>464</v>
      </c>
      <c r="J8" s="112"/>
      <c r="K8" s="112"/>
      <c r="L8" s="112"/>
      <c r="M8" s="112"/>
      <c r="N8" s="113">
        <v>37</v>
      </c>
      <c r="O8" s="113"/>
      <c r="P8" s="4"/>
      <c r="Q8" s="112" t="s">
        <v>463</v>
      </c>
      <c r="R8" s="112"/>
      <c r="S8" s="112"/>
      <c r="T8" s="112"/>
      <c r="U8" s="112"/>
      <c r="V8" s="113"/>
      <c r="W8" s="113"/>
      <c r="X8" s="112" t="s">
        <v>464</v>
      </c>
      <c r="Y8" s="112"/>
      <c r="Z8" s="112"/>
      <c r="AA8" s="112"/>
      <c r="AB8" s="112"/>
      <c r="AC8" s="113"/>
      <c r="AD8" s="113"/>
      <c r="AE8" s="1"/>
    </row>
    <row r="9" spans="1:31" ht="22.05" customHeight="1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1"/>
    </row>
    <row r="10" spans="1:31" ht="22.05" customHeight="1">
      <c r="A10" s="1"/>
      <c r="B10" s="112" t="s">
        <v>278</v>
      </c>
      <c r="C10" s="112"/>
      <c r="D10" s="112"/>
      <c r="E10" s="112"/>
      <c r="F10" s="112"/>
      <c r="G10" s="4"/>
      <c r="H10" s="4"/>
      <c r="I10" s="4"/>
      <c r="J10" s="4"/>
      <c r="K10" s="4"/>
      <c r="L10" s="4"/>
      <c r="M10" s="4"/>
      <c r="N10" s="4"/>
      <c r="O10" s="4"/>
      <c r="P10" s="4"/>
      <c r="Q10" s="112" t="s">
        <v>278</v>
      </c>
      <c r="R10" s="112"/>
      <c r="S10" s="112"/>
      <c r="T10" s="112"/>
      <c r="U10" s="112"/>
      <c r="V10" s="4"/>
      <c r="W10" s="4"/>
      <c r="X10" s="4"/>
      <c r="Y10" s="4"/>
      <c r="Z10" s="4"/>
      <c r="AA10" s="4"/>
      <c r="AB10" s="4"/>
      <c r="AC10" s="4"/>
      <c r="AD10" s="4"/>
      <c r="AE10" s="1"/>
    </row>
    <row r="11" spans="1:31" ht="22.05" customHeight="1">
      <c r="A11" s="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1"/>
    </row>
    <row r="12" spans="1:31" ht="22.05" customHeight="1">
      <c r="A12" s="1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1"/>
    </row>
    <row r="13" spans="1:31" ht="22.05" customHeight="1">
      <c r="A13" s="1"/>
      <c r="B13" s="112" t="s">
        <v>330</v>
      </c>
      <c r="C13" s="112"/>
      <c r="D13" s="112"/>
      <c r="E13" s="114"/>
      <c r="F13" s="114"/>
      <c r="G13" s="4"/>
      <c r="H13" s="4"/>
      <c r="I13" s="4"/>
      <c r="J13" s="4"/>
      <c r="K13" s="4"/>
      <c r="L13" s="4"/>
      <c r="M13" s="4"/>
      <c r="N13" s="4"/>
      <c r="O13" s="4"/>
      <c r="P13" s="4"/>
      <c r="Q13" s="112" t="s">
        <v>330</v>
      </c>
      <c r="R13" s="112"/>
      <c r="S13" s="112"/>
      <c r="T13" s="114"/>
      <c r="U13" s="114"/>
      <c r="V13" s="4"/>
      <c r="W13" s="4"/>
      <c r="X13" s="4"/>
      <c r="Y13" s="4"/>
      <c r="Z13" s="4"/>
      <c r="AA13" s="4"/>
      <c r="AB13" s="4"/>
      <c r="AC13" s="4"/>
      <c r="AD13" s="4"/>
      <c r="AE13" s="1"/>
    </row>
    <row r="14" spans="1:31" ht="22.05" customHeight="1">
      <c r="A14" s="1"/>
      <c r="B14" s="112" t="s">
        <v>519</v>
      </c>
      <c r="C14" s="112"/>
      <c r="D14" s="112"/>
      <c r="E14" s="112"/>
      <c r="F14" s="112"/>
      <c r="G14" s="4"/>
      <c r="H14" s="4"/>
      <c r="I14" s="4"/>
      <c r="J14" s="4"/>
      <c r="K14" s="4"/>
      <c r="L14" s="4"/>
      <c r="M14" s="4"/>
      <c r="N14" s="4"/>
      <c r="O14" s="4"/>
      <c r="P14" s="4"/>
      <c r="Q14" s="112" t="s">
        <v>519</v>
      </c>
      <c r="R14" s="112"/>
      <c r="S14" s="112"/>
      <c r="T14" s="112"/>
      <c r="U14" s="112"/>
      <c r="V14" s="4"/>
      <c r="W14" s="4"/>
      <c r="X14" s="4"/>
      <c r="Y14" s="4"/>
      <c r="Z14" s="4"/>
      <c r="AA14" s="4"/>
      <c r="AB14" s="4"/>
      <c r="AC14" s="4"/>
      <c r="AD14" s="4"/>
      <c r="AE14" s="1"/>
    </row>
    <row r="15" spans="1:31" ht="22.05" customHeight="1">
      <c r="A15" s="1"/>
      <c r="B15" s="121" t="s">
        <v>517</v>
      </c>
      <c r="C15" s="121"/>
      <c r="D15" s="121"/>
      <c r="E15" s="122" t="str">
        <f>IF(COUNT(E13,D22,N22)=3,E13-MIN(D22,N22),"")</f>
        <v/>
      </c>
      <c r="F15" s="122"/>
      <c r="G15" s="4"/>
      <c r="H15" s="4"/>
      <c r="I15" s="4"/>
      <c r="J15" s="4"/>
      <c r="K15" s="4"/>
      <c r="L15" s="4"/>
      <c r="M15" s="4"/>
      <c r="N15" s="4"/>
      <c r="O15" s="4"/>
      <c r="P15" s="4"/>
      <c r="Q15" s="121" t="s">
        <v>517</v>
      </c>
      <c r="R15" s="121"/>
      <c r="S15" s="121"/>
      <c r="T15" s="122" t="str">
        <f>IF(COUNT(T13,S22,AC22)=3,T13-MIN(S22,AC22),"")</f>
        <v/>
      </c>
      <c r="U15" s="122"/>
      <c r="V15" s="4"/>
      <c r="W15" s="4"/>
      <c r="X15" s="4"/>
      <c r="Y15" s="4"/>
      <c r="Z15" s="4"/>
      <c r="AA15" s="4"/>
      <c r="AB15" s="4"/>
      <c r="AC15" s="4"/>
      <c r="AD15" s="4"/>
      <c r="AE15" s="1"/>
    </row>
    <row r="16" spans="1:31" ht="22.05" customHeight="1">
      <c r="A16" s="1"/>
      <c r="B16" s="4"/>
      <c r="C16" s="4"/>
      <c r="D16" s="4"/>
      <c r="E16" s="4"/>
      <c r="F16" s="4"/>
      <c r="G16" s="4"/>
      <c r="H16" s="112"/>
      <c r="I16" s="112"/>
      <c r="J16" s="112"/>
      <c r="K16" s="112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2"/>
      <c r="X16" s="112"/>
      <c r="Y16" s="112"/>
      <c r="Z16" s="112"/>
      <c r="AA16" s="4"/>
      <c r="AB16" s="4"/>
      <c r="AC16" s="4"/>
      <c r="AD16" s="4"/>
      <c r="AE16" s="1"/>
    </row>
    <row r="17" spans="1:31" ht="22.05" customHeight="1">
      <c r="A17" s="1"/>
      <c r="B17" s="119" t="s">
        <v>279</v>
      </c>
      <c r="C17" s="119"/>
      <c r="D17" s="114">
        <v>70</v>
      </c>
      <c r="E17" s="114"/>
      <c r="F17" s="4"/>
      <c r="G17" s="4"/>
      <c r="H17" s="4"/>
      <c r="I17" s="4"/>
      <c r="J17" s="4"/>
      <c r="K17" s="4"/>
      <c r="L17" s="119" t="s">
        <v>280</v>
      </c>
      <c r="M17" s="119"/>
      <c r="N17" s="114">
        <v>5</v>
      </c>
      <c r="O17" s="114"/>
      <c r="P17" s="4"/>
      <c r="Q17" s="119" t="s">
        <v>279</v>
      </c>
      <c r="R17" s="119"/>
      <c r="S17" s="120"/>
      <c r="T17" s="120"/>
      <c r="U17" s="4"/>
      <c r="V17" s="4"/>
      <c r="W17" s="4"/>
      <c r="X17" s="4"/>
      <c r="Y17" s="4"/>
      <c r="Z17" s="4"/>
      <c r="AA17" s="119" t="s">
        <v>280</v>
      </c>
      <c r="AB17" s="119"/>
      <c r="AC17" s="120"/>
      <c r="AD17" s="120"/>
      <c r="AE17" s="1"/>
    </row>
    <row r="18" spans="1:31" ht="22.05" customHeight="1">
      <c r="A18" s="1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1"/>
    </row>
    <row r="19" spans="1:31" ht="22.05" customHeight="1">
      <c r="A19" s="1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1"/>
    </row>
    <row r="20" spans="1:31" ht="22.05" customHeight="1">
      <c r="A20" s="1"/>
      <c r="B20" s="112" t="s">
        <v>518</v>
      </c>
      <c r="C20" s="112"/>
      <c r="D20" s="112"/>
      <c r="E20" s="115" t="str">
        <f>IF(COUNT(E13,D22)=2,E13-D22,"")</f>
        <v/>
      </c>
      <c r="F20" s="115"/>
      <c r="G20" s="4"/>
      <c r="H20" s="4"/>
      <c r="I20" s="4"/>
      <c r="J20" s="4"/>
      <c r="K20" s="4"/>
      <c r="L20" s="4"/>
      <c r="M20" s="4"/>
      <c r="N20" s="4"/>
      <c r="O20" s="4"/>
      <c r="P20" s="4"/>
      <c r="Q20" s="112" t="s">
        <v>518</v>
      </c>
      <c r="R20" s="112"/>
      <c r="S20" s="112"/>
      <c r="T20" s="115" t="str">
        <f>IF(COUNT(T13,S22)=2,T13-S22,"")</f>
        <v/>
      </c>
      <c r="U20" s="115"/>
      <c r="V20" s="4"/>
      <c r="W20" s="4"/>
      <c r="X20" s="4"/>
      <c r="Y20" s="4"/>
      <c r="Z20" s="4"/>
      <c r="AA20" s="4"/>
      <c r="AB20" s="4"/>
      <c r="AC20" s="4"/>
      <c r="AD20" s="4"/>
      <c r="AE20" s="1"/>
    </row>
    <row r="21" spans="1:31" ht="22.05" customHeight="1">
      <c r="A21" s="1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1"/>
    </row>
    <row r="22" spans="1:31" ht="22.05" customHeight="1">
      <c r="A22" s="1"/>
      <c r="B22" s="112" t="s">
        <v>332</v>
      </c>
      <c r="C22" s="112"/>
      <c r="D22" s="114"/>
      <c r="E22" s="114"/>
      <c r="F22" s="4"/>
      <c r="G22" s="4"/>
      <c r="H22" s="4"/>
      <c r="I22" s="4"/>
      <c r="J22" s="4"/>
      <c r="K22" s="4"/>
      <c r="L22" s="112" t="s">
        <v>331</v>
      </c>
      <c r="M22" s="112"/>
      <c r="N22" s="114"/>
      <c r="O22" s="114"/>
      <c r="P22" s="4"/>
      <c r="Q22" s="112" t="s">
        <v>332</v>
      </c>
      <c r="R22" s="112"/>
      <c r="S22" s="114"/>
      <c r="T22" s="114"/>
      <c r="U22" s="4"/>
      <c r="V22" s="4"/>
      <c r="W22" s="4"/>
      <c r="X22" s="4"/>
      <c r="Y22" s="4"/>
      <c r="Z22" s="4"/>
      <c r="AA22" s="112" t="s">
        <v>331</v>
      </c>
      <c r="AB22" s="112"/>
      <c r="AC22" s="114"/>
      <c r="AD22" s="114"/>
      <c r="AE22" s="1"/>
    </row>
    <row r="23" spans="1:31" ht="22.05" customHeight="1">
      <c r="A23" s="1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1"/>
    </row>
    <row r="24" spans="1:31" ht="22.05" customHeight="1">
      <c r="A24" s="1"/>
      <c r="B24" s="119" t="s">
        <v>333</v>
      </c>
      <c r="C24" s="119"/>
      <c r="D24" s="120"/>
      <c r="E24" s="120"/>
      <c r="F24" s="4"/>
      <c r="G24" s="4"/>
      <c r="H24" s="4"/>
      <c r="I24" s="4"/>
      <c r="J24" s="4"/>
      <c r="K24" s="4"/>
      <c r="L24" s="119" t="s">
        <v>334</v>
      </c>
      <c r="M24" s="119"/>
      <c r="N24" s="120"/>
      <c r="O24" s="120"/>
      <c r="P24" s="4"/>
      <c r="Q24" s="119" t="s">
        <v>333</v>
      </c>
      <c r="R24" s="119"/>
      <c r="S24" s="120"/>
      <c r="T24" s="120"/>
      <c r="U24" s="4"/>
      <c r="V24" s="4"/>
      <c r="W24" s="4"/>
      <c r="X24" s="4"/>
      <c r="Y24" s="4"/>
      <c r="Z24" s="4"/>
      <c r="AA24" s="119" t="s">
        <v>334</v>
      </c>
      <c r="AB24" s="119"/>
      <c r="AC24" s="120"/>
      <c r="AD24" s="120"/>
      <c r="AE24" s="1"/>
    </row>
    <row r="25" spans="1:31" ht="22.05" customHeight="1">
      <c r="A25" s="1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1"/>
    </row>
    <row r="26" spans="1:31" ht="22.05" customHeight="1">
      <c r="A26" s="1"/>
      <c r="B26" s="5"/>
      <c r="C26" s="5"/>
      <c r="D26" s="5"/>
      <c r="E26" s="5"/>
      <c r="F26" s="4"/>
      <c r="G26" s="4"/>
      <c r="H26" s="4"/>
      <c r="I26" s="4"/>
      <c r="J26" s="4"/>
      <c r="K26" s="4"/>
      <c r="L26" s="5"/>
      <c r="M26" s="5"/>
      <c r="N26" s="5"/>
      <c r="O26" s="5"/>
      <c r="P26" s="4"/>
      <c r="Q26" s="5"/>
      <c r="R26" s="5"/>
      <c r="S26" s="5"/>
      <c r="T26" s="5"/>
      <c r="U26" s="4"/>
      <c r="V26" s="4"/>
      <c r="W26" s="4"/>
      <c r="X26" s="4"/>
      <c r="Y26" s="4"/>
      <c r="Z26" s="4"/>
      <c r="AA26" s="5"/>
      <c r="AB26" s="5"/>
      <c r="AC26" s="5"/>
      <c r="AD26" s="5"/>
      <c r="AE26" s="1"/>
    </row>
    <row r="27" spans="1:31" ht="22.05" customHeight="1">
      <c r="A27" s="1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1"/>
    </row>
    <row r="28" spans="1:31" ht="22.05" customHeight="1">
      <c r="A28" s="1"/>
      <c r="B28" s="112"/>
      <c r="C28" s="112"/>
      <c r="D28" s="115"/>
      <c r="E28" s="115"/>
      <c r="F28" s="4"/>
      <c r="G28" s="4"/>
      <c r="H28" s="4"/>
      <c r="I28" s="4"/>
      <c r="J28" s="4"/>
      <c r="K28" s="4"/>
      <c r="L28" s="5"/>
      <c r="M28" s="5"/>
      <c r="N28" s="5"/>
      <c r="O28" s="5"/>
      <c r="P28" s="4"/>
      <c r="Q28" s="112"/>
      <c r="R28" s="112"/>
      <c r="S28" s="115"/>
      <c r="T28" s="115"/>
      <c r="U28" s="4"/>
      <c r="V28" s="4"/>
      <c r="W28" s="4"/>
      <c r="X28" s="4"/>
      <c r="Y28" s="4"/>
      <c r="Z28" s="4"/>
      <c r="AA28" s="5"/>
      <c r="AB28" s="5"/>
      <c r="AC28" s="5"/>
      <c r="AD28" s="5"/>
      <c r="AE28" s="1"/>
    </row>
    <row r="29" spans="1:31" ht="22.05" customHeight="1">
      <c r="A29" s="1"/>
      <c r="B29" s="4"/>
      <c r="C29" s="4"/>
      <c r="D29" s="4"/>
      <c r="E29" s="4"/>
      <c r="F29" s="4"/>
      <c r="G29" s="4"/>
      <c r="H29" s="4"/>
      <c r="I29" s="4"/>
      <c r="J29" s="4"/>
      <c r="K29" s="4"/>
      <c r="L29" s="112"/>
      <c r="M29" s="112"/>
      <c r="N29" s="112"/>
      <c r="O29" s="112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112"/>
      <c r="AB29" s="112"/>
      <c r="AC29" s="112"/>
      <c r="AD29" s="112"/>
      <c r="AE29" s="1"/>
    </row>
    <row r="30" spans="1:31" ht="22.05" customHeight="1">
      <c r="A30" s="1"/>
      <c r="B30" s="4"/>
      <c r="C30" s="4"/>
      <c r="D30" s="4"/>
      <c r="E30" s="4"/>
      <c r="F30" s="4"/>
      <c r="G30" s="4"/>
      <c r="H30" s="4"/>
      <c r="I30" s="4"/>
      <c r="J30" s="4"/>
      <c r="K30" s="4"/>
      <c r="L30" s="112" t="s">
        <v>335</v>
      </c>
      <c r="M30" s="112"/>
      <c r="N30" s="114"/>
      <c r="O30" s="11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112" t="s">
        <v>335</v>
      </c>
      <c r="AB30" s="112"/>
      <c r="AC30" s="114"/>
      <c r="AD30" s="114"/>
      <c r="AE30" s="1"/>
    </row>
    <row r="31" spans="1:31" ht="22.05" customHeight="1">
      <c r="A31" s="1"/>
      <c r="B31" s="119" t="s">
        <v>340</v>
      </c>
      <c r="C31" s="119"/>
      <c r="D31" s="119"/>
      <c r="E31" s="119"/>
      <c r="F31" s="119"/>
      <c r="G31" s="124">
        <v>37</v>
      </c>
      <c r="H31" s="124"/>
      <c r="I31" s="125" t="s">
        <v>341</v>
      </c>
      <c r="J31" s="125"/>
      <c r="K31" s="125"/>
      <c r="L31" s="125"/>
      <c r="M31" s="125"/>
      <c r="N31" s="124">
        <v>37</v>
      </c>
      <c r="O31" s="124"/>
      <c r="P31" s="4"/>
      <c r="Q31" s="119" t="s">
        <v>340</v>
      </c>
      <c r="R31" s="119"/>
      <c r="S31" s="119"/>
      <c r="T31" s="119"/>
      <c r="U31" s="119"/>
      <c r="V31" s="126"/>
      <c r="W31" s="126"/>
      <c r="X31" s="125" t="s">
        <v>341</v>
      </c>
      <c r="Y31" s="125"/>
      <c r="Z31" s="125"/>
      <c r="AA31" s="125"/>
      <c r="AB31" s="125"/>
      <c r="AC31" s="126"/>
      <c r="AD31" s="126"/>
      <c r="AE31" s="1"/>
    </row>
    <row r="32" spans="1:31" ht="22.05" customHeight="1">
      <c r="A32" s="1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1"/>
    </row>
    <row r="33" spans="1:31" ht="34.049999999999997" customHeight="1">
      <c r="A33" s="1"/>
      <c r="B33" s="112" t="s">
        <v>600</v>
      </c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4"/>
      <c r="Q33" s="112" t="s">
        <v>600</v>
      </c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"/>
    </row>
    <row r="34" spans="1:31" ht="7.95" customHeight="1">
      <c r="A34" s="1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1"/>
    </row>
    <row r="35" spans="1:31" ht="22.05" customHeight="1">
      <c r="A35" s="1"/>
      <c r="B35" s="117" t="s">
        <v>281</v>
      </c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4"/>
      <c r="Q35" s="117" t="s">
        <v>282</v>
      </c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"/>
    </row>
    <row r="36" spans="1:31" ht="22.05" customHeight="1">
      <c r="A36" s="1"/>
      <c r="B36" s="119" t="s">
        <v>343</v>
      </c>
      <c r="C36" s="119"/>
      <c r="D36" s="119"/>
      <c r="E36" s="119"/>
      <c r="F36" s="119"/>
      <c r="G36" s="123">
        <v>19</v>
      </c>
      <c r="H36" s="123"/>
      <c r="I36" s="119" t="s">
        <v>344</v>
      </c>
      <c r="J36" s="119"/>
      <c r="K36" s="119"/>
      <c r="L36" s="119"/>
      <c r="M36" s="119"/>
      <c r="N36" s="123">
        <v>19</v>
      </c>
      <c r="O36" s="123"/>
      <c r="P36" s="4"/>
      <c r="Q36" s="119" t="s">
        <v>343</v>
      </c>
      <c r="R36" s="119"/>
      <c r="S36" s="119"/>
      <c r="T36" s="119"/>
      <c r="U36" s="119"/>
      <c r="V36" s="123">
        <v>19</v>
      </c>
      <c r="W36" s="123"/>
      <c r="X36" s="119" t="s">
        <v>344</v>
      </c>
      <c r="Y36" s="119"/>
      <c r="Z36" s="119"/>
      <c r="AA36" s="119"/>
      <c r="AB36" s="119"/>
      <c r="AC36" s="123">
        <v>19</v>
      </c>
      <c r="AD36" s="123"/>
      <c r="AE36" s="1"/>
    </row>
    <row r="37" spans="1:31" ht="22.05" customHeight="1">
      <c r="A37" s="1"/>
      <c r="B37" s="119" t="s">
        <v>345</v>
      </c>
      <c r="C37" s="119"/>
      <c r="D37" s="119"/>
      <c r="E37" s="119"/>
      <c r="F37" s="119"/>
      <c r="G37" s="123">
        <v>9.19</v>
      </c>
      <c r="H37" s="123"/>
      <c r="I37" s="119" t="s">
        <v>346</v>
      </c>
      <c r="J37" s="119"/>
      <c r="K37" s="119"/>
      <c r="L37" s="119"/>
      <c r="M37" s="119"/>
      <c r="N37" s="123">
        <v>9.19</v>
      </c>
      <c r="O37" s="123"/>
      <c r="P37" s="4"/>
      <c r="Q37" s="119" t="s">
        <v>345</v>
      </c>
      <c r="R37" s="119"/>
      <c r="S37" s="119"/>
      <c r="T37" s="119"/>
      <c r="U37" s="119"/>
      <c r="V37" s="123">
        <v>9.19</v>
      </c>
      <c r="W37" s="123"/>
      <c r="X37" s="119" t="s">
        <v>346</v>
      </c>
      <c r="Y37" s="119"/>
      <c r="Z37" s="119"/>
      <c r="AA37" s="119"/>
      <c r="AB37" s="119"/>
      <c r="AC37" s="123">
        <v>9.19</v>
      </c>
      <c r="AD37" s="123"/>
      <c r="AE37" s="1"/>
    </row>
    <row r="38" spans="1:31" ht="22.05" customHeight="1">
      <c r="A38" s="1"/>
      <c r="B38" s="119" t="s">
        <v>283</v>
      </c>
      <c r="C38" s="119"/>
      <c r="D38" s="119"/>
      <c r="E38" s="119"/>
      <c r="F38" s="119"/>
      <c r="G38" s="123">
        <v>9.81</v>
      </c>
      <c r="H38" s="123"/>
      <c r="I38" s="119" t="s">
        <v>284</v>
      </c>
      <c r="J38" s="119"/>
      <c r="K38" s="119"/>
      <c r="L38" s="119"/>
      <c r="M38" s="119"/>
      <c r="N38" s="123">
        <v>0.3</v>
      </c>
      <c r="O38" s="123"/>
      <c r="P38" s="4"/>
      <c r="Q38" s="119" t="s">
        <v>283</v>
      </c>
      <c r="R38" s="119"/>
      <c r="S38" s="119"/>
      <c r="T38" s="119"/>
      <c r="U38" s="119"/>
      <c r="V38" s="123">
        <v>9.81</v>
      </c>
      <c r="W38" s="123"/>
      <c r="X38" s="119" t="s">
        <v>284</v>
      </c>
      <c r="Y38" s="119"/>
      <c r="Z38" s="119"/>
      <c r="AA38" s="119"/>
      <c r="AB38" s="119"/>
      <c r="AC38" s="123">
        <v>0.3</v>
      </c>
      <c r="AD38" s="123"/>
      <c r="AE38" s="1"/>
    </row>
    <row r="39" spans="1:31" ht="22.05" customHeight="1">
      <c r="A39" s="1"/>
      <c r="B39" s="119" t="s">
        <v>285</v>
      </c>
      <c r="C39" s="119"/>
      <c r="D39" s="119"/>
      <c r="E39" s="119"/>
      <c r="F39" s="119"/>
      <c r="G39" s="123">
        <v>1.5</v>
      </c>
      <c r="H39" s="123"/>
      <c r="I39" s="112" t="s">
        <v>491</v>
      </c>
      <c r="J39" s="112"/>
      <c r="K39" s="112"/>
      <c r="L39" s="112"/>
      <c r="M39" s="112"/>
      <c r="N39" s="123">
        <v>30</v>
      </c>
      <c r="O39" s="123"/>
      <c r="P39" s="4"/>
      <c r="Q39" s="119" t="s">
        <v>285</v>
      </c>
      <c r="R39" s="119"/>
      <c r="S39" s="119"/>
      <c r="T39" s="119"/>
      <c r="U39" s="119"/>
      <c r="V39" s="123">
        <v>1.5</v>
      </c>
      <c r="W39" s="123"/>
      <c r="X39" s="112" t="s">
        <v>491</v>
      </c>
      <c r="Y39" s="112"/>
      <c r="Z39" s="112"/>
      <c r="AA39" s="112"/>
      <c r="AB39" s="112"/>
      <c r="AC39" s="123">
        <v>30</v>
      </c>
      <c r="AD39" s="123"/>
      <c r="AE39" s="1"/>
    </row>
    <row r="40" spans="1:31" ht="22.05" customHeight="1">
      <c r="A40" s="1"/>
      <c r="B40" s="112" t="s">
        <v>286</v>
      </c>
      <c r="C40" s="112"/>
      <c r="D40" s="112"/>
      <c r="E40" s="112"/>
      <c r="F40" s="112"/>
      <c r="G40" s="123">
        <v>1</v>
      </c>
      <c r="H40" s="123"/>
      <c r="I40" s="112" t="s">
        <v>287</v>
      </c>
      <c r="J40" s="112"/>
      <c r="K40" s="112"/>
      <c r="L40" s="112"/>
      <c r="M40" s="112"/>
      <c r="N40" s="123">
        <v>0.85</v>
      </c>
      <c r="O40" s="123"/>
      <c r="P40" s="4"/>
      <c r="Q40" s="112" t="s">
        <v>286</v>
      </c>
      <c r="R40" s="112"/>
      <c r="S40" s="112"/>
      <c r="T40" s="112"/>
      <c r="U40" s="112"/>
      <c r="V40" s="123">
        <v>1</v>
      </c>
      <c r="W40" s="123"/>
      <c r="X40" s="112" t="s">
        <v>287</v>
      </c>
      <c r="Y40" s="112"/>
      <c r="Z40" s="112"/>
      <c r="AA40" s="112"/>
      <c r="AB40" s="112"/>
      <c r="AC40" s="123">
        <v>0.85</v>
      </c>
      <c r="AD40" s="123"/>
      <c r="AE40" s="1"/>
    </row>
    <row r="41" spans="1:31" ht="22.05" customHeight="1">
      <c r="A41" s="1"/>
      <c r="B41" s="112" t="s">
        <v>539</v>
      </c>
      <c r="C41" s="112"/>
      <c r="D41" s="112"/>
      <c r="E41" s="112"/>
      <c r="F41" s="112"/>
      <c r="G41" s="123">
        <v>1.4</v>
      </c>
      <c r="H41" s="123"/>
      <c r="I41" s="119" t="s">
        <v>538</v>
      </c>
      <c r="J41" s="119"/>
      <c r="K41" s="119"/>
      <c r="L41" s="119"/>
      <c r="M41" s="119"/>
      <c r="N41" s="123">
        <v>1.5</v>
      </c>
      <c r="O41" s="123"/>
      <c r="P41" s="4"/>
      <c r="Q41" s="112" t="s">
        <v>539</v>
      </c>
      <c r="R41" s="112"/>
      <c r="S41" s="112"/>
      <c r="T41" s="112"/>
      <c r="U41" s="112"/>
      <c r="V41" s="123">
        <v>1.4</v>
      </c>
      <c r="W41" s="123"/>
      <c r="X41" s="119" t="s">
        <v>538</v>
      </c>
      <c r="Y41" s="119"/>
      <c r="Z41" s="119"/>
      <c r="AA41" s="119"/>
      <c r="AB41" s="119"/>
      <c r="AC41" s="123">
        <v>1.5</v>
      </c>
      <c r="AD41" s="123"/>
      <c r="AE41" s="1"/>
    </row>
    <row r="42" spans="1:31" ht="22.05" customHeight="1">
      <c r="A42" s="1"/>
      <c r="B42" s="119" t="s">
        <v>288</v>
      </c>
      <c r="C42" s="119"/>
      <c r="D42" s="119"/>
      <c r="E42" s="119"/>
      <c r="F42" s="119"/>
      <c r="G42" s="123">
        <v>1.1000000000000001</v>
      </c>
      <c r="H42" s="123"/>
      <c r="I42" s="119" t="s">
        <v>289</v>
      </c>
      <c r="J42" s="119"/>
      <c r="K42" s="119"/>
      <c r="L42" s="119"/>
      <c r="M42" s="119"/>
      <c r="N42" s="123">
        <v>1.5</v>
      </c>
      <c r="O42" s="123"/>
      <c r="P42" s="4"/>
      <c r="Q42" s="119" t="s">
        <v>288</v>
      </c>
      <c r="R42" s="119"/>
      <c r="S42" s="119"/>
      <c r="T42" s="119"/>
      <c r="U42" s="119"/>
      <c r="V42" s="123">
        <v>1.1000000000000001</v>
      </c>
      <c r="W42" s="123"/>
      <c r="X42" s="119" t="s">
        <v>289</v>
      </c>
      <c r="Y42" s="119"/>
      <c r="Z42" s="119"/>
      <c r="AA42" s="119"/>
      <c r="AB42" s="119"/>
      <c r="AC42" s="123">
        <v>1.5</v>
      </c>
      <c r="AD42" s="123"/>
      <c r="AE42" s="1"/>
    </row>
    <row r="43" spans="1:31" ht="22.05" customHeight="1">
      <c r="A43" s="1"/>
      <c r="B43" s="119" t="s">
        <v>290</v>
      </c>
      <c r="C43" s="119"/>
      <c r="D43" s="119"/>
      <c r="E43" s="119"/>
      <c r="F43" s="119"/>
      <c r="G43" s="123">
        <v>1</v>
      </c>
      <c r="H43" s="123"/>
      <c r="I43" s="119" t="s">
        <v>291</v>
      </c>
      <c r="J43" s="119"/>
      <c r="K43" s="119"/>
      <c r="L43" s="119"/>
      <c r="M43" s="119"/>
      <c r="N43" s="123">
        <v>1</v>
      </c>
      <c r="O43" s="123"/>
      <c r="P43" s="4"/>
      <c r="Q43" s="119" t="s">
        <v>290</v>
      </c>
      <c r="R43" s="119"/>
      <c r="S43" s="119"/>
      <c r="T43" s="119"/>
      <c r="U43" s="119"/>
      <c r="V43" s="123">
        <v>1</v>
      </c>
      <c r="W43" s="123"/>
      <c r="X43" s="119" t="s">
        <v>291</v>
      </c>
      <c r="Y43" s="119"/>
      <c r="Z43" s="119"/>
      <c r="AA43" s="119"/>
      <c r="AB43" s="119"/>
      <c r="AC43" s="123">
        <v>1</v>
      </c>
      <c r="AD43" s="123"/>
      <c r="AE43" s="1"/>
    </row>
    <row r="44" spans="1:31" ht="22.05" customHeight="1">
      <c r="A44" s="1"/>
      <c r="B44" s="127" t="s">
        <v>292</v>
      </c>
      <c r="C44" s="127"/>
      <c r="D44" s="127"/>
      <c r="E44" s="127"/>
      <c r="F44" s="127"/>
      <c r="G44" s="128">
        <v>1.5</v>
      </c>
      <c r="H44" s="128"/>
      <c r="I44" s="112" t="s">
        <v>293</v>
      </c>
      <c r="J44" s="112"/>
      <c r="K44" s="112"/>
      <c r="L44" s="112"/>
      <c r="M44" s="112"/>
      <c r="N44" s="123">
        <v>1.5</v>
      </c>
      <c r="O44" s="123"/>
      <c r="P44" s="4"/>
      <c r="Q44" s="127" t="s">
        <v>292</v>
      </c>
      <c r="R44" s="127"/>
      <c r="S44" s="127"/>
      <c r="T44" s="127"/>
      <c r="U44" s="127"/>
      <c r="V44" s="128">
        <v>1.5</v>
      </c>
      <c r="W44" s="128"/>
      <c r="X44" s="112" t="s">
        <v>293</v>
      </c>
      <c r="Y44" s="112"/>
      <c r="Z44" s="112"/>
      <c r="AA44" s="112"/>
      <c r="AB44" s="112"/>
      <c r="AC44" s="123">
        <v>1.5</v>
      </c>
      <c r="AD44" s="123"/>
      <c r="AE44" s="1"/>
    </row>
    <row r="45" spans="1:31" ht="22.05" customHeight="1">
      <c r="A45" s="1"/>
      <c r="B45" s="119" t="s">
        <v>294</v>
      </c>
      <c r="C45" s="119"/>
      <c r="D45" s="119"/>
      <c r="E45" s="119"/>
      <c r="F45" s="119"/>
      <c r="G45" s="123">
        <v>1.1000000000000001</v>
      </c>
      <c r="H45" s="123"/>
      <c r="I45" s="119" t="s">
        <v>295</v>
      </c>
      <c r="J45" s="119"/>
      <c r="K45" s="119"/>
      <c r="L45" s="119"/>
      <c r="M45" s="119"/>
      <c r="N45" s="123">
        <v>2</v>
      </c>
      <c r="O45" s="123"/>
      <c r="P45" s="4"/>
      <c r="Q45" s="119" t="s">
        <v>294</v>
      </c>
      <c r="R45" s="119"/>
      <c r="S45" s="119"/>
      <c r="T45" s="119"/>
      <c r="U45" s="119"/>
      <c r="V45" s="123">
        <v>1.1000000000000001</v>
      </c>
      <c r="W45" s="123"/>
      <c r="X45" s="119" t="s">
        <v>295</v>
      </c>
      <c r="Y45" s="119"/>
      <c r="Z45" s="119"/>
      <c r="AA45" s="119"/>
      <c r="AB45" s="119"/>
      <c r="AC45" s="123">
        <v>2</v>
      </c>
      <c r="AD45" s="123"/>
      <c r="AE45" s="1"/>
    </row>
    <row r="46" spans="1:31" ht="22.05" customHeight="1">
      <c r="A46" s="1"/>
      <c r="B46" s="119" t="s">
        <v>296</v>
      </c>
      <c r="C46" s="119"/>
      <c r="D46" s="119"/>
      <c r="E46" s="119"/>
      <c r="F46" s="119"/>
      <c r="G46" s="123">
        <v>1.1000000000000001</v>
      </c>
      <c r="H46" s="123"/>
      <c r="I46" s="112" t="s">
        <v>297</v>
      </c>
      <c r="J46" s="112"/>
      <c r="K46" s="112"/>
      <c r="L46" s="112"/>
      <c r="M46" s="112"/>
      <c r="N46" s="123">
        <v>1</v>
      </c>
      <c r="O46" s="123"/>
      <c r="P46" s="4"/>
      <c r="Q46" s="119" t="s">
        <v>296</v>
      </c>
      <c r="R46" s="119"/>
      <c r="S46" s="119"/>
      <c r="T46" s="119"/>
      <c r="U46" s="119"/>
      <c r="V46" s="123">
        <v>1.1000000000000001</v>
      </c>
      <c r="W46" s="123"/>
      <c r="X46" s="112" t="s">
        <v>297</v>
      </c>
      <c r="Y46" s="112"/>
      <c r="Z46" s="112"/>
      <c r="AA46" s="112"/>
      <c r="AB46" s="112"/>
      <c r="AC46" s="123">
        <v>1</v>
      </c>
      <c r="AD46" s="123"/>
      <c r="AE46" s="1"/>
    </row>
    <row r="47" spans="1:31" ht="22.05" customHeight="1">
      <c r="A47" s="1"/>
      <c r="B47" s="112" t="s">
        <v>484</v>
      </c>
      <c r="C47" s="112"/>
      <c r="D47" s="112"/>
      <c r="E47" s="112"/>
      <c r="F47" s="112"/>
      <c r="G47" s="123">
        <v>1</v>
      </c>
      <c r="H47" s="123"/>
      <c r="P47" s="4"/>
      <c r="Q47" s="112" t="s">
        <v>484</v>
      </c>
      <c r="R47" s="112"/>
      <c r="S47" s="112"/>
      <c r="T47" s="112"/>
      <c r="U47" s="112"/>
      <c r="V47" s="123">
        <v>1</v>
      </c>
      <c r="W47" s="123"/>
      <c r="AE47" s="1"/>
    </row>
    <row r="48" spans="1:31" ht="31.95" customHeight="1">
      <c r="A48" s="1"/>
      <c r="B48" s="112" t="s">
        <v>347</v>
      </c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4"/>
      <c r="Q48" s="112" t="s">
        <v>347</v>
      </c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"/>
    </row>
    <row r="49" spans="1:31" ht="7.95" customHeight="1">
      <c r="A49" s="1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1"/>
    </row>
    <row r="50" spans="1:31" ht="22.05" customHeight="1">
      <c r="A50" s="1"/>
      <c r="B50" s="117" t="s">
        <v>465</v>
      </c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4"/>
      <c r="Q50" s="117" t="s">
        <v>466</v>
      </c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"/>
    </row>
    <row r="51" spans="1:31" ht="22.05" customHeight="1">
      <c r="A51" s="1"/>
      <c r="B51" s="112" t="s">
        <v>298</v>
      </c>
      <c r="C51" s="112"/>
      <c r="D51" s="112"/>
      <c r="E51" s="112" t="s">
        <v>487</v>
      </c>
      <c r="F51" s="112"/>
      <c r="G51" s="112" t="s">
        <v>486</v>
      </c>
      <c r="H51" s="112"/>
      <c r="I51" s="112" t="s">
        <v>299</v>
      </c>
      <c r="J51" s="112"/>
      <c r="K51" s="112" t="s">
        <v>300</v>
      </c>
      <c r="L51" s="112"/>
      <c r="M51" s="112" t="s">
        <v>301</v>
      </c>
      <c r="N51" s="112"/>
      <c r="O51" s="112"/>
      <c r="P51" s="4"/>
      <c r="Q51" s="112" t="s">
        <v>298</v>
      </c>
      <c r="R51" s="112"/>
      <c r="S51" s="112"/>
      <c r="T51" s="112" t="s">
        <v>487</v>
      </c>
      <c r="U51" s="112"/>
      <c r="V51" s="112" t="s">
        <v>486</v>
      </c>
      <c r="W51" s="112"/>
      <c r="X51" s="112" t="s">
        <v>299</v>
      </c>
      <c r="Y51" s="112"/>
      <c r="Z51" s="112" t="s">
        <v>300</v>
      </c>
      <c r="AA51" s="112"/>
      <c r="AB51" s="112" t="s">
        <v>301</v>
      </c>
      <c r="AC51" s="112"/>
      <c r="AD51" s="112"/>
      <c r="AE51" s="1"/>
    </row>
    <row r="52" spans="1:31" ht="22.05" customHeight="1">
      <c r="A52" s="1"/>
      <c r="B52" s="112" t="s">
        <v>467</v>
      </c>
      <c r="C52" s="112"/>
      <c r="D52" s="112"/>
      <c r="E52" s="113"/>
      <c r="F52" s="113"/>
      <c r="G52" s="113"/>
      <c r="H52" s="113"/>
      <c r="I52" s="113"/>
      <c r="J52" s="113"/>
      <c r="K52" s="113">
        <v>15</v>
      </c>
      <c r="L52" s="113"/>
      <c r="M52" s="113"/>
      <c r="N52" s="113"/>
      <c r="O52" s="113"/>
      <c r="P52" s="4"/>
      <c r="Q52" s="112" t="s">
        <v>467</v>
      </c>
      <c r="R52" s="112"/>
      <c r="S52" s="112"/>
      <c r="T52" s="113"/>
      <c r="U52" s="113"/>
      <c r="V52" s="113"/>
      <c r="W52" s="113"/>
      <c r="X52" s="113"/>
      <c r="Y52" s="113"/>
      <c r="Z52" s="113">
        <v>15</v>
      </c>
      <c r="AA52" s="113"/>
      <c r="AB52" s="113"/>
      <c r="AC52" s="113"/>
      <c r="AD52" s="113"/>
      <c r="AE52" s="1"/>
    </row>
    <row r="53" spans="1:31" ht="22.05" customHeight="1">
      <c r="A53" s="1"/>
      <c r="B53" s="112" t="s">
        <v>469</v>
      </c>
      <c r="C53" s="112"/>
      <c r="D53" s="112"/>
      <c r="E53" s="113"/>
      <c r="F53" s="113"/>
      <c r="G53" s="113"/>
      <c r="H53" s="113"/>
      <c r="I53" s="113"/>
      <c r="J53" s="113"/>
      <c r="K53" s="113">
        <v>15</v>
      </c>
      <c r="L53" s="113"/>
      <c r="M53" s="113"/>
      <c r="N53" s="113"/>
      <c r="O53" s="113"/>
      <c r="P53" s="4"/>
      <c r="Q53" s="112" t="s">
        <v>469</v>
      </c>
      <c r="R53" s="112"/>
      <c r="S53" s="112"/>
      <c r="T53" s="113"/>
      <c r="U53" s="113"/>
      <c r="V53" s="113"/>
      <c r="W53" s="113"/>
      <c r="X53" s="113"/>
      <c r="Y53" s="113"/>
      <c r="Z53" s="113">
        <v>15</v>
      </c>
      <c r="AA53" s="113"/>
      <c r="AB53" s="113"/>
      <c r="AC53" s="113"/>
      <c r="AD53" s="113"/>
      <c r="AE53" s="1"/>
    </row>
    <row r="54" spans="1:31" ht="22.05" customHeight="1">
      <c r="A54" s="1"/>
      <c r="B54" s="112" t="s">
        <v>471</v>
      </c>
      <c r="C54" s="112"/>
      <c r="D54" s="112"/>
      <c r="E54" s="113"/>
      <c r="F54" s="113"/>
      <c r="G54" s="113"/>
      <c r="H54" s="113"/>
      <c r="I54" s="113"/>
      <c r="J54" s="113"/>
      <c r="K54" s="113">
        <v>15</v>
      </c>
      <c r="L54" s="113"/>
      <c r="M54" s="113"/>
      <c r="N54" s="113"/>
      <c r="O54" s="113"/>
      <c r="P54" s="4"/>
      <c r="Q54" s="112" t="s">
        <v>471</v>
      </c>
      <c r="R54" s="112"/>
      <c r="S54" s="112"/>
      <c r="T54" s="113"/>
      <c r="U54" s="113"/>
      <c r="V54" s="113"/>
      <c r="W54" s="113"/>
      <c r="X54" s="113"/>
      <c r="Y54" s="113"/>
      <c r="Z54" s="113">
        <v>15</v>
      </c>
      <c r="AA54" s="113"/>
      <c r="AB54" s="113"/>
      <c r="AC54" s="113"/>
      <c r="AD54" s="113"/>
      <c r="AE54" s="1"/>
    </row>
    <row r="55" spans="1:31" ht="22.05" customHeight="1">
      <c r="A55" s="1"/>
      <c r="B55" s="112" t="s">
        <v>473</v>
      </c>
      <c r="C55" s="112"/>
      <c r="D55" s="112"/>
      <c r="E55" s="113"/>
      <c r="F55" s="113"/>
      <c r="G55" s="113"/>
      <c r="H55" s="113"/>
      <c r="I55" s="113"/>
      <c r="J55" s="113"/>
      <c r="K55" s="113">
        <v>15</v>
      </c>
      <c r="L55" s="113"/>
      <c r="M55" s="113"/>
      <c r="N55" s="113"/>
      <c r="O55" s="113"/>
      <c r="P55" s="4"/>
      <c r="Q55" s="112" t="s">
        <v>473</v>
      </c>
      <c r="R55" s="112"/>
      <c r="S55" s="112"/>
      <c r="T55" s="113"/>
      <c r="U55" s="113"/>
      <c r="V55" s="113"/>
      <c r="W55" s="113"/>
      <c r="X55" s="113"/>
      <c r="Y55" s="113"/>
      <c r="Z55" s="113">
        <v>15</v>
      </c>
      <c r="AA55" s="113"/>
      <c r="AB55" s="113"/>
      <c r="AC55" s="113"/>
      <c r="AD55" s="113"/>
      <c r="AE55" s="1"/>
    </row>
    <row r="56" spans="1:31" ht="30" customHeight="1">
      <c r="A56" s="1"/>
      <c r="B56" s="112" t="s">
        <v>527</v>
      </c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4"/>
      <c r="Q56" s="112" t="s">
        <v>527</v>
      </c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"/>
    </row>
    <row r="57" spans="1:31" ht="22.05" customHeight="1">
      <c r="A57" s="1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1"/>
    </row>
    <row r="58" spans="1:31" ht="22.05" customHeight="1">
      <c r="A58" s="1"/>
      <c r="B58" s="117" t="s">
        <v>302</v>
      </c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4"/>
      <c r="Q58" s="117" t="s">
        <v>303</v>
      </c>
      <c r="R58" s="117"/>
      <c r="S58" s="117"/>
      <c r="T58" s="117"/>
      <c r="U58" s="117"/>
      <c r="V58" s="117"/>
      <c r="W58" s="117"/>
      <c r="X58" s="117"/>
      <c r="Y58" s="117"/>
      <c r="Z58" s="117"/>
      <c r="AA58" s="117"/>
      <c r="AB58" s="117"/>
      <c r="AC58" s="117"/>
      <c r="AD58" s="117"/>
      <c r="AE58" s="1"/>
    </row>
    <row r="59" spans="1:31" ht="22.05" customHeight="1">
      <c r="A59" s="1"/>
      <c r="B59" s="112" t="s">
        <v>304</v>
      </c>
      <c r="C59" s="112"/>
      <c r="D59" s="112" t="s">
        <v>305</v>
      </c>
      <c r="E59" s="112"/>
      <c r="F59" s="112" t="s">
        <v>306</v>
      </c>
      <c r="G59" s="112"/>
      <c r="H59" s="112"/>
      <c r="I59" s="112" t="s">
        <v>304</v>
      </c>
      <c r="J59" s="112"/>
      <c r="K59" s="112" t="s">
        <v>305</v>
      </c>
      <c r="L59" s="112"/>
      <c r="M59" s="112" t="s">
        <v>306</v>
      </c>
      <c r="N59" s="112"/>
      <c r="O59" s="112"/>
      <c r="P59" s="4"/>
      <c r="Q59" s="112" t="s">
        <v>304</v>
      </c>
      <c r="R59" s="112"/>
      <c r="S59" s="112" t="s">
        <v>305</v>
      </c>
      <c r="T59" s="112"/>
      <c r="U59" s="112" t="s">
        <v>306</v>
      </c>
      <c r="V59" s="112"/>
      <c r="W59" s="112"/>
      <c r="X59" s="112" t="s">
        <v>304</v>
      </c>
      <c r="Y59" s="112"/>
      <c r="Z59" s="112" t="s">
        <v>305</v>
      </c>
      <c r="AA59" s="112"/>
      <c r="AB59" s="112" t="s">
        <v>306</v>
      </c>
      <c r="AC59" s="112"/>
      <c r="AD59" s="112"/>
      <c r="AE59" s="1"/>
    </row>
    <row r="60" spans="1:31" ht="22.05" customHeight="1">
      <c r="A60" s="1"/>
      <c r="B60" s="112">
        <v>1</v>
      </c>
      <c r="C60" s="112"/>
      <c r="D60" s="113"/>
      <c r="E60" s="113"/>
      <c r="F60" s="113"/>
      <c r="G60" s="113"/>
      <c r="H60" s="113"/>
      <c r="I60" s="112">
        <v>51</v>
      </c>
      <c r="J60" s="112"/>
      <c r="K60" s="113"/>
      <c r="L60" s="113"/>
      <c r="M60" s="113"/>
      <c r="N60" s="113"/>
      <c r="O60" s="113"/>
      <c r="P60" s="4"/>
      <c r="Q60" s="112">
        <v>1</v>
      </c>
      <c r="R60" s="112"/>
      <c r="S60" s="113"/>
      <c r="T60" s="113"/>
      <c r="U60" s="113"/>
      <c r="V60" s="113"/>
      <c r="W60" s="113"/>
      <c r="X60" s="112">
        <v>51</v>
      </c>
      <c r="Y60" s="112"/>
      <c r="Z60" s="113"/>
      <c r="AA60" s="113"/>
      <c r="AB60" s="113"/>
      <c r="AC60" s="113"/>
      <c r="AD60" s="113"/>
      <c r="AE60" s="1"/>
    </row>
    <row r="61" spans="1:31" ht="22.05" customHeight="1">
      <c r="A61" s="1"/>
      <c r="B61" s="112">
        <v>2</v>
      </c>
      <c r="C61" s="112"/>
      <c r="D61" s="113"/>
      <c r="E61" s="113"/>
      <c r="F61" s="113"/>
      <c r="G61" s="113"/>
      <c r="H61" s="113"/>
      <c r="I61" s="112">
        <v>52</v>
      </c>
      <c r="J61" s="112"/>
      <c r="K61" s="113"/>
      <c r="L61" s="113"/>
      <c r="M61" s="113"/>
      <c r="N61" s="113"/>
      <c r="O61" s="113"/>
      <c r="P61" s="4"/>
      <c r="Q61" s="112">
        <v>2</v>
      </c>
      <c r="R61" s="112"/>
      <c r="S61" s="113"/>
      <c r="T61" s="113"/>
      <c r="U61" s="113"/>
      <c r="V61" s="113"/>
      <c r="W61" s="113"/>
      <c r="X61" s="112">
        <v>52</v>
      </c>
      <c r="Y61" s="112"/>
      <c r="Z61" s="113"/>
      <c r="AA61" s="113"/>
      <c r="AB61" s="113"/>
      <c r="AC61" s="113"/>
      <c r="AD61" s="113"/>
      <c r="AE61" s="1"/>
    </row>
    <row r="62" spans="1:31" ht="22.05" customHeight="1">
      <c r="A62" s="1"/>
      <c r="B62" s="112">
        <v>3</v>
      </c>
      <c r="C62" s="112"/>
      <c r="D62" s="113"/>
      <c r="E62" s="113"/>
      <c r="F62" s="113"/>
      <c r="G62" s="113"/>
      <c r="H62" s="113"/>
      <c r="I62" s="112">
        <v>53</v>
      </c>
      <c r="J62" s="112"/>
      <c r="K62" s="113"/>
      <c r="L62" s="113"/>
      <c r="M62" s="113"/>
      <c r="N62" s="113"/>
      <c r="O62" s="113"/>
      <c r="P62" s="4"/>
      <c r="Q62" s="112">
        <v>3</v>
      </c>
      <c r="R62" s="112"/>
      <c r="S62" s="113"/>
      <c r="T62" s="113"/>
      <c r="U62" s="113"/>
      <c r="V62" s="113"/>
      <c r="W62" s="113"/>
      <c r="X62" s="112">
        <v>53</v>
      </c>
      <c r="Y62" s="112"/>
      <c r="Z62" s="113"/>
      <c r="AA62" s="113"/>
      <c r="AB62" s="113"/>
      <c r="AC62" s="113"/>
      <c r="AD62" s="113"/>
      <c r="AE62" s="1"/>
    </row>
    <row r="63" spans="1:31" ht="22.05" customHeight="1">
      <c r="A63" s="1"/>
      <c r="B63" s="112">
        <v>4</v>
      </c>
      <c r="C63" s="112"/>
      <c r="D63" s="113"/>
      <c r="E63" s="113"/>
      <c r="F63" s="113"/>
      <c r="G63" s="113"/>
      <c r="H63" s="113"/>
      <c r="I63" s="112">
        <v>54</v>
      </c>
      <c r="J63" s="112"/>
      <c r="K63" s="113"/>
      <c r="L63" s="113"/>
      <c r="M63" s="113"/>
      <c r="N63" s="113"/>
      <c r="O63" s="113"/>
      <c r="P63" s="4"/>
      <c r="Q63" s="112">
        <v>4</v>
      </c>
      <c r="R63" s="112"/>
      <c r="S63" s="113"/>
      <c r="T63" s="113"/>
      <c r="U63" s="113"/>
      <c r="V63" s="113"/>
      <c r="W63" s="113"/>
      <c r="X63" s="112">
        <v>54</v>
      </c>
      <c r="Y63" s="112"/>
      <c r="Z63" s="113"/>
      <c r="AA63" s="113"/>
      <c r="AB63" s="113"/>
      <c r="AC63" s="113"/>
      <c r="AD63" s="113"/>
      <c r="AE63" s="1"/>
    </row>
    <row r="64" spans="1:31" ht="22.05" customHeight="1">
      <c r="A64" s="1"/>
      <c r="B64" s="112">
        <v>5</v>
      </c>
      <c r="C64" s="112"/>
      <c r="D64" s="113"/>
      <c r="E64" s="113"/>
      <c r="F64" s="113"/>
      <c r="G64" s="113"/>
      <c r="H64" s="113"/>
      <c r="I64" s="112">
        <v>55</v>
      </c>
      <c r="J64" s="112"/>
      <c r="K64" s="113"/>
      <c r="L64" s="113"/>
      <c r="M64" s="113"/>
      <c r="N64" s="113"/>
      <c r="O64" s="113"/>
      <c r="P64" s="4"/>
      <c r="Q64" s="112">
        <v>5</v>
      </c>
      <c r="R64" s="112"/>
      <c r="S64" s="113"/>
      <c r="T64" s="113"/>
      <c r="U64" s="113"/>
      <c r="V64" s="113"/>
      <c r="W64" s="113"/>
      <c r="X64" s="112">
        <v>55</v>
      </c>
      <c r="Y64" s="112"/>
      <c r="Z64" s="113"/>
      <c r="AA64" s="113"/>
      <c r="AB64" s="113"/>
      <c r="AC64" s="113"/>
      <c r="AD64" s="113"/>
      <c r="AE64" s="1"/>
    </row>
    <row r="65" spans="1:31" ht="22.05" customHeight="1">
      <c r="A65" s="1"/>
      <c r="B65" s="112">
        <v>6</v>
      </c>
      <c r="C65" s="112"/>
      <c r="D65" s="113"/>
      <c r="E65" s="113"/>
      <c r="F65" s="113"/>
      <c r="G65" s="113"/>
      <c r="H65" s="113"/>
      <c r="I65" s="112">
        <v>56</v>
      </c>
      <c r="J65" s="112"/>
      <c r="K65" s="113"/>
      <c r="L65" s="113"/>
      <c r="M65" s="113"/>
      <c r="N65" s="113"/>
      <c r="O65" s="113"/>
      <c r="P65" s="4"/>
      <c r="Q65" s="112">
        <v>6</v>
      </c>
      <c r="R65" s="112"/>
      <c r="S65" s="113"/>
      <c r="T65" s="113"/>
      <c r="U65" s="113"/>
      <c r="V65" s="113"/>
      <c r="W65" s="113"/>
      <c r="X65" s="112">
        <v>56</v>
      </c>
      <c r="Y65" s="112"/>
      <c r="Z65" s="113"/>
      <c r="AA65" s="113"/>
      <c r="AB65" s="113"/>
      <c r="AC65" s="113"/>
      <c r="AD65" s="113"/>
      <c r="AE65" s="1"/>
    </row>
    <row r="66" spans="1:31" ht="22.05" customHeight="1">
      <c r="A66" s="1"/>
      <c r="B66" s="112">
        <v>7</v>
      </c>
      <c r="C66" s="112"/>
      <c r="D66" s="113"/>
      <c r="E66" s="113"/>
      <c r="F66" s="113"/>
      <c r="G66" s="113"/>
      <c r="H66" s="113"/>
      <c r="I66" s="112">
        <v>57</v>
      </c>
      <c r="J66" s="112"/>
      <c r="K66" s="113"/>
      <c r="L66" s="113"/>
      <c r="M66" s="113"/>
      <c r="N66" s="113"/>
      <c r="O66" s="113"/>
      <c r="P66" s="4"/>
      <c r="Q66" s="112">
        <v>7</v>
      </c>
      <c r="R66" s="112"/>
      <c r="S66" s="113"/>
      <c r="T66" s="113"/>
      <c r="U66" s="113"/>
      <c r="V66" s="113"/>
      <c r="W66" s="113"/>
      <c r="X66" s="112">
        <v>57</v>
      </c>
      <c r="Y66" s="112"/>
      <c r="Z66" s="113"/>
      <c r="AA66" s="113"/>
      <c r="AB66" s="113"/>
      <c r="AC66" s="113"/>
      <c r="AD66" s="113"/>
      <c r="AE66" s="1"/>
    </row>
    <row r="67" spans="1:31" ht="22.05" customHeight="1">
      <c r="A67" s="1"/>
      <c r="B67" s="112">
        <v>8</v>
      </c>
      <c r="C67" s="112"/>
      <c r="D67" s="113"/>
      <c r="E67" s="113"/>
      <c r="F67" s="113"/>
      <c r="G67" s="113"/>
      <c r="H67" s="113"/>
      <c r="I67" s="112">
        <v>58</v>
      </c>
      <c r="J67" s="112"/>
      <c r="K67" s="113"/>
      <c r="L67" s="113"/>
      <c r="M67" s="113"/>
      <c r="N67" s="113"/>
      <c r="O67" s="113"/>
      <c r="P67" s="4"/>
      <c r="Q67" s="112">
        <v>8</v>
      </c>
      <c r="R67" s="112"/>
      <c r="S67" s="113"/>
      <c r="T67" s="113"/>
      <c r="U67" s="113"/>
      <c r="V67" s="113"/>
      <c r="W67" s="113"/>
      <c r="X67" s="112">
        <v>58</v>
      </c>
      <c r="Y67" s="112"/>
      <c r="Z67" s="113"/>
      <c r="AA67" s="113"/>
      <c r="AB67" s="113"/>
      <c r="AC67" s="113"/>
      <c r="AD67" s="113"/>
      <c r="AE67" s="1"/>
    </row>
    <row r="68" spans="1:31" ht="22.05" customHeight="1">
      <c r="A68" s="1"/>
      <c r="B68" s="112">
        <v>9</v>
      </c>
      <c r="C68" s="112"/>
      <c r="D68" s="113"/>
      <c r="E68" s="113"/>
      <c r="F68" s="113"/>
      <c r="G68" s="113"/>
      <c r="H68" s="113"/>
      <c r="I68" s="112">
        <v>59</v>
      </c>
      <c r="J68" s="112"/>
      <c r="K68" s="113"/>
      <c r="L68" s="113"/>
      <c r="M68" s="113"/>
      <c r="N68" s="113"/>
      <c r="O68" s="113"/>
      <c r="P68" s="4"/>
      <c r="Q68" s="112">
        <v>9</v>
      </c>
      <c r="R68" s="112"/>
      <c r="S68" s="113"/>
      <c r="T68" s="113"/>
      <c r="U68" s="113"/>
      <c r="V68" s="113"/>
      <c r="W68" s="113"/>
      <c r="X68" s="112">
        <v>59</v>
      </c>
      <c r="Y68" s="112"/>
      <c r="Z68" s="113"/>
      <c r="AA68" s="113"/>
      <c r="AB68" s="113"/>
      <c r="AC68" s="113"/>
      <c r="AD68" s="113"/>
      <c r="AE68" s="1"/>
    </row>
    <row r="69" spans="1:31" ht="22.05" customHeight="1">
      <c r="A69" s="1"/>
      <c r="B69" s="112">
        <v>10</v>
      </c>
      <c r="C69" s="112"/>
      <c r="D69" s="113"/>
      <c r="E69" s="113"/>
      <c r="F69" s="113"/>
      <c r="G69" s="113"/>
      <c r="H69" s="113"/>
      <c r="I69" s="112">
        <v>60</v>
      </c>
      <c r="J69" s="112"/>
      <c r="K69" s="113"/>
      <c r="L69" s="113"/>
      <c r="M69" s="113"/>
      <c r="N69" s="113"/>
      <c r="O69" s="113"/>
      <c r="P69" s="4"/>
      <c r="Q69" s="112">
        <v>10</v>
      </c>
      <c r="R69" s="112"/>
      <c r="S69" s="113"/>
      <c r="T69" s="113"/>
      <c r="U69" s="113"/>
      <c r="V69" s="113"/>
      <c r="W69" s="113"/>
      <c r="X69" s="112">
        <v>60</v>
      </c>
      <c r="Y69" s="112"/>
      <c r="Z69" s="113"/>
      <c r="AA69" s="113"/>
      <c r="AB69" s="113"/>
      <c r="AC69" s="113"/>
      <c r="AD69" s="113"/>
      <c r="AE69" s="1"/>
    </row>
    <row r="70" spans="1:31" ht="22.05" customHeight="1">
      <c r="A70" s="1"/>
      <c r="B70" s="112">
        <v>11</v>
      </c>
      <c r="C70" s="112"/>
      <c r="D70" s="113"/>
      <c r="E70" s="113"/>
      <c r="F70" s="113"/>
      <c r="G70" s="113"/>
      <c r="H70" s="113"/>
      <c r="I70" s="112">
        <v>61</v>
      </c>
      <c r="J70" s="112"/>
      <c r="K70" s="113"/>
      <c r="L70" s="113"/>
      <c r="M70" s="113"/>
      <c r="N70" s="113"/>
      <c r="O70" s="113"/>
      <c r="P70" s="4"/>
      <c r="Q70" s="112">
        <v>11</v>
      </c>
      <c r="R70" s="112"/>
      <c r="S70" s="113"/>
      <c r="T70" s="113"/>
      <c r="U70" s="113"/>
      <c r="V70" s="113"/>
      <c r="W70" s="113"/>
      <c r="X70" s="112">
        <v>61</v>
      </c>
      <c r="Y70" s="112"/>
      <c r="Z70" s="113"/>
      <c r="AA70" s="113"/>
      <c r="AB70" s="113"/>
      <c r="AC70" s="113"/>
      <c r="AD70" s="113"/>
      <c r="AE70" s="1"/>
    </row>
    <row r="71" spans="1:31" ht="22.05" customHeight="1">
      <c r="A71" s="1"/>
      <c r="B71" s="112">
        <v>12</v>
      </c>
      <c r="C71" s="112"/>
      <c r="D71" s="113"/>
      <c r="E71" s="113"/>
      <c r="F71" s="113"/>
      <c r="G71" s="113"/>
      <c r="H71" s="113"/>
      <c r="I71" s="112">
        <v>62</v>
      </c>
      <c r="J71" s="112"/>
      <c r="K71" s="113"/>
      <c r="L71" s="113"/>
      <c r="M71" s="113"/>
      <c r="N71" s="113"/>
      <c r="O71" s="113"/>
      <c r="P71" s="4"/>
      <c r="Q71" s="112">
        <v>12</v>
      </c>
      <c r="R71" s="112"/>
      <c r="S71" s="113"/>
      <c r="T71" s="113"/>
      <c r="U71" s="113"/>
      <c r="V71" s="113"/>
      <c r="W71" s="113"/>
      <c r="X71" s="112">
        <v>62</v>
      </c>
      <c r="Y71" s="112"/>
      <c r="Z71" s="113"/>
      <c r="AA71" s="113"/>
      <c r="AB71" s="113"/>
      <c r="AC71" s="113"/>
      <c r="AD71" s="113"/>
      <c r="AE71" s="1"/>
    </row>
    <row r="72" spans="1:31" ht="22.05" customHeight="1">
      <c r="A72" s="1"/>
      <c r="B72" s="112">
        <v>13</v>
      </c>
      <c r="C72" s="112"/>
      <c r="D72" s="113"/>
      <c r="E72" s="113"/>
      <c r="F72" s="113"/>
      <c r="G72" s="113"/>
      <c r="H72" s="113"/>
      <c r="I72" s="112">
        <v>63</v>
      </c>
      <c r="J72" s="112"/>
      <c r="K72" s="113"/>
      <c r="L72" s="113"/>
      <c r="M72" s="113"/>
      <c r="N72" s="113"/>
      <c r="O72" s="113"/>
      <c r="P72" s="4"/>
      <c r="Q72" s="112">
        <v>13</v>
      </c>
      <c r="R72" s="112"/>
      <c r="S72" s="113"/>
      <c r="T72" s="113"/>
      <c r="U72" s="113"/>
      <c r="V72" s="113"/>
      <c r="W72" s="113"/>
      <c r="X72" s="112">
        <v>63</v>
      </c>
      <c r="Y72" s="112"/>
      <c r="Z72" s="113"/>
      <c r="AA72" s="113"/>
      <c r="AB72" s="113"/>
      <c r="AC72" s="113"/>
      <c r="AD72" s="113"/>
      <c r="AE72" s="1"/>
    </row>
    <row r="73" spans="1:31" ht="22.05" customHeight="1">
      <c r="A73" s="1"/>
      <c r="B73" s="112">
        <v>14</v>
      </c>
      <c r="C73" s="112"/>
      <c r="D73" s="113"/>
      <c r="E73" s="113"/>
      <c r="F73" s="113"/>
      <c r="G73" s="113"/>
      <c r="H73" s="113"/>
      <c r="I73" s="112">
        <v>64</v>
      </c>
      <c r="J73" s="112"/>
      <c r="K73" s="113"/>
      <c r="L73" s="113"/>
      <c r="M73" s="113"/>
      <c r="N73" s="113"/>
      <c r="O73" s="113"/>
      <c r="P73" s="4"/>
      <c r="Q73" s="112">
        <v>14</v>
      </c>
      <c r="R73" s="112"/>
      <c r="S73" s="113"/>
      <c r="T73" s="113"/>
      <c r="U73" s="113"/>
      <c r="V73" s="113"/>
      <c r="W73" s="113"/>
      <c r="X73" s="112">
        <v>64</v>
      </c>
      <c r="Y73" s="112"/>
      <c r="Z73" s="113"/>
      <c r="AA73" s="113"/>
      <c r="AB73" s="113"/>
      <c r="AC73" s="113"/>
      <c r="AD73" s="113"/>
      <c r="AE73" s="1"/>
    </row>
    <row r="74" spans="1:31" ht="22.05" customHeight="1">
      <c r="A74" s="1"/>
      <c r="B74" s="112">
        <v>15</v>
      </c>
      <c r="C74" s="112"/>
      <c r="D74" s="113"/>
      <c r="E74" s="113"/>
      <c r="F74" s="113"/>
      <c r="G74" s="113"/>
      <c r="H74" s="113"/>
      <c r="I74" s="112">
        <v>65</v>
      </c>
      <c r="J74" s="112"/>
      <c r="K74" s="113"/>
      <c r="L74" s="113"/>
      <c r="M74" s="113"/>
      <c r="N74" s="113"/>
      <c r="O74" s="113"/>
      <c r="P74" s="4"/>
      <c r="Q74" s="112">
        <v>15</v>
      </c>
      <c r="R74" s="112"/>
      <c r="S74" s="113"/>
      <c r="T74" s="113"/>
      <c r="U74" s="113"/>
      <c r="V74" s="113"/>
      <c r="W74" s="113"/>
      <c r="X74" s="112">
        <v>65</v>
      </c>
      <c r="Y74" s="112"/>
      <c r="Z74" s="113"/>
      <c r="AA74" s="113"/>
      <c r="AB74" s="113"/>
      <c r="AC74" s="113"/>
      <c r="AD74" s="113"/>
      <c r="AE74" s="1"/>
    </row>
    <row r="75" spans="1:31" ht="22.05" customHeight="1">
      <c r="A75" s="1"/>
      <c r="B75" s="112">
        <v>16</v>
      </c>
      <c r="C75" s="112"/>
      <c r="D75" s="113"/>
      <c r="E75" s="113"/>
      <c r="F75" s="113"/>
      <c r="G75" s="113"/>
      <c r="H75" s="113"/>
      <c r="I75" s="112">
        <v>66</v>
      </c>
      <c r="J75" s="112"/>
      <c r="K75" s="113"/>
      <c r="L75" s="113"/>
      <c r="M75" s="113"/>
      <c r="N75" s="113"/>
      <c r="O75" s="113"/>
      <c r="P75" s="4"/>
      <c r="Q75" s="112">
        <v>16</v>
      </c>
      <c r="R75" s="112"/>
      <c r="S75" s="113"/>
      <c r="T75" s="113"/>
      <c r="U75" s="113"/>
      <c r="V75" s="113"/>
      <c r="W75" s="113"/>
      <c r="X75" s="112">
        <v>66</v>
      </c>
      <c r="Y75" s="112"/>
      <c r="Z75" s="113"/>
      <c r="AA75" s="113"/>
      <c r="AB75" s="113"/>
      <c r="AC75" s="113"/>
      <c r="AD75" s="113"/>
      <c r="AE75" s="1"/>
    </row>
    <row r="76" spans="1:31" ht="22.05" customHeight="1">
      <c r="A76" s="1"/>
      <c r="B76" s="112">
        <v>17</v>
      </c>
      <c r="C76" s="112"/>
      <c r="D76" s="113"/>
      <c r="E76" s="113"/>
      <c r="F76" s="113"/>
      <c r="G76" s="113"/>
      <c r="H76" s="113"/>
      <c r="I76" s="112">
        <v>67</v>
      </c>
      <c r="J76" s="112"/>
      <c r="K76" s="113"/>
      <c r="L76" s="113"/>
      <c r="M76" s="113"/>
      <c r="N76" s="113"/>
      <c r="O76" s="113"/>
      <c r="P76" s="4"/>
      <c r="Q76" s="112">
        <v>17</v>
      </c>
      <c r="R76" s="112"/>
      <c r="S76" s="113"/>
      <c r="T76" s="113"/>
      <c r="U76" s="113"/>
      <c r="V76" s="113"/>
      <c r="W76" s="113"/>
      <c r="X76" s="112">
        <v>67</v>
      </c>
      <c r="Y76" s="112"/>
      <c r="Z76" s="113"/>
      <c r="AA76" s="113"/>
      <c r="AB76" s="113"/>
      <c r="AC76" s="113"/>
      <c r="AD76" s="113"/>
      <c r="AE76" s="1"/>
    </row>
    <row r="77" spans="1:31" ht="22.05" customHeight="1">
      <c r="A77" s="1"/>
      <c r="B77" s="112">
        <v>18</v>
      </c>
      <c r="C77" s="112"/>
      <c r="D77" s="113"/>
      <c r="E77" s="113"/>
      <c r="F77" s="113"/>
      <c r="G77" s="113"/>
      <c r="H77" s="113"/>
      <c r="I77" s="112">
        <v>68</v>
      </c>
      <c r="J77" s="112"/>
      <c r="K77" s="113"/>
      <c r="L77" s="113"/>
      <c r="M77" s="113"/>
      <c r="N77" s="113"/>
      <c r="O77" s="113"/>
      <c r="P77" s="4"/>
      <c r="Q77" s="112">
        <v>18</v>
      </c>
      <c r="R77" s="112"/>
      <c r="S77" s="113"/>
      <c r="T77" s="113"/>
      <c r="U77" s="113"/>
      <c r="V77" s="113"/>
      <c r="W77" s="113"/>
      <c r="X77" s="112">
        <v>68</v>
      </c>
      <c r="Y77" s="112"/>
      <c r="Z77" s="113"/>
      <c r="AA77" s="113"/>
      <c r="AB77" s="113"/>
      <c r="AC77" s="113"/>
      <c r="AD77" s="113"/>
      <c r="AE77" s="1"/>
    </row>
    <row r="78" spans="1:31" ht="22.05" customHeight="1">
      <c r="A78" s="1"/>
      <c r="B78" s="112">
        <v>19</v>
      </c>
      <c r="C78" s="112"/>
      <c r="D78" s="113"/>
      <c r="E78" s="113"/>
      <c r="F78" s="113"/>
      <c r="G78" s="113"/>
      <c r="H78" s="113"/>
      <c r="I78" s="112">
        <v>69</v>
      </c>
      <c r="J78" s="112"/>
      <c r="K78" s="113"/>
      <c r="L78" s="113"/>
      <c r="M78" s="113"/>
      <c r="N78" s="113"/>
      <c r="O78" s="113"/>
      <c r="P78" s="4"/>
      <c r="Q78" s="112">
        <v>19</v>
      </c>
      <c r="R78" s="112"/>
      <c r="S78" s="113"/>
      <c r="T78" s="113"/>
      <c r="U78" s="113"/>
      <c r="V78" s="113"/>
      <c r="W78" s="113"/>
      <c r="X78" s="112">
        <v>69</v>
      </c>
      <c r="Y78" s="112"/>
      <c r="Z78" s="113"/>
      <c r="AA78" s="113"/>
      <c r="AB78" s="113"/>
      <c r="AC78" s="113"/>
      <c r="AD78" s="113"/>
      <c r="AE78" s="1"/>
    </row>
    <row r="79" spans="1:31" ht="22.05" customHeight="1">
      <c r="A79" s="1"/>
      <c r="B79" s="112">
        <v>20</v>
      </c>
      <c r="C79" s="112"/>
      <c r="D79" s="113"/>
      <c r="E79" s="113"/>
      <c r="F79" s="113"/>
      <c r="G79" s="113"/>
      <c r="H79" s="113"/>
      <c r="I79" s="112">
        <v>70</v>
      </c>
      <c r="J79" s="112"/>
      <c r="K79" s="113"/>
      <c r="L79" s="113"/>
      <c r="M79" s="113"/>
      <c r="N79" s="113"/>
      <c r="O79" s="113"/>
      <c r="P79" s="4"/>
      <c r="Q79" s="112">
        <v>20</v>
      </c>
      <c r="R79" s="112"/>
      <c r="S79" s="113"/>
      <c r="T79" s="113"/>
      <c r="U79" s="113"/>
      <c r="V79" s="113"/>
      <c r="W79" s="113"/>
      <c r="X79" s="112">
        <v>70</v>
      </c>
      <c r="Y79" s="112"/>
      <c r="Z79" s="113"/>
      <c r="AA79" s="113"/>
      <c r="AB79" s="113"/>
      <c r="AC79" s="113"/>
      <c r="AD79" s="113"/>
      <c r="AE79" s="1"/>
    </row>
    <row r="80" spans="1:31" ht="22.05" customHeight="1">
      <c r="A80" s="1"/>
      <c r="B80" s="112">
        <v>21</v>
      </c>
      <c r="C80" s="112"/>
      <c r="D80" s="113"/>
      <c r="E80" s="113"/>
      <c r="F80" s="113"/>
      <c r="G80" s="113"/>
      <c r="H80" s="113"/>
      <c r="I80" s="112">
        <v>71</v>
      </c>
      <c r="J80" s="112"/>
      <c r="K80" s="113"/>
      <c r="L80" s="113"/>
      <c r="M80" s="113"/>
      <c r="N80" s="113"/>
      <c r="O80" s="113"/>
      <c r="P80" s="4"/>
      <c r="Q80" s="112">
        <v>21</v>
      </c>
      <c r="R80" s="112"/>
      <c r="S80" s="113"/>
      <c r="T80" s="113"/>
      <c r="U80" s="113"/>
      <c r="V80" s="113"/>
      <c r="W80" s="113"/>
      <c r="X80" s="112">
        <v>71</v>
      </c>
      <c r="Y80" s="112"/>
      <c r="Z80" s="113"/>
      <c r="AA80" s="113"/>
      <c r="AB80" s="113"/>
      <c r="AC80" s="113"/>
      <c r="AD80" s="113"/>
      <c r="AE80" s="1"/>
    </row>
    <row r="81" spans="1:31" ht="22.05" customHeight="1">
      <c r="A81" s="1"/>
      <c r="B81" s="112">
        <v>22</v>
      </c>
      <c r="C81" s="112"/>
      <c r="D81" s="113"/>
      <c r="E81" s="113"/>
      <c r="F81" s="113"/>
      <c r="G81" s="113"/>
      <c r="H81" s="113"/>
      <c r="I81" s="112">
        <v>72</v>
      </c>
      <c r="J81" s="112"/>
      <c r="K81" s="113"/>
      <c r="L81" s="113"/>
      <c r="M81" s="113"/>
      <c r="N81" s="113"/>
      <c r="O81" s="113"/>
      <c r="P81" s="4"/>
      <c r="Q81" s="112">
        <v>22</v>
      </c>
      <c r="R81" s="112"/>
      <c r="S81" s="113"/>
      <c r="T81" s="113"/>
      <c r="U81" s="113"/>
      <c r="V81" s="113"/>
      <c r="W81" s="113"/>
      <c r="X81" s="112">
        <v>72</v>
      </c>
      <c r="Y81" s="112"/>
      <c r="Z81" s="113"/>
      <c r="AA81" s="113"/>
      <c r="AB81" s="113"/>
      <c r="AC81" s="113"/>
      <c r="AD81" s="113"/>
      <c r="AE81" s="1"/>
    </row>
    <row r="82" spans="1:31" ht="22.05" customHeight="1">
      <c r="A82" s="1"/>
      <c r="B82" s="112">
        <v>23</v>
      </c>
      <c r="C82" s="112"/>
      <c r="D82" s="113"/>
      <c r="E82" s="113"/>
      <c r="F82" s="113"/>
      <c r="G82" s="113"/>
      <c r="H82" s="113"/>
      <c r="I82" s="112">
        <v>73</v>
      </c>
      <c r="J82" s="112"/>
      <c r="K82" s="113"/>
      <c r="L82" s="113"/>
      <c r="M82" s="113"/>
      <c r="N82" s="113"/>
      <c r="O82" s="113"/>
      <c r="P82" s="4"/>
      <c r="Q82" s="112">
        <v>23</v>
      </c>
      <c r="R82" s="112"/>
      <c r="S82" s="113"/>
      <c r="T82" s="113"/>
      <c r="U82" s="113"/>
      <c r="V82" s="113"/>
      <c r="W82" s="113"/>
      <c r="X82" s="112">
        <v>73</v>
      </c>
      <c r="Y82" s="112"/>
      <c r="Z82" s="113"/>
      <c r="AA82" s="113"/>
      <c r="AB82" s="113"/>
      <c r="AC82" s="113"/>
      <c r="AD82" s="113"/>
      <c r="AE82" s="1"/>
    </row>
    <row r="83" spans="1:31" ht="22.05" customHeight="1">
      <c r="A83" s="1"/>
      <c r="B83" s="112">
        <v>24</v>
      </c>
      <c r="C83" s="112"/>
      <c r="D83" s="113"/>
      <c r="E83" s="113"/>
      <c r="F83" s="113"/>
      <c r="G83" s="113"/>
      <c r="H83" s="113"/>
      <c r="I83" s="112">
        <v>74</v>
      </c>
      <c r="J83" s="112"/>
      <c r="K83" s="113"/>
      <c r="L83" s="113"/>
      <c r="M83" s="113"/>
      <c r="N83" s="113"/>
      <c r="O83" s="113"/>
      <c r="P83" s="4"/>
      <c r="Q83" s="112">
        <v>24</v>
      </c>
      <c r="R83" s="112"/>
      <c r="S83" s="113"/>
      <c r="T83" s="113"/>
      <c r="U83" s="113"/>
      <c r="V83" s="113"/>
      <c r="W83" s="113"/>
      <c r="X83" s="112">
        <v>74</v>
      </c>
      <c r="Y83" s="112"/>
      <c r="Z83" s="113"/>
      <c r="AA83" s="113"/>
      <c r="AB83" s="113"/>
      <c r="AC83" s="113"/>
      <c r="AD83" s="113"/>
      <c r="AE83" s="1"/>
    </row>
    <row r="84" spans="1:31" ht="22.05" customHeight="1">
      <c r="A84" s="1"/>
      <c r="B84" s="112">
        <v>25</v>
      </c>
      <c r="C84" s="112"/>
      <c r="D84" s="113"/>
      <c r="E84" s="113"/>
      <c r="F84" s="113"/>
      <c r="G84" s="113"/>
      <c r="H84" s="113"/>
      <c r="I84" s="112">
        <v>75</v>
      </c>
      <c r="J84" s="112"/>
      <c r="K84" s="113"/>
      <c r="L84" s="113"/>
      <c r="M84" s="113"/>
      <c r="N84" s="113"/>
      <c r="O84" s="113"/>
      <c r="P84" s="4"/>
      <c r="Q84" s="112">
        <v>25</v>
      </c>
      <c r="R84" s="112"/>
      <c r="S84" s="113"/>
      <c r="T84" s="113"/>
      <c r="U84" s="113"/>
      <c r="V84" s="113"/>
      <c r="W84" s="113"/>
      <c r="X84" s="112">
        <v>75</v>
      </c>
      <c r="Y84" s="112"/>
      <c r="Z84" s="113"/>
      <c r="AA84" s="113"/>
      <c r="AB84" s="113"/>
      <c r="AC84" s="113"/>
      <c r="AD84" s="113"/>
      <c r="AE84" s="1"/>
    </row>
    <row r="85" spans="1:31" ht="22.05" customHeight="1">
      <c r="A85" s="1"/>
      <c r="B85" s="112">
        <v>26</v>
      </c>
      <c r="C85" s="112"/>
      <c r="D85" s="113"/>
      <c r="E85" s="113"/>
      <c r="F85" s="113"/>
      <c r="G85" s="113"/>
      <c r="H85" s="113"/>
      <c r="I85" s="112">
        <v>76</v>
      </c>
      <c r="J85" s="112"/>
      <c r="K85" s="113"/>
      <c r="L85" s="113"/>
      <c r="M85" s="113"/>
      <c r="N85" s="113"/>
      <c r="O85" s="113"/>
      <c r="P85" s="4"/>
      <c r="Q85" s="112">
        <v>26</v>
      </c>
      <c r="R85" s="112"/>
      <c r="S85" s="113"/>
      <c r="T85" s="113"/>
      <c r="U85" s="113"/>
      <c r="V85" s="113"/>
      <c r="W85" s="113"/>
      <c r="X85" s="112">
        <v>76</v>
      </c>
      <c r="Y85" s="112"/>
      <c r="Z85" s="113"/>
      <c r="AA85" s="113"/>
      <c r="AB85" s="113"/>
      <c r="AC85" s="113"/>
      <c r="AD85" s="113"/>
      <c r="AE85" s="1"/>
    </row>
    <row r="86" spans="1:31" ht="22.05" customHeight="1">
      <c r="A86" s="1"/>
      <c r="B86" s="112">
        <v>27</v>
      </c>
      <c r="C86" s="112"/>
      <c r="D86" s="113"/>
      <c r="E86" s="113"/>
      <c r="F86" s="113"/>
      <c r="G86" s="113"/>
      <c r="H86" s="113"/>
      <c r="I86" s="112">
        <v>77</v>
      </c>
      <c r="J86" s="112"/>
      <c r="K86" s="113"/>
      <c r="L86" s="113"/>
      <c r="M86" s="113"/>
      <c r="N86" s="113"/>
      <c r="O86" s="113"/>
      <c r="P86" s="4"/>
      <c r="Q86" s="112">
        <v>27</v>
      </c>
      <c r="R86" s="112"/>
      <c r="S86" s="113"/>
      <c r="T86" s="113"/>
      <c r="U86" s="113"/>
      <c r="V86" s="113"/>
      <c r="W86" s="113"/>
      <c r="X86" s="112">
        <v>77</v>
      </c>
      <c r="Y86" s="112"/>
      <c r="Z86" s="113"/>
      <c r="AA86" s="113"/>
      <c r="AB86" s="113"/>
      <c r="AC86" s="113"/>
      <c r="AD86" s="113"/>
      <c r="AE86" s="1"/>
    </row>
    <row r="87" spans="1:31" ht="22.05" customHeight="1">
      <c r="A87" s="1"/>
      <c r="B87" s="112">
        <v>28</v>
      </c>
      <c r="C87" s="112"/>
      <c r="D87" s="113"/>
      <c r="E87" s="113"/>
      <c r="F87" s="113"/>
      <c r="G87" s="113"/>
      <c r="H87" s="113"/>
      <c r="I87" s="112">
        <v>78</v>
      </c>
      <c r="J87" s="112"/>
      <c r="K87" s="113"/>
      <c r="L87" s="113"/>
      <c r="M87" s="113"/>
      <c r="N87" s="113"/>
      <c r="O87" s="113"/>
      <c r="P87" s="4"/>
      <c r="Q87" s="112">
        <v>28</v>
      </c>
      <c r="R87" s="112"/>
      <c r="S87" s="113"/>
      <c r="T87" s="113"/>
      <c r="U87" s="113"/>
      <c r="V87" s="113"/>
      <c r="W87" s="113"/>
      <c r="X87" s="112">
        <v>78</v>
      </c>
      <c r="Y87" s="112"/>
      <c r="Z87" s="113"/>
      <c r="AA87" s="113"/>
      <c r="AB87" s="113"/>
      <c r="AC87" s="113"/>
      <c r="AD87" s="113"/>
      <c r="AE87" s="1"/>
    </row>
    <row r="88" spans="1:31" ht="22.05" customHeight="1">
      <c r="A88" s="1"/>
      <c r="B88" s="112">
        <v>29</v>
      </c>
      <c r="C88" s="112"/>
      <c r="D88" s="113"/>
      <c r="E88" s="113"/>
      <c r="F88" s="113"/>
      <c r="G88" s="113"/>
      <c r="H88" s="113"/>
      <c r="I88" s="112">
        <v>79</v>
      </c>
      <c r="J88" s="112"/>
      <c r="K88" s="113"/>
      <c r="L88" s="113"/>
      <c r="M88" s="113"/>
      <c r="N88" s="113"/>
      <c r="O88" s="113"/>
      <c r="P88" s="4"/>
      <c r="Q88" s="112">
        <v>29</v>
      </c>
      <c r="R88" s="112"/>
      <c r="S88" s="113"/>
      <c r="T88" s="113"/>
      <c r="U88" s="113"/>
      <c r="V88" s="113"/>
      <c r="W88" s="113"/>
      <c r="X88" s="112">
        <v>79</v>
      </c>
      <c r="Y88" s="112"/>
      <c r="Z88" s="113"/>
      <c r="AA88" s="113"/>
      <c r="AB88" s="113"/>
      <c r="AC88" s="113"/>
      <c r="AD88" s="113"/>
      <c r="AE88" s="1"/>
    </row>
    <row r="89" spans="1:31" ht="22.05" customHeight="1">
      <c r="A89" s="1"/>
      <c r="B89" s="112">
        <v>30</v>
      </c>
      <c r="C89" s="112"/>
      <c r="D89" s="113"/>
      <c r="E89" s="113"/>
      <c r="F89" s="113"/>
      <c r="G89" s="113"/>
      <c r="H89" s="113"/>
      <c r="I89" s="112">
        <v>80</v>
      </c>
      <c r="J89" s="112"/>
      <c r="K89" s="113"/>
      <c r="L89" s="113"/>
      <c r="M89" s="113"/>
      <c r="N89" s="113"/>
      <c r="O89" s="113"/>
      <c r="P89" s="4"/>
      <c r="Q89" s="112">
        <v>30</v>
      </c>
      <c r="R89" s="112"/>
      <c r="S89" s="113"/>
      <c r="T89" s="113"/>
      <c r="U89" s="113"/>
      <c r="V89" s="113"/>
      <c r="W89" s="113"/>
      <c r="X89" s="112">
        <v>80</v>
      </c>
      <c r="Y89" s="112"/>
      <c r="Z89" s="113"/>
      <c r="AA89" s="113"/>
      <c r="AB89" s="113"/>
      <c r="AC89" s="113"/>
      <c r="AD89" s="113"/>
      <c r="AE89" s="1"/>
    </row>
    <row r="90" spans="1:31" ht="22.05" customHeight="1">
      <c r="A90" s="1"/>
      <c r="B90" s="112">
        <v>31</v>
      </c>
      <c r="C90" s="112"/>
      <c r="D90" s="113"/>
      <c r="E90" s="113"/>
      <c r="F90" s="113"/>
      <c r="G90" s="113"/>
      <c r="H90" s="113"/>
      <c r="I90" s="112">
        <v>81</v>
      </c>
      <c r="J90" s="112"/>
      <c r="K90" s="113"/>
      <c r="L90" s="113"/>
      <c r="M90" s="113"/>
      <c r="N90" s="113"/>
      <c r="O90" s="113"/>
      <c r="P90" s="4"/>
      <c r="Q90" s="112">
        <v>31</v>
      </c>
      <c r="R90" s="112"/>
      <c r="S90" s="113"/>
      <c r="T90" s="113"/>
      <c r="U90" s="113"/>
      <c r="V90" s="113"/>
      <c r="W90" s="113"/>
      <c r="X90" s="112">
        <v>81</v>
      </c>
      <c r="Y90" s="112"/>
      <c r="Z90" s="113"/>
      <c r="AA90" s="113"/>
      <c r="AB90" s="113"/>
      <c r="AC90" s="113"/>
      <c r="AD90" s="113"/>
      <c r="AE90" s="1"/>
    </row>
    <row r="91" spans="1:31" ht="22.05" customHeight="1">
      <c r="A91" s="1"/>
      <c r="B91" s="112">
        <v>32</v>
      </c>
      <c r="C91" s="112"/>
      <c r="D91" s="113"/>
      <c r="E91" s="113"/>
      <c r="F91" s="113"/>
      <c r="G91" s="113"/>
      <c r="H91" s="113"/>
      <c r="I91" s="112">
        <v>82</v>
      </c>
      <c r="J91" s="112"/>
      <c r="K91" s="113"/>
      <c r="L91" s="113"/>
      <c r="M91" s="113"/>
      <c r="N91" s="113"/>
      <c r="O91" s="113"/>
      <c r="P91" s="4"/>
      <c r="Q91" s="112">
        <v>32</v>
      </c>
      <c r="R91" s="112"/>
      <c r="S91" s="113"/>
      <c r="T91" s="113"/>
      <c r="U91" s="113"/>
      <c r="V91" s="113"/>
      <c r="W91" s="113"/>
      <c r="X91" s="112">
        <v>82</v>
      </c>
      <c r="Y91" s="112"/>
      <c r="Z91" s="113"/>
      <c r="AA91" s="113"/>
      <c r="AB91" s="113"/>
      <c r="AC91" s="113"/>
      <c r="AD91" s="113"/>
      <c r="AE91" s="1"/>
    </row>
    <row r="92" spans="1:31" ht="22.05" customHeight="1">
      <c r="A92" s="1"/>
      <c r="B92" s="112">
        <v>33</v>
      </c>
      <c r="C92" s="112"/>
      <c r="D92" s="113"/>
      <c r="E92" s="113"/>
      <c r="F92" s="113"/>
      <c r="G92" s="113"/>
      <c r="H92" s="113"/>
      <c r="I92" s="112">
        <v>83</v>
      </c>
      <c r="J92" s="112"/>
      <c r="K92" s="113"/>
      <c r="L92" s="113"/>
      <c r="M92" s="113"/>
      <c r="N92" s="113"/>
      <c r="O92" s="113"/>
      <c r="P92" s="4"/>
      <c r="Q92" s="112">
        <v>33</v>
      </c>
      <c r="R92" s="112"/>
      <c r="S92" s="113"/>
      <c r="T92" s="113"/>
      <c r="U92" s="113"/>
      <c r="V92" s="113"/>
      <c r="W92" s="113"/>
      <c r="X92" s="112">
        <v>83</v>
      </c>
      <c r="Y92" s="112"/>
      <c r="Z92" s="113"/>
      <c r="AA92" s="113"/>
      <c r="AB92" s="113"/>
      <c r="AC92" s="113"/>
      <c r="AD92" s="113"/>
      <c r="AE92" s="1"/>
    </row>
    <row r="93" spans="1:31" ht="22.05" customHeight="1">
      <c r="A93" s="1"/>
      <c r="B93" s="112">
        <v>34</v>
      </c>
      <c r="C93" s="112"/>
      <c r="D93" s="113"/>
      <c r="E93" s="113"/>
      <c r="F93" s="113"/>
      <c r="G93" s="113"/>
      <c r="H93" s="113"/>
      <c r="I93" s="112">
        <v>84</v>
      </c>
      <c r="J93" s="112"/>
      <c r="K93" s="113"/>
      <c r="L93" s="113"/>
      <c r="M93" s="113"/>
      <c r="N93" s="113"/>
      <c r="O93" s="113"/>
      <c r="P93" s="4"/>
      <c r="Q93" s="112">
        <v>34</v>
      </c>
      <c r="R93" s="112"/>
      <c r="S93" s="113"/>
      <c r="T93" s="113"/>
      <c r="U93" s="113"/>
      <c r="V93" s="113"/>
      <c r="W93" s="113"/>
      <c r="X93" s="112">
        <v>84</v>
      </c>
      <c r="Y93" s="112"/>
      <c r="Z93" s="113"/>
      <c r="AA93" s="113"/>
      <c r="AB93" s="113"/>
      <c r="AC93" s="113"/>
      <c r="AD93" s="113"/>
      <c r="AE93" s="1"/>
    </row>
    <row r="94" spans="1:31" ht="22.05" customHeight="1">
      <c r="A94" s="1"/>
      <c r="B94" s="112">
        <v>35</v>
      </c>
      <c r="C94" s="112"/>
      <c r="D94" s="113"/>
      <c r="E94" s="113"/>
      <c r="F94" s="113"/>
      <c r="G94" s="113"/>
      <c r="H94" s="113"/>
      <c r="I94" s="112">
        <v>85</v>
      </c>
      <c r="J94" s="112"/>
      <c r="K94" s="113"/>
      <c r="L94" s="113"/>
      <c r="M94" s="113"/>
      <c r="N94" s="113"/>
      <c r="O94" s="113"/>
      <c r="P94" s="4"/>
      <c r="Q94" s="112">
        <v>35</v>
      </c>
      <c r="R94" s="112"/>
      <c r="S94" s="113"/>
      <c r="T94" s="113"/>
      <c r="U94" s="113"/>
      <c r="V94" s="113"/>
      <c r="W94" s="113"/>
      <c r="X94" s="112">
        <v>85</v>
      </c>
      <c r="Y94" s="112"/>
      <c r="Z94" s="113"/>
      <c r="AA94" s="113"/>
      <c r="AB94" s="113"/>
      <c r="AC94" s="113"/>
      <c r="AD94" s="113"/>
      <c r="AE94" s="1"/>
    </row>
    <row r="95" spans="1:31" ht="22.05" customHeight="1">
      <c r="A95" s="1"/>
      <c r="B95" s="112">
        <v>36</v>
      </c>
      <c r="C95" s="112"/>
      <c r="D95" s="113"/>
      <c r="E95" s="113"/>
      <c r="F95" s="113"/>
      <c r="G95" s="113"/>
      <c r="H95" s="113"/>
      <c r="I95" s="112">
        <v>86</v>
      </c>
      <c r="J95" s="112"/>
      <c r="K95" s="113"/>
      <c r="L95" s="113"/>
      <c r="M95" s="113"/>
      <c r="N95" s="113"/>
      <c r="O95" s="113"/>
      <c r="P95" s="4"/>
      <c r="Q95" s="112">
        <v>36</v>
      </c>
      <c r="R95" s="112"/>
      <c r="S95" s="113"/>
      <c r="T95" s="113"/>
      <c r="U95" s="113"/>
      <c r="V95" s="113"/>
      <c r="W95" s="113"/>
      <c r="X95" s="112">
        <v>86</v>
      </c>
      <c r="Y95" s="112"/>
      <c r="Z95" s="113"/>
      <c r="AA95" s="113"/>
      <c r="AB95" s="113"/>
      <c r="AC95" s="113"/>
      <c r="AD95" s="113"/>
      <c r="AE95" s="1"/>
    </row>
    <row r="96" spans="1:31" ht="22.05" customHeight="1">
      <c r="A96" s="1"/>
      <c r="B96" s="112">
        <v>37</v>
      </c>
      <c r="C96" s="112"/>
      <c r="D96" s="113"/>
      <c r="E96" s="113"/>
      <c r="F96" s="113"/>
      <c r="G96" s="113"/>
      <c r="H96" s="113"/>
      <c r="I96" s="112">
        <v>87</v>
      </c>
      <c r="J96" s="112"/>
      <c r="K96" s="113"/>
      <c r="L96" s="113"/>
      <c r="M96" s="113"/>
      <c r="N96" s="113"/>
      <c r="O96" s="113"/>
      <c r="P96" s="4"/>
      <c r="Q96" s="112">
        <v>37</v>
      </c>
      <c r="R96" s="112"/>
      <c r="S96" s="113"/>
      <c r="T96" s="113"/>
      <c r="U96" s="113"/>
      <c r="V96" s="113"/>
      <c r="W96" s="113"/>
      <c r="X96" s="112">
        <v>87</v>
      </c>
      <c r="Y96" s="112"/>
      <c r="Z96" s="113"/>
      <c r="AA96" s="113"/>
      <c r="AB96" s="113"/>
      <c r="AC96" s="113"/>
      <c r="AD96" s="113"/>
      <c r="AE96" s="1"/>
    </row>
    <row r="97" spans="1:31" ht="22.05" customHeight="1">
      <c r="A97" s="1"/>
      <c r="B97" s="112">
        <v>38</v>
      </c>
      <c r="C97" s="112"/>
      <c r="D97" s="113"/>
      <c r="E97" s="113"/>
      <c r="F97" s="113"/>
      <c r="G97" s="113"/>
      <c r="H97" s="113"/>
      <c r="I97" s="112">
        <v>88</v>
      </c>
      <c r="J97" s="112"/>
      <c r="K97" s="113"/>
      <c r="L97" s="113"/>
      <c r="M97" s="113"/>
      <c r="N97" s="113"/>
      <c r="O97" s="113"/>
      <c r="P97" s="4"/>
      <c r="Q97" s="112">
        <v>38</v>
      </c>
      <c r="R97" s="112"/>
      <c r="S97" s="113"/>
      <c r="T97" s="113"/>
      <c r="U97" s="113"/>
      <c r="V97" s="113"/>
      <c r="W97" s="113"/>
      <c r="X97" s="112">
        <v>88</v>
      </c>
      <c r="Y97" s="112"/>
      <c r="Z97" s="113"/>
      <c r="AA97" s="113"/>
      <c r="AB97" s="113"/>
      <c r="AC97" s="113"/>
      <c r="AD97" s="113"/>
      <c r="AE97" s="1"/>
    </row>
    <row r="98" spans="1:31" ht="22.05" customHeight="1">
      <c r="A98" s="1"/>
      <c r="B98" s="112">
        <v>39</v>
      </c>
      <c r="C98" s="112"/>
      <c r="D98" s="113"/>
      <c r="E98" s="113"/>
      <c r="F98" s="113"/>
      <c r="G98" s="113"/>
      <c r="H98" s="113"/>
      <c r="I98" s="112">
        <v>89</v>
      </c>
      <c r="J98" s="112"/>
      <c r="K98" s="113"/>
      <c r="L98" s="113"/>
      <c r="M98" s="113"/>
      <c r="N98" s="113"/>
      <c r="O98" s="113"/>
      <c r="P98" s="4"/>
      <c r="Q98" s="112">
        <v>39</v>
      </c>
      <c r="R98" s="112"/>
      <c r="S98" s="113"/>
      <c r="T98" s="113"/>
      <c r="U98" s="113"/>
      <c r="V98" s="113"/>
      <c r="W98" s="113"/>
      <c r="X98" s="112">
        <v>89</v>
      </c>
      <c r="Y98" s="112"/>
      <c r="Z98" s="113"/>
      <c r="AA98" s="113"/>
      <c r="AB98" s="113"/>
      <c r="AC98" s="113"/>
      <c r="AD98" s="113"/>
      <c r="AE98" s="1"/>
    </row>
    <row r="99" spans="1:31" ht="22.05" customHeight="1">
      <c r="A99" s="1"/>
      <c r="B99" s="112">
        <v>40</v>
      </c>
      <c r="C99" s="112"/>
      <c r="D99" s="113"/>
      <c r="E99" s="113"/>
      <c r="F99" s="113"/>
      <c r="G99" s="113"/>
      <c r="H99" s="113"/>
      <c r="I99" s="112">
        <v>90</v>
      </c>
      <c r="J99" s="112"/>
      <c r="K99" s="113"/>
      <c r="L99" s="113"/>
      <c r="M99" s="113"/>
      <c r="N99" s="113"/>
      <c r="O99" s="113"/>
      <c r="P99" s="4"/>
      <c r="Q99" s="112">
        <v>40</v>
      </c>
      <c r="R99" s="112"/>
      <c r="S99" s="113"/>
      <c r="T99" s="113"/>
      <c r="U99" s="113"/>
      <c r="V99" s="113"/>
      <c r="W99" s="113"/>
      <c r="X99" s="112">
        <v>90</v>
      </c>
      <c r="Y99" s="112"/>
      <c r="Z99" s="113"/>
      <c r="AA99" s="113"/>
      <c r="AB99" s="113"/>
      <c r="AC99" s="113"/>
      <c r="AD99" s="113"/>
      <c r="AE99" s="1"/>
    </row>
    <row r="100" spans="1:31" ht="22.05" customHeight="1">
      <c r="A100" s="1"/>
      <c r="B100" s="112">
        <v>41</v>
      </c>
      <c r="C100" s="112"/>
      <c r="D100" s="113"/>
      <c r="E100" s="113"/>
      <c r="F100" s="113"/>
      <c r="G100" s="113"/>
      <c r="H100" s="113"/>
      <c r="I100" s="112">
        <v>91</v>
      </c>
      <c r="J100" s="112"/>
      <c r="K100" s="113"/>
      <c r="L100" s="113"/>
      <c r="M100" s="113"/>
      <c r="N100" s="113"/>
      <c r="O100" s="113"/>
      <c r="P100" s="4"/>
      <c r="Q100" s="112">
        <v>41</v>
      </c>
      <c r="R100" s="112"/>
      <c r="S100" s="113"/>
      <c r="T100" s="113"/>
      <c r="U100" s="113"/>
      <c r="V100" s="113"/>
      <c r="W100" s="113"/>
      <c r="X100" s="112">
        <v>91</v>
      </c>
      <c r="Y100" s="112"/>
      <c r="Z100" s="113"/>
      <c r="AA100" s="113"/>
      <c r="AB100" s="113"/>
      <c r="AC100" s="113"/>
      <c r="AD100" s="113"/>
      <c r="AE100" s="1"/>
    </row>
    <row r="101" spans="1:31" ht="22.05" customHeight="1">
      <c r="A101" s="1"/>
      <c r="B101" s="112">
        <v>42</v>
      </c>
      <c r="C101" s="112"/>
      <c r="D101" s="113"/>
      <c r="E101" s="113"/>
      <c r="F101" s="113"/>
      <c r="G101" s="113"/>
      <c r="H101" s="113"/>
      <c r="I101" s="112">
        <v>92</v>
      </c>
      <c r="J101" s="112"/>
      <c r="K101" s="113"/>
      <c r="L101" s="113"/>
      <c r="M101" s="113"/>
      <c r="N101" s="113"/>
      <c r="O101" s="113"/>
      <c r="P101" s="4"/>
      <c r="Q101" s="112">
        <v>42</v>
      </c>
      <c r="R101" s="112"/>
      <c r="S101" s="113"/>
      <c r="T101" s="113"/>
      <c r="U101" s="113"/>
      <c r="V101" s="113"/>
      <c r="W101" s="113"/>
      <c r="X101" s="112">
        <v>92</v>
      </c>
      <c r="Y101" s="112"/>
      <c r="Z101" s="113"/>
      <c r="AA101" s="113"/>
      <c r="AB101" s="113"/>
      <c r="AC101" s="113"/>
      <c r="AD101" s="113"/>
      <c r="AE101" s="1"/>
    </row>
    <row r="102" spans="1:31" ht="22.05" customHeight="1">
      <c r="A102" s="1"/>
      <c r="B102" s="112">
        <v>43</v>
      </c>
      <c r="C102" s="112"/>
      <c r="D102" s="113"/>
      <c r="E102" s="113"/>
      <c r="F102" s="113"/>
      <c r="G102" s="113"/>
      <c r="H102" s="113"/>
      <c r="I102" s="112">
        <v>93</v>
      </c>
      <c r="J102" s="112"/>
      <c r="K102" s="113"/>
      <c r="L102" s="113"/>
      <c r="M102" s="113"/>
      <c r="N102" s="113"/>
      <c r="O102" s="113"/>
      <c r="P102" s="4"/>
      <c r="Q102" s="112">
        <v>43</v>
      </c>
      <c r="R102" s="112"/>
      <c r="S102" s="113"/>
      <c r="T102" s="113"/>
      <c r="U102" s="113"/>
      <c r="V102" s="113"/>
      <c r="W102" s="113"/>
      <c r="X102" s="112">
        <v>93</v>
      </c>
      <c r="Y102" s="112"/>
      <c r="Z102" s="113"/>
      <c r="AA102" s="113"/>
      <c r="AB102" s="113"/>
      <c r="AC102" s="113"/>
      <c r="AD102" s="113"/>
      <c r="AE102" s="1"/>
    </row>
    <row r="103" spans="1:31" ht="22.05" customHeight="1">
      <c r="A103" s="1"/>
      <c r="B103" s="112">
        <v>44</v>
      </c>
      <c r="C103" s="112"/>
      <c r="D103" s="113"/>
      <c r="E103" s="113"/>
      <c r="F103" s="113"/>
      <c r="G103" s="113"/>
      <c r="H103" s="113"/>
      <c r="I103" s="112">
        <v>94</v>
      </c>
      <c r="J103" s="112"/>
      <c r="K103" s="113"/>
      <c r="L103" s="113"/>
      <c r="M103" s="113"/>
      <c r="N103" s="113"/>
      <c r="O103" s="113"/>
      <c r="P103" s="4"/>
      <c r="Q103" s="112">
        <v>44</v>
      </c>
      <c r="R103" s="112"/>
      <c r="S103" s="113"/>
      <c r="T103" s="113"/>
      <c r="U103" s="113"/>
      <c r="V103" s="113"/>
      <c r="W103" s="113"/>
      <c r="X103" s="112">
        <v>94</v>
      </c>
      <c r="Y103" s="112"/>
      <c r="Z103" s="113"/>
      <c r="AA103" s="113"/>
      <c r="AB103" s="113"/>
      <c r="AC103" s="113"/>
      <c r="AD103" s="113"/>
      <c r="AE103" s="1"/>
    </row>
    <row r="104" spans="1:31" ht="22.05" customHeight="1">
      <c r="A104" s="1"/>
      <c r="B104" s="112">
        <v>45</v>
      </c>
      <c r="C104" s="112"/>
      <c r="D104" s="113"/>
      <c r="E104" s="113"/>
      <c r="F104" s="113"/>
      <c r="G104" s="113"/>
      <c r="H104" s="113"/>
      <c r="I104" s="112">
        <v>95</v>
      </c>
      <c r="J104" s="112"/>
      <c r="K104" s="113"/>
      <c r="L104" s="113"/>
      <c r="M104" s="113"/>
      <c r="N104" s="113"/>
      <c r="O104" s="113"/>
      <c r="P104" s="4"/>
      <c r="Q104" s="112">
        <v>45</v>
      </c>
      <c r="R104" s="112"/>
      <c r="S104" s="113"/>
      <c r="T104" s="113"/>
      <c r="U104" s="113"/>
      <c r="V104" s="113"/>
      <c r="W104" s="113"/>
      <c r="X104" s="112">
        <v>95</v>
      </c>
      <c r="Y104" s="112"/>
      <c r="Z104" s="113"/>
      <c r="AA104" s="113"/>
      <c r="AB104" s="113"/>
      <c r="AC104" s="113"/>
      <c r="AD104" s="113"/>
      <c r="AE104" s="1"/>
    </row>
    <row r="105" spans="1:31" ht="22.05" customHeight="1">
      <c r="A105" s="1"/>
      <c r="B105" s="112">
        <v>46</v>
      </c>
      <c r="C105" s="112"/>
      <c r="D105" s="113"/>
      <c r="E105" s="113"/>
      <c r="F105" s="113"/>
      <c r="G105" s="113"/>
      <c r="H105" s="113"/>
      <c r="I105" s="112">
        <v>96</v>
      </c>
      <c r="J105" s="112"/>
      <c r="K105" s="113"/>
      <c r="L105" s="113"/>
      <c r="M105" s="113"/>
      <c r="N105" s="113"/>
      <c r="O105" s="113"/>
      <c r="P105" s="4"/>
      <c r="Q105" s="112">
        <v>46</v>
      </c>
      <c r="R105" s="112"/>
      <c r="S105" s="113"/>
      <c r="T105" s="113"/>
      <c r="U105" s="113"/>
      <c r="V105" s="113"/>
      <c r="W105" s="113"/>
      <c r="X105" s="112">
        <v>96</v>
      </c>
      <c r="Y105" s="112"/>
      <c r="Z105" s="113"/>
      <c r="AA105" s="113"/>
      <c r="AB105" s="113"/>
      <c r="AC105" s="113"/>
      <c r="AD105" s="113"/>
      <c r="AE105" s="1"/>
    </row>
    <row r="106" spans="1:31" ht="22.05" customHeight="1">
      <c r="A106" s="1"/>
      <c r="B106" s="112">
        <v>47</v>
      </c>
      <c r="C106" s="112"/>
      <c r="D106" s="113"/>
      <c r="E106" s="113"/>
      <c r="F106" s="113"/>
      <c r="G106" s="113"/>
      <c r="H106" s="113"/>
      <c r="I106" s="112">
        <v>97</v>
      </c>
      <c r="J106" s="112"/>
      <c r="K106" s="113"/>
      <c r="L106" s="113"/>
      <c r="M106" s="113"/>
      <c r="N106" s="113"/>
      <c r="O106" s="113"/>
      <c r="P106" s="4"/>
      <c r="Q106" s="112">
        <v>47</v>
      </c>
      <c r="R106" s="112"/>
      <c r="S106" s="113"/>
      <c r="T106" s="113"/>
      <c r="U106" s="113"/>
      <c r="V106" s="113"/>
      <c r="W106" s="113"/>
      <c r="X106" s="112">
        <v>97</v>
      </c>
      <c r="Y106" s="112"/>
      <c r="Z106" s="113"/>
      <c r="AA106" s="113"/>
      <c r="AB106" s="113"/>
      <c r="AC106" s="113"/>
      <c r="AD106" s="113"/>
      <c r="AE106" s="1"/>
    </row>
    <row r="107" spans="1:31" ht="22.05" customHeight="1">
      <c r="A107" s="1"/>
      <c r="B107" s="112">
        <v>48</v>
      </c>
      <c r="C107" s="112"/>
      <c r="D107" s="113"/>
      <c r="E107" s="113"/>
      <c r="F107" s="113"/>
      <c r="G107" s="113"/>
      <c r="H107" s="113"/>
      <c r="I107" s="112">
        <v>98</v>
      </c>
      <c r="J107" s="112"/>
      <c r="K107" s="113"/>
      <c r="L107" s="113"/>
      <c r="M107" s="113"/>
      <c r="N107" s="113"/>
      <c r="O107" s="113"/>
      <c r="P107" s="4"/>
      <c r="Q107" s="112">
        <v>48</v>
      </c>
      <c r="R107" s="112"/>
      <c r="S107" s="113"/>
      <c r="T107" s="113"/>
      <c r="U107" s="113"/>
      <c r="V107" s="113"/>
      <c r="W107" s="113"/>
      <c r="X107" s="112">
        <v>98</v>
      </c>
      <c r="Y107" s="112"/>
      <c r="Z107" s="113"/>
      <c r="AA107" s="113"/>
      <c r="AB107" s="113"/>
      <c r="AC107" s="113"/>
      <c r="AD107" s="113"/>
      <c r="AE107" s="1"/>
    </row>
    <row r="108" spans="1:31" ht="22.05" customHeight="1">
      <c r="A108" s="1"/>
      <c r="B108" s="112">
        <v>49</v>
      </c>
      <c r="C108" s="112"/>
      <c r="D108" s="113"/>
      <c r="E108" s="113"/>
      <c r="F108" s="113"/>
      <c r="G108" s="113"/>
      <c r="H108" s="113"/>
      <c r="I108" s="112">
        <v>99</v>
      </c>
      <c r="J108" s="112"/>
      <c r="K108" s="113"/>
      <c r="L108" s="113"/>
      <c r="M108" s="113"/>
      <c r="N108" s="113"/>
      <c r="O108" s="113"/>
      <c r="P108" s="4"/>
      <c r="Q108" s="112">
        <v>49</v>
      </c>
      <c r="R108" s="112"/>
      <c r="S108" s="113"/>
      <c r="T108" s="113"/>
      <c r="U108" s="113"/>
      <c r="V108" s="113"/>
      <c r="W108" s="113"/>
      <c r="X108" s="112">
        <v>99</v>
      </c>
      <c r="Y108" s="112"/>
      <c r="Z108" s="113"/>
      <c r="AA108" s="113"/>
      <c r="AB108" s="113"/>
      <c r="AC108" s="113"/>
      <c r="AD108" s="113"/>
      <c r="AE108" s="1"/>
    </row>
    <row r="109" spans="1:31" ht="22.05" customHeight="1">
      <c r="A109" s="1"/>
      <c r="B109" s="112">
        <v>50</v>
      </c>
      <c r="C109" s="112"/>
      <c r="D109" s="113"/>
      <c r="E109" s="113"/>
      <c r="F109" s="113"/>
      <c r="G109" s="113"/>
      <c r="H109" s="113"/>
      <c r="I109" s="112">
        <v>100</v>
      </c>
      <c r="J109" s="112"/>
      <c r="K109" s="113"/>
      <c r="L109" s="113"/>
      <c r="M109" s="113"/>
      <c r="N109" s="113"/>
      <c r="O109" s="113"/>
      <c r="P109" s="4"/>
      <c r="Q109" s="112">
        <v>50</v>
      </c>
      <c r="R109" s="112"/>
      <c r="S109" s="113"/>
      <c r="T109" s="113"/>
      <c r="U109" s="113"/>
      <c r="V109" s="113"/>
      <c r="W109" s="113"/>
      <c r="X109" s="112">
        <v>100</v>
      </c>
      <c r="Y109" s="112"/>
      <c r="Z109" s="113"/>
      <c r="AA109" s="113"/>
      <c r="AB109" s="113"/>
      <c r="AC109" s="113"/>
      <c r="AD109" s="113"/>
      <c r="AE109" s="1"/>
    </row>
    <row r="110" spans="1:31" ht="22.05" customHeight="1">
      <c r="A110" s="1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1"/>
    </row>
    <row r="111" spans="1:31" ht="36" customHeight="1">
      <c r="A111" s="1"/>
      <c r="B111" s="112" t="s">
        <v>526</v>
      </c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4"/>
      <c r="Q111" s="112" t="s">
        <v>526</v>
      </c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"/>
    </row>
    <row r="112" spans="1:31" ht="22.0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30" customHeight="1">
      <c r="A113" s="1"/>
      <c r="B113" s="112" t="s">
        <v>352</v>
      </c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"/>
    </row>
    <row r="114" spans="1:31" ht="30" customHeight="1">
      <c r="A114" s="1"/>
      <c r="B114" s="112"/>
      <c r="C114" s="112"/>
      <c r="D114" s="112"/>
      <c r="E114" s="112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"/>
    </row>
    <row r="115" spans="1:31" ht="22.0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22.0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22.0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22.0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t="22.0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22.0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22.0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22.0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22.0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22.0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22.0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22.0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t="22.0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t="22.0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t="22.0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t="22.0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ht="22.0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t="22.0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t="22.0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t="22.0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t="22.0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t="22.0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t="22.0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t="22.0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22.0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22.0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22.0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22.0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22.0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22.0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22.0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22.0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22.0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22.0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22.0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22.0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22.0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22.0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22.0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22.0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22.0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22.0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22.0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</sheetData>
  <mergeCells count="864">
    <mergeCell ref="B1:AD1"/>
    <mergeCell ref="H2:O2"/>
    <mergeCell ref="W2:AD2"/>
    <mergeCell ref="B113:AD113"/>
    <mergeCell ref="B114:AD114"/>
    <mergeCell ref="Q108:R108"/>
    <mergeCell ref="S108:T108"/>
    <mergeCell ref="U108:W108"/>
    <mergeCell ref="X108:Y108"/>
    <mergeCell ref="Z108:AA108"/>
    <mergeCell ref="AB108:AD108"/>
    <mergeCell ref="B108:C108"/>
    <mergeCell ref="D108:E108"/>
    <mergeCell ref="F108:H108"/>
    <mergeCell ref="I108:J108"/>
    <mergeCell ref="K108:L108"/>
    <mergeCell ref="M108:O108"/>
    <mergeCell ref="B111:O111"/>
    <mergeCell ref="Q111:AD111"/>
    <mergeCell ref="Q109:R109"/>
    <mergeCell ref="S109:T109"/>
    <mergeCell ref="U109:W109"/>
    <mergeCell ref="X109:Y109"/>
    <mergeCell ref="Z109:AA109"/>
    <mergeCell ref="AB109:AD109"/>
    <mergeCell ref="B109:C109"/>
    <mergeCell ref="D109:E109"/>
    <mergeCell ref="F109:H109"/>
    <mergeCell ref="I109:J109"/>
    <mergeCell ref="K109:L109"/>
    <mergeCell ref="M109:O109"/>
    <mergeCell ref="Q106:R106"/>
    <mergeCell ref="S106:T106"/>
    <mergeCell ref="U106:W106"/>
    <mergeCell ref="X106:Y106"/>
    <mergeCell ref="Z106:AA106"/>
    <mergeCell ref="AB106:AD106"/>
    <mergeCell ref="B106:C106"/>
    <mergeCell ref="D106:E106"/>
    <mergeCell ref="F106:H106"/>
    <mergeCell ref="I106:J106"/>
    <mergeCell ref="K106:L106"/>
    <mergeCell ref="M106:O106"/>
    <mergeCell ref="Q107:R107"/>
    <mergeCell ref="S107:T107"/>
    <mergeCell ref="U107:W107"/>
    <mergeCell ref="X107:Y107"/>
    <mergeCell ref="Z107:AA107"/>
    <mergeCell ref="AB107:AD107"/>
    <mergeCell ref="B107:C107"/>
    <mergeCell ref="D107:E107"/>
    <mergeCell ref="F107:H107"/>
    <mergeCell ref="I107:J107"/>
    <mergeCell ref="K107:L107"/>
    <mergeCell ref="M107:O107"/>
    <mergeCell ref="Q104:R104"/>
    <mergeCell ref="S104:T104"/>
    <mergeCell ref="U104:W104"/>
    <mergeCell ref="X104:Y104"/>
    <mergeCell ref="Z104:AA104"/>
    <mergeCell ref="AB104:AD104"/>
    <mergeCell ref="B104:C104"/>
    <mergeCell ref="D104:E104"/>
    <mergeCell ref="F104:H104"/>
    <mergeCell ref="I104:J104"/>
    <mergeCell ref="K104:L104"/>
    <mergeCell ref="M104:O104"/>
    <mergeCell ref="Q105:R105"/>
    <mergeCell ref="S105:T105"/>
    <mergeCell ref="U105:W105"/>
    <mergeCell ref="X105:Y105"/>
    <mergeCell ref="Z105:AA105"/>
    <mergeCell ref="AB105:AD105"/>
    <mergeCell ref="B105:C105"/>
    <mergeCell ref="D105:E105"/>
    <mergeCell ref="F105:H105"/>
    <mergeCell ref="I105:J105"/>
    <mergeCell ref="K105:L105"/>
    <mergeCell ref="M105:O105"/>
    <mergeCell ref="Q102:R102"/>
    <mergeCell ref="S102:T102"/>
    <mergeCell ref="U102:W102"/>
    <mergeCell ref="X102:Y102"/>
    <mergeCell ref="Z102:AA102"/>
    <mergeCell ref="AB102:AD102"/>
    <mergeCell ref="B102:C102"/>
    <mergeCell ref="D102:E102"/>
    <mergeCell ref="F102:H102"/>
    <mergeCell ref="I102:J102"/>
    <mergeCell ref="K102:L102"/>
    <mergeCell ref="M102:O102"/>
    <mergeCell ref="Q103:R103"/>
    <mergeCell ref="S103:T103"/>
    <mergeCell ref="U103:W103"/>
    <mergeCell ref="X103:Y103"/>
    <mergeCell ref="Z103:AA103"/>
    <mergeCell ref="AB103:AD103"/>
    <mergeCell ref="B103:C103"/>
    <mergeCell ref="D103:E103"/>
    <mergeCell ref="F103:H103"/>
    <mergeCell ref="I103:J103"/>
    <mergeCell ref="K103:L103"/>
    <mergeCell ref="M103:O103"/>
    <mergeCell ref="Q100:R100"/>
    <mergeCell ref="S100:T100"/>
    <mergeCell ref="U100:W100"/>
    <mergeCell ref="X100:Y100"/>
    <mergeCell ref="Z100:AA100"/>
    <mergeCell ref="AB100:AD100"/>
    <mergeCell ref="B100:C100"/>
    <mergeCell ref="D100:E100"/>
    <mergeCell ref="F100:H100"/>
    <mergeCell ref="I100:J100"/>
    <mergeCell ref="K100:L100"/>
    <mergeCell ref="M100:O100"/>
    <mergeCell ref="Q101:R101"/>
    <mergeCell ref="S101:T101"/>
    <mergeCell ref="U101:W101"/>
    <mergeCell ref="X101:Y101"/>
    <mergeCell ref="Z101:AA101"/>
    <mergeCell ref="AB101:AD101"/>
    <mergeCell ref="B101:C101"/>
    <mergeCell ref="D101:E101"/>
    <mergeCell ref="F101:H101"/>
    <mergeCell ref="I101:J101"/>
    <mergeCell ref="K101:L101"/>
    <mergeCell ref="M101:O101"/>
    <mergeCell ref="Q98:R98"/>
    <mergeCell ref="S98:T98"/>
    <mergeCell ref="U98:W98"/>
    <mergeCell ref="X98:Y98"/>
    <mergeCell ref="Z98:AA98"/>
    <mergeCell ref="AB98:AD98"/>
    <mergeCell ref="B98:C98"/>
    <mergeCell ref="D98:E98"/>
    <mergeCell ref="F98:H98"/>
    <mergeCell ref="I98:J98"/>
    <mergeCell ref="K98:L98"/>
    <mergeCell ref="M98:O98"/>
    <mergeCell ref="Q99:R99"/>
    <mergeCell ref="S99:T99"/>
    <mergeCell ref="U99:W99"/>
    <mergeCell ref="X99:Y99"/>
    <mergeCell ref="Z99:AA99"/>
    <mergeCell ref="AB99:AD99"/>
    <mergeCell ref="B99:C99"/>
    <mergeCell ref="D99:E99"/>
    <mergeCell ref="F99:H99"/>
    <mergeCell ref="I99:J99"/>
    <mergeCell ref="K99:L99"/>
    <mergeCell ref="M99:O99"/>
    <mergeCell ref="Q96:R96"/>
    <mergeCell ref="S96:T96"/>
    <mergeCell ref="U96:W96"/>
    <mergeCell ref="X96:Y96"/>
    <mergeCell ref="Z96:AA96"/>
    <mergeCell ref="AB96:AD96"/>
    <mergeCell ref="B96:C96"/>
    <mergeCell ref="D96:E96"/>
    <mergeCell ref="F96:H96"/>
    <mergeCell ref="I96:J96"/>
    <mergeCell ref="K96:L96"/>
    <mergeCell ref="M96:O96"/>
    <mergeCell ref="Q97:R97"/>
    <mergeCell ref="S97:T97"/>
    <mergeCell ref="U97:W97"/>
    <mergeCell ref="X97:Y97"/>
    <mergeCell ref="Z97:AA97"/>
    <mergeCell ref="AB97:AD97"/>
    <mergeCell ref="B97:C97"/>
    <mergeCell ref="D97:E97"/>
    <mergeCell ref="F97:H97"/>
    <mergeCell ref="I97:J97"/>
    <mergeCell ref="K97:L97"/>
    <mergeCell ref="M97:O97"/>
    <mergeCell ref="Q94:R94"/>
    <mergeCell ref="S94:T94"/>
    <mergeCell ref="U94:W94"/>
    <mergeCell ref="X94:Y94"/>
    <mergeCell ref="Z94:AA94"/>
    <mergeCell ref="AB94:AD94"/>
    <mergeCell ref="B94:C94"/>
    <mergeCell ref="D94:E94"/>
    <mergeCell ref="F94:H94"/>
    <mergeCell ref="I94:J94"/>
    <mergeCell ref="K94:L94"/>
    <mergeCell ref="M94:O94"/>
    <mergeCell ref="Q95:R95"/>
    <mergeCell ref="S95:T95"/>
    <mergeCell ref="U95:W95"/>
    <mergeCell ref="X95:Y95"/>
    <mergeCell ref="Z95:AA95"/>
    <mergeCell ref="AB95:AD95"/>
    <mergeCell ref="B95:C95"/>
    <mergeCell ref="D95:E95"/>
    <mergeCell ref="F95:H95"/>
    <mergeCell ref="I95:J95"/>
    <mergeCell ref="K95:L95"/>
    <mergeCell ref="M95:O95"/>
    <mergeCell ref="Q92:R92"/>
    <mergeCell ref="S92:T92"/>
    <mergeCell ref="U92:W92"/>
    <mergeCell ref="X92:Y92"/>
    <mergeCell ref="Z92:AA92"/>
    <mergeCell ref="AB92:AD92"/>
    <mergeCell ref="B92:C92"/>
    <mergeCell ref="D92:E92"/>
    <mergeCell ref="F92:H92"/>
    <mergeCell ref="I92:J92"/>
    <mergeCell ref="K92:L92"/>
    <mergeCell ref="M92:O92"/>
    <mergeCell ref="Q93:R93"/>
    <mergeCell ref="S93:T93"/>
    <mergeCell ref="U93:W93"/>
    <mergeCell ref="X93:Y93"/>
    <mergeCell ref="Z93:AA93"/>
    <mergeCell ref="AB93:AD93"/>
    <mergeCell ref="B93:C93"/>
    <mergeCell ref="D93:E93"/>
    <mergeCell ref="F93:H93"/>
    <mergeCell ref="I93:J93"/>
    <mergeCell ref="K93:L93"/>
    <mergeCell ref="M93:O93"/>
    <mergeCell ref="Q90:R90"/>
    <mergeCell ref="S90:T90"/>
    <mergeCell ref="U90:W90"/>
    <mergeCell ref="X90:Y90"/>
    <mergeCell ref="Z90:AA90"/>
    <mergeCell ref="AB90:AD90"/>
    <mergeCell ref="B90:C90"/>
    <mergeCell ref="D90:E90"/>
    <mergeCell ref="F90:H90"/>
    <mergeCell ref="I90:J90"/>
    <mergeCell ref="K90:L90"/>
    <mergeCell ref="M90:O90"/>
    <mergeCell ref="Q91:R91"/>
    <mergeCell ref="S91:T91"/>
    <mergeCell ref="U91:W91"/>
    <mergeCell ref="X91:Y91"/>
    <mergeCell ref="Z91:AA91"/>
    <mergeCell ref="AB91:AD91"/>
    <mergeCell ref="B91:C91"/>
    <mergeCell ref="D91:E91"/>
    <mergeCell ref="F91:H91"/>
    <mergeCell ref="I91:J91"/>
    <mergeCell ref="K91:L91"/>
    <mergeCell ref="M91:O91"/>
    <mergeCell ref="Q88:R88"/>
    <mergeCell ref="S88:T88"/>
    <mergeCell ref="U88:W88"/>
    <mergeCell ref="X88:Y88"/>
    <mergeCell ref="Z88:AA88"/>
    <mergeCell ref="AB88:AD88"/>
    <mergeCell ref="B88:C88"/>
    <mergeCell ref="D88:E88"/>
    <mergeCell ref="F88:H88"/>
    <mergeCell ref="I88:J88"/>
    <mergeCell ref="K88:L88"/>
    <mergeCell ref="M88:O88"/>
    <mergeCell ref="Q89:R89"/>
    <mergeCell ref="S89:T89"/>
    <mergeCell ref="U89:W89"/>
    <mergeCell ref="X89:Y89"/>
    <mergeCell ref="Z89:AA89"/>
    <mergeCell ref="AB89:AD89"/>
    <mergeCell ref="B89:C89"/>
    <mergeCell ref="D89:E89"/>
    <mergeCell ref="F89:H89"/>
    <mergeCell ref="I89:J89"/>
    <mergeCell ref="K89:L89"/>
    <mergeCell ref="M89:O89"/>
    <mergeCell ref="Q86:R86"/>
    <mergeCell ref="S86:T86"/>
    <mergeCell ref="U86:W86"/>
    <mergeCell ref="X86:Y86"/>
    <mergeCell ref="Z86:AA86"/>
    <mergeCell ref="AB86:AD86"/>
    <mergeCell ref="B86:C86"/>
    <mergeCell ref="D86:E86"/>
    <mergeCell ref="F86:H86"/>
    <mergeCell ref="I86:J86"/>
    <mergeCell ref="K86:L86"/>
    <mergeCell ref="M86:O86"/>
    <mergeCell ref="Q87:R87"/>
    <mergeCell ref="S87:T87"/>
    <mergeCell ref="U87:W87"/>
    <mergeCell ref="X87:Y87"/>
    <mergeCell ref="Z87:AA87"/>
    <mergeCell ref="AB87:AD87"/>
    <mergeCell ref="B87:C87"/>
    <mergeCell ref="D87:E87"/>
    <mergeCell ref="F87:H87"/>
    <mergeCell ref="I87:J87"/>
    <mergeCell ref="K87:L87"/>
    <mergeCell ref="M87:O87"/>
    <mergeCell ref="Q84:R84"/>
    <mergeCell ref="S84:T84"/>
    <mergeCell ref="U84:W84"/>
    <mergeCell ref="X84:Y84"/>
    <mergeCell ref="Z84:AA84"/>
    <mergeCell ref="AB84:AD84"/>
    <mergeCell ref="B84:C84"/>
    <mergeCell ref="D84:E84"/>
    <mergeCell ref="F84:H84"/>
    <mergeCell ref="I84:J84"/>
    <mergeCell ref="K84:L84"/>
    <mergeCell ref="M84:O84"/>
    <mergeCell ref="Q85:R85"/>
    <mergeCell ref="S85:T85"/>
    <mergeCell ref="U85:W85"/>
    <mergeCell ref="X85:Y85"/>
    <mergeCell ref="Z85:AA85"/>
    <mergeCell ref="AB85:AD85"/>
    <mergeCell ref="B85:C85"/>
    <mergeCell ref="D85:E85"/>
    <mergeCell ref="F85:H85"/>
    <mergeCell ref="I85:J85"/>
    <mergeCell ref="K85:L85"/>
    <mergeCell ref="M85:O85"/>
    <mergeCell ref="Q82:R82"/>
    <mergeCell ref="S82:T82"/>
    <mergeCell ref="U82:W82"/>
    <mergeCell ref="X82:Y82"/>
    <mergeCell ref="Z82:AA82"/>
    <mergeCell ref="AB82:AD82"/>
    <mergeCell ref="B82:C82"/>
    <mergeCell ref="D82:E82"/>
    <mergeCell ref="F82:H82"/>
    <mergeCell ref="I82:J82"/>
    <mergeCell ref="K82:L82"/>
    <mergeCell ref="M82:O82"/>
    <mergeCell ref="Q83:R83"/>
    <mergeCell ref="S83:T83"/>
    <mergeCell ref="U83:W83"/>
    <mergeCell ref="X83:Y83"/>
    <mergeCell ref="Z83:AA83"/>
    <mergeCell ref="AB83:AD83"/>
    <mergeCell ref="B83:C83"/>
    <mergeCell ref="D83:E83"/>
    <mergeCell ref="F83:H83"/>
    <mergeCell ref="I83:J83"/>
    <mergeCell ref="K83:L83"/>
    <mergeCell ref="M83:O83"/>
    <mergeCell ref="Q80:R80"/>
    <mergeCell ref="S80:T80"/>
    <mergeCell ref="U80:W80"/>
    <mergeCell ref="X80:Y80"/>
    <mergeCell ref="Z80:AA80"/>
    <mergeCell ref="AB80:AD80"/>
    <mergeCell ref="B80:C80"/>
    <mergeCell ref="D80:E80"/>
    <mergeCell ref="F80:H80"/>
    <mergeCell ref="I80:J80"/>
    <mergeCell ref="K80:L80"/>
    <mergeCell ref="M80:O80"/>
    <mergeCell ref="Q81:R81"/>
    <mergeCell ref="S81:T81"/>
    <mergeCell ref="U81:W81"/>
    <mergeCell ref="X81:Y81"/>
    <mergeCell ref="Z81:AA81"/>
    <mergeCell ref="AB81:AD81"/>
    <mergeCell ref="B81:C81"/>
    <mergeCell ref="D81:E81"/>
    <mergeCell ref="F81:H81"/>
    <mergeCell ref="I81:J81"/>
    <mergeCell ref="K81:L81"/>
    <mergeCell ref="M81:O81"/>
    <mergeCell ref="Q78:R78"/>
    <mergeCell ref="S78:T78"/>
    <mergeCell ref="U78:W78"/>
    <mergeCell ref="X78:Y78"/>
    <mergeCell ref="Z78:AA78"/>
    <mergeCell ref="AB78:AD78"/>
    <mergeCell ref="B78:C78"/>
    <mergeCell ref="D78:E78"/>
    <mergeCell ref="F78:H78"/>
    <mergeCell ref="I78:J78"/>
    <mergeCell ref="K78:L78"/>
    <mergeCell ref="M78:O78"/>
    <mergeCell ref="Q79:R79"/>
    <mergeCell ref="S79:T79"/>
    <mergeCell ref="U79:W79"/>
    <mergeCell ref="X79:Y79"/>
    <mergeCell ref="Z79:AA79"/>
    <mergeCell ref="AB79:AD79"/>
    <mergeCell ref="B79:C79"/>
    <mergeCell ref="D79:E79"/>
    <mergeCell ref="F79:H79"/>
    <mergeCell ref="I79:J79"/>
    <mergeCell ref="K79:L79"/>
    <mergeCell ref="M79:O79"/>
    <mergeCell ref="Q76:R76"/>
    <mergeCell ref="S76:T76"/>
    <mergeCell ref="U76:W76"/>
    <mergeCell ref="X76:Y76"/>
    <mergeCell ref="Z76:AA76"/>
    <mergeCell ref="AB76:AD76"/>
    <mergeCell ref="B76:C76"/>
    <mergeCell ref="D76:E76"/>
    <mergeCell ref="F76:H76"/>
    <mergeCell ref="I76:J76"/>
    <mergeCell ref="K76:L76"/>
    <mergeCell ref="M76:O76"/>
    <mergeCell ref="Q77:R77"/>
    <mergeCell ref="S77:T77"/>
    <mergeCell ref="U77:W77"/>
    <mergeCell ref="X77:Y77"/>
    <mergeCell ref="Z77:AA77"/>
    <mergeCell ref="AB77:AD77"/>
    <mergeCell ref="B77:C77"/>
    <mergeCell ref="D77:E77"/>
    <mergeCell ref="F77:H77"/>
    <mergeCell ref="I77:J77"/>
    <mergeCell ref="K77:L77"/>
    <mergeCell ref="M77:O77"/>
    <mergeCell ref="Q74:R74"/>
    <mergeCell ref="S74:T74"/>
    <mergeCell ref="U74:W74"/>
    <mergeCell ref="X74:Y74"/>
    <mergeCell ref="Z74:AA74"/>
    <mergeCell ref="AB74:AD74"/>
    <mergeCell ref="B74:C74"/>
    <mergeCell ref="D74:E74"/>
    <mergeCell ref="F74:H74"/>
    <mergeCell ref="I74:J74"/>
    <mergeCell ref="K74:L74"/>
    <mergeCell ref="M74:O74"/>
    <mergeCell ref="Q75:R75"/>
    <mergeCell ref="S75:T75"/>
    <mergeCell ref="U75:W75"/>
    <mergeCell ref="X75:Y75"/>
    <mergeCell ref="Z75:AA75"/>
    <mergeCell ref="AB75:AD75"/>
    <mergeCell ref="B75:C75"/>
    <mergeCell ref="D75:E75"/>
    <mergeCell ref="F75:H75"/>
    <mergeCell ref="I75:J75"/>
    <mergeCell ref="K75:L75"/>
    <mergeCell ref="M75:O75"/>
    <mergeCell ref="Q72:R72"/>
    <mergeCell ref="S72:T72"/>
    <mergeCell ref="U72:W72"/>
    <mergeCell ref="X72:Y72"/>
    <mergeCell ref="Z72:AA72"/>
    <mergeCell ref="AB72:AD72"/>
    <mergeCell ref="B72:C72"/>
    <mergeCell ref="D72:E72"/>
    <mergeCell ref="F72:H72"/>
    <mergeCell ref="I72:J72"/>
    <mergeCell ref="K72:L72"/>
    <mergeCell ref="M72:O72"/>
    <mergeCell ref="Q73:R73"/>
    <mergeCell ref="S73:T73"/>
    <mergeCell ref="U73:W73"/>
    <mergeCell ref="X73:Y73"/>
    <mergeCell ref="Z73:AA73"/>
    <mergeCell ref="AB73:AD73"/>
    <mergeCell ref="B73:C73"/>
    <mergeCell ref="D73:E73"/>
    <mergeCell ref="F73:H73"/>
    <mergeCell ref="I73:J73"/>
    <mergeCell ref="K73:L73"/>
    <mergeCell ref="M73:O73"/>
    <mergeCell ref="Q70:R70"/>
    <mergeCell ref="S70:T70"/>
    <mergeCell ref="U70:W70"/>
    <mergeCell ref="X70:Y70"/>
    <mergeCell ref="Z70:AA70"/>
    <mergeCell ref="AB70:AD70"/>
    <mergeCell ref="B70:C70"/>
    <mergeCell ref="D70:E70"/>
    <mergeCell ref="F70:H70"/>
    <mergeCell ref="I70:J70"/>
    <mergeCell ref="K70:L70"/>
    <mergeCell ref="M70:O70"/>
    <mergeCell ref="Q71:R71"/>
    <mergeCell ref="S71:T71"/>
    <mergeCell ref="U71:W71"/>
    <mergeCell ref="X71:Y71"/>
    <mergeCell ref="Z71:AA71"/>
    <mergeCell ref="AB71:AD71"/>
    <mergeCell ref="B71:C71"/>
    <mergeCell ref="D71:E71"/>
    <mergeCell ref="F71:H71"/>
    <mergeCell ref="I71:J71"/>
    <mergeCell ref="K71:L71"/>
    <mergeCell ref="M71:O71"/>
    <mergeCell ref="Q68:R68"/>
    <mergeCell ref="S68:T68"/>
    <mergeCell ref="U68:W68"/>
    <mergeCell ref="X68:Y68"/>
    <mergeCell ref="Z68:AA68"/>
    <mergeCell ref="AB68:AD68"/>
    <mergeCell ref="B68:C68"/>
    <mergeCell ref="D68:E68"/>
    <mergeCell ref="F68:H68"/>
    <mergeCell ref="I68:J68"/>
    <mergeCell ref="K68:L68"/>
    <mergeCell ref="M68:O68"/>
    <mergeCell ref="Q69:R69"/>
    <mergeCell ref="S69:T69"/>
    <mergeCell ref="U69:W69"/>
    <mergeCell ref="X69:Y69"/>
    <mergeCell ref="Z69:AA69"/>
    <mergeCell ref="AB69:AD69"/>
    <mergeCell ref="B69:C69"/>
    <mergeCell ref="D69:E69"/>
    <mergeCell ref="F69:H69"/>
    <mergeCell ref="I69:J69"/>
    <mergeCell ref="K69:L69"/>
    <mergeCell ref="M69:O69"/>
    <mergeCell ref="Q66:R66"/>
    <mergeCell ref="S66:T66"/>
    <mergeCell ref="U66:W66"/>
    <mergeCell ref="X66:Y66"/>
    <mergeCell ref="Z66:AA66"/>
    <mergeCell ref="AB66:AD66"/>
    <mergeCell ref="B66:C66"/>
    <mergeCell ref="D66:E66"/>
    <mergeCell ref="F66:H66"/>
    <mergeCell ref="I66:J66"/>
    <mergeCell ref="K66:L66"/>
    <mergeCell ref="M66:O66"/>
    <mergeCell ref="Q67:R67"/>
    <mergeCell ref="S67:T67"/>
    <mergeCell ref="U67:W67"/>
    <mergeCell ref="X67:Y67"/>
    <mergeCell ref="Z67:AA67"/>
    <mergeCell ref="AB67:AD67"/>
    <mergeCell ref="B67:C67"/>
    <mergeCell ref="D67:E67"/>
    <mergeCell ref="F67:H67"/>
    <mergeCell ref="I67:J67"/>
    <mergeCell ref="K67:L67"/>
    <mergeCell ref="M67:O67"/>
    <mergeCell ref="Q64:R64"/>
    <mergeCell ref="S64:T64"/>
    <mergeCell ref="U64:W64"/>
    <mergeCell ref="X64:Y64"/>
    <mergeCell ref="Z64:AA64"/>
    <mergeCell ref="AB64:AD64"/>
    <mergeCell ref="B64:C64"/>
    <mergeCell ref="D64:E64"/>
    <mergeCell ref="F64:H64"/>
    <mergeCell ref="I64:J64"/>
    <mergeCell ref="K64:L64"/>
    <mergeCell ref="M64:O64"/>
    <mergeCell ref="Q65:R65"/>
    <mergeCell ref="S65:T65"/>
    <mergeCell ref="U65:W65"/>
    <mergeCell ref="X65:Y65"/>
    <mergeCell ref="Z65:AA65"/>
    <mergeCell ref="B62:C62"/>
    <mergeCell ref="D62:E62"/>
    <mergeCell ref="F62:H62"/>
    <mergeCell ref="I62:J62"/>
    <mergeCell ref="K62:L62"/>
    <mergeCell ref="M62:O62"/>
    <mergeCell ref="AB65:AD65"/>
    <mergeCell ref="B65:C65"/>
    <mergeCell ref="D65:E65"/>
    <mergeCell ref="F65:H65"/>
    <mergeCell ref="I65:J65"/>
    <mergeCell ref="K65:L65"/>
    <mergeCell ref="M65:O65"/>
    <mergeCell ref="B63:C63"/>
    <mergeCell ref="D63:E63"/>
    <mergeCell ref="F63:H63"/>
    <mergeCell ref="I63:J63"/>
    <mergeCell ref="K63:L63"/>
    <mergeCell ref="M63:O63"/>
    <mergeCell ref="X60:Y60"/>
    <mergeCell ref="Z60:AA60"/>
    <mergeCell ref="AB60:AD60"/>
    <mergeCell ref="Q63:R63"/>
    <mergeCell ref="S63:T63"/>
    <mergeCell ref="U63:W63"/>
    <mergeCell ref="X63:Y63"/>
    <mergeCell ref="Z63:AA63"/>
    <mergeCell ref="AB63:AD63"/>
    <mergeCell ref="X62:Y62"/>
    <mergeCell ref="Z62:AA62"/>
    <mergeCell ref="AB62:AD62"/>
    <mergeCell ref="Q61:R61"/>
    <mergeCell ref="S61:T61"/>
    <mergeCell ref="U61:W61"/>
    <mergeCell ref="X61:Y61"/>
    <mergeCell ref="Z61:AA61"/>
    <mergeCell ref="AB61:AD61"/>
    <mergeCell ref="Q62:R62"/>
    <mergeCell ref="S62:T62"/>
    <mergeCell ref="U62:W62"/>
    <mergeCell ref="B61:C61"/>
    <mergeCell ref="D61:E61"/>
    <mergeCell ref="F61:H61"/>
    <mergeCell ref="I61:J61"/>
    <mergeCell ref="K61:L61"/>
    <mergeCell ref="M61:O61"/>
    <mergeCell ref="B56:O56"/>
    <mergeCell ref="Q56:AD56"/>
    <mergeCell ref="U59:W59"/>
    <mergeCell ref="X59:Y59"/>
    <mergeCell ref="Z59:AA59"/>
    <mergeCell ref="AB59:AD59"/>
    <mergeCell ref="B60:C60"/>
    <mergeCell ref="D60:E60"/>
    <mergeCell ref="F60:H60"/>
    <mergeCell ref="I60:J60"/>
    <mergeCell ref="K60:L60"/>
    <mergeCell ref="M60:O60"/>
    <mergeCell ref="B58:O58"/>
    <mergeCell ref="Q58:AD58"/>
    <mergeCell ref="B59:C59"/>
    <mergeCell ref="D59:E59"/>
    <mergeCell ref="F59:H59"/>
    <mergeCell ref="I59:J59"/>
    <mergeCell ref="K59:L59"/>
    <mergeCell ref="M59:O59"/>
    <mergeCell ref="Q59:R59"/>
    <mergeCell ref="S59:T59"/>
    <mergeCell ref="Q60:R60"/>
    <mergeCell ref="S60:T60"/>
    <mergeCell ref="Q54:S54"/>
    <mergeCell ref="T54:U54"/>
    <mergeCell ref="V54:W54"/>
    <mergeCell ref="Q55:S55"/>
    <mergeCell ref="T55:U55"/>
    <mergeCell ref="V55:W55"/>
    <mergeCell ref="U60:W60"/>
    <mergeCell ref="X54:Y54"/>
    <mergeCell ref="Z54:AA54"/>
    <mergeCell ref="AB54:AD54"/>
    <mergeCell ref="B54:D54"/>
    <mergeCell ref="E54:F54"/>
    <mergeCell ref="G54:H54"/>
    <mergeCell ref="I54:J54"/>
    <mergeCell ref="K54:L54"/>
    <mergeCell ref="M54:O54"/>
    <mergeCell ref="X55:Y55"/>
    <mergeCell ref="Z55:AA55"/>
    <mergeCell ref="AB55:AD55"/>
    <mergeCell ref="B55:D55"/>
    <mergeCell ref="E55:F55"/>
    <mergeCell ref="G55:H55"/>
    <mergeCell ref="I55:J55"/>
    <mergeCell ref="K55:L55"/>
    <mergeCell ref="M55:O55"/>
    <mergeCell ref="AB53:AD53"/>
    <mergeCell ref="B53:D53"/>
    <mergeCell ref="E53:F53"/>
    <mergeCell ref="G53:H53"/>
    <mergeCell ref="I53:J53"/>
    <mergeCell ref="K53:L53"/>
    <mergeCell ref="M53:O53"/>
    <mergeCell ref="Q52:S52"/>
    <mergeCell ref="T52:U52"/>
    <mergeCell ref="V52:W52"/>
    <mergeCell ref="X52:Y52"/>
    <mergeCell ref="Z52:AA52"/>
    <mergeCell ref="AB52:AD52"/>
    <mergeCell ref="B52:D52"/>
    <mergeCell ref="E52:F52"/>
    <mergeCell ref="G52:H52"/>
    <mergeCell ref="I52:J52"/>
    <mergeCell ref="K52:L52"/>
    <mergeCell ref="M52:O52"/>
    <mergeCell ref="Q53:S53"/>
    <mergeCell ref="T53:U53"/>
    <mergeCell ref="V53:W53"/>
    <mergeCell ref="X53:Y53"/>
    <mergeCell ref="Z53:AA53"/>
    <mergeCell ref="Q51:S51"/>
    <mergeCell ref="T51:U51"/>
    <mergeCell ref="V51:W51"/>
    <mergeCell ref="X51:Y51"/>
    <mergeCell ref="Z51:AA51"/>
    <mergeCell ref="AB51:AD51"/>
    <mergeCell ref="B48:O48"/>
    <mergeCell ref="Q48:AD48"/>
    <mergeCell ref="B50:O50"/>
    <mergeCell ref="Q50:AD50"/>
    <mergeCell ref="B51:D51"/>
    <mergeCell ref="E51:F51"/>
    <mergeCell ref="G51:H51"/>
    <mergeCell ref="I51:J51"/>
    <mergeCell ref="K51:L51"/>
    <mergeCell ref="M51:O51"/>
    <mergeCell ref="Q45:U45"/>
    <mergeCell ref="V45:W45"/>
    <mergeCell ref="X45:AB45"/>
    <mergeCell ref="AC45:AD45"/>
    <mergeCell ref="B44:F44"/>
    <mergeCell ref="G44:H44"/>
    <mergeCell ref="I44:M44"/>
    <mergeCell ref="N44:O44"/>
    <mergeCell ref="Q44:U44"/>
    <mergeCell ref="V44:W44"/>
    <mergeCell ref="Q40:U40"/>
    <mergeCell ref="V40:W40"/>
    <mergeCell ref="X46:AB46"/>
    <mergeCell ref="AC46:AD46"/>
    <mergeCell ref="B47:F47"/>
    <mergeCell ref="G47:H47"/>
    <mergeCell ref="Q47:U47"/>
    <mergeCell ref="V47:W47"/>
    <mergeCell ref="B46:F46"/>
    <mergeCell ref="G46:H46"/>
    <mergeCell ref="I46:M46"/>
    <mergeCell ref="N46:O46"/>
    <mergeCell ref="Q46:U46"/>
    <mergeCell ref="V46:W46"/>
    <mergeCell ref="X44:AB44"/>
    <mergeCell ref="AC44:AD44"/>
    <mergeCell ref="B45:F45"/>
    <mergeCell ref="G45:H45"/>
    <mergeCell ref="I45:M45"/>
    <mergeCell ref="N45:O45"/>
    <mergeCell ref="B43:F43"/>
    <mergeCell ref="G43:H43"/>
    <mergeCell ref="I43:M43"/>
    <mergeCell ref="N43:O43"/>
    <mergeCell ref="Q43:U43"/>
    <mergeCell ref="V43:W43"/>
    <mergeCell ref="X43:AB43"/>
    <mergeCell ref="AC43:AD43"/>
    <mergeCell ref="B42:F42"/>
    <mergeCell ref="G42:H42"/>
    <mergeCell ref="I42:M42"/>
    <mergeCell ref="N42:O42"/>
    <mergeCell ref="Q42:U42"/>
    <mergeCell ref="V42:W42"/>
    <mergeCell ref="B37:F37"/>
    <mergeCell ref="G37:H37"/>
    <mergeCell ref="I37:M37"/>
    <mergeCell ref="N37:O37"/>
    <mergeCell ref="Q37:U37"/>
    <mergeCell ref="V37:W37"/>
    <mergeCell ref="X37:AB37"/>
    <mergeCell ref="AC37:AD37"/>
    <mergeCell ref="X42:AB42"/>
    <mergeCell ref="AC42:AD42"/>
    <mergeCell ref="X40:AB40"/>
    <mergeCell ref="AC40:AD40"/>
    <mergeCell ref="B41:F41"/>
    <mergeCell ref="G41:H41"/>
    <mergeCell ref="I41:M41"/>
    <mergeCell ref="N41:O41"/>
    <mergeCell ref="Q41:U41"/>
    <mergeCell ref="V41:W41"/>
    <mergeCell ref="X41:AB41"/>
    <mergeCell ref="AC41:AD41"/>
    <mergeCell ref="B40:F40"/>
    <mergeCell ref="G40:H40"/>
    <mergeCell ref="I40:M40"/>
    <mergeCell ref="N40:O40"/>
    <mergeCell ref="X38:AB38"/>
    <mergeCell ref="AC38:AD38"/>
    <mergeCell ref="B39:F39"/>
    <mergeCell ref="G39:H39"/>
    <mergeCell ref="I39:M39"/>
    <mergeCell ref="N39:O39"/>
    <mergeCell ref="Q39:U39"/>
    <mergeCell ref="V39:W39"/>
    <mergeCell ref="X39:AB39"/>
    <mergeCell ref="AC39:AD39"/>
    <mergeCell ref="B38:F38"/>
    <mergeCell ref="G38:H38"/>
    <mergeCell ref="I38:M38"/>
    <mergeCell ref="N38:O38"/>
    <mergeCell ref="Q38:U38"/>
    <mergeCell ref="V38:W38"/>
    <mergeCell ref="AC17:AD17"/>
    <mergeCell ref="B33:O33"/>
    <mergeCell ref="Q33:AD33"/>
    <mergeCell ref="B35:O35"/>
    <mergeCell ref="Q35:AD35"/>
    <mergeCell ref="B36:F36"/>
    <mergeCell ref="G36:H36"/>
    <mergeCell ref="I36:M36"/>
    <mergeCell ref="N36:O36"/>
    <mergeCell ref="Q36:U36"/>
    <mergeCell ref="V36:W36"/>
    <mergeCell ref="X36:AB36"/>
    <mergeCell ref="AC36:AD36"/>
    <mergeCell ref="L29:O29"/>
    <mergeCell ref="AA29:AD29"/>
    <mergeCell ref="B31:F31"/>
    <mergeCell ref="G31:H31"/>
    <mergeCell ref="I31:M31"/>
    <mergeCell ref="N31:O31"/>
    <mergeCell ref="Q31:U31"/>
    <mergeCell ref="V31:W31"/>
    <mergeCell ref="X31:AB31"/>
    <mergeCell ref="AC31:AD31"/>
    <mergeCell ref="B28:C28"/>
    <mergeCell ref="D28:E28"/>
    <mergeCell ref="Q28:R28"/>
    <mergeCell ref="S28:T28"/>
    <mergeCell ref="AA22:AB22"/>
    <mergeCell ref="AC22:AD22"/>
    <mergeCell ref="B24:C24"/>
    <mergeCell ref="D24:E24"/>
    <mergeCell ref="L24:M24"/>
    <mergeCell ref="N24:O24"/>
    <mergeCell ref="Q24:R24"/>
    <mergeCell ref="S24:T24"/>
    <mergeCell ref="AA24:AB24"/>
    <mergeCell ref="AC24:AD24"/>
    <mergeCell ref="D22:E22"/>
    <mergeCell ref="L22:M22"/>
    <mergeCell ref="N22:O22"/>
    <mergeCell ref="Q22:R22"/>
    <mergeCell ref="S22:T22"/>
    <mergeCell ref="W16:Z16"/>
    <mergeCell ref="X8:AB8"/>
    <mergeCell ref="B17:C17"/>
    <mergeCell ref="D17:E17"/>
    <mergeCell ref="L17:M17"/>
    <mergeCell ref="N17:O17"/>
    <mergeCell ref="Q17:R17"/>
    <mergeCell ref="S17:T17"/>
    <mergeCell ref="AA17:AB17"/>
    <mergeCell ref="B15:D15"/>
    <mergeCell ref="E15:F15"/>
    <mergeCell ref="Q15:S15"/>
    <mergeCell ref="T15:U15"/>
    <mergeCell ref="B14:F14"/>
    <mergeCell ref="Q14:U14"/>
    <mergeCell ref="H16:K16"/>
    <mergeCell ref="B3:AD3"/>
    <mergeCell ref="B4:O4"/>
    <mergeCell ref="Q4:AD4"/>
    <mergeCell ref="B5:D5"/>
    <mergeCell ref="E5:F5"/>
    <mergeCell ref="H5:J5"/>
    <mergeCell ref="K5:O5"/>
    <mergeCell ref="Q5:S5"/>
    <mergeCell ref="T5:U5"/>
    <mergeCell ref="W5:Y5"/>
    <mergeCell ref="Z5:AD5"/>
    <mergeCell ref="B6:O6"/>
    <mergeCell ref="Q6:AD6"/>
    <mergeCell ref="B8:F8"/>
    <mergeCell ref="G8:H8"/>
    <mergeCell ref="I8:M8"/>
    <mergeCell ref="N8:O8"/>
    <mergeCell ref="Q8:U8"/>
    <mergeCell ref="V8:W8"/>
    <mergeCell ref="N30:O30"/>
    <mergeCell ref="AC30:AD30"/>
    <mergeCell ref="L30:M30"/>
    <mergeCell ref="AA30:AB30"/>
    <mergeCell ref="AC8:AD8"/>
    <mergeCell ref="B10:F10"/>
    <mergeCell ref="Q10:U10"/>
    <mergeCell ref="B13:D13"/>
    <mergeCell ref="E13:F13"/>
    <mergeCell ref="Q13:S13"/>
    <mergeCell ref="T13:U13"/>
    <mergeCell ref="B20:D20"/>
    <mergeCell ref="E20:F20"/>
    <mergeCell ref="Q20:S20"/>
    <mergeCell ref="T20:U20"/>
    <mergeCell ref="B22:C22"/>
  </mergeCells>
  <phoneticPr fontId="6" type="noConversion"/>
  <dataValidations count="2">
    <dataValidation type="list" sqref="K5 Z5" xr:uid="{58112127-9CCF-4298-B85D-9EDD2DF53060}">
      <formula1>"UNIFORM,LAYERED"</formula1>
    </dataValidation>
    <dataValidation type="list" sqref="E5 T5" xr:uid="{CB95FF53-C01E-4B84-BBB1-84674A8FC14D}">
      <formula1>"Yes,No"</formula1>
    </dataValidation>
  </dataValidations>
  <pageMargins left="0.7" right="0.7" top="0.75" bottom="0.75" header="0.3" footer="0.3"/>
  <pageSetup paperSize="9" scale="6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C79D6-EFA2-4477-A6FD-F2EDA0A13048}">
  <sheetPr codeName="FaceResults">
    <pageSetUpPr fitToPage="1"/>
  </sheetPr>
  <dimension ref="A1:AE200"/>
  <sheetViews>
    <sheetView showGridLines="0" workbookViewId="0"/>
  </sheetViews>
  <sheetFormatPr defaultRowHeight="13.8"/>
  <cols>
    <col min="1" max="1" width="3" style="2" customWidth="1"/>
    <col min="2" max="2" width="34" style="2" customWidth="1"/>
    <col min="3" max="6" width="19" style="2" customWidth="1"/>
    <col min="7" max="7" width="46" style="2" customWidth="1"/>
    <col min="8" max="31" width="7" style="2" customWidth="1"/>
    <col min="32" max="16384" width="8.796875" style="2"/>
  </cols>
  <sheetData>
    <row r="1" spans="1:31" ht="22.05" customHeight="1">
      <c r="A1" s="1"/>
      <c r="B1" s="4"/>
      <c r="C1" s="4"/>
      <c r="D1" s="4"/>
      <c r="E1" s="4"/>
      <c r="F1" s="4"/>
      <c r="G1" s="4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2.05" customHeight="1">
      <c r="A2" s="1"/>
      <c r="B2" s="132" t="s">
        <v>307</v>
      </c>
      <c r="C2" s="112"/>
      <c r="D2" s="112"/>
      <c r="E2" s="112"/>
      <c r="F2" s="112"/>
      <c r="G2" s="11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22.05" customHeight="1">
      <c r="A3" s="1"/>
      <c r="B3" s="112" t="s">
        <v>354</v>
      </c>
      <c r="C3" s="112"/>
      <c r="D3" s="112"/>
      <c r="E3" s="112"/>
      <c r="F3" s="112"/>
      <c r="G3" s="112"/>
      <c r="H3" s="1"/>
      <c r="I3" s="1" t="s">
        <v>353</v>
      </c>
      <c r="J3" s="1" t="s">
        <v>342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22.05" customHeight="1">
      <c r="A4" s="1"/>
      <c r="B4" s="4"/>
      <c r="C4" s="4"/>
      <c r="D4" s="4"/>
      <c r="E4" s="4"/>
      <c r="F4" s="4"/>
      <c r="G4" s="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22.95" customHeight="1">
      <c r="A5" s="1"/>
      <c r="B5" s="3" t="s">
        <v>0</v>
      </c>
      <c r="C5" s="3" t="s">
        <v>308</v>
      </c>
      <c r="D5" s="3" t="s">
        <v>309</v>
      </c>
      <c r="E5" s="3" t="s">
        <v>310</v>
      </c>
      <c r="F5" s="3" t="s">
        <v>311</v>
      </c>
      <c r="G5" s="3" t="s">
        <v>312</v>
      </c>
      <c r="H5" s="1"/>
      <c r="I5" s="131" t="s">
        <v>359</v>
      </c>
      <c r="J5" s="131"/>
      <c r="K5" s="131"/>
      <c r="L5" s="13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34.049999999999997" hidden="1" customHeight="1">
      <c r="A6" s="1"/>
      <c r="B6" s="4"/>
      <c r="C6" s="112" t="s">
        <v>525</v>
      </c>
      <c r="D6" s="112"/>
      <c r="E6" s="112" t="s">
        <v>524</v>
      </c>
      <c r="F6" s="112"/>
      <c r="G6" s="4"/>
      <c r="H6" s="1"/>
      <c r="I6" s="112" t="s">
        <v>476</v>
      </c>
      <c r="J6" s="112"/>
      <c r="K6" s="112"/>
      <c r="L6" s="11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22.95" hidden="1" customHeight="1">
      <c r="A7" s="1"/>
      <c r="B7" s="4"/>
      <c r="C7" s="133"/>
      <c r="D7" s="133"/>
      <c r="E7" s="133"/>
      <c r="F7" s="133"/>
      <c r="G7" s="4"/>
      <c r="H7" s="1"/>
      <c r="I7" s="112"/>
      <c r="J7" s="112"/>
      <c r="K7" s="112"/>
      <c r="L7" s="11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22.95" customHeight="1">
      <c r="A8" s="1"/>
      <c r="B8" s="4" t="s">
        <v>275</v>
      </c>
      <c r="C8" s="112"/>
      <c r="D8" s="112"/>
      <c r="E8" s="112"/>
      <c r="F8" s="112"/>
      <c r="G8" s="4"/>
      <c r="H8" s="1"/>
      <c r="I8" s="112"/>
      <c r="J8" s="112"/>
      <c r="K8" s="112"/>
      <c r="L8" s="11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22.95" customHeight="1">
      <c r="A9" s="1"/>
      <c r="B9" s="4" t="s">
        <v>276</v>
      </c>
      <c r="C9" s="112"/>
      <c r="D9" s="112"/>
      <c r="E9" s="112"/>
      <c r="F9" s="112"/>
      <c r="G9" s="4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40.049999999999997" customHeight="1">
      <c r="A10" s="1"/>
      <c r="B10" s="4" t="s">
        <v>313</v>
      </c>
      <c r="C10" s="112"/>
      <c r="D10" s="112"/>
      <c r="E10" s="112"/>
      <c r="F10" s="112"/>
      <c r="G10" s="4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22.95" customHeight="1">
      <c r="A11" s="1"/>
      <c r="B11" s="4"/>
      <c r="C11" s="4"/>
      <c r="D11" s="4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22.95" customHeight="1">
      <c r="A12" s="1"/>
      <c r="B12" s="4" t="s">
        <v>314</v>
      </c>
      <c r="C12" s="6"/>
      <c r="D12" s="7"/>
      <c r="E12" s="6"/>
      <c r="F12" s="7"/>
      <c r="G12" s="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22.95" customHeight="1">
      <c r="A13" s="1"/>
      <c r="B13" s="4" t="s">
        <v>408</v>
      </c>
      <c r="C13" s="6"/>
      <c r="D13" s="7"/>
      <c r="E13" s="6"/>
      <c r="F13" s="7"/>
      <c r="G13" s="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22.95" customHeight="1">
      <c r="A14" s="1"/>
      <c r="B14" s="4" t="s">
        <v>106</v>
      </c>
      <c r="C14" s="8"/>
      <c r="D14" s="9"/>
      <c r="E14" s="8"/>
      <c r="F14" s="9"/>
      <c r="G14" s="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22.95" customHeight="1">
      <c r="A15" s="1"/>
      <c r="B15" s="4" t="s">
        <v>315</v>
      </c>
      <c r="C15" s="8"/>
      <c r="D15" s="9"/>
      <c r="E15" s="8"/>
      <c r="F15" s="9"/>
      <c r="G15" s="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2.95" customHeight="1">
      <c r="A16" s="1"/>
      <c r="B16" s="4" t="s">
        <v>86</v>
      </c>
      <c r="C16" s="8"/>
      <c r="D16" s="9"/>
      <c r="E16" s="8"/>
      <c r="F16" s="9"/>
      <c r="G16" s="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4.95" customHeight="1">
      <c r="A17" s="1"/>
      <c r="B17" s="5"/>
      <c r="C17" s="5"/>
      <c r="D17" s="5"/>
      <c r="E17" s="5"/>
      <c r="F17" s="5"/>
      <c r="G17" s="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4.95" customHeight="1">
      <c r="A18" s="1"/>
      <c r="B18" s="5"/>
      <c r="C18" s="5"/>
      <c r="D18" s="5"/>
      <c r="E18" s="5"/>
      <c r="F18" s="5"/>
      <c r="G18" s="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4.95" customHeight="1">
      <c r="A19" s="1"/>
      <c r="B19" s="4"/>
      <c r="C19" s="8"/>
      <c r="D19" s="9"/>
      <c r="E19" s="8"/>
      <c r="F19" s="9"/>
      <c r="G19" s="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22.95" customHeight="1">
      <c r="A20" s="1"/>
      <c r="B20" s="4" t="s">
        <v>316</v>
      </c>
      <c r="C20" s="8"/>
      <c r="D20" s="9"/>
      <c r="E20" s="8"/>
      <c r="F20" s="9"/>
      <c r="G20" s="4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22.95" customHeight="1">
      <c r="A21" s="1"/>
      <c r="B21" s="4" t="s">
        <v>317</v>
      </c>
      <c r="C21" s="8"/>
      <c r="D21" s="9"/>
      <c r="E21" s="8"/>
      <c r="F21" s="9"/>
      <c r="G21" s="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22.95" customHeight="1">
      <c r="A22" s="1"/>
      <c r="B22" s="4" t="s">
        <v>318</v>
      </c>
      <c r="C22" s="8"/>
      <c r="D22" s="9"/>
      <c r="E22" s="8"/>
      <c r="F22" s="9"/>
      <c r="G22" s="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22.95" customHeight="1">
      <c r="A23" s="1"/>
      <c r="B23" s="4" t="s">
        <v>319</v>
      </c>
      <c r="C23" s="8"/>
      <c r="D23" s="9"/>
      <c r="E23" s="8"/>
      <c r="F23" s="9"/>
      <c r="G23" s="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22.95" customHeight="1">
      <c r="A24" s="1"/>
      <c r="B24" s="4" t="s">
        <v>320</v>
      </c>
      <c r="C24" s="4"/>
      <c r="D24" s="4"/>
      <c r="E24" s="4"/>
      <c r="F24" s="4"/>
      <c r="G24" s="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7.950000000000003" customHeight="1">
      <c r="A25" s="1"/>
      <c r="B25" s="4" t="s">
        <v>321</v>
      </c>
      <c r="C25" s="4"/>
      <c r="D25" s="4"/>
      <c r="E25" s="4"/>
      <c r="F25" s="4"/>
      <c r="G25" s="4" t="s">
        <v>339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22.95" customHeight="1">
      <c r="A26" s="1"/>
      <c r="B26" s="4"/>
      <c r="C26" s="4"/>
      <c r="D26" s="4"/>
      <c r="E26" s="4"/>
      <c r="F26" s="4"/>
      <c r="G26" s="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22.95" customHeight="1">
      <c r="A27" s="1"/>
      <c r="B27" s="112" t="s">
        <v>475</v>
      </c>
      <c r="C27" s="112"/>
      <c r="D27" s="112"/>
      <c r="E27" s="112"/>
      <c r="F27" s="112"/>
      <c r="G27" s="11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22.95" customHeight="1">
      <c r="A28" s="1"/>
      <c r="B28" s="112" t="s">
        <v>322</v>
      </c>
      <c r="C28" s="112"/>
      <c r="D28" s="112"/>
      <c r="E28" s="112"/>
      <c r="F28" s="112"/>
      <c r="G28" s="11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22.95" customHeight="1">
      <c r="A29" s="1"/>
      <c r="B29" s="112" t="s">
        <v>338</v>
      </c>
      <c r="C29" s="112"/>
      <c r="D29" s="112"/>
      <c r="E29" s="112"/>
      <c r="F29" s="112"/>
      <c r="G29" s="11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22.95" customHeight="1">
      <c r="A30" s="1"/>
      <c r="B30" s="112" t="s">
        <v>323</v>
      </c>
      <c r="C30" s="112"/>
      <c r="D30" s="112"/>
      <c r="E30" s="112"/>
      <c r="F30" s="112"/>
      <c r="G30" s="11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36" customHeight="1">
      <c r="A31" s="1"/>
      <c r="B31" s="5"/>
      <c r="C31" s="5"/>
      <c r="D31" s="5"/>
      <c r="E31" s="5"/>
      <c r="F31" s="5"/>
      <c r="G31" s="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22.0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22.0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22.0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22.0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22.0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ht="22.0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ht="22.0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t="22.0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22.0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ht="22.0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ht="22.0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22.0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22.0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ht="22.0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22.0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ht="22.0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ht="22.0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ht="22.0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ht="22.0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ht="22.0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ht="22.0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ht="22.0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ht="22.0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ht="22.0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ht="22.0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ht="22.0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ht="22.0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ht="22.0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ht="22.0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ht="22.0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ht="22.0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ht="22.0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ht="22.0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ht="22.0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ht="22.0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ht="22.0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22.0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ht="22.0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ht="22.0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ht="22.0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ht="22.0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ht="22.0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22.0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ht="22.0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22.0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22.0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22.0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22.0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22.0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22.0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22.0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22.0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22.0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22.0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22.0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22.0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22.0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22.0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22.0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22.0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22.0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22.0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22.0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22.0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22.0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22.0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22.0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ht="22.0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ht="22.0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ht="22.0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ht="22.0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ht="22.0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ht="22.0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ht="22.0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ht="22.0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ht="22.0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ht="22.0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ht="22.0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ht="22.0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t="22.0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t="22.0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22.0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t="22.0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t="22.0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22.0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22.0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22.0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t="22.0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22.0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22.0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22.0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22.0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22.0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22.0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22.0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t="22.0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t="22.0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t="22.0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t="22.0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ht="22.0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t="22.0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t="22.0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t="22.0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t="22.0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t="22.0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t="22.0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t="22.0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22.0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22.0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22.0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22.0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22.0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22.0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22.0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22.0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22.0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22.0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22.0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22.0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22.0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22.0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22.0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22.0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22.0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22.0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22.0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t="22.0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t="22.0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t="22.0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t="22.0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t="22.0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t="22.0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t="22.0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t="22.0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t="22.0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t="22.0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t="22.0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t="22.0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t="22.0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t="22.0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t="22.0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t="22.0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t="22.0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t="22.0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t="22.0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t="22.0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t="22.0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t="22.0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t="22.0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t="22.0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22.0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22.0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22.0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2.0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t="22.0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t="22.0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t="22.0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t="22.0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t="22.0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t="22.0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2.0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2.0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t="22.0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t="22.0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22.0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22.0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t="22.0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t="22.0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t="22.0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</sheetData>
  <mergeCells count="18">
    <mergeCell ref="B2:G2"/>
    <mergeCell ref="B3:G3"/>
    <mergeCell ref="B27:G27"/>
    <mergeCell ref="B28:G28"/>
    <mergeCell ref="B29:G29"/>
    <mergeCell ref="C6:D6"/>
    <mergeCell ref="E6:F6"/>
    <mergeCell ref="C7:D7"/>
    <mergeCell ref="E7:F7"/>
    <mergeCell ref="C8:D8"/>
    <mergeCell ref="E8:F8"/>
    <mergeCell ref="C9:D9"/>
    <mergeCell ref="E9:F9"/>
    <mergeCell ref="C10:D10"/>
    <mergeCell ref="E10:F10"/>
    <mergeCell ref="I5:L5"/>
    <mergeCell ref="I6:L8"/>
    <mergeCell ref="B30:G30"/>
  </mergeCells>
  <phoneticPr fontId="6" type="noConversion"/>
  <dataValidations count="1">
    <dataValidation type="list" allowBlank="1" showInputMessage="1" showErrorMessage="1" sqref="J3" xr:uid="{A5077F2D-F762-4231-8DFA-134DBD0A9AEC}">
      <formula1>"B,D"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Wind">
    <tabColor rgb="FF1F4E78"/>
  </sheetPr>
  <dimension ref="A1:BR132"/>
  <sheetViews>
    <sheetView showGridLines="0" topLeftCell="A17" workbookViewId="0">
      <selection sqref="A1:E1"/>
    </sheetView>
  </sheetViews>
  <sheetFormatPr defaultRowHeight="13.8"/>
  <cols>
    <col min="1" max="1" width="34" style="2" customWidth="1"/>
    <col min="2" max="2" width="18" style="2" customWidth="1"/>
    <col min="3" max="3" width="10" style="2" customWidth="1"/>
    <col min="4" max="4" width="40" style="2" customWidth="1"/>
    <col min="5" max="5" width="28" style="2" customWidth="1"/>
    <col min="6" max="6" width="14" style="2" customWidth="1"/>
    <col min="7" max="7" width="3.59765625" style="2" customWidth="1"/>
    <col min="8" max="8" width="8.69921875" style="2" customWidth="1"/>
    <col min="9" max="17" width="12.69921875" style="2" customWidth="1"/>
    <col min="18" max="20" width="17.69921875" style="2" customWidth="1"/>
    <col min="21" max="22" width="23.69921875" style="2" hidden="1" customWidth="1"/>
    <col min="23" max="24" width="3" style="2" customWidth="1"/>
    <col min="25" max="26" width="2" style="2" customWidth="1"/>
    <col min="27" max="27" width="8.796875" style="2" customWidth="1"/>
    <col min="28" max="32" width="8.796875" style="2"/>
    <col min="33" max="52" width="8.796875" style="2" customWidth="1"/>
    <col min="53" max="55" width="8.796875" style="2"/>
    <col min="56" max="70" width="0" style="2" hidden="1" customWidth="1"/>
    <col min="71" max="16384" width="8.796875" style="2"/>
  </cols>
  <sheetData>
    <row r="1" spans="1:52" ht="46.05" customHeight="1">
      <c r="A1" s="137" t="s">
        <v>540</v>
      </c>
      <c r="B1" s="138"/>
      <c r="C1" s="138"/>
      <c r="D1" s="138"/>
      <c r="E1" s="138"/>
      <c r="F1" s="11"/>
      <c r="G1" s="1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2"/>
      <c r="X1" s="12"/>
      <c r="Y1" s="12"/>
      <c r="Z1" s="12"/>
      <c r="AA1" s="12"/>
      <c r="AB1" s="13"/>
      <c r="AC1" s="13"/>
      <c r="AD1" s="13"/>
      <c r="AE1" s="13"/>
      <c r="AF1" s="13"/>
      <c r="AG1" s="11"/>
      <c r="AH1" s="11"/>
      <c r="AI1" s="11"/>
      <c r="AJ1" s="11"/>
      <c r="AK1" s="11"/>
      <c r="AL1" s="11"/>
      <c r="AM1" s="11"/>
      <c r="AN1" s="13"/>
      <c r="AO1" s="13"/>
      <c r="AP1" s="14" t="str">
        <f>IF(ISNUMBER(B29),B29,"")</f>
        <v/>
      </c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ht="31.95" customHeight="1">
      <c r="A2" s="139" t="s">
        <v>509</v>
      </c>
      <c r="B2" s="139"/>
      <c r="C2" s="139"/>
      <c r="D2" s="139"/>
      <c r="E2" s="139"/>
      <c r="F2" s="11"/>
      <c r="G2" s="11"/>
      <c r="H2" s="135" t="s">
        <v>593</v>
      </c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2"/>
      <c r="X2" s="12"/>
      <c r="Y2" s="12"/>
      <c r="Z2" s="12"/>
      <c r="AA2" s="12"/>
      <c r="AB2" s="13"/>
      <c r="AC2" s="13"/>
      <c r="AD2" s="13"/>
      <c r="AE2" s="13"/>
      <c r="AF2" s="13"/>
      <c r="AG2" s="11"/>
      <c r="AH2" s="11"/>
      <c r="AI2" s="11"/>
      <c r="AJ2" s="11"/>
      <c r="AK2" s="11"/>
      <c r="AL2" s="11"/>
      <c r="AM2" s="11"/>
      <c r="AN2" s="13"/>
      <c r="AO2" s="13"/>
      <c r="AP2" s="14" t="str">
        <f>IF(ISNUMBER(B31),B31,"")</f>
        <v/>
      </c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ht="24" customHeight="1">
      <c r="A3" s="139" t="s">
        <v>195</v>
      </c>
      <c r="B3" s="139"/>
      <c r="C3" s="139"/>
      <c r="D3" s="139"/>
      <c r="E3" s="139"/>
      <c r="F3" s="11"/>
      <c r="G3" s="11"/>
      <c r="H3" s="142" t="s">
        <v>188</v>
      </c>
      <c r="I3" s="142"/>
      <c r="J3" s="142"/>
      <c r="K3" s="143" t="s">
        <v>198</v>
      </c>
      <c r="L3" s="143"/>
      <c r="M3" s="143"/>
      <c r="N3" s="143"/>
      <c r="O3" s="143"/>
      <c r="P3" s="12"/>
      <c r="Q3" s="12"/>
      <c r="R3" s="12"/>
      <c r="S3" s="12"/>
      <c r="T3" s="12"/>
      <c r="U3" s="12"/>
      <c r="V3" s="12"/>
      <c r="W3" s="12"/>
      <c r="X3" s="12"/>
      <c r="Y3" s="12" t="s">
        <v>159</v>
      </c>
      <c r="Z3" s="12" t="str">
        <f>IF(Z7,'Wind Load Check'!B36*'Wind Load Check'!B7*'Wind Load Check'!B9,"")</f>
        <v/>
      </c>
      <c r="AA3" s="12"/>
      <c r="AB3" s="13"/>
      <c r="AC3" s="13"/>
      <c r="AD3" s="13"/>
      <c r="AE3" s="13"/>
      <c r="AF3" s="13"/>
      <c r="AG3" s="11"/>
      <c r="AH3" s="11"/>
      <c r="AI3" s="11"/>
      <c r="AJ3" s="11"/>
      <c r="AK3" s="11"/>
      <c r="AL3" s="11"/>
      <c r="AM3" s="11"/>
      <c r="AN3" s="13"/>
      <c r="AO3" s="13"/>
      <c r="AP3" s="14" t="str">
        <f>IF(ISNUMBER(B34),B34,"")</f>
        <v/>
      </c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52" ht="37.950000000000003" customHeight="1">
      <c r="A4" s="11"/>
      <c r="B4" s="11"/>
      <c r="C4" s="11"/>
      <c r="D4" s="17" t="str">
        <f>HYPERLINK("#'Wind Load Check'!I24","Go to storey inputs")</f>
        <v>Go to storey inputs</v>
      </c>
      <c r="E4" s="11"/>
      <c r="F4" s="11"/>
      <c r="G4" s="11"/>
      <c r="H4" s="142" t="s">
        <v>189</v>
      </c>
      <c r="I4" s="142"/>
      <c r="J4" s="142"/>
      <c r="K4" s="135" t="str">
        <f>AZ131&amp;"; "&amp;K3&amp;"; "&amp;AZ132</f>
        <v>Enter positive B, D and Hp; UNIFORM; Enter positive B, D and Hp</v>
      </c>
      <c r="L4" s="135"/>
      <c r="M4" s="135"/>
      <c r="N4" s="135"/>
      <c r="O4" s="135"/>
      <c r="P4" s="12"/>
      <c r="Q4" s="12"/>
      <c r="R4" s="12"/>
      <c r="S4" s="12"/>
      <c r="T4" s="12"/>
      <c r="U4" s="12"/>
      <c r="V4" s="12"/>
      <c r="W4" s="12"/>
      <c r="X4" s="12"/>
      <c r="Y4" s="12" t="s">
        <v>160</v>
      </c>
      <c r="Z4" s="12" t="str">
        <f>IF(Z7,Z3*'Wind Load Check'!B9/2,"")</f>
        <v/>
      </c>
      <c r="AA4" s="12"/>
      <c r="AB4" s="13"/>
      <c r="AC4" s="13"/>
      <c r="AD4" s="13"/>
      <c r="AE4" s="13"/>
      <c r="AF4" s="13"/>
      <c r="AG4" s="11"/>
      <c r="AH4" s="11"/>
      <c r="AI4" s="11"/>
      <c r="AJ4" s="11"/>
      <c r="AK4" s="11"/>
      <c r="AL4" s="11"/>
      <c r="AM4" s="11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52" ht="25.95" customHeight="1">
      <c r="A5" s="18" t="s">
        <v>191</v>
      </c>
      <c r="B5" s="18"/>
      <c r="C5" s="18"/>
      <c r="D5" s="18"/>
      <c r="E5" s="18"/>
      <c r="F5" s="10"/>
      <c r="G5" s="12"/>
      <c r="H5" s="142" t="s">
        <v>162</v>
      </c>
      <c r="I5" s="142"/>
      <c r="J5" s="142"/>
      <c r="K5" s="144" t="str">
        <f>IF(Z7,IF(K3="UNIFORM",Z3,IF(AND(K3="LAYERED",Z11),K12,"")),"")</f>
        <v/>
      </c>
      <c r="L5" s="144"/>
      <c r="M5" s="144"/>
      <c r="N5" s="144"/>
      <c r="O5" s="144"/>
      <c r="P5" s="12"/>
      <c r="Q5" s="12"/>
      <c r="R5" s="12"/>
      <c r="S5" s="12"/>
      <c r="T5" s="12"/>
      <c r="U5" s="12"/>
      <c r="V5" s="12"/>
      <c r="W5" s="12"/>
      <c r="X5" s="12"/>
      <c r="Y5" s="12" t="s">
        <v>161</v>
      </c>
      <c r="Z5" s="12" t="str">
        <f>IF(Z7,IF('Sliding Check'!B6="No",Z3,IF(COUNT('Sliding Check'!B32,'Sliding Check'!B28,'Sliding Check'!B36)=3,Z3*'Sliding Check'!G11+'Sliding Check'!B32*'Sliding Check'!B15+('Sliding Check'!B28+'Sliding Check'!B36)*'Sliding Check'!B16,"")),"")</f>
        <v/>
      </c>
      <c r="AA5" s="12"/>
      <c r="AB5" s="13"/>
      <c r="AC5" s="13"/>
      <c r="AD5" s="13"/>
      <c r="AE5" s="13"/>
      <c r="AF5" s="13"/>
      <c r="AG5" s="13"/>
      <c r="AH5" s="13"/>
      <c r="AI5" s="13"/>
      <c r="AJ5" s="13"/>
      <c r="AK5" s="10"/>
      <c r="AL5" s="10"/>
      <c r="AM5" s="10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</row>
    <row r="6" spans="1:52" ht="24" customHeight="1">
      <c r="A6" s="19" t="s">
        <v>0</v>
      </c>
      <c r="B6" s="20" t="s">
        <v>1</v>
      </c>
      <c r="C6" s="20" t="s">
        <v>2</v>
      </c>
      <c r="D6" s="20" t="s">
        <v>3</v>
      </c>
      <c r="E6" s="21" t="s">
        <v>4</v>
      </c>
      <c r="F6" s="11"/>
      <c r="G6" s="12"/>
      <c r="H6" s="142" t="s">
        <v>459</v>
      </c>
      <c r="I6" s="142"/>
      <c r="J6" s="142"/>
      <c r="K6" s="144" t="str">
        <f>IF(ISNUMBER(B39),B39,"")</f>
        <v/>
      </c>
      <c r="L6" s="144"/>
      <c r="M6" s="144"/>
      <c r="N6" s="144"/>
      <c r="O6" s="144"/>
      <c r="P6" s="12"/>
      <c r="Q6" s="12"/>
      <c r="R6" s="12"/>
      <c r="S6" s="12"/>
      <c r="T6" s="12"/>
      <c r="U6" s="12"/>
      <c r="V6" s="12"/>
      <c r="W6" s="12"/>
      <c r="X6" s="12"/>
      <c r="Y6" s="12" t="s">
        <v>336</v>
      </c>
      <c r="Z6" s="12" t="str">
        <f>IF(Z7,IF('Overturning Check'!B6="No",IF(ISNUMBER('Uplift Check'!B38),Z3*(B9/2+'Uplift Check'!B38)*'Overturning Check'!F6,""),IF(AND(ISNUMBER('Uplift Check'!B38),COUNT('Overturning Check'!E23:E25,'Overturning Check'!E26)=4),Z3*(B9/2+'Uplift Check'!B38)*'Overturning Check'!F6+SUM('Overturning Check'!E23:E25,'Overturning Check'!E26),"")),"")</f>
        <v/>
      </c>
      <c r="AA6" s="12"/>
      <c r="AB6" s="13"/>
      <c r="AC6" s="13"/>
      <c r="AD6" s="13"/>
      <c r="AE6" s="13"/>
      <c r="AF6" s="13"/>
      <c r="AG6" s="13"/>
      <c r="AH6" s="13"/>
      <c r="AI6" s="13"/>
      <c r="AJ6" s="13"/>
      <c r="AK6" s="11"/>
      <c r="AL6" s="11"/>
      <c r="AM6" s="11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ht="22.05" customHeight="1">
      <c r="A7" s="22" t="s">
        <v>5</v>
      </c>
      <c r="B7" s="23">
        <v>37</v>
      </c>
      <c r="C7" s="24" t="s">
        <v>6</v>
      </c>
      <c r="D7" s="22" t="s">
        <v>329</v>
      </c>
      <c r="E7" s="24" t="s">
        <v>199</v>
      </c>
      <c r="F7" s="11"/>
      <c r="G7" s="12"/>
      <c r="H7" s="142" t="s">
        <v>594</v>
      </c>
      <c r="I7" s="142"/>
      <c r="J7" s="142"/>
      <c r="K7" s="145" t="str">
        <f>IF(ISNUMBER(B40),B40,"")</f>
        <v/>
      </c>
      <c r="L7" s="144"/>
      <c r="M7" s="144"/>
      <c r="N7" s="144"/>
      <c r="O7" s="144"/>
      <c r="P7" s="12"/>
      <c r="Q7" s="12"/>
      <c r="R7" s="12"/>
      <c r="S7" s="12"/>
      <c r="T7" s="12"/>
      <c r="U7" s="12"/>
      <c r="V7" s="12"/>
      <c r="W7" s="12"/>
      <c r="X7" s="12"/>
      <c r="Y7" s="12" t="s">
        <v>163</v>
      </c>
      <c r="Z7" s="12" t="b">
        <f>IF(COUNT(B7:B9,B23)=4,AND(MIN(B7:B9)&gt;0,B23&gt;=2.5,B23&lt;=500,B23/B8&lt;=12,ISNUMBER(B36)),FALSE)</f>
        <v>0</v>
      </c>
      <c r="AA7" s="12"/>
      <c r="AB7" s="13"/>
      <c r="AC7" s="13"/>
      <c r="AD7" s="13"/>
      <c r="AE7" s="13"/>
      <c r="AF7" s="13"/>
      <c r="AG7" s="13"/>
      <c r="AH7" s="13"/>
      <c r="AI7" s="13"/>
      <c r="AJ7" s="13"/>
      <c r="AK7" s="11"/>
      <c r="AL7" s="11"/>
      <c r="AM7" s="11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ht="22.05" customHeight="1">
      <c r="A8" s="22" t="s">
        <v>7</v>
      </c>
      <c r="B8" s="23">
        <v>37</v>
      </c>
      <c r="C8" s="24" t="s">
        <v>6</v>
      </c>
      <c r="D8" s="22" t="s">
        <v>329</v>
      </c>
      <c r="E8" s="24" t="s">
        <v>200</v>
      </c>
      <c r="F8" s="11"/>
      <c r="G8" s="12"/>
      <c r="H8" s="142" t="s">
        <v>165</v>
      </c>
      <c r="I8" s="142"/>
      <c r="J8" s="142"/>
      <c r="K8" s="144" t="str">
        <f>IF(AND(Z8,Z5&gt;0),'Sliding Check'!B58/Z5,"")</f>
        <v/>
      </c>
      <c r="L8" s="144"/>
      <c r="M8" s="144"/>
      <c r="N8" s="144"/>
      <c r="O8" s="144"/>
      <c r="P8" s="12"/>
      <c r="Q8" s="12"/>
      <c r="R8" s="12"/>
      <c r="S8" s="12"/>
      <c r="T8" s="12"/>
      <c r="U8" s="12"/>
      <c r="V8" s="12"/>
      <c r="W8" s="12"/>
      <c r="X8" s="12"/>
      <c r="Y8" s="12" t="s">
        <v>164</v>
      </c>
      <c r="Z8" s="12" t="b">
        <f>AND(Z7,ISNUMBER(Z5),ISNUMBER(Z6),ISNUMBER('Sliding Check'!B58),ISNUMBER('Overturning Check'!E37),ISNUMBER('Sliding Check'!B60),ISNUMBER('Overturning Check'!B44))</f>
        <v>0</v>
      </c>
      <c r="AA8" s="12"/>
      <c r="AB8" s="13"/>
      <c r="AC8" s="13"/>
      <c r="AD8" s="13"/>
      <c r="AE8" s="13"/>
      <c r="AF8" s="13"/>
      <c r="AG8" s="13"/>
      <c r="AH8" s="13"/>
      <c r="AI8" s="13"/>
      <c r="AJ8" s="13"/>
      <c r="AK8" s="11"/>
      <c r="AL8" s="11"/>
      <c r="AM8" s="11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ht="31.95" customHeight="1">
      <c r="A9" s="22" t="s">
        <v>495</v>
      </c>
      <c r="B9" s="23"/>
      <c r="C9" s="24" t="s">
        <v>6</v>
      </c>
      <c r="D9" s="22" t="s">
        <v>496</v>
      </c>
      <c r="E9" s="24" t="s">
        <v>497</v>
      </c>
      <c r="F9" s="11"/>
      <c r="G9" s="12"/>
      <c r="H9" s="142" t="s">
        <v>166</v>
      </c>
      <c r="I9" s="142"/>
      <c r="J9" s="142"/>
      <c r="K9" s="144" t="str">
        <f>IF(AND(Z8,Z6&gt;0),'Overturning Check'!E37/Z6,"")</f>
        <v/>
      </c>
      <c r="L9" s="144"/>
      <c r="M9" s="144"/>
      <c r="N9" s="144"/>
      <c r="O9" s="144"/>
      <c r="P9" s="12"/>
      <c r="Q9" s="12"/>
      <c r="R9" s="12"/>
      <c r="S9" s="12"/>
      <c r="T9" s="12"/>
      <c r="U9" s="12"/>
      <c r="V9" s="12"/>
      <c r="W9" s="12"/>
      <c r="X9" s="12"/>
      <c r="Y9" s="12" t="s">
        <v>190</v>
      </c>
      <c r="Z9" s="12"/>
      <c r="AA9" s="12"/>
      <c r="AB9" s="13"/>
      <c r="AC9" s="13"/>
      <c r="AD9" s="13"/>
      <c r="AE9" s="13"/>
      <c r="AF9" s="13"/>
      <c r="AG9" s="13"/>
      <c r="AH9" s="13"/>
      <c r="AI9" s="13"/>
      <c r="AJ9" s="13"/>
      <c r="AK9" s="11"/>
      <c r="AL9" s="11"/>
      <c r="AM9" s="11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ht="36" customHeight="1">
      <c r="A10" s="24" t="s">
        <v>528</v>
      </c>
      <c r="B10" s="26" t="str">
        <f>IF(ISNUMBER(B23),B23,"")</f>
        <v/>
      </c>
      <c r="C10" s="24" t="s">
        <v>529</v>
      </c>
      <c r="D10" s="22" t="s">
        <v>530</v>
      </c>
      <c r="E10" s="24" t="s">
        <v>531</v>
      </c>
      <c r="F10" s="11"/>
      <c r="G10" s="12"/>
      <c r="H10" s="142" t="s">
        <v>167</v>
      </c>
      <c r="I10" s="142"/>
      <c r="J10" s="142"/>
      <c r="K10" s="144" t="str">
        <f>IF(NOT(Z7),"CHECK B, D, He, Hp",IF(COUNTA(BE24:BF123)=0,"ENTER STOREY HEIGHTS AND WIDTHS",IF(COUNTIFS(BO24:BO123,"INVALID")&gt;0,"INVALID / INCOMPLETE ROW OR GAP",IF(ABS(SUM(BE24:BE123)-'Wind Load Check'!B9)&gt;0.001,"SUM OF HEIGHTS MUST EQUAL He",IF(MAX(BF24:BF123)&gt;'Wind Load Check'!B7+0.001,"STOREY WIDTH EXCEEDS GLOBAL B","READY")))))</f>
        <v>CHECK B, D, He, Hp</v>
      </c>
      <c r="L10" s="144"/>
      <c r="M10" s="144"/>
      <c r="N10" s="144"/>
      <c r="O10" s="14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3"/>
      <c r="AC10" s="13"/>
      <c r="AD10" s="13"/>
      <c r="AE10" s="13"/>
      <c r="AF10" s="13"/>
      <c r="AG10" s="13"/>
      <c r="AH10" s="13"/>
      <c r="AI10" s="13"/>
      <c r="AJ10" s="13"/>
      <c r="AK10" s="11"/>
      <c r="AL10" s="11"/>
      <c r="AM10" s="11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ht="22.05" customHeight="1">
      <c r="A11" s="24" t="s">
        <v>10</v>
      </c>
      <c r="B11" s="25">
        <v>1</v>
      </c>
      <c r="C11" s="24" t="s">
        <v>11</v>
      </c>
      <c r="D11" s="22" t="s">
        <v>329</v>
      </c>
      <c r="E11" s="24" t="s">
        <v>201</v>
      </c>
      <c r="F11" s="11"/>
      <c r="G11" s="12"/>
      <c r="H11" s="142" t="s">
        <v>169</v>
      </c>
      <c r="I11" s="142"/>
      <c r="J11" s="142"/>
      <c r="K11" s="145" t="str">
        <f>IF(COUNT(BE24:BE123)&gt;0,SUM(BE24:BE123),"")</f>
        <v/>
      </c>
      <c r="L11" s="144"/>
      <c r="M11" s="144"/>
      <c r="N11" s="144"/>
      <c r="O11" s="144"/>
      <c r="P11" s="12"/>
      <c r="Q11" s="12"/>
      <c r="R11" s="12"/>
      <c r="S11" s="12"/>
      <c r="T11" s="12"/>
      <c r="U11" s="12"/>
      <c r="V11" s="12"/>
      <c r="W11" s="12"/>
      <c r="X11" s="12"/>
      <c r="Y11" s="12" t="s">
        <v>168</v>
      </c>
      <c r="Z11" s="12" t="b">
        <f>K10="READY"</f>
        <v>0</v>
      </c>
      <c r="AA11" s="12"/>
      <c r="AB11" s="13"/>
      <c r="AC11" s="13"/>
      <c r="AD11" s="13"/>
      <c r="AE11" s="13"/>
      <c r="AF11" s="13"/>
      <c r="AG11" s="13"/>
      <c r="AH11" s="13"/>
      <c r="AI11" s="13"/>
      <c r="AJ11" s="13"/>
      <c r="AK11" s="11"/>
      <c r="AL11" s="11"/>
      <c r="AM11" s="11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ht="22.05" customHeight="1">
      <c r="A12" s="24" t="s">
        <v>12</v>
      </c>
      <c r="B12" s="25">
        <v>0.85</v>
      </c>
      <c r="C12" s="24" t="s">
        <v>11</v>
      </c>
      <c r="D12" s="22" t="s">
        <v>329</v>
      </c>
      <c r="E12" s="24" t="s">
        <v>13</v>
      </c>
      <c r="F12" s="11"/>
      <c r="G12" s="12"/>
      <c r="H12" s="142" t="s">
        <v>170</v>
      </c>
      <c r="I12" s="142"/>
      <c r="J12" s="142"/>
      <c r="K12" s="144" t="str">
        <f>IF(Z11,SUM(BL24:BL123),"")</f>
        <v/>
      </c>
      <c r="L12" s="144"/>
      <c r="M12" s="144"/>
      <c r="N12" s="144"/>
      <c r="O12" s="14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3"/>
      <c r="AC12" s="13"/>
      <c r="AD12" s="13"/>
      <c r="AE12" s="13"/>
      <c r="AF12" s="13"/>
      <c r="AG12" s="13"/>
      <c r="AH12" s="13"/>
      <c r="AI12" s="13"/>
      <c r="AJ12" s="13"/>
      <c r="AK12" s="11"/>
      <c r="AL12" s="11"/>
      <c r="AM12" s="11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ht="31.95" customHeight="1">
      <c r="A13" s="24" t="s">
        <v>14</v>
      </c>
      <c r="B13" s="26" t="str">
        <f>IF(ISNUMBER(B24),B24,"")</f>
        <v/>
      </c>
      <c r="C13" s="24" t="s">
        <v>15</v>
      </c>
      <c r="D13" s="22" t="s">
        <v>197</v>
      </c>
      <c r="E13" s="24" t="s">
        <v>510</v>
      </c>
      <c r="F13" s="11"/>
      <c r="G13" s="12"/>
      <c r="H13" s="142" t="s">
        <v>595</v>
      </c>
      <c r="I13" s="142"/>
      <c r="J13" s="142"/>
      <c r="K13" s="144" t="str">
        <f>IF(Z11,SUM(BN24:BN123),"")</f>
        <v/>
      </c>
      <c r="L13" s="144"/>
      <c r="M13" s="144"/>
      <c r="N13" s="144"/>
      <c r="O13" s="14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3"/>
      <c r="AC13" s="13"/>
      <c r="AD13" s="13"/>
      <c r="AE13" s="13"/>
      <c r="AF13" s="13"/>
      <c r="AG13" s="13"/>
      <c r="AH13" s="13"/>
      <c r="AI13" s="13"/>
      <c r="AJ13" s="13"/>
      <c r="AK13" s="11"/>
      <c r="AL13" s="11"/>
      <c r="AM13" s="11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ht="31.95" customHeight="1">
      <c r="A14" s="24" t="s">
        <v>17</v>
      </c>
      <c r="B14" s="26" t="str">
        <f>IF(ISNUMBER(B33),B33,"")</f>
        <v/>
      </c>
      <c r="C14" s="24" t="s">
        <v>18</v>
      </c>
      <c r="D14" s="22" t="s">
        <v>16</v>
      </c>
      <c r="E14" s="24" t="s">
        <v>202</v>
      </c>
      <c r="F14" s="11"/>
      <c r="G14" s="12"/>
      <c r="H14" s="142" t="s">
        <v>171</v>
      </c>
      <c r="I14" s="142"/>
      <c r="J14" s="142"/>
      <c r="K14" s="144" t="str">
        <f>IF(ISNUMBER('Sliding Check'!B59),'Sliding Check'!B59,"")</f>
        <v/>
      </c>
      <c r="L14" s="144"/>
      <c r="M14" s="144"/>
      <c r="N14" s="144"/>
      <c r="O14" s="14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3"/>
      <c r="AC14" s="13"/>
      <c r="AD14" s="13"/>
      <c r="AE14" s="13"/>
      <c r="AF14" s="13"/>
      <c r="AG14" s="13"/>
      <c r="AH14" s="13"/>
      <c r="AI14" s="13"/>
      <c r="AJ14" s="13"/>
      <c r="AK14" s="11"/>
      <c r="AL14" s="11"/>
      <c r="AM14" s="11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ht="31.95" customHeight="1">
      <c r="A15" s="24" t="s">
        <v>539</v>
      </c>
      <c r="B15" s="25">
        <v>1.4</v>
      </c>
      <c r="C15" s="24" t="s">
        <v>11</v>
      </c>
      <c r="D15" s="22" t="s">
        <v>329</v>
      </c>
      <c r="E15" s="24" t="s">
        <v>203</v>
      </c>
      <c r="F15" s="11"/>
      <c r="G15" s="12"/>
      <c r="H15" s="142" t="s">
        <v>172</v>
      </c>
      <c r="I15" s="142"/>
      <c r="J15" s="142"/>
      <c r="K15" s="144" t="str">
        <f>IF(ISNUMBER('Overturning Check'!B43),'Overturning Check'!B43,"")</f>
        <v/>
      </c>
      <c r="L15" s="144"/>
      <c r="M15" s="144"/>
      <c r="N15" s="144"/>
      <c r="O15" s="14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3"/>
      <c r="AC15" s="13"/>
      <c r="AD15" s="13"/>
      <c r="AE15" s="13"/>
      <c r="AF15" s="13"/>
      <c r="AG15" s="13"/>
      <c r="AH15" s="13"/>
      <c r="AI15" s="13"/>
      <c r="AJ15" s="13"/>
      <c r="AK15" s="11"/>
      <c r="AL15" s="11"/>
      <c r="AM15" s="11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ht="36" customHeight="1">
      <c r="A16" s="24" t="s">
        <v>532</v>
      </c>
      <c r="B16" s="24" t="s">
        <v>8</v>
      </c>
      <c r="C16" s="24" t="s">
        <v>9</v>
      </c>
      <c r="D16" s="24" t="s">
        <v>533</v>
      </c>
      <c r="E16" s="24" t="s">
        <v>534</v>
      </c>
      <c r="F16" s="11"/>
      <c r="G16" s="12"/>
      <c r="H16" s="142" t="s">
        <v>173</v>
      </c>
      <c r="I16" s="142"/>
      <c r="J16" s="142"/>
      <c r="K16" s="135" t="str">
        <f>IF(NOT(ISNUMBER(K5)),"INCOMPLETE WIND INPUTS - no results for selected mode",IF(COUNT(K14:K15)&lt;2,"Complete stability inputs",IF(AND(K14&gt;='Sliding Check'!B60,K15&gt;='Overturning Check'!B44),"OK for the existing along-wind stability assumptions","NOT OK under the selected method")))</f>
        <v>INCOMPLETE WIND INPUTS - no results for selected mode</v>
      </c>
      <c r="L16" s="135"/>
      <c r="M16" s="135"/>
      <c r="N16" s="135"/>
      <c r="O16" s="13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3"/>
      <c r="AC16" s="13"/>
      <c r="AD16" s="13"/>
      <c r="AE16" s="13"/>
      <c r="AF16" s="13"/>
      <c r="AG16" s="13"/>
      <c r="AH16" s="13"/>
      <c r="AI16" s="13"/>
      <c r="AJ16" s="13"/>
      <c r="AK16" s="11"/>
      <c r="AL16" s="11"/>
      <c r="AM16" s="11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70" ht="31.95" customHeight="1">
      <c r="A17" s="140" t="s">
        <v>20</v>
      </c>
      <c r="B17" s="140"/>
      <c r="C17" s="140"/>
      <c r="D17" s="140"/>
      <c r="E17" s="140"/>
      <c r="F17" s="12"/>
      <c r="G17" s="12"/>
      <c r="H17" s="135" t="s">
        <v>513</v>
      </c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2"/>
      <c r="X17" s="12"/>
      <c r="Y17" s="12"/>
      <c r="Z17" s="12"/>
      <c r="AA17" s="12"/>
      <c r="AB17" s="13"/>
      <c r="AC17" s="13"/>
      <c r="AD17" s="13"/>
      <c r="AE17" s="13"/>
      <c r="AF17" s="13"/>
      <c r="AG17" s="13"/>
      <c r="AH17" s="13"/>
      <c r="AI17" s="13"/>
      <c r="AJ17" s="13"/>
      <c r="AK17" s="11"/>
      <c r="AL17" s="11"/>
      <c r="AM17" s="11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70" ht="30" customHeight="1">
      <c r="A18" s="27" t="s">
        <v>21</v>
      </c>
      <c r="B18" s="27" t="s">
        <v>22</v>
      </c>
      <c r="C18" s="27" t="s">
        <v>2</v>
      </c>
      <c r="D18" s="27" t="s">
        <v>23</v>
      </c>
      <c r="E18" s="27" t="s">
        <v>24</v>
      </c>
      <c r="F18" s="12"/>
      <c r="G18" s="12"/>
      <c r="H18" s="135" t="s">
        <v>192</v>
      </c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2"/>
      <c r="X18" s="12"/>
      <c r="Y18" s="12"/>
      <c r="Z18" s="12"/>
      <c r="AA18" s="12"/>
      <c r="AB18" s="13"/>
      <c r="AC18" s="13"/>
      <c r="AD18" s="13"/>
      <c r="AE18" s="13"/>
      <c r="AF18" s="13"/>
      <c r="AG18" s="13"/>
      <c r="AH18" s="13"/>
      <c r="AI18" s="13"/>
      <c r="AJ18" s="13"/>
      <c r="AK18" s="11"/>
      <c r="AL18" s="11"/>
      <c r="AM18" s="11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70" ht="30" customHeight="1">
      <c r="A19" s="28" t="s">
        <v>25</v>
      </c>
      <c r="B19" s="29" t="str">
        <f>IF(AND(ISNUMBER($B$9),$B$9&gt;0),$B$7,"")</f>
        <v/>
      </c>
      <c r="C19" s="28" t="s">
        <v>6</v>
      </c>
      <c r="D19" s="28" t="s">
        <v>26</v>
      </c>
      <c r="E19" s="28" t="s">
        <v>27</v>
      </c>
      <c r="F19" s="12"/>
      <c r="G19" s="12"/>
      <c r="H19" s="135" t="s">
        <v>358</v>
      </c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2"/>
      <c r="X19" s="12"/>
      <c r="Y19" s="12"/>
      <c r="Z19" s="12"/>
      <c r="AA19" s="12"/>
      <c r="AB19" s="13"/>
      <c r="AC19" s="13"/>
      <c r="AD19" s="13"/>
      <c r="AE19" s="13"/>
      <c r="AF19" s="13"/>
      <c r="AG19" s="13"/>
      <c r="AH19" s="13"/>
      <c r="AI19" s="13"/>
      <c r="AJ19" s="13"/>
      <c r="AK19" s="11"/>
      <c r="AL19" s="11"/>
      <c r="AM19" s="11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70" ht="31.95" customHeight="1">
      <c r="A20" s="28" t="s">
        <v>28</v>
      </c>
      <c r="B20" s="29" t="str">
        <f>IF(AND(ISNUMBER($B$9),$B$9&gt;0),$B$8,"")</f>
        <v/>
      </c>
      <c r="C20" s="28" t="s">
        <v>6</v>
      </c>
      <c r="D20" s="28" t="s">
        <v>29</v>
      </c>
      <c r="E20" s="28" t="s">
        <v>27</v>
      </c>
      <c r="F20" s="12"/>
      <c r="G20" s="12"/>
      <c r="H20" s="135" t="s">
        <v>598</v>
      </c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2"/>
      <c r="X20" s="12"/>
      <c r="Y20" s="12"/>
      <c r="Z20" s="12"/>
      <c r="AA20" s="12"/>
      <c r="AB20" s="13"/>
      <c r="AC20" s="13"/>
      <c r="AD20" s="13"/>
      <c r="AE20" s="13"/>
      <c r="AF20" s="13"/>
      <c r="AG20" s="13"/>
      <c r="AH20" s="13"/>
      <c r="AI20" s="13"/>
      <c r="AJ20" s="13"/>
      <c r="AK20" s="11"/>
      <c r="AL20" s="11"/>
      <c r="AM20" s="11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70" ht="36" customHeight="1">
      <c r="A21" s="28" t="s">
        <v>501</v>
      </c>
      <c r="B21" s="30" t="str">
        <f>IF(AND(COUNT(B8,B23)=2,MIN(B8,B23)&gt;0),B23/B8,"")</f>
        <v/>
      </c>
      <c r="C21" s="28" t="s">
        <v>18</v>
      </c>
      <c r="D21" s="28" t="s">
        <v>502</v>
      </c>
      <c r="E21" s="28" t="s">
        <v>30</v>
      </c>
      <c r="F21" s="12"/>
      <c r="G21" s="12"/>
      <c r="H21" s="135" t="s">
        <v>599</v>
      </c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2"/>
      <c r="X21" s="12"/>
      <c r="Y21" s="12"/>
      <c r="Z21" s="12"/>
      <c r="AA21" s="12"/>
      <c r="AB21" s="13"/>
      <c r="AC21" s="13"/>
      <c r="AD21" s="13"/>
      <c r="AE21" s="13"/>
      <c r="AF21" s="13"/>
      <c r="AG21" s="13"/>
      <c r="AH21" s="13"/>
      <c r="AI21" s="13"/>
      <c r="AJ21" s="13"/>
      <c r="AK21" s="11"/>
      <c r="AL21" s="11"/>
      <c r="AM21" s="11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70" ht="31.95" customHeight="1">
      <c r="A22" s="28" t="s">
        <v>31</v>
      </c>
      <c r="B22" s="30" t="str">
        <f>IF(AND(ISNUMBER($B$9),$B$9&gt;0),B19/B20,"")</f>
        <v/>
      </c>
      <c r="C22" s="28" t="s">
        <v>18</v>
      </c>
      <c r="D22" s="28" t="s">
        <v>32</v>
      </c>
      <c r="E22" s="28" t="s">
        <v>30</v>
      </c>
      <c r="F22" s="12"/>
      <c r="G22" s="12"/>
      <c r="H22" s="135" t="s">
        <v>174</v>
      </c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2"/>
      <c r="X22" s="12"/>
      <c r="Y22" s="12"/>
      <c r="Z22" s="12"/>
      <c r="AA22" s="12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70" ht="42" customHeight="1">
      <c r="A23" s="28" t="s">
        <v>498</v>
      </c>
      <c r="B23" s="33" t="str">
        <f>IF(AND(COUNT(B9,'Uplift Check'!B25,'Uplift Check'!C25)=3,B9&gt;0),B9+MAX('Uplift Check'!B25-'Uplift Check'!C25,0),"")</f>
        <v/>
      </c>
      <c r="C23" s="28" t="s">
        <v>6</v>
      </c>
      <c r="D23" s="28" t="s">
        <v>499</v>
      </c>
      <c r="E23" s="28" t="s">
        <v>500</v>
      </c>
      <c r="F23" s="12"/>
      <c r="G23" s="12"/>
      <c r="H23" s="108" t="s">
        <v>580</v>
      </c>
      <c r="I23" s="108" t="s">
        <v>581</v>
      </c>
      <c r="J23" s="108" t="s">
        <v>582</v>
      </c>
      <c r="K23" s="108" t="s">
        <v>583</v>
      </c>
      <c r="L23" s="108" t="s">
        <v>43</v>
      </c>
      <c r="M23" s="108" t="s">
        <v>584</v>
      </c>
      <c r="N23" s="108" t="s">
        <v>585</v>
      </c>
      <c r="O23" s="108" t="s">
        <v>586</v>
      </c>
      <c r="P23" s="108" t="s">
        <v>587</v>
      </c>
      <c r="Q23" s="108" t="s">
        <v>588</v>
      </c>
      <c r="R23" s="108" t="s">
        <v>589</v>
      </c>
      <c r="S23" s="108" t="s">
        <v>128</v>
      </c>
      <c r="T23" s="108" t="s">
        <v>590</v>
      </c>
      <c r="W23" s="12"/>
      <c r="X23" s="12"/>
      <c r="Y23" s="12"/>
      <c r="Z23" s="12"/>
      <c r="AA23" s="12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D23" s="31" t="s">
        <v>175</v>
      </c>
      <c r="BE23" s="31" t="s">
        <v>176</v>
      </c>
      <c r="BF23" s="31" t="s">
        <v>177</v>
      </c>
      <c r="BG23" s="31" t="s">
        <v>178</v>
      </c>
      <c r="BH23" s="31" t="s">
        <v>179</v>
      </c>
      <c r="BI23" s="31" t="s">
        <v>180</v>
      </c>
      <c r="BJ23" s="31" t="s">
        <v>181</v>
      </c>
      <c r="BK23" s="31" t="s">
        <v>182</v>
      </c>
      <c r="BL23" s="31" t="s">
        <v>183</v>
      </c>
      <c r="BM23" s="31" t="s">
        <v>591</v>
      </c>
      <c r="BN23" s="31" t="s">
        <v>592</v>
      </c>
      <c r="BO23" s="31" t="s">
        <v>19</v>
      </c>
      <c r="BP23" s="31" t="s">
        <v>184</v>
      </c>
      <c r="BQ23" s="31" t="s">
        <v>185</v>
      </c>
      <c r="BR23" s="31" t="s">
        <v>186</v>
      </c>
    </row>
    <row r="24" spans="1:70" ht="31.95" customHeight="1">
      <c r="A24" s="28" t="s">
        <v>33</v>
      </c>
      <c r="B24" s="30" t="str">
        <f>IF(AND(ISNUMBER(B23),B23&gt;0),46/B23,"")</f>
        <v/>
      </c>
      <c r="C24" s="28" t="s">
        <v>15</v>
      </c>
      <c r="D24" s="28" t="s">
        <v>504</v>
      </c>
      <c r="E24" s="28" t="s">
        <v>511</v>
      </c>
      <c r="F24" s="12"/>
      <c r="G24" s="12"/>
      <c r="H24" s="109" t="str">
        <f>IF(AND($Z$11,COUNT($BE$24:$BE$123)&gt;0),INDEX($BD$24:$BD$123,(COUNT($BE$24:$BE$123)-0)),"")</f>
        <v/>
      </c>
      <c r="I24" s="110" t="str">
        <f>IF(AND($Z$11,COUNT($BE$24:$BE$123)&gt;0),INDEX($BH$24:$BH$123,(COUNT($BE$24:$BE$123)-0))+'Uplift Check'!$B$25,"")</f>
        <v/>
      </c>
      <c r="J24" s="110" t="str">
        <f>IF(AND($Z$11,COUNT($BE$24:$BE$123)&gt;0),INDEX($BF$24:$BF$123,(COUNT($BE$24:$BE$123)-0)),"")</f>
        <v/>
      </c>
      <c r="K24" s="110" t="str">
        <f>IF(AND($Z$11,COUNT($BE$24:$BE$123)&gt;0),$B$8,"")</f>
        <v/>
      </c>
      <c r="L24" s="110" t="str">
        <f>IF(AND($Z$11,COUNT($BE$24:$BE$123)&gt;0),INDEX($BI$24:$BI$123,(COUNT($BE$24:$BE$123)-0)),"")</f>
        <v/>
      </c>
      <c r="M24" s="110" t="str">
        <f>IF(AND($Z$11,COUNT($BE$24:$BE$123)&gt;0),INDEX($BJ$24:$BJ$123,(COUNT($BE$24:$BE$123)-0)),"")</f>
        <v/>
      </c>
      <c r="N24" s="110" t="str">
        <f>IF(AND($Z$11,COUNT($BE$24:$BE$123)&gt;0),$B$27,"")</f>
        <v/>
      </c>
      <c r="O24" s="110" t="str">
        <f>IF(AND($Z$11,COUNT($BE$24:$BE$123)&gt;0),$B$26,"")</f>
        <v/>
      </c>
      <c r="P24" s="110" t="str">
        <f>IF(AND($Z$11,COUNT($BE$24:$BE$123)&gt;0),INDEX($BJ$24:$BJ$123,(COUNT($BE$24:$BE$123)-0))*$B$27*$B$26,"")</f>
        <v/>
      </c>
      <c r="Q24" s="110" t="str">
        <f>IF(AND($Z$11,COUNT($BE$24:$BE$123)&gt;0),$B$35,"")</f>
        <v/>
      </c>
      <c r="R24" s="110" t="str">
        <f>IF(AND($Z$11,COUNT($BE$24:$BE$123)&gt;0),INDEX($BL$24:$BL$123,(COUNT($BE$24:$BE$123)-0)),"")</f>
        <v/>
      </c>
      <c r="S24" s="110" t="str">
        <f>IF(AND($Z$11,COUNT($BE$24:$BE$123)&gt;0),INDEX($BM$24:$BM$123,(COUNT($BE$24:$BE$123)-0)),"")</f>
        <v/>
      </c>
      <c r="T24" s="110" t="str">
        <f>IF(AND($Z$11,COUNT($BE$24:$BE$123)&gt;0),INDEX($BN$24:$BN$123,(COUNT($BE$24:$BE$123)-0)),"")</f>
        <v/>
      </c>
      <c r="W24" s="12"/>
      <c r="X24" s="12"/>
      <c r="Y24" s="12"/>
      <c r="Z24" s="12"/>
      <c r="AA24" s="12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D24" s="12">
        <f>1</f>
        <v>1</v>
      </c>
      <c r="BE24" s="32"/>
      <c r="BF24" s="32"/>
      <c r="BG24" s="32" t="str">
        <f>IF(BO24="OK",SUM($BE$24:BE24)-BE24,"")</f>
        <v/>
      </c>
      <c r="BH24" s="32" t="str">
        <f t="shared" ref="BH24:BH55" si="0">IF(BO24="OK",BG24+BE24,"")</f>
        <v/>
      </c>
      <c r="BI24" s="32" t="str">
        <f>IF(AND(BO24="OK",$Z$7),MAX('Wind Load Check'!$B$29,1.1+0.055*('Wind Load Check'!$B$23/'Wind Load Check'!$B$8)/EXP(ABS(LN((0.6*BF24/'Wind Load Check'!$B$8)*(1-0.011*'Wind Load Check'!$B$23/'Wind Load Check'!$B$8)))^(1.7-0.0013*('Wind Load Check'!$B$23/BF24)^2))),"")</f>
        <v/>
      </c>
      <c r="BJ24" s="32" t="str">
        <f t="shared" ref="BJ24:BJ55" si="1">IF(BO24="OK",BQ24/BE24,"")</f>
        <v/>
      </c>
      <c r="BK24" s="32" t="str">
        <f>IF(AND(BO24="OK",$Z$7),BJ24*'Wind Load Check'!$B$26*'Wind Load Check'!$B$27*BI24*'Wind Load Check'!$B$35,"")</f>
        <v/>
      </c>
      <c r="BL24" s="32" t="str">
        <f t="shared" ref="BL24:BL55" si="2">IF(AND(BO24="OK",$Z$7),BK24*BF24*BE24,"")</f>
        <v/>
      </c>
      <c r="BM24" s="32" t="str">
        <f>IF(AND(BO24="OK",ISNUMBER('Uplift Check'!$B$38)),(BG24+BH24)/2+'Uplift Check'!$B$38,"")</f>
        <v/>
      </c>
      <c r="BN24" s="32" t="str">
        <f t="shared" ref="BN24:BN55" si="3">IF(COUNT(BL24:BM24)=2,BL24*BM24,"")</f>
        <v/>
      </c>
      <c r="BO24" s="32" t="str">
        <f>IF(COUNTA(BE24:BF24)=0,"",IF(AND(COUNT(BE24:BF24)=2,MIN(BE24:BF24)&gt;0),"OK","INVALID"))</f>
        <v/>
      </c>
      <c r="BP24" s="32" t="str">
        <f t="shared" ref="BP24:BP55" si="4">IF(ISNUMBER(BL24),BL24/BE24,"")</f>
        <v/>
      </c>
      <c r="BQ24" s="32" t="str">
        <f t="shared" ref="BQ24:BQ55" si="5">IF(AND(BO24="OK",ISNUMBER($B$23)),1.59*MAX(0,MIN((BH24+$B$23-$B$9),2.5)-(BG24+$B$23-$B$9))+3.7/500^0.16*(MAX((BH24+$B$23-$B$9),2.5)^1.16-MAX((BG24+$B$23-$B$9),2.5)^1.16)/1.16,"")</f>
        <v/>
      </c>
      <c r="BR24" s="32" t="str">
        <f t="shared" ref="BR24:BR55" si="6">IF(AND(BO24="OK",ISNUMBER($B$23)),1.59*(MIN((BH24+$B$23-$B$9),2.5)^2-MIN((BG24+$B$23-$B$9),2.5)^2)/2+3.7/500^0.16*(MAX((BH24+$B$23-$B$9),2.5)^2.16-MAX((BG24+$B$23-$B$9),2.5)^2.16)/2.16-($B$23-$B$9)*BQ24,"")</f>
        <v/>
      </c>
    </row>
    <row r="25" spans="1:70" ht="22.05" customHeight="1">
      <c r="A25" s="28" t="s">
        <v>34</v>
      </c>
      <c r="B25" s="30" t="str">
        <f>IF(AND(ISNUMBER($B$23),$B$23&gt;0),3.7*(B23/500)^0.16,"")</f>
        <v/>
      </c>
      <c r="C25" s="28" t="s">
        <v>35</v>
      </c>
      <c r="D25" s="28" t="s">
        <v>36</v>
      </c>
      <c r="E25" s="28" t="s">
        <v>37</v>
      </c>
      <c r="F25" s="12"/>
      <c r="G25" s="12"/>
      <c r="H25" s="109" t="str">
        <f>IF(AND($Z$11,COUNT($BE$24:$BE$123)&gt;1),INDEX($BD$24:$BD$123,(COUNT($BE$24:$BE$123)-1)),"")</f>
        <v/>
      </c>
      <c r="I25" s="110" t="str">
        <f>IF(AND($Z$11,COUNT($BE$24:$BE$123)&gt;1),INDEX($BH$24:$BH$123,(COUNT($BE$24:$BE$123)-1))+'Uplift Check'!$B$25,"")</f>
        <v/>
      </c>
      <c r="J25" s="110" t="str">
        <f>IF(AND($Z$11,COUNT($BE$24:$BE$123)&gt;1),INDEX($BF$24:$BF$123,(COUNT($BE$24:$BE$123)-1)),"")</f>
        <v/>
      </c>
      <c r="K25" s="110" t="str">
        <f>IF(AND($Z$11,COUNT($BE$24:$BE$123)&gt;1),$B$8,"")</f>
        <v/>
      </c>
      <c r="L25" s="110" t="str">
        <f>IF(AND($Z$11,COUNT($BE$24:$BE$123)&gt;1),INDEX($BI$24:$BI$123,(COUNT($BE$24:$BE$123)-1)),"")</f>
        <v/>
      </c>
      <c r="M25" s="110" t="str">
        <f>IF(AND($Z$11,COUNT($BE$24:$BE$123)&gt;1),INDEX($BJ$24:$BJ$123,(COUNT($BE$24:$BE$123)-1)),"")</f>
        <v/>
      </c>
      <c r="N25" s="110" t="str">
        <f>IF(AND($Z$11,COUNT($BE$24:$BE$123)&gt;1),$B$27,"")</f>
        <v/>
      </c>
      <c r="O25" s="110" t="str">
        <f>IF(AND($Z$11,COUNT($BE$24:$BE$123)&gt;1),$B$26,"")</f>
        <v/>
      </c>
      <c r="P25" s="110" t="str">
        <f>IF(AND($Z$11,COUNT($BE$24:$BE$123)&gt;1),INDEX($BJ$24:$BJ$123,(COUNT($BE$24:$BE$123)-1))*$B$27*$B$26,"")</f>
        <v/>
      </c>
      <c r="Q25" s="110" t="str">
        <f>IF(AND($Z$11,COUNT($BE$24:$BE$123)&gt;1),$B$35,"")</f>
        <v/>
      </c>
      <c r="R25" s="110" t="str">
        <f>IF(AND($Z$11,COUNT($BE$24:$BE$123)&gt;1),INDEX($BL$24:$BL$123,(COUNT($BE$24:$BE$123)-1)),"")</f>
        <v/>
      </c>
      <c r="S25" s="110" t="str">
        <f>IF(AND($Z$11,COUNT($BE$24:$BE$123)&gt;1),INDEX($BM$24:$BM$123,(COUNT($BE$24:$BE$123)-1)),"")</f>
        <v/>
      </c>
      <c r="T25" s="110" t="str">
        <f>IF(AND($Z$11,COUNT($BE$24:$BE$123)&gt;1),INDEX($BN$24:$BN$123,(COUNT($BE$24:$BE$123)-1)),"")</f>
        <v/>
      </c>
      <c r="W25" s="12"/>
      <c r="X25" s="12"/>
      <c r="Y25" s="12"/>
      <c r="Z25" s="12"/>
      <c r="AA25" s="12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D25" s="12">
        <f>2</f>
        <v>2</v>
      </c>
      <c r="BE25" s="32"/>
      <c r="BF25" s="32"/>
      <c r="BG25" s="32" t="str">
        <f>IF(BO25="OK",SUM($BE$24:BE25)-BE25,"")</f>
        <v/>
      </c>
      <c r="BH25" s="32" t="str">
        <f t="shared" si="0"/>
        <v/>
      </c>
      <c r="BI25" s="32" t="str">
        <f>IF(AND(BO25="OK",$Z$7),MAX('Wind Load Check'!$B$29,1.1+0.055*('Wind Load Check'!$B$23/'Wind Load Check'!$B$8)/EXP(ABS(LN((0.6*BF25/'Wind Load Check'!$B$8)*(1-0.011*'Wind Load Check'!$B$23/'Wind Load Check'!$B$8)))^(1.7-0.0013*('Wind Load Check'!$B$23/BF25)^2))),"")</f>
        <v/>
      </c>
      <c r="BJ25" s="32" t="str">
        <f t="shared" si="1"/>
        <v/>
      </c>
      <c r="BK25" s="32" t="str">
        <f>IF(AND(BO25="OK",$Z$7),BJ25*'Wind Load Check'!$B$26*'Wind Load Check'!$B$27*BI25*'Wind Load Check'!$B$35,"")</f>
        <v/>
      </c>
      <c r="BL25" s="32" t="str">
        <f t="shared" si="2"/>
        <v/>
      </c>
      <c r="BM25" s="32" t="str">
        <f>IF(AND(BO25="OK",ISNUMBER('Uplift Check'!$B$38)),(BG25+BH25)/2+'Uplift Check'!$B$38,"")</f>
        <v/>
      </c>
      <c r="BN25" s="32" t="str">
        <f t="shared" si="3"/>
        <v/>
      </c>
      <c r="BO25" s="32" t="str">
        <f t="shared" ref="BO25:BO56" si="7">IF(COUNTA(BE25:BF25)=0,"",IF(AND(COUNT(BE25:BF25)=2,MIN(BE25:BF25)&gt;0,BO24="OK"),"OK","INVALID"))</f>
        <v/>
      </c>
      <c r="BP25" s="32" t="str">
        <f t="shared" si="4"/>
        <v/>
      </c>
      <c r="BQ25" s="32" t="str">
        <f t="shared" si="5"/>
        <v/>
      </c>
      <c r="BR25" s="32" t="str">
        <f t="shared" si="6"/>
        <v/>
      </c>
    </row>
    <row r="26" spans="1:70" ht="22.05" customHeight="1">
      <c r="A26" s="28" t="s">
        <v>10</v>
      </c>
      <c r="B26" s="30" t="str">
        <f>IF(AND(ISNUMBER($B$23),$B$23&gt;0),$B$11,"")</f>
        <v/>
      </c>
      <c r="C26" s="28" t="s">
        <v>11</v>
      </c>
      <c r="D26" s="28" t="s">
        <v>326</v>
      </c>
      <c r="E26" s="28" t="s">
        <v>38</v>
      </c>
      <c r="F26" s="12"/>
      <c r="G26" s="12"/>
      <c r="H26" s="109" t="str">
        <f>IF(AND($Z$11,COUNT($BE$24:$BE$123)&gt;2),INDEX($BD$24:$BD$123,(COUNT($BE$24:$BE$123)-2)),"")</f>
        <v/>
      </c>
      <c r="I26" s="110" t="str">
        <f>IF(AND($Z$11,COUNT($BE$24:$BE$123)&gt;2),INDEX($BH$24:$BH$123,(COUNT($BE$24:$BE$123)-2))+'Uplift Check'!$B$25,"")</f>
        <v/>
      </c>
      <c r="J26" s="110" t="str">
        <f>IF(AND($Z$11,COUNT($BE$24:$BE$123)&gt;2),INDEX($BF$24:$BF$123,(COUNT($BE$24:$BE$123)-2)),"")</f>
        <v/>
      </c>
      <c r="K26" s="110" t="str">
        <f>IF(AND($Z$11,COUNT($BE$24:$BE$123)&gt;2),$B$8,"")</f>
        <v/>
      </c>
      <c r="L26" s="110" t="str">
        <f>IF(AND($Z$11,COUNT($BE$24:$BE$123)&gt;2),INDEX($BI$24:$BI$123,(COUNT($BE$24:$BE$123)-2)),"")</f>
        <v/>
      </c>
      <c r="M26" s="110" t="str">
        <f>IF(AND($Z$11,COUNT($BE$24:$BE$123)&gt;2),INDEX($BJ$24:$BJ$123,(COUNT($BE$24:$BE$123)-2)),"")</f>
        <v/>
      </c>
      <c r="N26" s="110" t="str">
        <f>IF(AND($Z$11,COUNT($BE$24:$BE$123)&gt;2),$B$27,"")</f>
        <v/>
      </c>
      <c r="O26" s="110" t="str">
        <f>IF(AND($Z$11,COUNT($BE$24:$BE$123)&gt;2),$B$26,"")</f>
        <v/>
      </c>
      <c r="P26" s="110" t="str">
        <f>IF(AND($Z$11,COUNT($BE$24:$BE$123)&gt;2),INDEX($BJ$24:$BJ$123,(COUNT($BE$24:$BE$123)-2))*$B$27*$B$26,"")</f>
        <v/>
      </c>
      <c r="Q26" s="110" t="str">
        <f>IF(AND($Z$11,COUNT($BE$24:$BE$123)&gt;2),$B$35,"")</f>
        <v/>
      </c>
      <c r="R26" s="110" t="str">
        <f>IF(AND($Z$11,COUNT($BE$24:$BE$123)&gt;2),INDEX($BL$24:$BL$123,(COUNT($BE$24:$BE$123)-2)),"")</f>
        <v/>
      </c>
      <c r="S26" s="110" t="str">
        <f>IF(AND($Z$11,COUNT($BE$24:$BE$123)&gt;2),INDEX($BM$24:$BM$123,(COUNT($BE$24:$BE$123)-2)),"")</f>
        <v/>
      </c>
      <c r="T26" s="110" t="str">
        <f>IF(AND($Z$11,COUNT($BE$24:$BE$123)&gt;2),INDEX($BN$24:$BN$123,(COUNT($BE$24:$BE$123)-2)),"")</f>
        <v/>
      </c>
      <c r="W26" s="12"/>
      <c r="X26" s="12"/>
      <c r="Y26" s="12"/>
      <c r="Z26" s="12"/>
      <c r="AA26" s="12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D26" s="12">
        <f>3</f>
        <v>3</v>
      </c>
      <c r="BE26" s="32"/>
      <c r="BF26" s="32"/>
      <c r="BG26" s="32" t="str">
        <f>IF(BO26="OK",SUM($BE$24:BE26)-BE26,"")</f>
        <v/>
      </c>
      <c r="BH26" s="32" t="str">
        <f t="shared" si="0"/>
        <v/>
      </c>
      <c r="BI26" s="32" t="str">
        <f>IF(AND(BO26="OK",$Z$7),MAX('Wind Load Check'!$B$29,1.1+0.055*('Wind Load Check'!$B$23/'Wind Load Check'!$B$8)/EXP(ABS(LN((0.6*BF26/'Wind Load Check'!$B$8)*(1-0.011*'Wind Load Check'!$B$23/'Wind Load Check'!$B$8)))^(1.7-0.0013*('Wind Load Check'!$B$23/BF26)^2))),"")</f>
        <v/>
      </c>
      <c r="BJ26" s="32" t="str">
        <f t="shared" si="1"/>
        <v/>
      </c>
      <c r="BK26" s="32" t="str">
        <f>IF(AND(BO26="OK",$Z$7),BJ26*'Wind Load Check'!$B$26*'Wind Load Check'!$B$27*BI26*'Wind Load Check'!$B$35,"")</f>
        <v/>
      </c>
      <c r="BL26" s="32" t="str">
        <f t="shared" si="2"/>
        <v/>
      </c>
      <c r="BM26" s="32" t="str">
        <f>IF(AND(BO26="OK",ISNUMBER('Uplift Check'!$B$38)),(BG26+BH26)/2+'Uplift Check'!$B$38,"")</f>
        <v/>
      </c>
      <c r="BN26" s="32" t="str">
        <f t="shared" si="3"/>
        <v/>
      </c>
      <c r="BO26" s="32" t="str">
        <f t="shared" si="7"/>
        <v/>
      </c>
      <c r="BP26" s="32" t="str">
        <f t="shared" si="4"/>
        <v/>
      </c>
      <c r="BQ26" s="32" t="str">
        <f t="shared" si="5"/>
        <v/>
      </c>
      <c r="BR26" s="32" t="str">
        <f t="shared" si="6"/>
        <v/>
      </c>
    </row>
    <row r="27" spans="1:70" ht="22.05" customHeight="1">
      <c r="A27" s="28" t="s">
        <v>12</v>
      </c>
      <c r="B27" s="30" t="str">
        <f>IF(AND(ISNUMBER($B$23),$B$23&gt;0),$B$12,"")</f>
        <v/>
      </c>
      <c r="C27" s="28" t="s">
        <v>11</v>
      </c>
      <c r="D27" s="28" t="s">
        <v>327</v>
      </c>
      <c r="E27" s="28" t="s">
        <v>13</v>
      </c>
      <c r="F27" s="12"/>
      <c r="G27" s="12"/>
      <c r="H27" s="109" t="str">
        <f>IF(AND($Z$11,COUNT($BE$24:$BE$123)&gt;3),INDEX($BD$24:$BD$123,(COUNT($BE$24:$BE$123)-3)),"")</f>
        <v/>
      </c>
      <c r="I27" s="110" t="str">
        <f>IF(AND($Z$11,COUNT($BE$24:$BE$123)&gt;3),INDEX($BH$24:$BH$123,(COUNT($BE$24:$BE$123)-3))+'Uplift Check'!$B$25,"")</f>
        <v/>
      </c>
      <c r="J27" s="110" t="str">
        <f>IF(AND($Z$11,COUNT($BE$24:$BE$123)&gt;3),INDEX($BF$24:$BF$123,(COUNT($BE$24:$BE$123)-3)),"")</f>
        <v/>
      </c>
      <c r="K27" s="110" t="str">
        <f>IF(AND($Z$11,COUNT($BE$24:$BE$123)&gt;3),$B$8,"")</f>
        <v/>
      </c>
      <c r="L27" s="110" t="str">
        <f>IF(AND($Z$11,COUNT($BE$24:$BE$123)&gt;3),INDEX($BI$24:$BI$123,(COUNT($BE$24:$BE$123)-3)),"")</f>
        <v/>
      </c>
      <c r="M27" s="110" t="str">
        <f>IF(AND($Z$11,COUNT($BE$24:$BE$123)&gt;3),INDEX($BJ$24:$BJ$123,(COUNT($BE$24:$BE$123)-3)),"")</f>
        <v/>
      </c>
      <c r="N27" s="110" t="str">
        <f>IF(AND($Z$11,COUNT($BE$24:$BE$123)&gt;3),$B$27,"")</f>
        <v/>
      </c>
      <c r="O27" s="110" t="str">
        <f>IF(AND($Z$11,COUNT($BE$24:$BE$123)&gt;3),$B$26,"")</f>
        <v/>
      </c>
      <c r="P27" s="110" t="str">
        <f>IF(AND($Z$11,COUNT($BE$24:$BE$123)&gt;3),INDEX($BJ$24:$BJ$123,(COUNT($BE$24:$BE$123)-3))*$B$27*$B$26,"")</f>
        <v/>
      </c>
      <c r="Q27" s="110" t="str">
        <f>IF(AND($Z$11,COUNT($BE$24:$BE$123)&gt;3),$B$35,"")</f>
        <v/>
      </c>
      <c r="R27" s="110" t="str">
        <f>IF(AND($Z$11,COUNT($BE$24:$BE$123)&gt;3),INDEX($BL$24:$BL$123,(COUNT($BE$24:$BE$123)-3)),"")</f>
        <v/>
      </c>
      <c r="S27" s="110" t="str">
        <f>IF(AND($Z$11,COUNT($BE$24:$BE$123)&gt;3),INDEX($BM$24:$BM$123,(COUNT($BE$24:$BE$123)-3)),"")</f>
        <v/>
      </c>
      <c r="T27" s="110" t="str">
        <f>IF(AND($Z$11,COUNT($BE$24:$BE$123)&gt;3),INDEX($BN$24:$BN$123,(COUNT($BE$24:$BE$123)-3)),"")</f>
        <v/>
      </c>
      <c r="W27" s="12"/>
      <c r="X27" s="12"/>
      <c r="Y27" s="12"/>
      <c r="Z27" s="12"/>
      <c r="AA27" s="12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D27" s="12">
        <f>4</f>
        <v>4</v>
      </c>
      <c r="BE27" s="32"/>
      <c r="BF27" s="32"/>
      <c r="BG27" s="32" t="str">
        <f>IF(BO27="OK",SUM($BE$24:BE27)-BE27,"")</f>
        <v/>
      </c>
      <c r="BH27" s="32" t="str">
        <f t="shared" si="0"/>
        <v/>
      </c>
      <c r="BI27" s="32" t="str">
        <f>IF(AND(BO27="OK",$Z$7),MAX('Wind Load Check'!$B$29,1.1+0.055*('Wind Load Check'!$B$23/'Wind Load Check'!$B$8)/EXP(ABS(LN((0.6*BF27/'Wind Load Check'!$B$8)*(1-0.011*'Wind Load Check'!$B$23/'Wind Load Check'!$B$8)))^(1.7-0.0013*('Wind Load Check'!$B$23/BF27)^2))),"")</f>
        <v/>
      </c>
      <c r="BJ27" s="32" t="str">
        <f t="shared" si="1"/>
        <v/>
      </c>
      <c r="BK27" s="32" t="str">
        <f>IF(AND(BO27="OK",$Z$7),BJ27*'Wind Load Check'!$B$26*'Wind Load Check'!$B$27*BI27*'Wind Load Check'!$B$35,"")</f>
        <v/>
      </c>
      <c r="BL27" s="32" t="str">
        <f t="shared" si="2"/>
        <v/>
      </c>
      <c r="BM27" s="32" t="str">
        <f>IF(AND(BO27="OK",ISNUMBER('Uplift Check'!$B$38)),(BG27+BH27)/2+'Uplift Check'!$B$38,"")</f>
        <v/>
      </c>
      <c r="BN27" s="32" t="str">
        <f t="shared" si="3"/>
        <v/>
      </c>
      <c r="BO27" s="32" t="str">
        <f t="shared" si="7"/>
        <v/>
      </c>
      <c r="BP27" s="32" t="str">
        <f t="shared" si="4"/>
        <v/>
      </c>
      <c r="BQ27" s="32" t="str">
        <f t="shared" si="5"/>
        <v/>
      </c>
      <c r="BR27" s="32" t="str">
        <f t="shared" si="6"/>
        <v/>
      </c>
    </row>
    <row r="28" spans="1:70" ht="22.05" customHeight="1">
      <c r="A28" s="28" t="s">
        <v>39</v>
      </c>
      <c r="B28" s="30" t="str">
        <f>IF(AND(ISNUMBER($B$23),$B$23&gt;0),B25*B26*B27,"")</f>
        <v/>
      </c>
      <c r="C28" s="28" t="s">
        <v>35</v>
      </c>
      <c r="D28" s="28" t="s">
        <v>40</v>
      </c>
      <c r="E28" s="28" t="s">
        <v>41</v>
      </c>
      <c r="F28" s="12"/>
      <c r="G28" s="12"/>
      <c r="H28" s="109" t="str">
        <f>IF(AND($Z$11,COUNT($BE$24:$BE$123)&gt;4),INDEX($BD$24:$BD$123,(COUNT($BE$24:$BE$123)-4)),"")</f>
        <v/>
      </c>
      <c r="I28" s="110" t="str">
        <f>IF(AND($Z$11,COUNT($BE$24:$BE$123)&gt;4),INDEX($BH$24:$BH$123,(COUNT($BE$24:$BE$123)-4))+'Uplift Check'!$B$25,"")</f>
        <v/>
      </c>
      <c r="J28" s="110" t="str">
        <f>IF(AND($Z$11,COUNT($BE$24:$BE$123)&gt;4),INDEX($BF$24:$BF$123,(COUNT($BE$24:$BE$123)-4)),"")</f>
        <v/>
      </c>
      <c r="K28" s="110" t="str">
        <f>IF(AND($Z$11,COUNT($BE$24:$BE$123)&gt;4),$B$8,"")</f>
        <v/>
      </c>
      <c r="L28" s="110" t="str">
        <f>IF(AND($Z$11,COUNT($BE$24:$BE$123)&gt;4),INDEX($BI$24:$BI$123,(COUNT($BE$24:$BE$123)-4)),"")</f>
        <v/>
      </c>
      <c r="M28" s="110" t="str">
        <f>IF(AND($Z$11,COUNT($BE$24:$BE$123)&gt;4),INDEX($BJ$24:$BJ$123,(COUNT($BE$24:$BE$123)-4)),"")</f>
        <v/>
      </c>
      <c r="N28" s="110" t="str">
        <f>IF(AND($Z$11,COUNT($BE$24:$BE$123)&gt;4),$B$27,"")</f>
        <v/>
      </c>
      <c r="O28" s="110" t="str">
        <f>IF(AND($Z$11,COUNT($BE$24:$BE$123)&gt;4),$B$26,"")</f>
        <v/>
      </c>
      <c r="P28" s="110" t="str">
        <f>IF(AND($Z$11,COUNT($BE$24:$BE$123)&gt;4),INDEX($BJ$24:$BJ$123,(COUNT($BE$24:$BE$123)-4))*$B$27*$B$26,"")</f>
        <v/>
      </c>
      <c r="Q28" s="110" t="str">
        <f>IF(AND($Z$11,COUNT($BE$24:$BE$123)&gt;4),$B$35,"")</f>
        <v/>
      </c>
      <c r="R28" s="110" t="str">
        <f>IF(AND($Z$11,COUNT($BE$24:$BE$123)&gt;4),INDEX($BL$24:$BL$123,(COUNT($BE$24:$BE$123)-4)),"")</f>
        <v/>
      </c>
      <c r="S28" s="110" t="str">
        <f>IF(AND($Z$11,COUNT($BE$24:$BE$123)&gt;4),INDEX($BM$24:$BM$123,(COUNT($BE$24:$BE$123)-4)),"")</f>
        <v/>
      </c>
      <c r="T28" s="110" t="str">
        <f>IF(AND($Z$11,COUNT($BE$24:$BE$123)&gt;4),INDEX($BN$24:$BN$123,(COUNT($BE$24:$BE$123)-4)),"")</f>
        <v/>
      </c>
      <c r="W28" s="12"/>
      <c r="X28" s="12"/>
      <c r="Y28" s="12"/>
      <c r="Z28" s="12"/>
      <c r="AA28" s="12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D28" s="12">
        <f>5</f>
        <v>5</v>
      </c>
      <c r="BE28" s="32"/>
      <c r="BF28" s="32"/>
      <c r="BG28" s="32" t="str">
        <f>IF(BO28="OK",SUM($BE$24:BE28)-BE28,"")</f>
        <v/>
      </c>
      <c r="BH28" s="32" t="str">
        <f t="shared" si="0"/>
        <v/>
      </c>
      <c r="BI28" s="32" t="str">
        <f>IF(AND(BO28="OK",$Z$7),MAX('Wind Load Check'!$B$29,1.1+0.055*('Wind Load Check'!$B$23/'Wind Load Check'!$B$8)/EXP(ABS(LN((0.6*BF28/'Wind Load Check'!$B$8)*(1-0.011*'Wind Load Check'!$B$23/'Wind Load Check'!$B$8)))^(1.7-0.0013*('Wind Load Check'!$B$23/BF28)^2))),"")</f>
        <v/>
      </c>
      <c r="BJ28" s="32" t="str">
        <f t="shared" si="1"/>
        <v/>
      </c>
      <c r="BK28" s="32" t="str">
        <f>IF(AND(BO28="OK",$Z$7),BJ28*'Wind Load Check'!$B$26*'Wind Load Check'!$B$27*BI28*'Wind Load Check'!$B$35,"")</f>
        <v/>
      </c>
      <c r="BL28" s="32" t="str">
        <f t="shared" si="2"/>
        <v/>
      </c>
      <c r="BM28" s="32" t="str">
        <f>IF(AND(BO28="OK",ISNUMBER('Uplift Check'!$B$38)),(BG28+BH28)/2+'Uplift Check'!$B$38,"")</f>
        <v/>
      </c>
      <c r="BN28" s="32" t="str">
        <f t="shared" si="3"/>
        <v/>
      </c>
      <c r="BO28" s="32" t="str">
        <f t="shared" si="7"/>
        <v/>
      </c>
      <c r="BP28" s="32" t="str">
        <f t="shared" si="4"/>
        <v/>
      </c>
      <c r="BQ28" s="32" t="str">
        <f t="shared" si="5"/>
        <v/>
      </c>
      <c r="BR28" s="32" t="str">
        <f t="shared" si="6"/>
        <v/>
      </c>
    </row>
    <row r="29" spans="1:70" ht="22.05" customHeight="1">
      <c r="A29" s="28" t="s">
        <v>42</v>
      </c>
      <c r="B29" s="30" t="str">
        <f>IF(AND(ISNUMBER($B$23),$B$23&gt;0),IF((0.6*$B$19/$B$20)*(1-0.011*($B$23/$B$20))&gt;0,1.1+0.055*($B$23/$B$20)/EXP(ABS(LN((0.6*$B$19/$B$20)*(1-0.011*($B$23/$B$20))))^(1.7-0.0013*($B$23/$B$20)^2)),0),"")</f>
        <v/>
      </c>
      <c r="C29" s="28" t="s">
        <v>11</v>
      </c>
      <c r="D29" s="28" t="s">
        <v>43</v>
      </c>
      <c r="E29" s="28" t="s">
        <v>44</v>
      </c>
      <c r="F29" s="12"/>
      <c r="G29" s="12"/>
      <c r="H29" s="109" t="str">
        <f>IF(AND($Z$11,COUNT($BE$24:$BE$123)&gt;5),INDEX($BD$24:$BD$123,(COUNT($BE$24:$BE$123)-5)),"")</f>
        <v/>
      </c>
      <c r="I29" s="110" t="str">
        <f>IF(AND($Z$11,COUNT($BE$24:$BE$123)&gt;5),INDEX($BH$24:$BH$123,(COUNT($BE$24:$BE$123)-5))+'Uplift Check'!$B$25,"")</f>
        <v/>
      </c>
      <c r="J29" s="110" t="str">
        <f>IF(AND($Z$11,COUNT($BE$24:$BE$123)&gt;5),INDEX($BF$24:$BF$123,(COUNT($BE$24:$BE$123)-5)),"")</f>
        <v/>
      </c>
      <c r="K29" s="110" t="str">
        <f>IF(AND($Z$11,COUNT($BE$24:$BE$123)&gt;5),$B$8,"")</f>
        <v/>
      </c>
      <c r="L29" s="110" t="str">
        <f>IF(AND($Z$11,COUNT($BE$24:$BE$123)&gt;5),INDEX($BI$24:$BI$123,(COUNT($BE$24:$BE$123)-5)),"")</f>
        <v/>
      </c>
      <c r="M29" s="110" t="str">
        <f>IF(AND($Z$11,COUNT($BE$24:$BE$123)&gt;5),INDEX($BJ$24:$BJ$123,(COUNT($BE$24:$BE$123)-5)),"")</f>
        <v/>
      </c>
      <c r="N29" s="110" t="str">
        <f>IF(AND($Z$11,COUNT($BE$24:$BE$123)&gt;5),$B$27,"")</f>
        <v/>
      </c>
      <c r="O29" s="110" t="str">
        <f>IF(AND($Z$11,COUNT($BE$24:$BE$123)&gt;5),$B$26,"")</f>
        <v/>
      </c>
      <c r="P29" s="110" t="str">
        <f>IF(AND($Z$11,COUNT($BE$24:$BE$123)&gt;5),INDEX($BJ$24:$BJ$123,(COUNT($BE$24:$BE$123)-5))*$B$27*$B$26,"")</f>
        <v/>
      </c>
      <c r="Q29" s="110" t="str">
        <f>IF(AND($Z$11,COUNT($BE$24:$BE$123)&gt;5),$B$35,"")</f>
        <v/>
      </c>
      <c r="R29" s="110" t="str">
        <f>IF(AND($Z$11,COUNT($BE$24:$BE$123)&gt;5),INDEX($BL$24:$BL$123,(COUNT($BE$24:$BE$123)-5)),"")</f>
        <v/>
      </c>
      <c r="S29" s="110" t="str">
        <f>IF(AND($Z$11,COUNT($BE$24:$BE$123)&gt;5),INDEX($BM$24:$BM$123,(COUNT($BE$24:$BE$123)-5)),"")</f>
        <v/>
      </c>
      <c r="T29" s="110" t="str">
        <f>IF(AND($Z$11,COUNT($BE$24:$BE$123)&gt;5),INDEX($BN$24:$BN$123,(COUNT($BE$24:$BE$123)-5)),"")</f>
        <v/>
      </c>
      <c r="W29" s="12"/>
      <c r="X29" s="12"/>
      <c r="Y29" s="12"/>
      <c r="Z29" s="12"/>
      <c r="AA29" s="12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D29" s="12">
        <f>6</f>
        <v>6</v>
      </c>
      <c r="BE29" s="32"/>
      <c r="BF29" s="32"/>
      <c r="BG29" s="32" t="str">
        <f>IF(BO29="OK",SUM($BE$24:BE29)-BE29,"")</f>
        <v/>
      </c>
      <c r="BH29" s="32" t="str">
        <f t="shared" si="0"/>
        <v/>
      </c>
      <c r="BI29" s="32" t="str">
        <f>IF(AND(BO29="OK",$Z$7),MAX('Wind Load Check'!$B$29,1.1+0.055*('Wind Load Check'!$B$23/'Wind Load Check'!$B$8)/EXP(ABS(LN((0.6*BF29/'Wind Load Check'!$B$8)*(1-0.011*'Wind Load Check'!$B$23/'Wind Load Check'!$B$8)))^(1.7-0.0013*('Wind Load Check'!$B$23/BF29)^2))),"")</f>
        <v/>
      </c>
      <c r="BJ29" s="32" t="str">
        <f t="shared" si="1"/>
        <v/>
      </c>
      <c r="BK29" s="32" t="str">
        <f>IF(AND(BO29="OK",$Z$7),BJ29*'Wind Load Check'!$B$26*'Wind Load Check'!$B$27*BI29*'Wind Load Check'!$B$35,"")</f>
        <v/>
      </c>
      <c r="BL29" s="32" t="str">
        <f t="shared" si="2"/>
        <v/>
      </c>
      <c r="BM29" s="32" t="str">
        <f>IF(AND(BO29="OK",ISNUMBER('Uplift Check'!$B$38)),(BG29+BH29)/2+'Uplift Check'!$B$38,"")</f>
        <v/>
      </c>
      <c r="BN29" s="32" t="str">
        <f t="shared" si="3"/>
        <v/>
      </c>
      <c r="BO29" s="32" t="str">
        <f t="shared" si="7"/>
        <v/>
      </c>
      <c r="BP29" s="32" t="str">
        <f t="shared" si="4"/>
        <v/>
      </c>
      <c r="BQ29" s="32" t="str">
        <f t="shared" si="5"/>
        <v/>
      </c>
      <c r="BR29" s="32" t="str">
        <f t="shared" si="6"/>
        <v/>
      </c>
    </row>
    <row r="30" spans="1:70" ht="22.05" customHeight="1">
      <c r="A30" s="28" t="s">
        <v>45</v>
      </c>
      <c r="B30" s="29" t="str">
        <f>IF(AND(COUNT(B7:B8,B23)=3,MIN(B7:B8,B23)&gt;0),IF(B23&lt;50,B23/1.5+2*B7,B7),"")</f>
        <v/>
      </c>
      <c r="C30" s="28" t="s">
        <v>6</v>
      </c>
      <c r="D30" s="28" t="str">
        <f>IF(ISNUMBER(B30),IF(B23&lt;50,"L0.5p = Hp/1.5 + 2B","L0.5p = B"),"Enter positive B, D and Hp")</f>
        <v>Enter positive B, D and Hp</v>
      </c>
      <c r="E30" s="28" t="str">
        <f>IF(ISNUMBER(B30),IF(B23&lt;50,"Section 5.2: Eq. 5-3","Section 5.2: Eq. 5-1"),"")</f>
        <v/>
      </c>
      <c r="F30" s="12"/>
      <c r="G30" s="12"/>
      <c r="H30" s="109" t="str">
        <f>IF(AND($Z$11,COUNT($BE$24:$BE$123)&gt;6),INDEX($BD$24:$BD$123,(COUNT($BE$24:$BE$123)-6)),"")</f>
        <v/>
      </c>
      <c r="I30" s="110" t="str">
        <f>IF(AND($Z$11,COUNT($BE$24:$BE$123)&gt;6),INDEX($BH$24:$BH$123,(COUNT($BE$24:$BE$123)-6))+'Uplift Check'!$B$25,"")</f>
        <v/>
      </c>
      <c r="J30" s="110" t="str">
        <f>IF(AND($Z$11,COUNT($BE$24:$BE$123)&gt;6),INDEX($BF$24:$BF$123,(COUNT($BE$24:$BE$123)-6)),"")</f>
        <v/>
      </c>
      <c r="K30" s="110" t="str">
        <f>IF(AND($Z$11,COUNT($BE$24:$BE$123)&gt;6),$B$8,"")</f>
        <v/>
      </c>
      <c r="L30" s="110" t="str">
        <f>IF(AND($Z$11,COUNT($BE$24:$BE$123)&gt;6),INDEX($BI$24:$BI$123,(COUNT($BE$24:$BE$123)-6)),"")</f>
        <v/>
      </c>
      <c r="M30" s="110" t="str">
        <f>IF(AND($Z$11,COUNT($BE$24:$BE$123)&gt;6),INDEX($BJ$24:$BJ$123,(COUNT($BE$24:$BE$123)-6)),"")</f>
        <v/>
      </c>
      <c r="N30" s="110" t="str">
        <f>IF(AND($Z$11,COUNT($BE$24:$BE$123)&gt;6),$B$27,"")</f>
        <v/>
      </c>
      <c r="O30" s="110" t="str">
        <f>IF(AND($Z$11,COUNT($BE$24:$BE$123)&gt;6),$B$26,"")</f>
        <v/>
      </c>
      <c r="P30" s="110" t="str">
        <f>IF(AND($Z$11,COUNT($BE$24:$BE$123)&gt;6),INDEX($BJ$24:$BJ$123,(COUNT($BE$24:$BE$123)-6))*$B$27*$B$26,"")</f>
        <v/>
      </c>
      <c r="Q30" s="110" t="str">
        <f>IF(AND($Z$11,COUNT($BE$24:$BE$123)&gt;6),$B$35,"")</f>
        <v/>
      </c>
      <c r="R30" s="110" t="str">
        <f>IF(AND($Z$11,COUNT($BE$24:$BE$123)&gt;6),INDEX($BL$24:$BL$123,(COUNT($BE$24:$BE$123)-6)),"")</f>
        <v/>
      </c>
      <c r="S30" s="110" t="str">
        <f>IF(AND($Z$11,COUNT($BE$24:$BE$123)&gt;6),INDEX($BM$24:$BM$123,(COUNT($BE$24:$BE$123)-6)),"")</f>
        <v/>
      </c>
      <c r="T30" s="110" t="str">
        <f>IF(AND($Z$11,COUNT($BE$24:$BE$123)&gt;6),INDEX($BN$24:$BN$123,(COUNT($BE$24:$BE$123)-6)),"")</f>
        <v/>
      </c>
      <c r="W30" s="12"/>
      <c r="X30" s="12"/>
      <c r="Y30" s="12"/>
      <c r="Z30" s="12"/>
      <c r="AA30" s="12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D30" s="12">
        <f>7</f>
        <v>7</v>
      </c>
      <c r="BE30" s="32"/>
      <c r="BF30" s="32"/>
      <c r="BG30" s="32" t="str">
        <f>IF(BO30="OK",SUM($BE$24:BE30)-BE30,"")</f>
        <v/>
      </c>
      <c r="BH30" s="32" t="str">
        <f t="shared" si="0"/>
        <v/>
      </c>
      <c r="BI30" s="32" t="str">
        <f>IF(AND(BO30="OK",$Z$7),MAX('Wind Load Check'!$B$29,1.1+0.055*('Wind Load Check'!$B$23/'Wind Load Check'!$B$8)/EXP(ABS(LN((0.6*BF30/'Wind Load Check'!$B$8)*(1-0.011*'Wind Load Check'!$B$23/'Wind Load Check'!$B$8)))^(1.7-0.0013*('Wind Load Check'!$B$23/BF30)^2))),"")</f>
        <v/>
      </c>
      <c r="BJ30" s="32" t="str">
        <f t="shared" si="1"/>
        <v/>
      </c>
      <c r="BK30" s="32" t="str">
        <f>IF(AND(BO30="OK",$Z$7),BJ30*'Wind Load Check'!$B$26*'Wind Load Check'!$B$27*BI30*'Wind Load Check'!$B$35,"")</f>
        <v/>
      </c>
      <c r="BL30" s="32" t="str">
        <f t="shared" si="2"/>
        <v/>
      </c>
      <c r="BM30" s="32" t="str">
        <f>IF(AND(BO30="OK",ISNUMBER('Uplift Check'!$B$38)),(BG30+BH30)/2+'Uplift Check'!$B$38,"")</f>
        <v/>
      </c>
      <c r="BN30" s="32" t="str">
        <f t="shared" si="3"/>
        <v/>
      </c>
      <c r="BO30" s="32" t="str">
        <f t="shared" si="7"/>
        <v/>
      </c>
      <c r="BP30" s="32" t="str">
        <f t="shared" si="4"/>
        <v/>
      </c>
      <c r="BQ30" s="32" t="str">
        <f t="shared" si="5"/>
        <v/>
      </c>
      <c r="BR30" s="32" t="str">
        <f t="shared" si="6"/>
        <v/>
      </c>
    </row>
    <row r="31" spans="1:70" ht="22.05" customHeight="1">
      <c r="A31" s="28" t="s">
        <v>46</v>
      </c>
      <c r="B31" s="30" t="str">
        <f>IF(ISNUMBER(B30),EXP(0.17-0.07*B30^0.32),"")</f>
        <v/>
      </c>
      <c r="C31" s="28" t="s">
        <v>11</v>
      </c>
      <c r="D31" s="28" t="s">
        <v>47</v>
      </c>
      <c r="E31" s="28" t="s">
        <v>48</v>
      </c>
      <c r="F31" s="12"/>
      <c r="G31" s="12"/>
      <c r="H31" s="109" t="str">
        <f>IF(AND($Z$11,COUNT($BE$24:$BE$123)&gt;7),INDEX($BD$24:$BD$123,(COUNT($BE$24:$BE$123)-7)),"")</f>
        <v/>
      </c>
      <c r="I31" s="110" t="str">
        <f>IF(AND($Z$11,COUNT($BE$24:$BE$123)&gt;7),INDEX($BH$24:$BH$123,(COUNT($BE$24:$BE$123)-7))+'Uplift Check'!$B$25,"")</f>
        <v/>
      </c>
      <c r="J31" s="110" t="str">
        <f>IF(AND($Z$11,COUNT($BE$24:$BE$123)&gt;7),INDEX($BF$24:$BF$123,(COUNT($BE$24:$BE$123)-7)),"")</f>
        <v/>
      </c>
      <c r="K31" s="110" t="str">
        <f>IF(AND($Z$11,COUNT($BE$24:$BE$123)&gt;7),$B$8,"")</f>
        <v/>
      </c>
      <c r="L31" s="110" t="str">
        <f>IF(AND($Z$11,COUNT($BE$24:$BE$123)&gt;7),INDEX($BI$24:$BI$123,(COUNT($BE$24:$BE$123)-7)),"")</f>
        <v/>
      </c>
      <c r="M31" s="110" t="str">
        <f>IF(AND($Z$11,COUNT($BE$24:$BE$123)&gt;7),INDEX($BJ$24:$BJ$123,(COUNT($BE$24:$BE$123)-7)),"")</f>
        <v/>
      </c>
      <c r="N31" s="110" t="str">
        <f>IF(AND($Z$11,COUNT($BE$24:$BE$123)&gt;7),$B$27,"")</f>
        <v/>
      </c>
      <c r="O31" s="110" t="str">
        <f>IF(AND($Z$11,COUNT($BE$24:$BE$123)&gt;7),$B$26,"")</f>
        <v/>
      </c>
      <c r="P31" s="110" t="str">
        <f>IF(AND($Z$11,COUNT($BE$24:$BE$123)&gt;7),INDEX($BJ$24:$BJ$123,(COUNT($BE$24:$BE$123)-7))*$B$27*$B$26,"")</f>
        <v/>
      </c>
      <c r="Q31" s="110" t="str">
        <f>IF(AND($Z$11,COUNT($BE$24:$BE$123)&gt;7),$B$35,"")</f>
        <v/>
      </c>
      <c r="R31" s="110" t="str">
        <f>IF(AND($Z$11,COUNT($BE$24:$BE$123)&gt;7),INDEX($BL$24:$BL$123,(COUNT($BE$24:$BE$123)-7)),"")</f>
        <v/>
      </c>
      <c r="S31" s="110" t="str">
        <f>IF(AND($Z$11,COUNT($BE$24:$BE$123)&gt;7),INDEX($BM$24:$BM$123,(COUNT($BE$24:$BE$123)-7)),"")</f>
        <v/>
      </c>
      <c r="T31" s="110" t="str">
        <f>IF(AND($Z$11,COUNT($BE$24:$BE$123)&gt;7),INDEX($BN$24:$BN$123,(COUNT($BE$24:$BE$123)-7)),"")</f>
        <v/>
      </c>
      <c r="W31" s="12"/>
      <c r="X31" s="12"/>
      <c r="Y31" s="12"/>
      <c r="Z31" s="12"/>
      <c r="AA31" s="12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D31" s="12">
        <f>8</f>
        <v>8</v>
      </c>
      <c r="BE31" s="32"/>
      <c r="BF31" s="32"/>
      <c r="BG31" s="32" t="str">
        <f>IF(BO31="OK",SUM($BE$24:BE31)-BE31,"")</f>
        <v/>
      </c>
      <c r="BH31" s="32" t="str">
        <f t="shared" si="0"/>
        <v/>
      </c>
      <c r="BI31" s="32" t="str">
        <f>IF(AND(BO31="OK",$Z$7),MAX('Wind Load Check'!$B$29,1.1+0.055*('Wind Load Check'!$B$23/'Wind Load Check'!$B$8)/EXP(ABS(LN((0.6*BF31/'Wind Load Check'!$B$8)*(1-0.011*'Wind Load Check'!$B$23/'Wind Load Check'!$B$8)))^(1.7-0.0013*('Wind Load Check'!$B$23/BF31)^2))),"")</f>
        <v/>
      </c>
      <c r="BJ31" s="32" t="str">
        <f t="shared" si="1"/>
        <v/>
      </c>
      <c r="BK31" s="32" t="str">
        <f>IF(AND(BO31="OK",$Z$7),BJ31*'Wind Load Check'!$B$26*'Wind Load Check'!$B$27*BI31*'Wind Load Check'!$B$35,"")</f>
        <v/>
      </c>
      <c r="BL31" s="32" t="str">
        <f t="shared" si="2"/>
        <v/>
      </c>
      <c r="BM31" s="32" t="str">
        <f>IF(AND(BO31="OK",ISNUMBER('Uplift Check'!$B$38)),(BG31+BH31)/2+'Uplift Check'!$B$38,"")</f>
        <v/>
      </c>
      <c r="BN31" s="32" t="str">
        <f t="shared" si="3"/>
        <v/>
      </c>
      <c r="BO31" s="32" t="str">
        <f t="shared" si="7"/>
        <v/>
      </c>
      <c r="BP31" s="32" t="str">
        <f t="shared" si="4"/>
        <v/>
      </c>
      <c r="BQ31" s="32" t="str">
        <f t="shared" si="5"/>
        <v/>
      </c>
      <c r="BR31" s="32" t="str">
        <f t="shared" si="6"/>
        <v/>
      </c>
    </row>
    <row r="32" spans="1:70" ht="31.95" customHeight="1">
      <c r="A32" s="28" t="s">
        <v>503</v>
      </c>
      <c r="B32" s="30" t="str">
        <f>IF(AND(COUNT(B7:B8,B23)=3,MIN(B7:B8,B23)&gt;0),B23/B8,"")</f>
        <v/>
      </c>
      <c r="C32" s="28" t="s">
        <v>18</v>
      </c>
      <c r="D32" s="28" t="str">
        <f>IF(ISNUMBER(B32),"Hp/D = "&amp;TEXT(B32,"0.00"),"Check Hp and D")</f>
        <v>Check Hp and D</v>
      </c>
      <c r="E32" s="28" t="s">
        <v>512</v>
      </c>
      <c r="F32" s="12"/>
      <c r="G32" s="12"/>
      <c r="H32" s="109" t="str">
        <f>IF(AND($Z$11,COUNT($BE$24:$BE$123)&gt;8),INDEX($BD$24:$BD$123,(COUNT($BE$24:$BE$123)-8)),"")</f>
        <v/>
      </c>
      <c r="I32" s="110" t="str">
        <f>IF(AND($Z$11,COUNT($BE$24:$BE$123)&gt;8),INDEX($BH$24:$BH$123,(COUNT($BE$24:$BE$123)-8))+'Uplift Check'!$B$25,"")</f>
        <v/>
      </c>
      <c r="J32" s="110" t="str">
        <f>IF(AND($Z$11,COUNT($BE$24:$BE$123)&gt;8),INDEX($BF$24:$BF$123,(COUNT($BE$24:$BE$123)-8)),"")</f>
        <v/>
      </c>
      <c r="K32" s="110" t="str">
        <f>IF(AND($Z$11,COUNT($BE$24:$BE$123)&gt;8),$B$8,"")</f>
        <v/>
      </c>
      <c r="L32" s="110" t="str">
        <f>IF(AND($Z$11,COUNT($BE$24:$BE$123)&gt;8),INDEX($BI$24:$BI$123,(COUNT($BE$24:$BE$123)-8)),"")</f>
        <v/>
      </c>
      <c r="M32" s="110" t="str">
        <f>IF(AND($Z$11,COUNT($BE$24:$BE$123)&gt;8),INDEX($BJ$24:$BJ$123,(COUNT($BE$24:$BE$123)-8)),"")</f>
        <v/>
      </c>
      <c r="N32" s="110" t="str">
        <f>IF(AND($Z$11,COUNT($BE$24:$BE$123)&gt;8),$B$27,"")</f>
        <v/>
      </c>
      <c r="O32" s="110" t="str">
        <f>IF(AND($Z$11,COUNT($BE$24:$BE$123)&gt;8),$B$26,"")</f>
        <v/>
      </c>
      <c r="P32" s="110" t="str">
        <f>IF(AND($Z$11,COUNT($BE$24:$BE$123)&gt;8),INDEX($BJ$24:$BJ$123,(COUNT($BE$24:$BE$123)-8))*$B$27*$B$26,"")</f>
        <v/>
      </c>
      <c r="Q32" s="110" t="str">
        <f>IF(AND($Z$11,COUNT($BE$24:$BE$123)&gt;8),$B$35,"")</f>
        <v/>
      </c>
      <c r="R32" s="110" t="str">
        <f>IF(AND($Z$11,COUNT($BE$24:$BE$123)&gt;8),INDEX($BL$24:$BL$123,(COUNT($BE$24:$BE$123)-8)),"")</f>
        <v/>
      </c>
      <c r="S32" s="110" t="str">
        <f>IF(AND($Z$11,COUNT($BE$24:$BE$123)&gt;8),INDEX($BM$24:$BM$123,(COUNT($BE$24:$BE$123)-8)),"")</f>
        <v/>
      </c>
      <c r="T32" s="110" t="str">
        <f>IF(AND($Z$11,COUNT($BE$24:$BE$123)&gt;8),INDEX($BN$24:$BN$123,(COUNT($BE$24:$BE$123)-8)),"")</f>
        <v/>
      </c>
      <c r="W32" s="12"/>
      <c r="X32" s="12"/>
      <c r="Y32" s="12"/>
      <c r="Z32" s="12"/>
      <c r="AA32" s="12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D32" s="12">
        <f>9</f>
        <v>9</v>
      </c>
      <c r="BE32" s="32"/>
      <c r="BF32" s="32"/>
      <c r="BG32" s="32" t="str">
        <f>IF(BO32="OK",SUM($BE$24:BE32)-BE32,"")</f>
        <v/>
      </c>
      <c r="BH32" s="32" t="str">
        <f t="shared" si="0"/>
        <v/>
      </c>
      <c r="BI32" s="32" t="str">
        <f>IF(AND(BO32="OK",$Z$7),MAX('Wind Load Check'!$B$29,1.1+0.055*('Wind Load Check'!$B$23/'Wind Load Check'!$B$8)/EXP(ABS(LN((0.6*BF32/'Wind Load Check'!$B$8)*(1-0.011*'Wind Load Check'!$B$23/'Wind Load Check'!$B$8)))^(1.7-0.0013*('Wind Load Check'!$B$23/BF32)^2))),"")</f>
        <v/>
      </c>
      <c r="BJ32" s="32" t="str">
        <f t="shared" si="1"/>
        <v/>
      </c>
      <c r="BK32" s="32" t="str">
        <f>IF(AND(BO32="OK",$Z$7),BJ32*'Wind Load Check'!$B$26*'Wind Load Check'!$B$27*BI32*'Wind Load Check'!$B$35,"")</f>
        <v/>
      </c>
      <c r="BL32" s="32" t="str">
        <f t="shared" si="2"/>
        <v/>
      </c>
      <c r="BM32" s="32" t="str">
        <f>IF(AND(BO32="OK",ISNUMBER('Uplift Check'!$B$38)),(BG32+BH32)/2+'Uplift Check'!$B$38,"")</f>
        <v/>
      </c>
      <c r="BN32" s="32" t="str">
        <f t="shared" si="3"/>
        <v/>
      </c>
      <c r="BO32" s="32" t="str">
        <f t="shared" si="7"/>
        <v/>
      </c>
      <c r="BP32" s="32" t="str">
        <f t="shared" si="4"/>
        <v/>
      </c>
      <c r="BQ32" s="32" t="str">
        <f t="shared" si="5"/>
        <v/>
      </c>
      <c r="BR32" s="32" t="str">
        <f t="shared" si="6"/>
        <v/>
      </c>
    </row>
    <row r="33" spans="1:70" ht="31.95" customHeight="1">
      <c r="A33" s="28" t="s">
        <v>49</v>
      </c>
      <c r="B33" s="33" t="str">
        <f>IF(ISNUMBER(B32),IF(B32&lt;4,0.03,IF(B32&lt;=5,0.024,IF(B32&lt;=6,0.02,IF(B32&lt;=7,0.017,0.015)))),"")</f>
        <v/>
      </c>
      <c r="C33" s="28" t="s">
        <v>18</v>
      </c>
      <c r="D33" s="28" t="str">
        <f>IF(ISNUMBER(B33),"RC damping = "&amp;TEXT(B33,"0.000")&amp;" (no interpolation)","Check inputs")</f>
        <v>Check inputs</v>
      </c>
      <c r="E33" s="28" t="s">
        <v>204</v>
      </c>
      <c r="F33" s="12"/>
      <c r="G33" s="12"/>
      <c r="H33" s="109" t="str">
        <f>IF(AND($Z$11,COUNT($BE$24:$BE$123)&gt;9),INDEX($BD$24:$BD$123,(COUNT($BE$24:$BE$123)-9)),"")</f>
        <v/>
      </c>
      <c r="I33" s="110" t="str">
        <f>IF(AND($Z$11,COUNT($BE$24:$BE$123)&gt;9),INDEX($BH$24:$BH$123,(COUNT($BE$24:$BE$123)-9))+'Uplift Check'!$B$25,"")</f>
        <v/>
      </c>
      <c r="J33" s="110" t="str">
        <f>IF(AND($Z$11,COUNT($BE$24:$BE$123)&gt;9),INDEX($BF$24:$BF$123,(COUNT($BE$24:$BE$123)-9)),"")</f>
        <v/>
      </c>
      <c r="K33" s="110" t="str">
        <f>IF(AND($Z$11,COUNT($BE$24:$BE$123)&gt;9),$B$8,"")</f>
        <v/>
      </c>
      <c r="L33" s="110" t="str">
        <f>IF(AND($Z$11,COUNT($BE$24:$BE$123)&gt;9),INDEX($BI$24:$BI$123,(COUNT($BE$24:$BE$123)-9)),"")</f>
        <v/>
      </c>
      <c r="M33" s="110" t="str">
        <f>IF(AND($Z$11,COUNT($BE$24:$BE$123)&gt;9),INDEX($BJ$24:$BJ$123,(COUNT($BE$24:$BE$123)-9)),"")</f>
        <v/>
      </c>
      <c r="N33" s="110" t="str">
        <f>IF(AND($Z$11,COUNT($BE$24:$BE$123)&gt;9),$B$27,"")</f>
        <v/>
      </c>
      <c r="O33" s="110" t="str">
        <f>IF(AND($Z$11,COUNT($BE$24:$BE$123)&gt;9),$B$26,"")</f>
        <v/>
      </c>
      <c r="P33" s="110" t="str">
        <f>IF(AND($Z$11,COUNT($BE$24:$BE$123)&gt;9),INDEX($BJ$24:$BJ$123,(COUNT($BE$24:$BE$123)-9))*$B$27*$B$26,"")</f>
        <v/>
      </c>
      <c r="Q33" s="110" t="str">
        <f>IF(AND($Z$11,COUNT($BE$24:$BE$123)&gt;9),$B$35,"")</f>
        <v/>
      </c>
      <c r="R33" s="110" t="str">
        <f>IF(AND($Z$11,COUNT($BE$24:$BE$123)&gt;9),INDEX($BL$24:$BL$123,(COUNT($BE$24:$BE$123)-9)),"")</f>
        <v/>
      </c>
      <c r="S33" s="110" t="str">
        <f>IF(AND($Z$11,COUNT($BE$24:$BE$123)&gt;9),INDEX($BM$24:$BM$123,(COUNT($BE$24:$BE$123)-9)),"")</f>
        <v/>
      </c>
      <c r="T33" s="110" t="str">
        <f>IF(AND($Z$11,COUNT($BE$24:$BE$123)&gt;9),INDEX($BN$24:$BN$123,(COUNT($BE$24:$BE$123)-9)),"")</f>
        <v/>
      </c>
      <c r="W33" s="12"/>
      <c r="X33" s="12"/>
      <c r="Y33" s="12"/>
      <c r="Z33" s="12"/>
      <c r="AA33" s="12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D33" s="12">
        <f>10</f>
        <v>10</v>
      </c>
      <c r="BE33" s="32"/>
      <c r="BF33" s="32"/>
      <c r="BG33" s="32" t="str">
        <f>IF(BO33="OK",SUM($BE$24:BE33)-BE33,"")</f>
        <v/>
      </c>
      <c r="BH33" s="32" t="str">
        <f t="shared" si="0"/>
        <v/>
      </c>
      <c r="BI33" s="32" t="str">
        <f>IF(AND(BO33="OK",$Z$7),MAX('Wind Load Check'!$B$29,1.1+0.055*('Wind Load Check'!$B$23/'Wind Load Check'!$B$8)/EXP(ABS(LN((0.6*BF33/'Wind Load Check'!$B$8)*(1-0.011*'Wind Load Check'!$B$23/'Wind Load Check'!$B$8)))^(1.7-0.0013*('Wind Load Check'!$B$23/BF33)^2))),"")</f>
        <v/>
      </c>
      <c r="BJ33" s="32" t="str">
        <f t="shared" si="1"/>
        <v/>
      </c>
      <c r="BK33" s="32" t="str">
        <f>IF(AND(BO33="OK",$Z$7),BJ33*'Wind Load Check'!$B$26*'Wind Load Check'!$B$27*BI33*'Wind Load Check'!$B$35,"")</f>
        <v/>
      </c>
      <c r="BL33" s="32" t="str">
        <f t="shared" si="2"/>
        <v/>
      </c>
      <c r="BM33" s="32" t="str">
        <f>IF(AND(BO33="OK",ISNUMBER('Uplift Check'!$B$38)),(BG33+BH33)/2+'Uplift Check'!$B$38,"")</f>
        <v/>
      </c>
      <c r="BN33" s="32" t="str">
        <f t="shared" si="3"/>
        <v/>
      </c>
      <c r="BO33" s="32" t="str">
        <f t="shared" si="7"/>
        <v/>
      </c>
      <c r="BP33" s="32" t="str">
        <f t="shared" si="4"/>
        <v/>
      </c>
      <c r="BQ33" s="32" t="str">
        <f t="shared" si="5"/>
        <v/>
      </c>
      <c r="BR33" s="32" t="str">
        <f t="shared" si="6"/>
        <v/>
      </c>
    </row>
    <row r="34" spans="1:70" ht="36" customHeight="1">
      <c r="A34" s="28" t="s">
        <v>196</v>
      </c>
      <c r="B34" s="30" t="str">
        <f>IF(AND(ISNUMBER(B23),B23&gt;0,ISNUMBER(B31)),IF(B23&lt;50,1.1*B31,IF(AND(ISNUMBER(B24),B24&gt;0,ISNUMBER(B33),B33&gt;0),0.5+SQRT((B31-0.5)^2+0.25/(SQRT(B19)*B23*B24^2*B33)),"")),"")</f>
        <v/>
      </c>
      <c r="C34" s="28" t="s">
        <v>11</v>
      </c>
      <c r="D34" s="28" t="str">
        <f>IF(ISNUMBER(B34),IF(B23&lt;50,"Sq = 1.1 x Ss","Sq,h = 0.5 + SQRT[(Ss-0.5)^2 + 0.25/(B^0.5 Hp Nx^2 xi)]"),"Complete wind inputs")</f>
        <v>Complete wind inputs</v>
      </c>
      <c r="E34" s="28" t="str">
        <f>IF(ISNUMBER(B34),IF(B23&lt;50,"Eq. 5-3 (Hp &lt; 50 m)","Eq. 5-1 (Hp &gt;= 50 m)"),"")</f>
        <v/>
      </c>
      <c r="F34" s="12"/>
      <c r="G34" s="12"/>
      <c r="H34" s="109" t="str">
        <f>IF(AND($Z$11,COUNT($BE$24:$BE$123)&gt;10),INDEX($BD$24:$BD$123,(COUNT($BE$24:$BE$123)-10)),"")</f>
        <v/>
      </c>
      <c r="I34" s="110" t="str">
        <f>IF(AND($Z$11,COUNT($BE$24:$BE$123)&gt;10),INDEX($BH$24:$BH$123,(COUNT($BE$24:$BE$123)-10))+'Uplift Check'!$B$25,"")</f>
        <v/>
      </c>
      <c r="J34" s="110" t="str">
        <f>IF(AND($Z$11,COUNT($BE$24:$BE$123)&gt;10),INDEX($BF$24:$BF$123,(COUNT($BE$24:$BE$123)-10)),"")</f>
        <v/>
      </c>
      <c r="K34" s="110" t="str">
        <f>IF(AND($Z$11,COUNT($BE$24:$BE$123)&gt;10),$B$8,"")</f>
        <v/>
      </c>
      <c r="L34" s="110" t="str">
        <f>IF(AND($Z$11,COUNT($BE$24:$BE$123)&gt;10),INDEX($BI$24:$BI$123,(COUNT($BE$24:$BE$123)-10)),"")</f>
        <v/>
      </c>
      <c r="M34" s="110" t="str">
        <f>IF(AND($Z$11,COUNT($BE$24:$BE$123)&gt;10),INDEX($BJ$24:$BJ$123,(COUNT($BE$24:$BE$123)-10)),"")</f>
        <v/>
      </c>
      <c r="N34" s="110" t="str">
        <f>IF(AND($Z$11,COUNT($BE$24:$BE$123)&gt;10),$B$27,"")</f>
        <v/>
      </c>
      <c r="O34" s="110" t="str">
        <f>IF(AND($Z$11,COUNT($BE$24:$BE$123)&gt;10),$B$26,"")</f>
        <v/>
      </c>
      <c r="P34" s="110" t="str">
        <f>IF(AND($Z$11,COUNT($BE$24:$BE$123)&gt;10),INDEX($BJ$24:$BJ$123,(COUNT($BE$24:$BE$123)-10))*$B$27*$B$26,"")</f>
        <v/>
      </c>
      <c r="Q34" s="110" t="str">
        <f>IF(AND($Z$11,COUNT($BE$24:$BE$123)&gt;10),$B$35,"")</f>
        <v/>
      </c>
      <c r="R34" s="110" t="str">
        <f>IF(AND($Z$11,COUNT($BE$24:$BE$123)&gt;10),INDEX($BL$24:$BL$123,(COUNT($BE$24:$BE$123)-10)),"")</f>
        <v/>
      </c>
      <c r="S34" s="110" t="str">
        <f>IF(AND($Z$11,COUNT($BE$24:$BE$123)&gt;10),INDEX($BM$24:$BM$123,(COUNT($BE$24:$BE$123)-10)),"")</f>
        <v/>
      </c>
      <c r="T34" s="110" t="str">
        <f>IF(AND($Z$11,COUNT($BE$24:$BE$123)&gt;10),INDEX($BN$24:$BN$123,(COUNT($BE$24:$BE$123)-10)),"")</f>
        <v/>
      </c>
      <c r="W34" s="12"/>
      <c r="X34" s="12"/>
      <c r="Y34" s="12"/>
      <c r="Z34" s="12"/>
      <c r="AA34" s="12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D34" s="12">
        <f>11</f>
        <v>11</v>
      </c>
      <c r="BE34" s="32"/>
      <c r="BF34" s="32"/>
      <c r="BG34" s="32" t="str">
        <f>IF(BO34="OK",SUM($BE$24:BE34)-BE34,"")</f>
        <v/>
      </c>
      <c r="BH34" s="32" t="str">
        <f t="shared" si="0"/>
        <v/>
      </c>
      <c r="BI34" s="32" t="str">
        <f>IF(AND(BO34="OK",$Z$7),MAX('Wind Load Check'!$B$29,1.1+0.055*('Wind Load Check'!$B$23/'Wind Load Check'!$B$8)/EXP(ABS(LN((0.6*BF34/'Wind Load Check'!$B$8)*(1-0.011*'Wind Load Check'!$B$23/'Wind Load Check'!$B$8)))^(1.7-0.0013*('Wind Load Check'!$B$23/BF34)^2))),"")</f>
        <v/>
      </c>
      <c r="BJ34" s="32" t="str">
        <f t="shared" si="1"/>
        <v/>
      </c>
      <c r="BK34" s="32" t="str">
        <f>IF(AND(BO34="OK",$Z$7),BJ34*'Wind Load Check'!$B$26*'Wind Load Check'!$B$27*BI34*'Wind Load Check'!$B$35,"")</f>
        <v/>
      </c>
      <c r="BL34" s="32" t="str">
        <f t="shared" si="2"/>
        <v/>
      </c>
      <c r="BM34" s="32" t="str">
        <f>IF(AND(BO34="OK",ISNUMBER('Uplift Check'!$B$38)),(BG34+BH34)/2+'Uplift Check'!$B$38,"")</f>
        <v/>
      </c>
      <c r="BN34" s="32" t="str">
        <f t="shared" si="3"/>
        <v/>
      </c>
      <c r="BO34" s="32" t="str">
        <f t="shared" si="7"/>
        <v/>
      </c>
      <c r="BP34" s="32" t="str">
        <f t="shared" si="4"/>
        <v/>
      </c>
      <c r="BQ34" s="32" t="str">
        <f t="shared" si="5"/>
        <v/>
      </c>
      <c r="BR34" s="32" t="str">
        <f t="shared" si="6"/>
        <v/>
      </c>
    </row>
    <row r="35" spans="1:70" ht="42" customHeight="1">
      <c r="A35" s="28" t="s">
        <v>356</v>
      </c>
      <c r="B35" s="30" t="str">
        <f>IF(ISNUMBER(B34),B34,"")</f>
        <v/>
      </c>
      <c r="C35" s="28" t="s">
        <v>11</v>
      </c>
      <c r="D35" s="28" t="str">
        <f>IF(ISNUMBER(B35),IF(B23&lt;50,"Eq. 5-3: Sq at all heights","Adopt top Sq,h at all heights"),"")</f>
        <v/>
      </c>
      <c r="E35" s="28" t="s">
        <v>357</v>
      </c>
      <c r="F35" s="12"/>
      <c r="G35" s="12"/>
      <c r="H35" s="109" t="str">
        <f>IF(AND($Z$11,COUNT($BE$24:$BE$123)&gt;11),INDEX($BD$24:$BD$123,(COUNT($BE$24:$BE$123)-11)),"")</f>
        <v/>
      </c>
      <c r="I35" s="110" t="str">
        <f>IF(AND($Z$11,COUNT($BE$24:$BE$123)&gt;11),INDEX($BH$24:$BH$123,(COUNT($BE$24:$BE$123)-11))+'Uplift Check'!$B$25,"")</f>
        <v/>
      </c>
      <c r="J35" s="110" t="str">
        <f>IF(AND($Z$11,COUNT($BE$24:$BE$123)&gt;11),INDEX($BF$24:$BF$123,(COUNT($BE$24:$BE$123)-11)),"")</f>
        <v/>
      </c>
      <c r="K35" s="110" t="str">
        <f>IF(AND($Z$11,COUNT($BE$24:$BE$123)&gt;11),$B$8,"")</f>
        <v/>
      </c>
      <c r="L35" s="110" t="str">
        <f>IF(AND($Z$11,COUNT($BE$24:$BE$123)&gt;11),INDEX($BI$24:$BI$123,(COUNT($BE$24:$BE$123)-11)),"")</f>
        <v/>
      </c>
      <c r="M35" s="110" t="str">
        <f>IF(AND($Z$11,COUNT($BE$24:$BE$123)&gt;11),INDEX($BJ$24:$BJ$123,(COUNT($BE$24:$BE$123)-11)),"")</f>
        <v/>
      </c>
      <c r="N35" s="110" t="str">
        <f>IF(AND($Z$11,COUNT($BE$24:$BE$123)&gt;11),$B$27,"")</f>
        <v/>
      </c>
      <c r="O35" s="110" t="str">
        <f>IF(AND($Z$11,COUNT($BE$24:$BE$123)&gt;11),$B$26,"")</f>
        <v/>
      </c>
      <c r="P35" s="110" t="str">
        <f>IF(AND($Z$11,COUNT($BE$24:$BE$123)&gt;11),INDEX($BJ$24:$BJ$123,(COUNT($BE$24:$BE$123)-11))*$B$27*$B$26,"")</f>
        <v/>
      </c>
      <c r="Q35" s="110" t="str">
        <f>IF(AND($Z$11,COUNT($BE$24:$BE$123)&gt;11),$B$35,"")</f>
        <v/>
      </c>
      <c r="R35" s="110" t="str">
        <f>IF(AND($Z$11,COUNT($BE$24:$BE$123)&gt;11),INDEX($BL$24:$BL$123,(COUNT($BE$24:$BE$123)-11)),"")</f>
        <v/>
      </c>
      <c r="S35" s="110" t="str">
        <f>IF(AND($Z$11,COUNT($BE$24:$BE$123)&gt;11),INDEX($BM$24:$BM$123,(COUNT($BE$24:$BE$123)-11)),"")</f>
        <v/>
      </c>
      <c r="T35" s="110" t="str">
        <f>IF(AND($Z$11,COUNT($BE$24:$BE$123)&gt;11),INDEX($BN$24:$BN$123,(COUNT($BE$24:$BE$123)-11)),"")</f>
        <v/>
      </c>
      <c r="W35" s="12"/>
      <c r="X35" s="12"/>
      <c r="Y35" s="12"/>
      <c r="Z35" s="12"/>
      <c r="AA35" s="12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D35" s="12">
        <f>12</f>
        <v>12</v>
      </c>
      <c r="BE35" s="32"/>
      <c r="BF35" s="32"/>
      <c r="BG35" s="32" t="str">
        <f>IF(BO35="OK",SUM($BE$24:BE35)-BE35,"")</f>
        <v/>
      </c>
      <c r="BH35" s="32" t="str">
        <f t="shared" si="0"/>
        <v/>
      </c>
      <c r="BI35" s="32" t="str">
        <f>IF(AND(BO35="OK",$Z$7),MAX('Wind Load Check'!$B$29,1.1+0.055*('Wind Load Check'!$B$23/'Wind Load Check'!$B$8)/EXP(ABS(LN((0.6*BF35/'Wind Load Check'!$B$8)*(1-0.011*'Wind Load Check'!$B$23/'Wind Load Check'!$B$8)))^(1.7-0.0013*('Wind Load Check'!$B$23/BF35)^2))),"")</f>
        <v/>
      </c>
      <c r="BJ35" s="32" t="str">
        <f t="shared" si="1"/>
        <v/>
      </c>
      <c r="BK35" s="32" t="str">
        <f>IF(AND(BO35="OK",$Z$7),BJ35*'Wind Load Check'!$B$26*'Wind Load Check'!$B$27*BI35*'Wind Load Check'!$B$35,"")</f>
        <v/>
      </c>
      <c r="BL35" s="32" t="str">
        <f t="shared" si="2"/>
        <v/>
      </c>
      <c r="BM35" s="32" t="str">
        <f>IF(AND(BO35="OK",ISNUMBER('Uplift Check'!$B$38)),(BG35+BH35)/2+'Uplift Check'!$B$38,"")</f>
        <v/>
      </c>
      <c r="BN35" s="32" t="str">
        <f t="shared" si="3"/>
        <v/>
      </c>
      <c r="BO35" s="32" t="str">
        <f t="shared" si="7"/>
        <v/>
      </c>
      <c r="BP35" s="32" t="str">
        <f t="shared" si="4"/>
        <v/>
      </c>
      <c r="BQ35" s="32" t="str">
        <f t="shared" si="5"/>
        <v/>
      </c>
      <c r="BR35" s="32" t="str">
        <f t="shared" si="6"/>
        <v/>
      </c>
    </row>
    <row r="36" spans="1:70" ht="31.95" customHeight="1">
      <c r="A36" s="28" t="s">
        <v>505</v>
      </c>
      <c r="B36" s="30" t="str">
        <f>IF(AND(ISNUMBER(B28),ISNUMBER(B29),ISNUMBER(B35)),ROUNDUP(B28*B29*B35,2),"")</f>
        <v/>
      </c>
      <c r="C36" s="28" t="s">
        <v>35</v>
      </c>
      <c r="D36" s="28" t="s">
        <v>535</v>
      </c>
      <c r="E36" s="28" t="s">
        <v>536</v>
      </c>
      <c r="F36" s="12"/>
      <c r="G36" s="12"/>
      <c r="H36" s="109" t="str">
        <f>IF(AND($Z$11,COUNT($BE$24:$BE$123)&gt;12),INDEX($BD$24:$BD$123,(COUNT($BE$24:$BE$123)-12)),"")</f>
        <v/>
      </c>
      <c r="I36" s="110" t="str">
        <f>IF(AND($Z$11,COUNT($BE$24:$BE$123)&gt;12),INDEX($BH$24:$BH$123,(COUNT($BE$24:$BE$123)-12))+'Uplift Check'!$B$25,"")</f>
        <v/>
      </c>
      <c r="J36" s="110" t="str">
        <f>IF(AND($Z$11,COUNT($BE$24:$BE$123)&gt;12),INDEX($BF$24:$BF$123,(COUNT($BE$24:$BE$123)-12)),"")</f>
        <v/>
      </c>
      <c r="K36" s="110" t="str">
        <f>IF(AND($Z$11,COUNT($BE$24:$BE$123)&gt;12),$B$8,"")</f>
        <v/>
      </c>
      <c r="L36" s="110" t="str">
        <f>IF(AND($Z$11,COUNT($BE$24:$BE$123)&gt;12),INDEX($BI$24:$BI$123,(COUNT($BE$24:$BE$123)-12)),"")</f>
        <v/>
      </c>
      <c r="M36" s="110" t="str">
        <f>IF(AND($Z$11,COUNT($BE$24:$BE$123)&gt;12),INDEX($BJ$24:$BJ$123,(COUNT($BE$24:$BE$123)-12)),"")</f>
        <v/>
      </c>
      <c r="N36" s="110" t="str">
        <f>IF(AND($Z$11,COUNT($BE$24:$BE$123)&gt;12),$B$27,"")</f>
        <v/>
      </c>
      <c r="O36" s="110" t="str">
        <f>IF(AND($Z$11,COUNT($BE$24:$BE$123)&gt;12),$B$26,"")</f>
        <v/>
      </c>
      <c r="P36" s="110" t="str">
        <f>IF(AND($Z$11,COUNT($BE$24:$BE$123)&gt;12),INDEX($BJ$24:$BJ$123,(COUNT($BE$24:$BE$123)-12))*$B$27*$B$26,"")</f>
        <v/>
      </c>
      <c r="Q36" s="110" t="str">
        <f>IF(AND($Z$11,COUNT($BE$24:$BE$123)&gt;12),$B$35,"")</f>
        <v/>
      </c>
      <c r="R36" s="110" t="str">
        <f>IF(AND($Z$11,COUNT($BE$24:$BE$123)&gt;12),INDEX($BL$24:$BL$123,(COUNT($BE$24:$BE$123)-12)),"")</f>
        <v/>
      </c>
      <c r="S36" s="110" t="str">
        <f>IF(AND($Z$11,COUNT($BE$24:$BE$123)&gt;12),INDEX($BM$24:$BM$123,(COUNT($BE$24:$BE$123)-12)),"")</f>
        <v/>
      </c>
      <c r="T36" s="110" t="str">
        <f>IF(AND($Z$11,COUNT($BE$24:$BE$123)&gt;12),INDEX($BN$24:$BN$123,(COUNT($BE$24:$BE$123)-12)),"")</f>
        <v/>
      </c>
      <c r="W36" s="12"/>
      <c r="X36" s="12"/>
      <c r="Y36" s="12"/>
      <c r="Z36" s="12"/>
      <c r="AA36" s="12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D36" s="12">
        <f>13</f>
        <v>13</v>
      </c>
      <c r="BE36" s="32"/>
      <c r="BF36" s="32"/>
      <c r="BG36" s="32" t="str">
        <f>IF(BO36="OK",SUM($BE$24:BE36)-BE36,"")</f>
        <v/>
      </c>
      <c r="BH36" s="32" t="str">
        <f t="shared" si="0"/>
        <v/>
      </c>
      <c r="BI36" s="32" t="str">
        <f>IF(AND(BO36="OK",$Z$7),MAX('Wind Load Check'!$B$29,1.1+0.055*('Wind Load Check'!$B$23/'Wind Load Check'!$B$8)/EXP(ABS(LN((0.6*BF36/'Wind Load Check'!$B$8)*(1-0.011*'Wind Load Check'!$B$23/'Wind Load Check'!$B$8)))^(1.7-0.0013*('Wind Load Check'!$B$23/BF36)^2))),"")</f>
        <v/>
      </c>
      <c r="BJ36" s="32" t="str">
        <f t="shared" si="1"/>
        <v/>
      </c>
      <c r="BK36" s="32" t="str">
        <f>IF(AND(BO36="OK",$Z$7),BJ36*'Wind Load Check'!$B$26*'Wind Load Check'!$B$27*BI36*'Wind Load Check'!$B$35,"")</f>
        <v/>
      </c>
      <c r="BL36" s="32" t="str">
        <f t="shared" si="2"/>
        <v/>
      </c>
      <c r="BM36" s="32" t="str">
        <f>IF(AND(BO36="OK",ISNUMBER('Uplift Check'!$B$38)),(BG36+BH36)/2+'Uplift Check'!$B$38,"")</f>
        <v/>
      </c>
      <c r="BN36" s="32" t="str">
        <f t="shared" si="3"/>
        <v/>
      </c>
      <c r="BO36" s="32" t="str">
        <f t="shared" si="7"/>
        <v/>
      </c>
      <c r="BP36" s="32" t="str">
        <f t="shared" si="4"/>
        <v/>
      </c>
      <c r="BQ36" s="32" t="str">
        <f t="shared" si="5"/>
        <v/>
      </c>
      <c r="BR36" s="32" t="str">
        <f t="shared" si="6"/>
        <v/>
      </c>
    </row>
    <row r="37" spans="1:70" ht="22.05" customHeight="1">
      <c r="A37" s="34"/>
      <c r="B37" s="29"/>
      <c r="C37" s="28"/>
      <c r="D37" s="28"/>
      <c r="E37" s="28"/>
      <c r="F37" s="12"/>
      <c r="G37" s="12"/>
      <c r="H37" s="109" t="str">
        <f>IF(AND($Z$11,COUNT($BE$24:$BE$123)&gt;13),INDEX($BD$24:$BD$123,(COUNT($BE$24:$BE$123)-13)),"")</f>
        <v/>
      </c>
      <c r="I37" s="110" t="str">
        <f>IF(AND($Z$11,COUNT($BE$24:$BE$123)&gt;13),INDEX($BH$24:$BH$123,(COUNT($BE$24:$BE$123)-13))+'Uplift Check'!$B$25,"")</f>
        <v/>
      </c>
      <c r="J37" s="110" t="str">
        <f>IF(AND($Z$11,COUNT($BE$24:$BE$123)&gt;13),INDEX($BF$24:$BF$123,(COUNT($BE$24:$BE$123)-13)),"")</f>
        <v/>
      </c>
      <c r="K37" s="110" t="str">
        <f>IF(AND($Z$11,COUNT($BE$24:$BE$123)&gt;13),$B$8,"")</f>
        <v/>
      </c>
      <c r="L37" s="110" t="str">
        <f>IF(AND($Z$11,COUNT($BE$24:$BE$123)&gt;13),INDEX($BI$24:$BI$123,(COUNT($BE$24:$BE$123)-13)),"")</f>
        <v/>
      </c>
      <c r="M37" s="110" t="str">
        <f>IF(AND($Z$11,COUNT($BE$24:$BE$123)&gt;13),INDEX($BJ$24:$BJ$123,(COUNT($BE$24:$BE$123)-13)),"")</f>
        <v/>
      </c>
      <c r="N37" s="110" t="str">
        <f>IF(AND($Z$11,COUNT($BE$24:$BE$123)&gt;13),$B$27,"")</f>
        <v/>
      </c>
      <c r="O37" s="110" t="str">
        <f>IF(AND($Z$11,COUNT($BE$24:$BE$123)&gt;13),$B$26,"")</f>
        <v/>
      </c>
      <c r="P37" s="110" t="str">
        <f>IF(AND($Z$11,COUNT($BE$24:$BE$123)&gt;13),INDEX($BJ$24:$BJ$123,(COUNT($BE$24:$BE$123)-13))*$B$27*$B$26,"")</f>
        <v/>
      </c>
      <c r="Q37" s="110" t="str">
        <f>IF(AND($Z$11,COUNT($BE$24:$BE$123)&gt;13),$B$35,"")</f>
        <v/>
      </c>
      <c r="R37" s="110" t="str">
        <f>IF(AND($Z$11,COUNT($BE$24:$BE$123)&gt;13),INDEX($BL$24:$BL$123,(COUNT($BE$24:$BE$123)-13)),"")</f>
        <v/>
      </c>
      <c r="S37" s="110" t="str">
        <f>IF(AND($Z$11,COUNT($BE$24:$BE$123)&gt;13),INDEX($BM$24:$BM$123,(COUNT($BE$24:$BE$123)-13)),"")</f>
        <v/>
      </c>
      <c r="T37" s="110" t="str">
        <f>IF(AND($Z$11,COUNT($BE$24:$BE$123)&gt;13),INDEX($BN$24:$BN$123,(COUNT($BE$24:$BE$123)-13)),"")</f>
        <v/>
      </c>
      <c r="W37" s="12"/>
      <c r="X37" s="12"/>
      <c r="Y37" s="12"/>
      <c r="Z37" s="12"/>
      <c r="AA37" s="12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D37" s="12">
        <f>14</f>
        <v>14</v>
      </c>
      <c r="BE37" s="32"/>
      <c r="BF37" s="32"/>
      <c r="BG37" s="32" t="str">
        <f>IF(BO37="OK",SUM($BE$24:BE37)-BE37,"")</f>
        <v/>
      </c>
      <c r="BH37" s="32" t="str">
        <f t="shared" si="0"/>
        <v/>
      </c>
      <c r="BI37" s="32" t="str">
        <f>IF(AND(BO37="OK",$Z$7),MAX('Wind Load Check'!$B$29,1.1+0.055*('Wind Load Check'!$B$23/'Wind Load Check'!$B$8)/EXP(ABS(LN((0.6*BF37/'Wind Load Check'!$B$8)*(1-0.011*'Wind Load Check'!$B$23/'Wind Load Check'!$B$8)))^(1.7-0.0013*('Wind Load Check'!$B$23/BF37)^2))),"")</f>
        <v/>
      </c>
      <c r="BJ37" s="32" t="str">
        <f t="shared" si="1"/>
        <v/>
      </c>
      <c r="BK37" s="32" t="str">
        <f>IF(AND(BO37="OK",$Z$7),BJ37*'Wind Load Check'!$B$26*'Wind Load Check'!$B$27*BI37*'Wind Load Check'!$B$35,"")</f>
        <v/>
      </c>
      <c r="BL37" s="32" t="str">
        <f t="shared" si="2"/>
        <v/>
      </c>
      <c r="BM37" s="32" t="str">
        <f>IF(AND(BO37="OK",ISNUMBER('Uplift Check'!$B$38)),(BG37+BH37)/2+'Uplift Check'!$B$38,"")</f>
        <v/>
      </c>
      <c r="BN37" s="32" t="str">
        <f t="shared" si="3"/>
        <v/>
      </c>
      <c r="BO37" s="32" t="str">
        <f t="shared" si="7"/>
        <v/>
      </c>
      <c r="BP37" s="32" t="str">
        <f t="shared" si="4"/>
        <v/>
      </c>
      <c r="BQ37" s="32" t="str">
        <f t="shared" si="5"/>
        <v/>
      </c>
      <c r="BR37" s="32" t="str">
        <f t="shared" si="6"/>
        <v/>
      </c>
    </row>
    <row r="38" spans="1:70" ht="40.049999999999997" customHeight="1">
      <c r="A38" s="34" t="s">
        <v>187</v>
      </c>
      <c r="B38" s="35" t="str">
        <f>IF(ISNUMBER('Wind Load Check'!K5),'Wind Load Check'!K5,"")</f>
        <v/>
      </c>
      <c r="C38" s="28" t="s">
        <v>50</v>
      </c>
      <c r="D38" s="28" t="s">
        <v>506</v>
      </c>
      <c r="E38" s="28" t="s">
        <v>205</v>
      </c>
      <c r="F38" s="12"/>
      <c r="G38" s="12"/>
      <c r="H38" s="109" t="str">
        <f>IF(AND($Z$11,COUNT($BE$24:$BE$123)&gt;14),INDEX($BD$24:$BD$123,(COUNT($BE$24:$BE$123)-14)),"")</f>
        <v/>
      </c>
      <c r="I38" s="110" t="str">
        <f>IF(AND($Z$11,COUNT($BE$24:$BE$123)&gt;14),INDEX($BH$24:$BH$123,(COUNT($BE$24:$BE$123)-14))+'Uplift Check'!$B$25,"")</f>
        <v/>
      </c>
      <c r="J38" s="110" t="str">
        <f>IF(AND($Z$11,COUNT($BE$24:$BE$123)&gt;14),INDEX($BF$24:$BF$123,(COUNT($BE$24:$BE$123)-14)),"")</f>
        <v/>
      </c>
      <c r="K38" s="110" t="str">
        <f>IF(AND($Z$11,COUNT($BE$24:$BE$123)&gt;14),$B$8,"")</f>
        <v/>
      </c>
      <c r="L38" s="110" t="str">
        <f>IF(AND($Z$11,COUNT($BE$24:$BE$123)&gt;14),INDEX($BI$24:$BI$123,(COUNT($BE$24:$BE$123)-14)),"")</f>
        <v/>
      </c>
      <c r="M38" s="110" t="str">
        <f>IF(AND($Z$11,COUNT($BE$24:$BE$123)&gt;14),INDEX($BJ$24:$BJ$123,(COUNT($BE$24:$BE$123)-14)),"")</f>
        <v/>
      </c>
      <c r="N38" s="110" t="str">
        <f>IF(AND($Z$11,COUNT($BE$24:$BE$123)&gt;14),$B$27,"")</f>
        <v/>
      </c>
      <c r="O38" s="110" t="str">
        <f>IF(AND($Z$11,COUNT($BE$24:$BE$123)&gt;14),$B$26,"")</f>
        <v/>
      </c>
      <c r="P38" s="110" t="str">
        <f>IF(AND($Z$11,COUNT($BE$24:$BE$123)&gt;14),INDEX($BJ$24:$BJ$123,(COUNT($BE$24:$BE$123)-14))*$B$27*$B$26,"")</f>
        <v/>
      </c>
      <c r="Q38" s="110" t="str">
        <f>IF(AND($Z$11,COUNT($BE$24:$BE$123)&gt;14),$B$35,"")</f>
        <v/>
      </c>
      <c r="R38" s="110" t="str">
        <f>IF(AND($Z$11,COUNT($BE$24:$BE$123)&gt;14),INDEX($BL$24:$BL$123,(COUNT($BE$24:$BE$123)-14)),"")</f>
        <v/>
      </c>
      <c r="S38" s="110" t="str">
        <f>IF(AND($Z$11,COUNT($BE$24:$BE$123)&gt;14),INDEX($BM$24:$BM$123,(COUNT($BE$24:$BE$123)-14)),"")</f>
        <v/>
      </c>
      <c r="T38" s="110" t="str">
        <f>IF(AND($Z$11,COUNT($BE$24:$BE$123)&gt;14),INDEX($BN$24:$BN$123,(COUNT($BE$24:$BE$123)-14)),"")</f>
        <v/>
      </c>
      <c r="W38" s="12"/>
      <c r="X38" s="12"/>
      <c r="Y38" s="12"/>
      <c r="Z38" s="12"/>
      <c r="AA38" s="12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D38" s="12">
        <f>15</f>
        <v>15</v>
      </c>
      <c r="BE38" s="32"/>
      <c r="BF38" s="32"/>
      <c r="BG38" s="32" t="str">
        <f>IF(BO38="OK",SUM($BE$24:BE38)-BE38,"")</f>
        <v/>
      </c>
      <c r="BH38" s="32" t="str">
        <f t="shared" si="0"/>
        <v/>
      </c>
      <c r="BI38" s="32" t="str">
        <f>IF(AND(BO38="OK",$Z$7),MAX('Wind Load Check'!$B$29,1.1+0.055*('Wind Load Check'!$B$23/'Wind Load Check'!$B$8)/EXP(ABS(LN((0.6*BF38/'Wind Load Check'!$B$8)*(1-0.011*'Wind Load Check'!$B$23/'Wind Load Check'!$B$8)))^(1.7-0.0013*('Wind Load Check'!$B$23/BF38)^2))),"")</f>
        <v/>
      </c>
      <c r="BJ38" s="32" t="str">
        <f t="shared" si="1"/>
        <v/>
      </c>
      <c r="BK38" s="32" t="str">
        <f>IF(AND(BO38="OK",$Z$7),BJ38*'Wind Load Check'!$B$26*'Wind Load Check'!$B$27*BI38*'Wind Load Check'!$B$35,"")</f>
        <v/>
      </c>
      <c r="BL38" s="32" t="str">
        <f t="shared" si="2"/>
        <v/>
      </c>
      <c r="BM38" s="32" t="str">
        <f>IF(AND(BO38="OK",ISNUMBER('Uplift Check'!$B$38)),(BG38+BH38)/2+'Uplift Check'!$B$38,"")</f>
        <v/>
      </c>
      <c r="BN38" s="32" t="str">
        <f t="shared" si="3"/>
        <v/>
      </c>
      <c r="BO38" s="32" t="str">
        <f t="shared" si="7"/>
        <v/>
      </c>
      <c r="BP38" s="32" t="str">
        <f t="shared" si="4"/>
        <v/>
      </c>
      <c r="BQ38" s="32" t="str">
        <f t="shared" si="5"/>
        <v/>
      </c>
      <c r="BR38" s="32" t="str">
        <f t="shared" si="6"/>
        <v/>
      </c>
    </row>
    <row r="39" spans="1:70" ht="22.05" customHeight="1">
      <c r="A39" s="34" t="s">
        <v>459</v>
      </c>
      <c r="B39" s="35" t="str">
        <f>IF(ISNUMBER(K5),IF(K3="LAYERED",K13,IF(COUNT(B9,'Uplift Check'!B38)=2,K5*(B9/2+'Uplift Check'!B38),"")),"")</f>
        <v/>
      </c>
      <c r="C39" s="28" t="s">
        <v>410</v>
      </c>
      <c r="D39" s="28" t="s">
        <v>596</v>
      </c>
      <c r="E39" s="28" t="s">
        <v>507</v>
      </c>
      <c r="F39" s="12"/>
      <c r="G39" s="12"/>
      <c r="H39" s="109" t="str">
        <f>IF(AND($Z$11,COUNT($BE$24:$BE$123)&gt;15),INDEX($BD$24:$BD$123,(COUNT($BE$24:$BE$123)-15)),"")</f>
        <v/>
      </c>
      <c r="I39" s="110" t="str">
        <f>IF(AND($Z$11,COUNT($BE$24:$BE$123)&gt;15),INDEX($BH$24:$BH$123,(COUNT($BE$24:$BE$123)-15))+'Uplift Check'!$B$25,"")</f>
        <v/>
      </c>
      <c r="J39" s="110" t="str">
        <f>IF(AND($Z$11,COUNT($BE$24:$BE$123)&gt;15),INDEX($BF$24:$BF$123,(COUNT($BE$24:$BE$123)-15)),"")</f>
        <v/>
      </c>
      <c r="K39" s="110" t="str">
        <f>IF(AND($Z$11,COUNT($BE$24:$BE$123)&gt;15),$B$8,"")</f>
        <v/>
      </c>
      <c r="L39" s="110" t="str">
        <f>IF(AND($Z$11,COUNT($BE$24:$BE$123)&gt;15),INDEX($BI$24:$BI$123,(COUNT($BE$24:$BE$123)-15)),"")</f>
        <v/>
      </c>
      <c r="M39" s="110" t="str">
        <f>IF(AND($Z$11,COUNT($BE$24:$BE$123)&gt;15),INDEX($BJ$24:$BJ$123,(COUNT($BE$24:$BE$123)-15)),"")</f>
        <v/>
      </c>
      <c r="N39" s="110" t="str">
        <f>IF(AND($Z$11,COUNT($BE$24:$BE$123)&gt;15),$B$27,"")</f>
        <v/>
      </c>
      <c r="O39" s="110" t="str">
        <f>IF(AND($Z$11,COUNT($BE$24:$BE$123)&gt;15),$B$26,"")</f>
        <v/>
      </c>
      <c r="P39" s="110" t="str">
        <f>IF(AND($Z$11,COUNT($BE$24:$BE$123)&gt;15),INDEX($BJ$24:$BJ$123,(COUNT($BE$24:$BE$123)-15))*$B$27*$B$26,"")</f>
        <v/>
      </c>
      <c r="Q39" s="110" t="str">
        <f>IF(AND($Z$11,COUNT($BE$24:$BE$123)&gt;15),$B$35,"")</f>
        <v/>
      </c>
      <c r="R39" s="110" t="str">
        <f>IF(AND($Z$11,COUNT($BE$24:$BE$123)&gt;15),INDEX($BL$24:$BL$123,(COUNT($BE$24:$BE$123)-15)),"")</f>
        <v/>
      </c>
      <c r="S39" s="110" t="str">
        <f>IF(AND($Z$11,COUNT($BE$24:$BE$123)&gt;15),INDEX($BM$24:$BM$123,(COUNT($BE$24:$BE$123)-15)),"")</f>
        <v/>
      </c>
      <c r="T39" s="110" t="str">
        <f>IF(AND($Z$11,COUNT($BE$24:$BE$123)&gt;15),INDEX($BN$24:$BN$123,(COUNT($BE$24:$BE$123)-15)),"")</f>
        <v/>
      </c>
      <c r="W39" s="12"/>
      <c r="X39" s="12"/>
      <c r="Y39" s="12"/>
      <c r="Z39" s="12"/>
      <c r="AA39" s="12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D39" s="12">
        <f>16</f>
        <v>16</v>
      </c>
      <c r="BE39" s="32"/>
      <c r="BF39" s="32"/>
      <c r="BG39" s="32" t="str">
        <f>IF(BO39="OK",SUM($BE$24:BE39)-BE39,"")</f>
        <v/>
      </c>
      <c r="BH39" s="32" t="str">
        <f t="shared" si="0"/>
        <v/>
      </c>
      <c r="BI39" s="32" t="str">
        <f>IF(AND(BO39="OK",$Z$7),MAX('Wind Load Check'!$B$29,1.1+0.055*('Wind Load Check'!$B$23/'Wind Load Check'!$B$8)/EXP(ABS(LN((0.6*BF39/'Wind Load Check'!$B$8)*(1-0.011*'Wind Load Check'!$B$23/'Wind Load Check'!$B$8)))^(1.7-0.0013*('Wind Load Check'!$B$23/BF39)^2))),"")</f>
        <v/>
      </c>
      <c r="BJ39" s="32" t="str">
        <f t="shared" si="1"/>
        <v/>
      </c>
      <c r="BK39" s="32" t="str">
        <f>IF(AND(BO39="OK",$Z$7),BJ39*'Wind Load Check'!$B$26*'Wind Load Check'!$B$27*BI39*'Wind Load Check'!$B$35,"")</f>
        <v/>
      </c>
      <c r="BL39" s="32" t="str">
        <f t="shared" si="2"/>
        <v/>
      </c>
      <c r="BM39" s="32" t="str">
        <f>IF(AND(BO39="OK",ISNUMBER('Uplift Check'!$B$38)),(BG39+BH39)/2+'Uplift Check'!$B$38,"")</f>
        <v/>
      </c>
      <c r="BN39" s="32" t="str">
        <f t="shared" si="3"/>
        <v/>
      </c>
      <c r="BO39" s="32" t="str">
        <f t="shared" si="7"/>
        <v/>
      </c>
      <c r="BP39" s="32" t="str">
        <f t="shared" si="4"/>
        <v/>
      </c>
      <c r="BQ39" s="32" t="str">
        <f t="shared" si="5"/>
        <v/>
      </c>
      <c r="BR39" s="32" t="str">
        <f t="shared" si="6"/>
        <v/>
      </c>
    </row>
    <row r="40" spans="1:70" ht="22.05" customHeight="1">
      <c r="A40" s="34" t="s">
        <v>460</v>
      </c>
      <c r="B40" s="33" t="str">
        <f>IF(AND(ISNUMBER(B39),ISNUMBER(K5),K5&gt;0),B39/K5,"")</f>
        <v/>
      </c>
      <c r="C40" s="28" t="s">
        <v>6</v>
      </c>
      <c r="D40" s="28" t="s">
        <v>597</v>
      </c>
      <c r="E40" s="28" t="s">
        <v>508</v>
      </c>
      <c r="F40" s="12"/>
      <c r="G40" s="12"/>
      <c r="H40" s="109" t="str">
        <f>IF(AND($Z$11,COUNT($BE$24:$BE$123)&gt;16),INDEX($BD$24:$BD$123,(COUNT($BE$24:$BE$123)-16)),"")</f>
        <v/>
      </c>
      <c r="I40" s="110" t="str">
        <f>IF(AND($Z$11,COUNT($BE$24:$BE$123)&gt;16),INDEX($BH$24:$BH$123,(COUNT($BE$24:$BE$123)-16))+'Uplift Check'!$B$25,"")</f>
        <v/>
      </c>
      <c r="J40" s="110" t="str">
        <f>IF(AND($Z$11,COUNT($BE$24:$BE$123)&gt;16),INDEX($BF$24:$BF$123,(COUNT($BE$24:$BE$123)-16)),"")</f>
        <v/>
      </c>
      <c r="K40" s="110" t="str">
        <f>IF(AND($Z$11,COUNT($BE$24:$BE$123)&gt;16),$B$8,"")</f>
        <v/>
      </c>
      <c r="L40" s="110" t="str">
        <f>IF(AND($Z$11,COUNT($BE$24:$BE$123)&gt;16),INDEX($BI$24:$BI$123,(COUNT($BE$24:$BE$123)-16)),"")</f>
        <v/>
      </c>
      <c r="M40" s="110" t="str">
        <f>IF(AND($Z$11,COUNT($BE$24:$BE$123)&gt;16),INDEX($BJ$24:$BJ$123,(COUNT($BE$24:$BE$123)-16)),"")</f>
        <v/>
      </c>
      <c r="N40" s="110" t="str">
        <f>IF(AND($Z$11,COUNT($BE$24:$BE$123)&gt;16),$B$27,"")</f>
        <v/>
      </c>
      <c r="O40" s="110" t="str">
        <f>IF(AND($Z$11,COUNT($BE$24:$BE$123)&gt;16),$B$26,"")</f>
        <v/>
      </c>
      <c r="P40" s="110" t="str">
        <f>IF(AND($Z$11,COUNT($BE$24:$BE$123)&gt;16),INDEX($BJ$24:$BJ$123,(COUNT($BE$24:$BE$123)-16))*$B$27*$B$26,"")</f>
        <v/>
      </c>
      <c r="Q40" s="110" t="str">
        <f>IF(AND($Z$11,COUNT($BE$24:$BE$123)&gt;16),$B$35,"")</f>
        <v/>
      </c>
      <c r="R40" s="110" t="str">
        <f>IF(AND($Z$11,COUNT($BE$24:$BE$123)&gt;16),INDEX($BL$24:$BL$123,(COUNT($BE$24:$BE$123)-16)),"")</f>
        <v/>
      </c>
      <c r="S40" s="110" t="str">
        <f>IF(AND($Z$11,COUNT($BE$24:$BE$123)&gt;16),INDEX($BM$24:$BM$123,(COUNT($BE$24:$BE$123)-16)),"")</f>
        <v/>
      </c>
      <c r="T40" s="110" t="str">
        <f>IF(AND($Z$11,COUNT($BE$24:$BE$123)&gt;16),INDEX($BN$24:$BN$123,(COUNT($BE$24:$BE$123)-16)),"")</f>
        <v/>
      </c>
      <c r="W40" s="12"/>
      <c r="X40" s="12"/>
      <c r="Y40" s="12"/>
      <c r="Z40" s="12"/>
      <c r="AA40" s="12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D40" s="12">
        <f>17</f>
        <v>17</v>
      </c>
      <c r="BE40" s="32"/>
      <c r="BF40" s="32"/>
      <c r="BG40" s="32" t="str">
        <f>IF(BO40="OK",SUM($BE$24:BE40)-BE40,"")</f>
        <v/>
      </c>
      <c r="BH40" s="32" t="str">
        <f t="shared" si="0"/>
        <v/>
      </c>
      <c r="BI40" s="32" t="str">
        <f>IF(AND(BO40="OK",$Z$7),MAX('Wind Load Check'!$B$29,1.1+0.055*('Wind Load Check'!$B$23/'Wind Load Check'!$B$8)/EXP(ABS(LN((0.6*BF40/'Wind Load Check'!$B$8)*(1-0.011*'Wind Load Check'!$B$23/'Wind Load Check'!$B$8)))^(1.7-0.0013*('Wind Load Check'!$B$23/BF40)^2))),"")</f>
        <v/>
      </c>
      <c r="BJ40" s="32" t="str">
        <f t="shared" si="1"/>
        <v/>
      </c>
      <c r="BK40" s="32" t="str">
        <f>IF(AND(BO40="OK",$Z$7),BJ40*'Wind Load Check'!$B$26*'Wind Load Check'!$B$27*BI40*'Wind Load Check'!$B$35,"")</f>
        <v/>
      </c>
      <c r="BL40" s="32" t="str">
        <f t="shared" si="2"/>
        <v/>
      </c>
      <c r="BM40" s="32" t="str">
        <f>IF(AND(BO40="OK",ISNUMBER('Uplift Check'!$B$38)),(BG40+BH40)/2+'Uplift Check'!$B$38,"")</f>
        <v/>
      </c>
      <c r="BN40" s="32" t="str">
        <f t="shared" si="3"/>
        <v/>
      </c>
      <c r="BO40" s="32" t="str">
        <f t="shared" si="7"/>
        <v/>
      </c>
      <c r="BP40" s="32" t="str">
        <f t="shared" si="4"/>
        <v/>
      </c>
      <c r="BQ40" s="32" t="str">
        <f t="shared" si="5"/>
        <v/>
      </c>
      <c r="BR40" s="32" t="str">
        <f t="shared" si="6"/>
        <v/>
      </c>
    </row>
    <row r="41" spans="1:70" ht="22.05" customHeight="1">
      <c r="A41" s="34" t="s">
        <v>51</v>
      </c>
      <c r="B41" s="35" t="str">
        <f>IF(ISNUMBER(B38),B38*$B$15,"")</f>
        <v/>
      </c>
      <c r="C41" s="28" t="s">
        <v>50</v>
      </c>
      <c r="D41" s="28" t="s">
        <v>52</v>
      </c>
      <c r="E41" s="28" t="s">
        <v>328</v>
      </c>
      <c r="F41" s="12"/>
      <c r="G41" s="12"/>
      <c r="H41" s="109" t="str">
        <f>IF(AND($Z$11,COUNT($BE$24:$BE$123)&gt;17),INDEX($BD$24:$BD$123,(COUNT($BE$24:$BE$123)-17)),"")</f>
        <v/>
      </c>
      <c r="I41" s="110" t="str">
        <f>IF(AND($Z$11,COUNT($BE$24:$BE$123)&gt;17),INDEX($BH$24:$BH$123,(COUNT($BE$24:$BE$123)-17))+'Uplift Check'!$B$25,"")</f>
        <v/>
      </c>
      <c r="J41" s="110" t="str">
        <f>IF(AND($Z$11,COUNT($BE$24:$BE$123)&gt;17),INDEX($BF$24:$BF$123,(COUNT($BE$24:$BE$123)-17)),"")</f>
        <v/>
      </c>
      <c r="K41" s="110" t="str">
        <f>IF(AND($Z$11,COUNT($BE$24:$BE$123)&gt;17),$B$8,"")</f>
        <v/>
      </c>
      <c r="L41" s="110" t="str">
        <f>IF(AND($Z$11,COUNT($BE$24:$BE$123)&gt;17),INDEX($BI$24:$BI$123,(COUNT($BE$24:$BE$123)-17)),"")</f>
        <v/>
      </c>
      <c r="M41" s="110" t="str">
        <f>IF(AND($Z$11,COUNT($BE$24:$BE$123)&gt;17),INDEX($BJ$24:$BJ$123,(COUNT($BE$24:$BE$123)-17)),"")</f>
        <v/>
      </c>
      <c r="N41" s="110" t="str">
        <f>IF(AND($Z$11,COUNT($BE$24:$BE$123)&gt;17),$B$27,"")</f>
        <v/>
      </c>
      <c r="O41" s="110" t="str">
        <f>IF(AND($Z$11,COUNT($BE$24:$BE$123)&gt;17),$B$26,"")</f>
        <v/>
      </c>
      <c r="P41" s="110" t="str">
        <f>IF(AND($Z$11,COUNT($BE$24:$BE$123)&gt;17),INDEX($BJ$24:$BJ$123,(COUNT($BE$24:$BE$123)-17))*$B$27*$B$26,"")</f>
        <v/>
      </c>
      <c r="Q41" s="110" t="str">
        <f>IF(AND($Z$11,COUNT($BE$24:$BE$123)&gt;17),$B$35,"")</f>
        <v/>
      </c>
      <c r="R41" s="110" t="str">
        <f>IF(AND($Z$11,COUNT($BE$24:$BE$123)&gt;17),INDEX($BL$24:$BL$123,(COUNT($BE$24:$BE$123)-17)),"")</f>
        <v/>
      </c>
      <c r="S41" s="110" t="str">
        <f>IF(AND($Z$11,COUNT($BE$24:$BE$123)&gt;17),INDEX($BM$24:$BM$123,(COUNT($BE$24:$BE$123)-17)),"")</f>
        <v/>
      </c>
      <c r="T41" s="110" t="str">
        <f>IF(AND($Z$11,COUNT($BE$24:$BE$123)&gt;17),INDEX($BN$24:$BN$123,(COUNT($BE$24:$BE$123)-17)),"")</f>
        <v/>
      </c>
      <c r="W41" s="12"/>
      <c r="X41" s="12"/>
      <c r="Y41" s="12"/>
      <c r="Z41" s="12"/>
      <c r="AA41" s="12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D41" s="12">
        <f>18</f>
        <v>18</v>
      </c>
      <c r="BE41" s="32"/>
      <c r="BF41" s="32"/>
      <c r="BG41" s="32" t="str">
        <f>IF(BO41="OK",SUM($BE$24:BE41)-BE41,"")</f>
        <v/>
      </c>
      <c r="BH41" s="32" t="str">
        <f t="shared" si="0"/>
        <v/>
      </c>
      <c r="BI41" s="32" t="str">
        <f>IF(AND(BO41="OK",$Z$7),MAX('Wind Load Check'!$B$29,1.1+0.055*('Wind Load Check'!$B$23/'Wind Load Check'!$B$8)/EXP(ABS(LN((0.6*BF41/'Wind Load Check'!$B$8)*(1-0.011*'Wind Load Check'!$B$23/'Wind Load Check'!$B$8)))^(1.7-0.0013*('Wind Load Check'!$B$23/BF41)^2))),"")</f>
        <v/>
      </c>
      <c r="BJ41" s="32" t="str">
        <f t="shared" si="1"/>
        <v/>
      </c>
      <c r="BK41" s="32" t="str">
        <f>IF(AND(BO41="OK",$Z$7),BJ41*'Wind Load Check'!$B$26*'Wind Load Check'!$B$27*BI41*'Wind Load Check'!$B$35,"")</f>
        <v/>
      </c>
      <c r="BL41" s="32" t="str">
        <f t="shared" si="2"/>
        <v/>
      </c>
      <c r="BM41" s="32" t="str">
        <f>IF(AND(BO41="OK",ISNUMBER('Uplift Check'!$B$38)),(BG41+BH41)/2+'Uplift Check'!$B$38,"")</f>
        <v/>
      </c>
      <c r="BN41" s="32" t="str">
        <f t="shared" si="3"/>
        <v/>
      </c>
      <c r="BO41" s="32" t="str">
        <f t="shared" si="7"/>
        <v/>
      </c>
      <c r="BP41" s="32" t="str">
        <f t="shared" si="4"/>
        <v/>
      </c>
      <c r="BQ41" s="32" t="str">
        <f t="shared" si="5"/>
        <v/>
      </c>
      <c r="BR41" s="32" t="str">
        <f t="shared" si="6"/>
        <v/>
      </c>
    </row>
    <row r="42" spans="1:70" ht="22.05" customHeight="1">
      <c r="A42" s="34" t="s">
        <v>461</v>
      </c>
      <c r="B42" s="35" t="str">
        <f>IF(ISNUMBER(B39),B39*$B$15,"")</f>
        <v/>
      </c>
      <c r="C42" s="28" t="s">
        <v>410</v>
      </c>
      <c r="D42" s="28" t="s">
        <v>53</v>
      </c>
      <c r="E42" s="28" t="s">
        <v>328</v>
      </c>
      <c r="F42" s="12"/>
      <c r="G42" s="12"/>
      <c r="H42" s="109" t="str">
        <f>IF(AND($Z$11,COUNT($BE$24:$BE$123)&gt;18),INDEX($BD$24:$BD$123,(COUNT($BE$24:$BE$123)-18)),"")</f>
        <v/>
      </c>
      <c r="I42" s="110" t="str">
        <f>IF(AND($Z$11,COUNT($BE$24:$BE$123)&gt;18),INDEX($BH$24:$BH$123,(COUNT($BE$24:$BE$123)-18))+'Uplift Check'!$B$25,"")</f>
        <v/>
      </c>
      <c r="J42" s="110" t="str">
        <f>IF(AND($Z$11,COUNT($BE$24:$BE$123)&gt;18),INDEX($BF$24:$BF$123,(COUNT($BE$24:$BE$123)-18)),"")</f>
        <v/>
      </c>
      <c r="K42" s="110" t="str">
        <f>IF(AND($Z$11,COUNT($BE$24:$BE$123)&gt;18),$B$8,"")</f>
        <v/>
      </c>
      <c r="L42" s="110" t="str">
        <f>IF(AND($Z$11,COUNT($BE$24:$BE$123)&gt;18),INDEX($BI$24:$BI$123,(COUNT($BE$24:$BE$123)-18)),"")</f>
        <v/>
      </c>
      <c r="M42" s="110" t="str">
        <f>IF(AND($Z$11,COUNT($BE$24:$BE$123)&gt;18),INDEX($BJ$24:$BJ$123,(COUNT($BE$24:$BE$123)-18)),"")</f>
        <v/>
      </c>
      <c r="N42" s="110" t="str">
        <f>IF(AND($Z$11,COUNT($BE$24:$BE$123)&gt;18),$B$27,"")</f>
        <v/>
      </c>
      <c r="O42" s="110" t="str">
        <f>IF(AND($Z$11,COUNT($BE$24:$BE$123)&gt;18),$B$26,"")</f>
        <v/>
      </c>
      <c r="P42" s="110" t="str">
        <f>IF(AND($Z$11,COUNT($BE$24:$BE$123)&gt;18),INDEX($BJ$24:$BJ$123,(COUNT($BE$24:$BE$123)-18))*$B$27*$B$26,"")</f>
        <v/>
      </c>
      <c r="Q42" s="110" t="str">
        <f>IF(AND($Z$11,COUNT($BE$24:$BE$123)&gt;18),$B$35,"")</f>
        <v/>
      </c>
      <c r="R42" s="110" t="str">
        <f>IF(AND($Z$11,COUNT($BE$24:$BE$123)&gt;18),INDEX($BL$24:$BL$123,(COUNT($BE$24:$BE$123)-18)),"")</f>
        <v/>
      </c>
      <c r="S42" s="110" t="str">
        <f>IF(AND($Z$11,COUNT($BE$24:$BE$123)&gt;18),INDEX($BM$24:$BM$123,(COUNT($BE$24:$BE$123)-18)),"")</f>
        <v/>
      </c>
      <c r="T42" s="110" t="str">
        <f>IF(AND($Z$11,COUNT($BE$24:$BE$123)&gt;18),INDEX($BN$24:$BN$123,(COUNT($BE$24:$BE$123)-18)),"")</f>
        <v/>
      </c>
      <c r="W42" s="12"/>
      <c r="X42" s="12"/>
      <c r="Y42" s="12"/>
      <c r="Z42" s="12"/>
      <c r="AA42" s="12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D42" s="12">
        <f>19</f>
        <v>19</v>
      </c>
      <c r="BE42" s="32"/>
      <c r="BF42" s="32"/>
      <c r="BG42" s="32" t="str">
        <f>IF(BO42="OK",SUM($BE$24:BE42)-BE42,"")</f>
        <v/>
      </c>
      <c r="BH42" s="32" t="str">
        <f t="shared" si="0"/>
        <v/>
      </c>
      <c r="BI42" s="32" t="str">
        <f>IF(AND(BO42="OK",$Z$7),MAX('Wind Load Check'!$B$29,1.1+0.055*('Wind Load Check'!$B$23/'Wind Load Check'!$B$8)/EXP(ABS(LN((0.6*BF42/'Wind Load Check'!$B$8)*(1-0.011*'Wind Load Check'!$B$23/'Wind Load Check'!$B$8)))^(1.7-0.0013*('Wind Load Check'!$B$23/BF42)^2))),"")</f>
        <v/>
      </c>
      <c r="BJ42" s="32" t="str">
        <f t="shared" si="1"/>
        <v/>
      </c>
      <c r="BK42" s="32" t="str">
        <f>IF(AND(BO42="OK",$Z$7),BJ42*'Wind Load Check'!$B$26*'Wind Load Check'!$B$27*BI42*'Wind Load Check'!$B$35,"")</f>
        <v/>
      </c>
      <c r="BL42" s="32" t="str">
        <f t="shared" si="2"/>
        <v/>
      </c>
      <c r="BM42" s="32" t="str">
        <f>IF(AND(BO42="OK",ISNUMBER('Uplift Check'!$B$38)),(BG42+BH42)/2+'Uplift Check'!$B$38,"")</f>
        <v/>
      </c>
      <c r="BN42" s="32" t="str">
        <f t="shared" si="3"/>
        <v/>
      </c>
      <c r="BO42" s="32" t="str">
        <f t="shared" si="7"/>
        <v/>
      </c>
      <c r="BP42" s="32" t="str">
        <f t="shared" si="4"/>
        <v/>
      </c>
      <c r="BQ42" s="32" t="str">
        <f t="shared" si="5"/>
        <v/>
      </c>
      <c r="BR42" s="32" t="str">
        <f t="shared" si="6"/>
        <v/>
      </c>
    </row>
    <row r="43" spans="1:70" ht="31.95" customHeight="1">
      <c r="A43" s="28" t="s">
        <v>54</v>
      </c>
      <c r="B43" s="28" t="str">
        <f>"Required — separate analysis if applicable"</f>
        <v>Required — separate analysis if applicable</v>
      </c>
      <c r="C43" s="28" t="s">
        <v>9</v>
      </c>
      <c r="D43" s="28" t="s">
        <v>55</v>
      </c>
      <c r="E43" s="28" t="s">
        <v>56</v>
      </c>
      <c r="F43" s="12"/>
      <c r="G43" s="12"/>
      <c r="H43" s="109" t="str">
        <f>IF(AND($Z$11,COUNT($BE$24:$BE$123)&gt;19),INDEX($BD$24:$BD$123,(COUNT($BE$24:$BE$123)-19)),"")</f>
        <v/>
      </c>
      <c r="I43" s="110" t="str">
        <f>IF(AND($Z$11,COUNT($BE$24:$BE$123)&gt;19),INDEX($BH$24:$BH$123,(COUNT($BE$24:$BE$123)-19))+'Uplift Check'!$B$25,"")</f>
        <v/>
      </c>
      <c r="J43" s="110" t="str">
        <f>IF(AND($Z$11,COUNT($BE$24:$BE$123)&gt;19),INDEX($BF$24:$BF$123,(COUNT($BE$24:$BE$123)-19)),"")</f>
        <v/>
      </c>
      <c r="K43" s="110" t="str">
        <f>IF(AND($Z$11,COUNT($BE$24:$BE$123)&gt;19),$B$8,"")</f>
        <v/>
      </c>
      <c r="L43" s="110" t="str">
        <f>IF(AND($Z$11,COUNT($BE$24:$BE$123)&gt;19),INDEX($BI$24:$BI$123,(COUNT($BE$24:$BE$123)-19)),"")</f>
        <v/>
      </c>
      <c r="M43" s="110" t="str">
        <f>IF(AND($Z$11,COUNT($BE$24:$BE$123)&gt;19),INDEX($BJ$24:$BJ$123,(COUNT($BE$24:$BE$123)-19)),"")</f>
        <v/>
      </c>
      <c r="N43" s="110" t="str">
        <f>IF(AND($Z$11,COUNT($BE$24:$BE$123)&gt;19),$B$27,"")</f>
        <v/>
      </c>
      <c r="O43" s="110" t="str">
        <f>IF(AND($Z$11,COUNT($BE$24:$BE$123)&gt;19),$B$26,"")</f>
        <v/>
      </c>
      <c r="P43" s="110" t="str">
        <f>IF(AND($Z$11,COUNT($BE$24:$BE$123)&gt;19),INDEX($BJ$24:$BJ$123,(COUNT($BE$24:$BE$123)-19))*$B$27*$B$26,"")</f>
        <v/>
      </c>
      <c r="Q43" s="110" t="str">
        <f>IF(AND($Z$11,COUNT($BE$24:$BE$123)&gt;19),$B$35,"")</f>
        <v/>
      </c>
      <c r="R43" s="110" t="str">
        <f>IF(AND($Z$11,COUNT($BE$24:$BE$123)&gt;19),INDEX($BL$24:$BL$123,(COUNT($BE$24:$BE$123)-19)),"")</f>
        <v/>
      </c>
      <c r="S43" s="110" t="str">
        <f>IF(AND($Z$11,COUNT($BE$24:$BE$123)&gt;19),INDEX($BM$24:$BM$123,(COUNT($BE$24:$BE$123)-19)),"")</f>
        <v/>
      </c>
      <c r="T43" s="110" t="str">
        <f>IF(AND($Z$11,COUNT($BE$24:$BE$123)&gt;19),INDEX($BN$24:$BN$123,(COUNT($BE$24:$BE$123)-19)),"")</f>
        <v/>
      </c>
      <c r="W43" s="12"/>
      <c r="X43" s="12"/>
      <c r="Y43" s="12"/>
      <c r="Z43" s="12"/>
      <c r="AA43" s="12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D43" s="12">
        <f>20</f>
        <v>20</v>
      </c>
      <c r="BE43" s="32"/>
      <c r="BF43" s="32"/>
      <c r="BG43" s="32" t="str">
        <f>IF(BO43="OK",SUM($BE$24:BE43)-BE43,"")</f>
        <v/>
      </c>
      <c r="BH43" s="32" t="str">
        <f t="shared" si="0"/>
        <v/>
      </c>
      <c r="BI43" s="32" t="str">
        <f>IF(AND(BO43="OK",$Z$7),MAX('Wind Load Check'!$B$29,1.1+0.055*('Wind Load Check'!$B$23/'Wind Load Check'!$B$8)/EXP(ABS(LN((0.6*BF43/'Wind Load Check'!$B$8)*(1-0.011*'Wind Load Check'!$B$23/'Wind Load Check'!$B$8)))^(1.7-0.0013*('Wind Load Check'!$B$23/BF43)^2))),"")</f>
        <v/>
      </c>
      <c r="BJ43" s="32" t="str">
        <f t="shared" si="1"/>
        <v/>
      </c>
      <c r="BK43" s="32" t="str">
        <f>IF(AND(BO43="OK",$Z$7),BJ43*'Wind Load Check'!$B$26*'Wind Load Check'!$B$27*BI43*'Wind Load Check'!$B$35,"")</f>
        <v/>
      </c>
      <c r="BL43" s="32" t="str">
        <f t="shared" si="2"/>
        <v/>
      </c>
      <c r="BM43" s="32" t="str">
        <f>IF(AND(BO43="OK",ISNUMBER('Uplift Check'!$B$38)),(BG43+BH43)/2+'Uplift Check'!$B$38,"")</f>
        <v/>
      </c>
      <c r="BN43" s="32" t="str">
        <f t="shared" si="3"/>
        <v/>
      </c>
      <c r="BO43" s="32" t="str">
        <f t="shared" si="7"/>
        <v/>
      </c>
      <c r="BP43" s="32" t="str">
        <f t="shared" si="4"/>
        <v/>
      </c>
      <c r="BQ43" s="32" t="str">
        <f t="shared" si="5"/>
        <v/>
      </c>
      <c r="BR43" s="32" t="str">
        <f t="shared" si="6"/>
        <v/>
      </c>
    </row>
    <row r="44" spans="1:70" ht="31.95" customHeight="1">
      <c r="A44" s="28" t="s">
        <v>57</v>
      </c>
      <c r="B44" s="28" t="str">
        <f>IF(NOT(Z7),"CHECK INPUTS",IF(OR(B22&gt;6,B23/B20&gt;12),"Review geometry","Within stated geometric limits"))</f>
        <v>CHECK INPUTS</v>
      </c>
      <c r="C44" s="28" t="s">
        <v>9</v>
      </c>
      <c r="D44" s="28" t="s">
        <v>58</v>
      </c>
      <c r="E44" s="28" t="s">
        <v>59</v>
      </c>
      <c r="F44" s="12"/>
      <c r="G44" s="12"/>
      <c r="H44" s="109" t="str">
        <f>IF(AND($Z$11,COUNT($BE$24:$BE$123)&gt;20),INDEX($BD$24:$BD$123,(COUNT($BE$24:$BE$123)-20)),"")</f>
        <v/>
      </c>
      <c r="I44" s="110" t="str">
        <f>IF(AND($Z$11,COUNT($BE$24:$BE$123)&gt;20),INDEX($BH$24:$BH$123,(COUNT($BE$24:$BE$123)-20))+'Uplift Check'!$B$25,"")</f>
        <v/>
      </c>
      <c r="J44" s="110" t="str">
        <f>IF(AND($Z$11,COUNT($BE$24:$BE$123)&gt;20),INDEX($BF$24:$BF$123,(COUNT($BE$24:$BE$123)-20)),"")</f>
        <v/>
      </c>
      <c r="K44" s="110" t="str">
        <f>IF(AND($Z$11,COUNT($BE$24:$BE$123)&gt;20),$B$8,"")</f>
        <v/>
      </c>
      <c r="L44" s="110" t="str">
        <f>IF(AND($Z$11,COUNT($BE$24:$BE$123)&gt;20),INDEX($BI$24:$BI$123,(COUNT($BE$24:$BE$123)-20)),"")</f>
        <v/>
      </c>
      <c r="M44" s="110" t="str">
        <f>IF(AND($Z$11,COUNT($BE$24:$BE$123)&gt;20),INDEX($BJ$24:$BJ$123,(COUNT($BE$24:$BE$123)-20)),"")</f>
        <v/>
      </c>
      <c r="N44" s="110" t="str">
        <f>IF(AND($Z$11,COUNT($BE$24:$BE$123)&gt;20),$B$27,"")</f>
        <v/>
      </c>
      <c r="O44" s="110" t="str">
        <f>IF(AND($Z$11,COUNT($BE$24:$BE$123)&gt;20),$B$26,"")</f>
        <v/>
      </c>
      <c r="P44" s="110" t="str">
        <f>IF(AND($Z$11,COUNT($BE$24:$BE$123)&gt;20),INDEX($BJ$24:$BJ$123,(COUNT($BE$24:$BE$123)-20))*$B$27*$B$26,"")</f>
        <v/>
      </c>
      <c r="Q44" s="110" t="str">
        <f>IF(AND($Z$11,COUNT($BE$24:$BE$123)&gt;20),$B$35,"")</f>
        <v/>
      </c>
      <c r="R44" s="110" t="str">
        <f>IF(AND($Z$11,COUNT($BE$24:$BE$123)&gt;20),INDEX($BL$24:$BL$123,(COUNT($BE$24:$BE$123)-20)),"")</f>
        <v/>
      </c>
      <c r="S44" s="110" t="str">
        <f>IF(AND($Z$11,COUNT($BE$24:$BE$123)&gt;20),INDEX($BM$24:$BM$123,(COUNT($BE$24:$BE$123)-20)),"")</f>
        <v/>
      </c>
      <c r="T44" s="110" t="str">
        <f>IF(AND($Z$11,COUNT($BE$24:$BE$123)&gt;20),INDEX($BN$24:$BN$123,(COUNT($BE$24:$BE$123)-20)),"")</f>
        <v/>
      </c>
      <c r="W44" s="12"/>
      <c r="X44" s="12"/>
      <c r="Y44" s="12"/>
      <c r="Z44" s="12"/>
      <c r="AA44" s="12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D44" s="12">
        <f>21</f>
        <v>21</v>
      </c>
      <c r="BE44" s="32"/>
      <c r="BF44" s="32"/>
      <c r="BG44" s="32" t="str">
        <f>IF(BO44="OK",SUM($BE$24:BE44)-BE44,"")</f>
        <v/>
      </c>
      <c r="BH44" s="32" t="str">
        <f t="shared" si="0"/>
        <v/>
      </c>
      <c r="BI44" s="32" t="str">
        <f>IF(AND(BO44="OK",$Z$7),MAX('Wind Load Check'!$B$29,1.1+0.055*('Wind Load Check'!$B$23/'Wind Load Check'!$B$8)/EXP(ABS(LN((0.6*BF44/'Wind Load Check'!$B$8)*(1-0.011*'Wind Load Check'!$B$23/'Wind Load Check'!$B$8)))^(1.7-0.0013*('Wind Load Check'!$B$23/BF44)^2))),"")</f>
        <v/>
      </c>
      <c r="BJ44" s="32" t="str">
        <f t="shared" si="1"/>
        <v/>
      </c>
      <c r="BK44" s="32" t="str">
        <f>IF(AND(BO44="OK",$Z$7),BJ44*'Wind Load Check'!$B$26*'Wind Load Check'!$B$27*BI44*'Wind Load Check'!$B$35,"")</f>
        <v/>
      </c>
      <c r="BL44" s="32" t="str">
        <f t="shared" si="2"/>
        <v/>
      </c>
      <c r="BM44" s="32" t="str">
        <f>IF(AND(BO44="OK",ISNUMBER('Uplift Check'!$B$38)),(BG44+BH44)/2+'Uplift Check'!$B$38,"")</f>
        <v/>
      </c>
      <c r="BN44" s="32" t="str">
        <f t="shared" si="3"/>
        <v/>
      </c>
      <c r="BO44" s="32" t="str">
        <f t="shared" si="7"/>
        <v/>
      </c>
      <c r="BP44" s="32" t="str">
        <f t="shared" si="4"/>
        <v/>
      </c>
      <c r="BQ44" s="32" t="str">
        <f t="shared" si="5"/>
        <v/>
      </c>
      <c r="BR44" s="32" t="str">
        <f t="shared" si="6"/>
        <v/>
      </c>
    </row>
    <row r="45" spans="1:70" ht="31.95" customHeight="1">
      <c r="A45" s="136" t="s">
        <v>523</v>
      </c>
      <c r="B45" s="136"/>
      <c r="C45" s="136"/>
      <c r="D45" s="136"/>
      <c r="E45" s="136"/>
      <c r="F45" s="12"/>
      <c r="G45" s="12"/>
      <c r="H45" s="109" t="str">
        <f>IF(AND($Z$11,COUNT($BE$24:$BE$123)&gt;21),INDEX($BD$24:$BD$123,(COUNT($BE$24:$BE$123)-21)),"")</f>
        <v/>
      </c>
      <c r="I45" s="110" t="str">
        <f>IF(AND($Z$11,COUNT($BE$24:$BE$123)&gt;21),INDEX($BH$24:$BH$123,(COUNT($BE$24:$BE$123)-21))+'Uplift Check'!$B$25,"")</f>
        <v/>
      </c>
      <c r="J45" s="110" t="str">
        <f>IF(AND($Z$11,COUNT($BE$24:$BE$123)&gt;21),INDEX($BF$24:$BF$123,(COUNT($BE$24:$BE$123)-21)),"")</f>
        <v/>
      </c>
      <c r="K45" s="110" t="str">
        <f>IF(AND($Z$11,COUNT($BE$24:$BE$123)&gt;21),$B$8,"")</f>
        <v/>
      </c>
      <c r="L45" s="110" t="str">
        <f>IF(AND($Z$11,COUNT($BE$24:$BE$123)&gt;21),INDEX($BI$24:$BI$123,(COUNT($BE$24:$BE$123)-21)),"")</f>
        <v/>
      </c>
      <c r="M45" s="110" t="str">
        <f>IF(AND($Z$11,COUNT($BE$24:$BE$123)&gt;21),INDEX($BJ$24:$BJ$123,(COUNT($BE$24:$BE$123)-21)),"")</f>
        <v/>
      </c>
      <c r="N45" s="110" t="str">
        <f>IF(AND($Z$11,COUNT($BE$24:$BE$123)&gt;21),$B$27,"")</f>
        <v/>
      </c>
      <c r="O45" s="110" t="str">
        <f>IF(AND($Z$11,COUNT($BE$24:$BE$123)&gt;21),$B$26,"")</f>
        <v/>
      </c>
      <c r="P45" s="110" t="str">
        <f>IF(AND($Z$11,COUNT($BE$24:$BE$123)&gt;21),INDEX($BJ$24:$BJ$123,(COUNT($BE$24:$BE$123)-21))*$B$27*$B$26,"")</f>
        <v/>
      </c>
      <c r="Q45" s="110" t="str">
        <f>IF(AND($Z$11,COUNT($BE$24:$BE$123)&gt;21),$B$35,"")</f>
        <v/>
      </c>
      <c r="R45" s="110" t="str">
        <f>IF(AND($Z$11,COUNT($BE$24:$BE$123)&gt;21),INDEX($BL$24:$BL$123,(COUNT($BE$24:$BE$123)-21)),"")</f>
        <v/>
      </c>
      <c r="S45" s="110" t="str">
        <f>IF(AND($Z$11,COUNT($BE$24:$BE$123)&gt;21),INDEX($BM$24:$BM$123,(COUNT($BE$24:$BE$123)-21)),"")</f>
        <v/>
      </c>
      <c r="T45" s="110" t="str">
        <f>IF(AND($Z$11,COUNT($BE$24:$BE$123)&gt;21),INDEX($BN$24:$BN$123,(COUNT($BE$24:$BE$123)-21)),"")</f>
        <v/>
      </c>
      <c r="W45" s="12"/>
      <c r="X45" s="12"/>
      <c r="Y45" s="12"/>
      <c r="Z45" s="12"/>
      <c r="AA45" s="12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D45" s="12">
        <f>22</f>
        <v>22</v>
      </c>
      <c r="BE45" s="32"/>
      <c r="BF45" s="32"/>
      <c r="BG45" s="32" t="str">
        <f>IF(BO45="OK",SUM($BE$24:BE45)-BE45,"")</f>
        <v/>
      </c>
      <c r="BH45" s="32" t="str">
        <f t="shared" si="0"/>
        <v/>
      </c>
      <c r="BI45" s="32" t="str">
        <f>IF(AND(BO45="OK",$Z$7),MAX('Wind Load Check'!$B$29,1.1+0.055*('Wind Load Check'!$B$23/'Wind Load Check'!$B$8)/EXP(ABS(LN((0.6*BF45/'Wind Load Check'!$B$8)*(1-0.011*'Wind Load Check'!$B$23/'Wind Load Check'!$B$8)))^(1.7-0.0013*('Wind Load Check'!$B$23/BF45)^2))),"")</f>
        <v/>
      </c>
      <c r="BJ45" s="32" t="str">
        <f t="shared" si="1"/>
        <v/>
      </c>
      <c r="BK45" s="32" t="str">
        <f>IF(AND(BO45="OK",$Z$7),BJ45*'Wind Load Check'!$B$26*'Wind Load Check'!$B$27*BI45*'Wind Load Check'!$B$35,"")</f>
        <v/>
      </c>
      <c r="BL45" s="32" t="str">
        <f t="shared" si="2"/>
        <v/>
      </c>
      <c r="BM45" s="32" t="str">
        <f>IF(AND(BO45="OK",ISNUMBER('Uplift Check'!$B$38)),(BG45+BH45)/2+'Uplift Check'!$B$38,"")</f>
        <v/>
      </c>
      <c r="BN45" s="32" t="str">
        <f t="shared" si="3"/>
        <v/>
      </c>
      <c r="BO45" s="32" t="str">
        <f t="shared" si="7"/>
        <v/>
      </c>
      <c r="BP45" s="32" t="str">
        <f t="shared" si="4"/>
        <v/>
      </c>
      <c r="BQ45" s="32" t="str">
        <f t="shared" si="5"/>
        <v/>
      </c>
      <c r="BR45" s="32" t="str">
        <f t="shared" si="6"/>
        <v/>
      </c>
    </row>
    <row r="46" spans="1:70" ht="25.95" customHeight="1">
      <c r="A46" s="136" t="s">
        <v>60</v>
      </c>
      <c r="B46" s="136"/>
      <c r="C46" s="136"/>
      <c r="D46" s="136"/>
      <c r="E46" s="136"/>
      <c r="F46" s="12"/>
      <c r="G46" s="12"/>
      <c r="H46" s="109" t="str">
        <f>IF(AND($Z$11,COUNT($BE$24:$BE$123)&gt;22),INDEX($BD$24:$BD$123,(COUNT($BE$24:$BE$123)-22)),"")</f>
        <v/>
      </c>
      <c r="I46" s="110" t="str">
        <f>IF(AND($Z$11,COUNT($BE$24:$BE$123)&gt;22),INDEX($BH$24:$BH$123,(COUNT($BE$24:$BE$123)-22))+'Uplift Check'!$B$25,"")</f>
        <v/>
      </c>
      <c r="J46" s="110" t="str">
        <f>IF(AND($Z$11,COUNT($BE$24:$BE$123)&gt;22),INDEX($BF$24:$BF$123,(COUNT($BE$24:$BE$123)-22)),"")</f>
        <v/>
      </c>
      <c r="K46" s="110" t="str">
        <f>IF(AND($Z$11,COUNT($BE$24:$BE$123)&gt;22),$B$8,"")</f>
        <v/>
      </c>
      <c r="L46" s="110" t="str">
        <f>IF(AND($Z$11,COUNT($BE$24:$BE$123)&gt;22),INDEX($BI$24:$BI$123,(COUNT($BE$24:$BE$123)-22)),"")</f>
        <v/>
      </c>
      <c r="M46" s="110" t="str">
        <f>IF(AND($Z$11,COUNT($BE$24:$BE$123)&gt;22),INDEX($BJ$24:$BJ$123,(COUNT($BE$24:$BE$123)-22)),"")</f>
        <v/>
      </c>
      <c r="N46" s="110" t="str">
        <f>IF(AND($Z$11,COUNT($BE$24:$BE$123)&gt;22),$B$27,"")</f>
        <v/>
      </c>
      <c r="O46" s="110" t="str">
        <f>IF(AND($Z$11,COUNT($BE$24:$BE$123)&gt;22),$B$26,"")</f>
        <v/>
      </c>
      <c r="P46" s="110" t="str">
        <f>IF(AND($Z$11,COUNT($BE$24:$BE$123)&gt;22),INDEX($BJ$24:$BJ$123,(COUNT($BE$24:$BE$123)-22))*$B$27*$B$26,"")</f>
        <v/>
      </c>
      <c r="Q46" s="110" t="str">
        <f>IF(AND($Z$11,COUNT($BE$24:$BE$123)&gt;22),$B$35,"")</f>
        <v/>
      </c>
      <c r="R46" s="110" t="str">
        <f>IF(AND($Z$11,COUNT($BE$24:$BE$123)&gt;22),INDEX($BL$24:$BL$123,(COUNT($BE$24:$BE$123)-22)),"")</f>
        <v/>
      </c>
      <c r="S46" s="110" t="str">
        <f>IF(AND($Z$11,COUNT($BE$24:$BE$123)&gt;22),INDEX($BM$24:$BM$123,(COUNT($BE$24:$BE$123)-22)),"")</f>
        <v/>
      </c>
      <c r="T46" s="110" t="str">
        <f>IF(AND($Z$11,COUNT($BE$24:$BE$123)&gt;22),INDEX($BN$24:$BN$123,(COUNT($BE$24:$BE$123)-22)),"")</f>
        <v/>
      </c>
      <c r="W46" s="12"/>
      <c r="X46" s="12"/>
      <c r="Y46" s="12"/>
      <c r="Z46" s="12"/>
      <c r="AA46" s="12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D46" s="12">
        <f>23</f>
        <v>23</v>
      </c>
      <c r="BE46" s="32"/>
      <c r="BF46" s="32"/>
      <c r="BG46" s="32" t="str">
        <f>IF(BO46="OK",SUM($BE$24:BE46)-BE46,"")</f>
        <v/>
      </c>
      <c r="BH46" s="32" t="str">
        <f t="shared" si="0"/>
        <v/>
      </c>
      <c r="BI46" s="32" t="str">
        <f>IF(AND(BO46="OK",$Z$7),MAX('Wind Load Check'!$B$29,1.1+0.055*('Wind Load Check'!$B$23/'Wind Load Check'!$B$8)/EXP(ABS(LN((0.6*BF46/'Wind Load Check'!$B$8)*(1-0.011*'Wind Load Check'!$B$23/'Wind Load Check'!$B$8)))^(1.7-0.0013*('Wind Load Check'!$B$23/BF46)^2))),"")</f>
        <v/>
      </c>
      <c r="BJ46" s="32" t="str">
        <f t="shared" si="1"/>
        <v/>
      </c>
      <c r="BK46" s="32" t="str">
        <f>IF(AND(BO46="OK",$Z$7),BJ46*'Wind Load Check'!$B$26*'Wind Load Check'!$B$27*BI46*'Wind Load Check'!$B$35,"")</f>
        <v/>
      </c>
      <c r="BL46" s="32" t="str">
        <f t="shared" si="2"/>
        <v/>
      </c>
      <c r="BM46" s="32" t="str">
        <f>IF(AND(BO46="OK",ISNUMBER('Uplift Check'!$B$38)),(BG46+BH46)/2+'Uplift Check'!$B$38,"")</f>
        <v/>
      </c>
      <c r="BN46" s="32" t="str">
        <f t="shared" si="3"/>
        <v/>
      </c>
      <c r="BO46" s="32" t="str">
        <f t="shared" si="7"/>
        <v/>
      </c>
      <c r="BP46" s="32" t="str">
        <f t="shared" si="4"/>
        <v/>
      </c>
      <c r="BQ46" s="32" t="str">
        <f t="shared" si="5"/>
        <v/>
      </c>
      <c r="BR46" s="32" t="str">
        <f t="shared" si="6"/>
        <v/>
      </c>
    </row>
    <row r="47" spans="1:70" ht="42" customHeight="1">
      <c r="A47" s="135" t="str">
        <f>"Adopted method: "&amp;'Wind Load Check'!K3&amp;" — "&amp;'Wind Load Check'!K4</f>
        <v>Adopted method: UNIFORM — Enter positive B, D and Hp; UNIFORM; Enter positive B, D and Hp</v>
      </c>
      <c r="B47" s="135"/>
      <c r="C47" s="135"/>
      <c r="D47" s="135"/>
      <c r="E47" s="135"/>
      <c r="F47" s="135"/>
      <c r="G47" s="12"/>
      <c r="H47" s="109" t="str">
        <f>IF(AND($Z$11,COUNT($BE$24:$BE$123)&gt;23),INDEX($BD$24:$BD$123,(COUNT($BE$24:$BE$123)-23)),"")</f>
        <v/>
      </c>
      <c r="I47" s="110" t="str">
        <f>IF(AND($Z$11,COUNT($BE$24:$BE$123)&gt;23),INDEX($BH$24:$BH$123,(COUNT($BE$24:$BE$123)-23))+'Uplift Check'!$B$25,"")</f>
        <v/>
      </c>
      <c r="J47" s="110" t="str">
        <f>IF(AND($Z$11,COUNT($BE$24:$BE$123)&gt;23),INDEX($BF$24:$BF$123,(COUNT($BE$24:$BE$123)-23)),"")</f>
        <v/>
      </c>
      <c r="K47" s="110" t="str">
        <f>IF(AND($Z$11,COUNT($BE$24:$BE$123)&gt;23),$B$8,"")</f>
        <v/>
      </c>
      <c r="L47" s="110" t="str">
        <f>IF(AND($Z$11,COUNT($BE$24:$BE$123)&gt;23),INDEX($BI$24:$BI$123,(COUNT($BE$24:$BE$123)-23)),"")</f>
        <v/>
      </c>
      <c r="M47" s="110" t="str">
        <f>IF(AND($Z$11,COUNT($BE$24:$BE$123)&gt;23),INDEX($BJ$24:$BJ$123,(COUNT($BE$24:$BE$123)-23)),"")</f>
        <v/>
      </c>
      <c r="N47" s="110" t="str">
        <f>IF(AND($Z$11,COUNT($BE$24:$BE$123)&gt;23),$B$27,"")</f>
        <v/>
      </c>
      <c r="O47" s="110" t="str">
        <f>IF(AND($Z$11,COUNT($BE$24:$BE$123)&gt;23),$B$26,"")</f>
        <v/>
      </c>
      <c r="P47" s="110" t="str">
        <f>IF(AND($Z$11,COUNT($BE$24:$BE$123)&gt;23),INDEX($BJ$24:$BJ$123,(COUNT($BE$24:$BE$123)-23))*$B$27*$B$26,"")</f>
        <v/>
      </c>
      <c r="Q47" s="110" t="str">
        <f>IF(AND($Z$11,COUNT($BE$24:$BE$123)&gt;23),$B$35,"")</f>
        <v/>
      </c>
      <c r="R47" s="110" t="str">
        <f>IF(AND($Z$11,COUNT($BE$24:$BE$123)&gt;23),INDEX($BL$24:$BL$123,(COUNT($BE$24:$BE$123)-23)),"")</f>
        <v/>
      </c>
      <c r="S47" s="110" t="str">
        <f>IF(AND($Z$11,COUNT($BE$24:$BE$123)&gt;23),INDEX($BM$24:$BM$123,(COUNT($BE$24:$BE$123)-23)),"")</f>
        <v/>
      </c>
      <c r="T47" s="110" t="str">
        <f>IF(AND($Z$11,COUNT($BE$24:$BE$123)&gt;23),INDEX($BN$24:$BN$123,(COUNT($BE$24:$BE$123)-23)),"")</f>
        <v/>
      </c>
      <c r="W47" s="12"/>
      <c r="X47" s="12"/>
      <c r="Y47" s="12"/>
      <c r="Z47" s="12"/>
      <c r="AA47" s="12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D47" s="12">
        <f>24</f>
        <v>24</v>
      </c>
      <c r="BE47" s="32"/>
      <c r="BF47" s="32"/>
      <c r="BG47" s="32" t="str">
        <f>IF(BO47="OK",SUM($BE$24:BE47)-BE47,"")</f>
        <v/>
      </c>
      <c r="BH47" s="32" t="str">
        <f t="shared" si="0"/>
        <v/>
      </c>
      <c r="BI47" s="32" t="str">
        <f>IF(AND(BO47="OK",$Z$7),MAX('Wind Load Check'!$B$29,1.1+0.055*('Wind Load Check'!$B$23/'Wind Load Check'!$B$8)/EXP(ABS(LN((0.6*BF47/'Wind Load Check'!$B$8)*(1-0.011*'Wind Load Check'!$B$23/'Wind Load Check'!$B$8)))^(1.7-0.0013*('Wind Load Check'!$B$23/BF47)^2))),"")</f>
        <v/>
      </c>
      <c r="BJ47" s="32" t="str">
        <f t="shared" si="1"/>
        <v/>
      </c>
      <c r="BK47" s="32" t="str">
        <f>IF(AND(BO47="OK",$Z$7),BJ47*'Wind Load Check'!$B$26*'Wind Load Check'!$B$27*BI47*'Wind Load Check'!$B$35,"")</f>
        <v/>
      </c>
      <c r="BL47" s="32" t="str">
        <f t="shared" si="2"/>
        <v/>
      </c>
      <c r="BM47" s="32" t="str">
        <f>IF(AND(BO47="OK",ISNUMBER('Uplift Check'!$B$38)),(BG47+BH47)/2+'Uplift Check'!$B$38,"")</f>
        <v/>
      </c>
      <c r="BN47" s="32" t="str">
        <f t="shared" si="3"/>
        <v/>
      </c>
      <c r="BO47" s="32" t="str">
        <f t="shared" si="7"/>
        <v/>
      </c>
      <c r="BP47" s="32" t="str">
        <f t="shared" si="4"/>
        <v/>
      </c>
      <c r="BQ47" s="32" t="str">
        <f t="shared" si="5"/>
        <v/>
      </c>
      <c r="BR47" s="32" t="str">
        <f t="shared" si="6"/>
        <v/>
      </c>
    </row>
    <row r="48" spans="1:70" ht="30" customHeight="1">
      <c r="A48" s="134" t="s">
        <v>219</v>
      </c>
      <c r="B48" s="134"/>
      <c r="C48" s="134"/>
      <c r="D48" s="134"/>
      <c r="E48" s="134"/>
      <c r="F48" s="134"/>
      <c r="G48" s="12"/>
      <c r="H48" s="109" t="str">
        <f>IF(AND($Z$11,COUNT($BE$24:$BE$123)&gt;24),INDEX($BD$24:$BD$123,(COUNT($BE$24:$BE$123)-24)),"")</f>
        <v/>
      </c>
      <c r="I48" s="110" t="str">
        <f>IF(AND($Z$11,COUNT($BE$24:$BE$123)&gt;24),INDEX($BH$24:$BH$123,(COUNT($BE$24:$BE$123)-24))+'Uplift Check'!$B$25,"")</f>
        <v/>
      </c>
      <c r="J48" s="110" t="str">
        <f>IF(AND($Z$11,COUNT($BE$24:$BE$123)&gt;24),INDEX($BF$24:$BF$123,(COUNT($BE$24:$BE$123)-24)),"")</f>
        <v/>
      </c>
      <c r="K48" s="110" t="str">
        <f>IF(AND($Z$11,COUNT($BE$24:$BE$123)&gt;24),$B$8,"")</f>
        <v/>
      </c>
      <c r="L48" s="110" t="str">
        <f>IF(AND($Z$11,COUNT($BE$24:$BE$123)&gt;24),INDEX($BI$24:$BI$123,(COUNT($BE$24:$BE$123)-24)),"")</f>
        <v/>
      </c>
      <c r="M48" s="110" t="str">
        <f>IF(AND($Z$11,COUNT($BE$24:$BE$123)&gt;24),INDEX($BJ$24:$BJ$123,(COUNT($BE$24:$BE$123)-24)),"")</f>
        <v/>
      </c>
      <c r="N48" s="110" t="str">
        <f>IF(AND($Z$11,COUNT($BE$24:$BE$123)&gt;24),$B$27,"")</f>
        <v/>
      </c>
      <c r="O48" s="110" t="str">
        <f>IF(AND($Z$11,COUNT($BE$24:$BE$123)&gt;24),$B$26,"")</f>
        <v/>
      </c>
      <c r="P48" s="110" t="str">
        <f>IF(AND($Z$11,COUNT($BE$24:$BE$123)&gt;24),INDEX($BJ$24:$BJ$123,(COUNT($BE$24:$BE$123)-24))*$B$27*$B$26,"")</f>
        <v/>
      </c>
      <c r="Q48" s="110" t="str">
        <f>IF(AND($Z$11,COUNT($BE$24:$BE$123)&gt;24),$B$35,"")</f>
        <v/>
      </c>
      <c r="R48" s="110" t="str">
        <f>IF(AND($Z$11,COUNT($BE$24:$BE$123)&gt;24),INDEX($BL$24:$BL$123,(COUNT($BE$24:$BE$123)-24)),"")</f>
        <v/>
      </c>
      <c r="S48" s="110" t="str">
        <f>IF(AND($Z$11,COUNT($BE$24:$BE$123)&gt;24),INDEX($BM$24:$BM$123,(COUNT($BE$24:$BE$123)-24)),"")</f>
        <v/>
      </c>
      <c r="T48" s="110" t="str">
        <f>IF(AND($Z$11,COUNT($BE$24:$BE$123)&gt;24),INDEX($BN$24:$BN$123,(COUNT($BE$24:$BE$123)-24)),"")</f>
        <v/>
      </c>
      <c r="W48" s="12"/>
      <c r="X48" s="12"/>
      <c r="Y48" s="12"/>
      <c r="Z48" s="12"/>
      <c r="AA48" s="12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D48" s="12">
        <f>25</f>
        <v>25</v>
      </c>
      <c r="BE48" s="32"/>
      <c r="BF48" s="32"/>
      <c r="BG48" s="32" t="str">
        <f>IF(BO48="OK",SUM($BE$24:BE48)-BE48,"")</f>
        <v/>
      </c>
      <c r="BH48" s="32" t="str">
        <f t="shared" si="0"/>
        <v/>
      </c>
      <c r="BI48" s="32" t="str">
        <f>IF(AND(BO48="OK",$Z$7),MAX('Wind Load Check'!$B$29,1.1+0.055*('Wind Load Check'!$B$23/'Wind Load Check'!$B$8)/EXP(ABS(LN((0.6*BF48/'Wind Load Check'!$B$8)*(1-0.011*'Wind Load Check'!$B$23/'Wind Load Check'!$B$8)))^(1.7-0.0013*('Wind Load Check'!$B$23/BF48)^2))),"")</f>
        <v/>
      </c>
      <c r="BJ48" s="32" t="str">
        <f t="shared" si="1"/>
        <v/>
      </c>
      <c r="BK48" s="32" t="str">
        <f>IF(AND(BO48="OK",$Z$7),BJ48*'Wind Load Check'!$B$26*'Wind Load Check'!$B$27*BI48*'Wind Load Check'!$B$35,"")</f>
        <v/>
      </c>
      <c r="BL48" s="32" t="str">
        <f t="shared" si="2"/>
        <v/>
      </c>
      <c r="BM48" s="32" t="str">
        <f>IF(AND(BO48="OK",ISNUMBER('Uplift Check'!$B$38)),(BG48+BH48)/2+'Uplift Check'!$B$38,"")</f>
        <v/>
      </c>
      <c r="BN48" s="32" t="str">
        <f t="shared" si="3"/>
        <v/>
      </c>
      <c r="BO48" s="32" t="str">
        <f t="shared" si="7"/>
        <v/>
      </c>
      <c r="BP48" s="32" t="str">
        <f t="shared" si="4"/>
        <v/>
      </c>
      <c r="BQ48" s="32" t="str">
        <f t="shared" si="5"/>
        <v/>
      </c>
      <c r="BR48" s="32" t="str">
        <f t="shared" si="6"/>
        <v/>
      </c>
    </row>
    <row r="49" spans="1:70" ht="30" customHeight="1">
      <c r="A49" s="36" t="s">
        <v>220</v>
      </c>
      <c r="B49" s="37" t="str">
        <f>IF(Z11,SUMPRODUCT(BE24:BE123,BF24:BF123),"")</f>
        <v/>
      </c>
      <c r="C49" s="36" t="s">
        <v>221</v>
      </c>
      <c r="D49" s="36" t="s">
        <v>222</v>
      </c>
      <c r="E49" s="36"/>
      <c r="F49" s="12"/>
      <c r="G49" s="12"/>
      <c r="H49" s="109" t="str">
        <f>IF(AND($Z$11,COUNT($BE$24:$BE$123)&gt;25),INDEX($BD$24:$BD$123,(COUNT($BE$24:$BE$123)-25)),"")</f>
        <v/>
      </c>
      <c r="I49" s="110" t="str">
        <f>IF(AND($Z$11,COUNT($BE$24:$BE$123)&gt;25),INDEX($BH$24:$BH$123,(COUNT($BE$24:$BE$123)-25))+'Uplift Check'!$B$25,"")</f>
        <v/>
      </c>
      <c r="J49" s="110" t="str">
        <f>IF(AND($Z$11,COUNT($BE$24:$BE$123)&gt;25),INDEX($BF$24:$BF$123,(COUNT($BE$24:$BE$123)-25)),"")</f>
        <v/>
      </c>
      <c r="K49" s="110" t="str">
        <f>IF(AND($Z$11,COUNT($BE$24:$BE$123)&gt;25),$B$8,"")</f>
        <v/>
      </c>
      <c r="L49" s="110" t="str">
        <f>IF(AND($Z$11,COUNT($BE$24:$BE$123)&gt;25),INDEX($BI$24:$BI$123,(COUNT($BE$24:$BE$123)-25)),"")</f>
        <v/>
      </c>
      <c r="M49" s="110" t="str">
        <f>IF(AND($Z$11,COUNT($BE$24:$BE$123)&gt;25),INDEX($BJ$24:$BJ$123,(COUNT($BE$24:$BE$123)-25)),"")</f>
        <v/>
      </c>
      <c r="N49" s="110" t="str">
        <f>IF(AND($Z$11,COUNT($BE$24:$BE$123)&gt;25),$B$27,"")</f>
        <v/>
      </c>
      <c r="O49" s="110" t="str">
        <f>IF(AND($Z$11,COUNT($BE$24:$BE$123)&gt;25),$B$26,"")</f>
        <v/>
      </c>
      <c r="P49" s="110" t="str">
        <f>IF(AND($Z$11,COUNT($BE$24:$BE$123)&gt;25),INDEX($BJ$24:$BJ$123,(COUNT($BE$24:$BE$123)-25))*$B$27*$B$26,"")</f>
        <v/>
      </c>
      <c r="Q49" s="110" t="str">
        <f>IF(AND($Z$11,COUNT($BE$24:$BE$123)&gt;25),$B$35,"")</f>
        <v/>
      </c>
      <c r="R49" s="110" t="str">
        <f>IF(AND($Z$11,COUNT($BE$24:$BE$123)&gt;25),INDEX($BL$24:$BL$123,(COUNT($BE$24:$BE$123)-25)),"")</f>
        <v/>
      </c>
      <c r="S49" s="110" t="str">
        <f>IF(AND($Z$11,COUNT($BE$24:$BE$123)&gt;25),INDEX($BM$24:$BM$123,(COUNT($BE$24:$BE$123)-25)),"")</f>
        <v/>
      </c>
      <c r="T49" s="110" t="str">
        <f>IF(AND($Z$11,COUNT($BE$24:$BE$123)&gt;25),INDEX($BN$24:$BN$123,(COUNT($BE$24:$BE$123)-25)),"")</f>
        <v/>
      </c>
      <c r="W49" s="12"/>
      <c r="X49" s="12"/>
      <c r="Y49" s="12"/>
      <c r="Z49" s="12"/>
      <c r="AA49" s="12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D49" s="12">
        <f>26</f>
        <v>26</v>
      </c>
      <c r="BE49" s="32"/>
      <c r="BF49" s="32"/>
      <c r="BG49" s="32" t="str">
        <f>IF(BO49="OK",SUM($BE$24:BE49)-BE49,"")</f>
        <v/>
      </c>
      <c r="BH49" s="32" t="str">
        <f t="shared" si="0"/>
        <v/>
      </c>
      <c r="BI49" s="32" t="str">
        <f>IF(AND(BO49="OK",$Z$7),MAX('Wind Load Check'!$B$29,1.1+0.055*('Wind Load Check'!$B$23/'Wind Load Check'!$B$8)/EXP(ABS(LN((0.6*BF49/'Wind Load Check'!$B$8)*(1-0.011*'Wind Load Check'!$B$23/'Wind Load Check'!$B$8)))^(1.7-0.0013*('Wind Load Check'!$B$23/BF49)^2))),"")</f>
        <v/>
      </c>
      <c r="BJ49" s="32" t="str">
        <f t="shared" si="1"/>
        <v/>
      </c>
      <c r="BK49" s="32" t="str">
        <f>IF(AND(BO49="OK",$Z$7),BJ49*'Wind Load Check'!$B$26*'Wind Load Check'!$B$27*BI49*'Wind Load Check'!$B$35,"")</f>
        <v/>
      </c>
      <c r="BL49" s="32" t="str">
        <f t="shared" si="2"/>
        <v/>
      </c>
      <c r="BM49" s="32" t="str">
        <f>IF(AND(BO49="OK",ISNUMBER('Uplift Check'!$B$38)),(BG49+BH49)/2+'Uplift Check'!$B$38,"")</f>
        <v/>
      </c>
      <c r="BN49" s="32" t="str">
        <f t="shared" si="3"/>
        <v/>
      </c>
      <c r="BO49" s="32" t="str">
        <f t="shared" si="7"/>
        <v/>
      </c>
      <c r="BP49" s="32" t="str">
        <f t="shared" si="4"/>
        <v/>
      </c>
      <c r="BQ49" s="32" t="str">
        <f t="shared" si="5"/>
        <v/>
      </c>
      <c r="BR49" s="32" t="str">
        <f t="shared" si="6"/>
        <v/>
      </c>
    </row>
    <row r="50" spans="1:70" ht="30" customHeight="1">
      <c r="A50" s="36" t="s">
        <v>223</v>
      </c>
      <c r="B50" s="37" t="str">
        <f>IF(AND(ISNUMBER(B49),B49&gt;0,ISNUMBER(K12)),K12/B49,"")</f>
        <v/>
      </c>
      <c r="C50" s="36" t="s">
        <v>35</v>
      </c>
      <c r="D50" s="36" t="s">
        <v>224</v>
      </c>
      <c r="E50" s="36" t="s">
        <v>228</v>
      </c>
      <c r="F50" s="12"/>
      <c r="G50" s="12"/>
      <c r="H50" s="109" t="str">
        <f>IF(AND($Z$11,COUNT($BE$24:$BE$123)&gt;26),INDEX($BD$24:$BD$123,(COUNT($BE$24:$BE$123)-26)),"")</f>
        <v/>
      </c>
      <c r="I50" s="110" t="str">
        <f>IF(AND($Z$11,COUNT($BE$24:$BE$123)&gt;26),INDEX($BH$24:$BH$123,(COUNT($BE$24:$BE$123)-26))+'Uplift Check'!$B$25,"")</f>
        <v/>
      </c>
      <c r="J50" s="110" t="str">
        <f>IF(AND($Z$11,COUNT($BE$24:$BE$123)&gt;26),INDEX($BF$24:$BF$123,(COUNT($BE$24:$BE$123)-26)),"")</f>
        <v/>
      </c>
      <c r="K50" s="110" t="str">
        <f>IF(AND($Z$11,COUNT($BE$24:$BE$123)&gt;26),$B$8,"")</f>
        <v/>
      </c>
      <c r="L50" s="110" t="str">
        <f>IF(AND($Z$11,COUNT($BE$24:$BE$123)&gt;26),INDEX($BI$24:$BI$123,(COUNT($BE$24:$BE$123)-26)),"")</f>
        <v/>
      </c>
      <c r="M50" s="110" t="str">
        <f>IF(AND($Z$11,COUNT($BE$24:$BE$123)&gt;26),INDEX($BJ$24:$BJ$123,(COUNT($BE$24:$BE$123)-26)),"")</f>
        <v/>
      </c>
      <c r="N50" s="110" t="str">
        <f>IF(AND($Z$11,COUNT($BE$24:$BE$123)&gt;26),$B$27,"")</f>
        <v/>
      </c>
      <c r="O50" s="110" t="str">
        <f>IF(AND($Z$11,COUNT($BE$24:$BE$123)&gt;26),$B$26,"")</f>
        <v/>
      </c>
      <c r="P50" s="110" t="str">
        <f>IF(AND($Z$11,COUNT($BE$24:$BE$123)&gt;26),INDEX($BJ$24:$BJ$123,(COUNT($BE$24:$BE$123)-26))*$B$27*$B$26,"")</f>
        <v/>
      </c>
      <c r="Q50" s="110" t="str">
        <f>IF(AND($Z$11,COUNT($BE$24:$BE$123)&gt;26),$B$35,"")</f>
        <v/>
      </c>
      <c r="R50" s="110" t="str">
        <f>IF(AND($Z$11,COUNT($BE$24:$BE$123)&gt;26),INDEX($BL$24:$BL$123,(COUNT($BE$24:$BE$123)-26)),"")</f>
        <v/>
      </c>
      <c r="S50" s="110" t="str">
        <f>IF(AND($Z$11,COUNT($BE$24:$BE$123)&gt;26),INDEX($BM$24:$BM$123,(COUNT($BE$24:$BE$123)-26)),"")</f>
        <v/>
      </c>
      <c r="T50" s="110" t="str">
        <f>IF(AND($Z$11,COUNT($BE$24:$BE$123)&gt;26),INDEX($BN$24:$BN$123,(COUNT($BE$24:$BE$123)-26)),"")</f>
        <v/>
      </c>
      <c r="W50" s="12"/>
      <c r="X50" s="12"/>
      <c r="Y50" s="12"/>
      <c r="Z50" s="12"/>
      <c r="AA50" s="12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D50" s="12">
        <f>27</f>
        <v>27</v>
      </c>
      <c r="BE50" s="32"/>
      <c r="BF50" s="32"/>
      <c r="BG50" s="32" t="str">
        <f>IF(BO50="OK",SUM($BE$24:BE50)-BE50,"")</f>
        <v/>
      </c>
      <c r="BH50" s="32" t="str">
        <f t="shared" si="0"/>
        <v/>
      </c>
      <c r="BI50" s="32" t="str">
        <f>IF(AND(BO50="OK",$Z$7),MAX('Wind Load Check'!$B$29,1.1+0.055*('Wind Load Check'!$B$23/'Wind Load Check'!$B$8)/EXP(ABS(LN((0.6*BF50/'Wind Load Check'!$B$8)*(1-0.011*'Wind Load Check'!$B$23/'Wind Load Check'!$B$8)))^(1.7-0.0013*('Wind Load Check'!$B$23/BF50)^2))),"")</f>
        <v/>
      </c>
      <c r="BJ50" s="32" t="str">
        <f t="shared" si="1"/>
        <v/>
      </c>
      <c r="BK50" s="32" t="str">
        <f>IF(AND(BO50="OK",$Z$7),BJ50*'Wind Load Check'!$B$26*'Wind Load Check'!$B$27*BI50*'Wind Load Check'!$B$35,"")</f>
        <v/>
      </c>
      <c r="BL50" s="32" t="str">
        <f t="shared" si="2"/>
        <v/>
      </c>
      <c r="BM50" s="32" t="str">
        <f>IF(AND(BO50="OK",ISNUMBER('Uplift Check'!$B$38)),(BG50+BH50)/2+'Uplift Check'!$B$38,"")</f>
        <v/>
      </c>
      <c r="BN50" s="32" t="str">
        <f t="shared" si="3"/>
        <v/>
      </c>
      <c r="BO50" s="32" t="str">
        <f t="shared" si="7"/>
        <v/>
      </c>
      <c r="BP50" s="32" t="str">
        <f t="shared" si="4"/>
        <v/>
      </c>
      <c r="BQ50" s="32" t="str">
        <f t="shared" si="5"/>
        <v/>
      </c>
      <c r="BR50" s="32" t="str">
        <f t="shared" si="6"/>
        <v/>
      </c>
    </row>
    <row r="51" spans="1:70" ht="30" customHeight="1">
      <c r="A51" s="36" t="s">
        <v>225</v>
      </c>
      <c r="B51" s="37" t="str">
        <f>IF(AND(ISNUMBER(B49),ISNUMBER(B9),B9&gt;0),B49/B9,"")</f>
        <v/>
      </c>
      <c r="C51" s="36" t="s">
        <v>6</v>
      </c>
      <c r="D51" s="36" t="s">
        <v>226</v>
      </c>
      <c r="E51" s="36"/>
      <c r="F51" s="12"/>
      <c r="G51" s="12"/>
      <c r="H51" s="109" t="str">
        <f>IF(AND($Z$11,COUNT($BE$24:$BE$123)&gt;27),INDEX($BD$24:$BD$123,(COUNT($BE$24:$BE$123)-27)),"")</f>
        <v/>
      </c>
      <c r="I51" s="110" t="str">
        <f>IF(AND($Z$11,COUNT($BE$24:$BE$123)&gt;27),INDEX($BH$24:$BH$123,(COUNT($BE$24:$BE$123)-27))+'Uplift Check'!$B$25,"")</f>
        <v/>
      </c>
      <c r="J51" s="110" t="str">
        <f>IF(AND($Z$11,COUNT($BE$24:$BE$123)&gt;27),INDEX($BF$24:$BF$123,(COUNT($BE$24:$BE$123)-27)),"")</f>
        <v/>
      </c>
      <c r="K51" s="110" t="str">
        <f>IF(AND($Z$11,COUNT($BE$24:$BE$123)&gt;27),$B$8,"")</f>
        <v/>
      </c>
      <c r="L51" s="110" t="str">
        <f>IF(AND($Z$11,COUNT($BE$24:$BE$123)&gt;27),INDEX($BI$24:$BI$123,(COUNT($BE$24:$BE$123)-27)),"")</f>
        <v/>
      </c>
      <c r="M51" s="110" t="str">
        <f>IF(AND($Z$11,COUNT($BE$24:$BE$123)&gt;27),INDEX($BJ$24:$BJ$123,(COUNT($BE$24:$BE$123)-27)),"")</f>
        <v/>
      </c>
      <c r="N51" s="110" t="str">
        <f>IF(AND($Z$11,COUNT($BE$24:$BE$123)&gt;27),$B$27,"")</f>
        <v/>
      </c>
      <c r="O51" s="110" t="str">
        <f>IF(AND($Z$11,COUNT($BE$24:$BE$123)&gt;27),$B$26,"")</f>
        <v/>
      </c>
      <c r="P51" s="110" t="str">
        <f>IF(AND($Z$11,COUNT($BE$24:$BE$123)&gt;27),INDEX($BJ$24:$BJ$123,(COUNT($BE$24:$BE$123)-27))*$B$27*$B$26,"")</f>
        <v/>
      </c>
      <c r="Q51" s="110" t="str">
        <f>IF(AND($Z$11,COUNT($BE$24:$BE$123)&gt;27),$B$35,"")</f>
        <v/>
      </c>
      <c r="R51" s="110" t="str">
        <f>IF(AND($Z$11,COUNT($BE$24:$BE$123)&gt;27),INDEX($BL$24:$BL$123,(COUNT($BE$24:$BE$123)-27)),"")</f>
        <v/>
      </c>
      <c r="S51" s="110" t="str">
        <f>IF(AND($Z$11,COUNT($BE$24:$BE$123)&gt;27),INDEX($BM$24:$BM$123,(COUNT($BE$24:$BE$123)-27)),"")</f>
        <v/>
      </c>
      <c r="T51" s="110" t="str">
        <f>IF(AND($Z$11,COUNT($BE$24:$BE$123)&gt;27),INDEX($BN$24:$BN$123,(COUNT($BE$24:$BE$123)-27)),"")</f>
        <v/>
      </c>
      <c r="W51" s="12"/>
      <c r="X51" s="12"/>
      <c r="Y51" s="12"/>
      <c r="Z51" s="12"/>
      <c r="AA51" s="12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D51" s="12">
        <f>28</f>
        <v>28</v>
      </c>
      <c r="BE51" s="32"/>
      <c r="BF51" s="32"/>
      <c r="BG51" s="32" t="str">
        <f>IF(BO51="OK",SUM($BE$24:BE51)-BE51,"")</f>
        <v/>
      </c>
      <c r="BH51" s="32" t="str">
        <f t="shared" si="0"/>
        <v/>
      </c>
      <c r="BI51" s="32" t="str">
        <f>IF(AND(BO51="OK",$Z$7),MAX('Wind Load Check'!$B$29,1.1+0.055*('Wind Load Check'!$B$23/'Wind Load Check'!$B$8)/EXP(ABS(LN((0.6*BF51/'Wind Load Check'!$B$8)*(1-0.011*'Wind Load Check'!$B$23/'Wind Load Check'!$B$8)))^(1.7-0.0013*('Wind Load Check'!$B$23/BF51)^2))),"")</f>
        <v/>
      </c>
      <c r="BJ51" s="32" t="str">
        <f t="shared" si="1"/>
        <v/>
      </c>
      <c r="BK51" s="32" t="str">
        <f>IF(AND(BO51="OK",$Z$7),BJ51*'Wind Load Check'!$B$26*'Wind Load Check'!$B$27*BI51*'Wind Load Check'!$B$35,"")</f>
        <v/>
      </c>
      <c r="BL51" s="32" t="str">
        <f t="shared" si="2"/>
        <v/>
      </c>
      <c r="BM51" s="32" t="str">
        <f>IF(AND(BO51="OK",ISNUMBER('Uplift Check'!$B$38)),(BG51+BH51)/2+'Uplift Check'!$B$38,"")</f>
        <v/>
      </c>
      <c r="BN51" s="32" t="str">
        <f t="shared" si="3"/>
        <v/>
      </c>
      <c r="BO51" s="32" t="str">
        <f t="shared" si="7"/>
        <v/>
      </c>
      <c r="BP51" s="32" t="str">
        <f t="shared" si="4"/>
        <v/>
      </c>
      <c r="BQ51" s="32" t="str">
        <f t="shared" si="5"/>
        <v/>
      </c>
      <c r="BR51" s="32" t="str">
        <f t="shared" si="6"/>
        <v/>
      </c>
    </row>
    <row r="52" spans="1:70" ht="30" customHeight="1">
      <c r="A52" s="36" t="s">
        <v>364</v>
      </c>
      <c r="B52" s="37" t="str">
        <f>IF(AND(ISNUMBER(K12),K12&gt;0,ISNUMBER(K13)),K13/K12,"")</f>
        <v/>
      </c>
      <c r="C52" s="36" t="s">
        <v>6</v>
      </c>
      <c r="D52" s="36" t="s">
        <v>227</v>
      </c>
      <c r="E52" s="36" t="s">
        <v>365</v>
      </c>
      <c r="F52" s="12"/>
      <c r="G52" s="12"/>
      <c r="H52" s="109" t="str">
        <f>IF(AND($Z$11,COUNT($BE$24:$BE$123)&gt;28),INDEX($BD$24:$BD$123,(COUNT($BE$24:$BE$123)-28)),"")</f>
        <v/>
      </c>
      <c r="I52" s="110" t="str">
        <f>IF(AND($Z$11,COUNT($BE$24:$BE$123)&gt;28),INDEX($BH$24:$BH$123,(COUNT($BE$24:$BE$123)-28))+'Uplift Check'!$B$25,"")</f>
        <v/>
      </c>
      <c r="J52" s="110" t="str">
        <f>IF(AND($Z$11,COUNT($BE$24:$BE$123)&gt;28),INDEX($BF$24:$BF$123,(COUNT($BE$24:$BE$123)-28)),"")</f>
        <v/>
      </c>
      <c r="K52" s="110" t="str">
        <f>IF(AND($Z$11,COUNT($BE$24:$BE$123)&gt;28),$B$8,"")</f>
        <v/>
      </c>
      <c r="L52" s="110" t="str">
        <f>IF(AND($Z$11,COUNT($BE$24:$BE$123)&gt;28),INDEX($BI$24:$BI$123,(COUNT($BE$24:$BE$123)-28)),"")</f>
        <v/>
      </c>
      <c r="M52" s="110" t="str">
        <f>IF(AND($Z$11,COUNT($BE$24:$BE$123)&gt;28),INDEX($BJ$24:$BJ$123,(COUNT($BE$24:$BE$123)-28)),"")</f>
        <v/>
      </c>
      <c r="N52" s="110" t="str">
        <f>IF(AND($Z$11,COUNT($BE$24:$BE$123)&gt;28),$B$27,"")</f>
        <v/>
      </c>
      <c r="O52" s="110" t="str">
        <f>IF(AND($Z$11,COUNT($BE$24:$BE$123)&gt;28),$B$26,"")</f>
        <v/>
      </c>
      <c r="P52" s="110" t="str">
        <f>IF(AND($Z$11,COUNT($BE$24:$BE$123)&gt;28),INDEX($BJ$24:$BJ$123,(COUNT($BE$24:$BE$123)-28))*$B$27*$B$26,"")</f>
        <v/>
      </c>
      <c r="Q52" s="110" t="str">
        <f>IF(AND($Z$11,COUNT($BE$24:$BE$123)&gt;28),$B$35,"")</f>
        <v/>
      </c>
      <c r="R52" s="110" t="str">
        <f>IF(AND($Z$11,COUNT($BE$24:$BE$123)&gt;28),INDEX($BL$24:$BL$123,(COUNT($BE$24:$BE$123)-28)),"")</f>
        <v/>
      </c>
      <c r="S52" s="110" t="str">
        <f>IF(AND($Z$11,COUNT($BE$24:$BE$123)&gt;28),INDEX($BM$24:$BM$123,(COUNT($BE$24:$BE$123)-28)),"")</f>
        <v/>
      </c>
      <c r="T52" s="110" t="str">
        <f>IF(AND($Z$11,COUNT($BE$24:$BE$123)&gt;28),INDEX($BN$24:$BN$123,(COUNT($BE$24:$BE$123)-28)),"")</f>
        <v/>
      </c>
      <c r="W52" s="12"/>
      <c r="X52" s="12"/>
      <c r="Y52" s="12"/>
      <c r="Z52" s="12"/>
      <c r="AA52" s="12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D52" s="12">
        <f>29</f>
        <v>29</v>
      </c>
      <c r="BE52" s="32"/>
      <c r="BF52" s="32"/>
      <c r="BG52" s="32" t="str">
        <f>IF(BO52="OK",SUM($BE$24:BE52)-BE52,"")</f>
        <v/>
      </c>
      <c r="BH52" s="32" t="str">
        <f t="shared" si="0"/>
        <v/>
      </c>
      <c r="BI52" s="32" t="str">
        <f>IF(AND(BO52="OK",$Z$7),MAX('Wind Load Check'!$B$29,1.1+0.055*('Wind Load Check'!$B$23/'Wind Load Check'!$B$8)/EXP(ABS(LN((0.6*BF52/'Wind Load Check'!$B$8)*(1-0.011*'Wind Load Check'!$B$23/'Wind Load Check'!$B$8)))^(1.7-0.0013*('Wind Load Check'!$B$23/BF52)^2))),"")</f>
        <v/>
      </c>
      <c r="BJ52" s="32" t="str">
        <f t="shared" si="1"/>
        <v/>
      </c>
      <c r="BK52" s="32" t="str">
        <f>IF(AND(BO52="OK",$Z$7),BJ52*'Wind Load Check'!$B$26*'Wind Load Check'!$B$27*BI52*'Wind Load Check'!$B$35,"")</f>
        <v/>
      </c>
      <c r="BL52" s="32" t="str">
        <f t="shared" si="2"/>
        <v/>
      </c>
      <c r="BM52" s="32" t="str">
        <f>IF(AND(BO52="OK",ISNUMBER('Uplift Check'!$B$38)),(BG52+BH52)/2+'Uplift Check'!$B$38,"")</f>
        <v/>
      </c>
      <c r="BN52" s="32" t="str">
        <f t="shared" si="3"/>
        <v/>
      </c>
      <c r="BO52" s="32" t="str">
        <f t="shared" si="7"/>
        <v/>
      </c>
      <c r="BP52" s="32" t="str">
        <f t="shared" si="4"/>
        <v/>
      </c>
      <c r="BQ52" s="32" t="str">
        <f t="shared" si="5"/>
        <v/>
      </c>
      <c r="BR52" s="32" t="str">
        <f t="shared" si="6"/>
        <v/>
      </c>
    </row>
    <row r="53" spans="1:70" ht="22.05" customHeight="1">
      <c r="A53" s="38"/>
      <c r="B53" s="38"/>
      <c r="C53" s="38"/>
      <c r="D53" s="38"/>
      <c r="E53" s="38"/>
      <c r="F53" s="12"/>
      <c r="G53" s="12"/>
      <c r="H53" s="109" t="str">
        <f>IF(AND($Z$11,COUNT($BE$24:$BE$123)&gt;29),INDEX($BD$24:$BD$123,(COUNT($BE$24:$BE$123)-29)),"")</f>
        <v/>
      </c>
      <c r="I53" s="110" t="str">
        <f>IF(AND($Z$11,COUNT($BE$24:$BE$123)&gt;29),INDEX($BH$24:$BH$123,(COUNT($BE$24:$BE$123)-29))+'Uplift Check'!$B$25,"")</f>
        <v/>
      </c>
      <c r="J53" s="110" t="str">
        <f>IF(AND($Z$11,COUNT($BE$24:$BE$123)&gt;29),INDEX($BF$24:$BF$123,(COUNT($BE$24:$BE$123)-29)),"")</f>
        <v/>
      </c>
      <c r="K53" s="110" t="str">
        <f>IF(AND($Z$11,COUNT($BE$24:$BE$123)&gt;29),$B$8,"")</f>
        <v/>
      </c>
      <c r="L53" s="110" t="str">
        <f>IF(AND($Z$11,COUNT($BE$24:$BE$123)&gt;29),INDEX($BI$24:$BI$123,(COUNT($BE$24:$BE$123)-29)),"")</f>
        <v/>
      </c>
      <c r="M53" s="110" t="str">
        <f>IF(AND($Z$11,COUNT($BE$24:$BE$123)&gt;29),INDEX($BJ$24:$BJ$123,(COUNT($BE$24:$BE$123)-29)),"")</f>
        <v/>
      </c>
      <c r="N53" s="110" t="str">
        <f>IF(AND($Z$11,COUNT($BE$24:$BE$123)&gt;29),$B$27,"")</f>
        <v/>
      </c>
      <c r="O53" s="110" t="str">
        <f>IF(AND($Z$11,COUNT($BE$24:$BE$123)&gt;29),$B$26,"")</f>
        <v/>
      </c>
      <c r="P53" s="110" t="str">
        <f>IF(AND($Z$11,COUNT($BE$24:$BE$123)&gt;29),INDEX($BJ$24:$BJ$123,(COUNT($BE$24:$BE$123)-29))*$B$27*$B$26,"")</f>
        <v/>
      </c>
      <c r="Q53" s="110" t="str">
        <f>IF(AND($Z$11,COUNT($BE$24:$BE$123)&gt;29),$B$35,"")</f>
        <v/>
      </c>
      <c r="R53" s="110" t="str">
        <f>IF(AND($Z$11,COUNT($BE$24:$BE$123)&gt;29),INDEX($BL$24:$BL$123,(COUNT($BE$24:$BE$123)-29)),"")</f>
        <v/>
      </c>
      <c r="S53" s="110" t="str">
        <f>IF(AND($Z$11,COUNT($BE$24:$BE$123)&gt;29),INDEX($BM$24:$BM$123,(COUNT($BE$24:$BE$123)-29)),"")</f>
        <v/>
      </c>
      <c r="T53" s="110" t="str">
        <f>IF(AND($Z$11,COUNT($BE$24:$BE$123)&gt;29),INDEX($BN$24:$BN$123,(COUNT($BE$24:$BE$123)-29)),"")</f>
        <v/>
      </c>
      <c r="W53" s="12"/>
      <c r="X53" s="12"/>
      <c r="Y53" s="12"/>
      <c r="Z53" s="12"/>
      <c r="AA53" s="12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D53" s="12">
        <f>30</f>
        <v>30</v>
      </c>
      <c r="BE53" s="32"/>
      <c r="BF53" s="32"/>
      <c r="BG53" s="32" t="str">
        <f>IF(BO53="OK",SUM($BE$24:BE53)-BE53,"")</f>
        <v/>
      </c>
      <c r="BH53" s="32" t="str">
        <f t="shared" si="0"/>
        <v/>
      </c>
      <c r="BI53" s="32" t="str">
        <f>IF(AND(BO53="OK",$Z$7),MAX('Wind Load Check'!$B$29,1.1+0.055*('Wind Load Check'!$B$23/'Wind Load Check'!$B$8)/EXP(ABS(LN((0.6*BF53/'Wind Load Check'!$B$8)*(1-0.011*'Wind Load Check'!$B$23/'Wind Load Check'!$B$8)))^(1.7-0.0013*('Wind Load Check'!$B$23/BF53)^2))),"")</f>
        <v/>
      </c>
      <c r="BJ53" s="32" t="str">
        <f t="shared" si="1"/>
        <v/>
      </c>
      <c r="BK53" s="32" t="str">
        <f>IF(AND(BO53="OK",$Z$7),BJ53*'Wind Load Check'!$B$26*'Wind Load Check'!$B$27*BI53*'Wind Load Check'!$B$35,"")</f>
        <v/>
      </c>
      <c r="BL53" s="32" t="str">
        <f t="shared" si="2"/>
        <v/>
      </c>
      <c r="BM53" s="32" t="str">
        <f>IF(AND(BO53="OK",ISNUMBER('Uplift Check'!$B$38)),(BG53+BH53)/2+'Uplift Check'!$B$38,"")</f>
        <v/>
      </c>
      <c r="BN53" s="32" t="str">
        <f t="shared" si="3"/>
        <v/>
      </c>
      <c r="BO53" s="32" t="str">
        <f t="shared" si="7"/>
        <v/>
      </c>
      <c r="BP53" s="32" t="str">
        <f t="shared" si="4"/>
        <v/>
      </c>
      <c r="BQ53" s="32" t="str">
        <f t="shared" si="5"/>
        <v/>
      </c>
      <c r="BR53" s="32" t="str">
        <f t="shared" si="6"/>
        <v/>
      </c>
    </row>
    <row r="54" spans="1:70" ht="22.05" customHeight="1">
      <c r="A54" s="38"/>
      <c r="B54" s="38"/>
      <c r="C54" s="38"/>
      <c r="D54" s="38"/>
      <c r="E54" s="38"/>
      <c r="F54" s="12"/>
      <c r="G54" s="12"/>
      <c r="H54" s="109" t="str">
        <f>IF(AND($Z$11,COUNT($BE$24:$BE$123)&gt;30),INDEX($BD$24:$BD$123,(COUNT($BE$24:$BE$123)-30)),"")</f>
        <v/>
      </c>
      <c r="I54" s="110" t="str">
        <f>IF(AND($Z$11,COUNT($BE$24:$BE$123)&gt;30),INDEX($BH$24:$BH$123,(COUNT($BE$24:$BE$123)-30))+'Uplift Check'!$B$25,"")</f>
        <v/>
      </c>
      <c r="J54" s="110" t="str">
        <f>IF(AND($Z$11,COUNT($BE$24:$BE$123)&gt;30),INDEX($BF$24:$BF$123,(COUNT($BE$24:$BE$123)-30)),"")</f>
        <v/>
      </c>
      <c r="K54" s="110" t="str">
        <f>IF(AND($Z$11,COUNT($BE$24:$BE$123)&gt;30),$B$8,"")</f>
        <v/>
      </c>
      <c r="L54" s="110" t="str">
        <f>IF(AND($Z$11,COUNT($BE$24:$BE$123)&gt;30),INDEX($BI$24:$BI$123,(COUNT($BE$24:$BE$123)-30)),"")</f>
        <v/>
      </c>
      <c r="M54" s="110" t="str">
        <f>IF(AND($Z$11,COUNT($BE$24:$BE$123)&gt;30),INDEX($BJ$24:$BJ$123,(COUNT($BE$24:$BE$123)-30)),"")</f>
        <v/>
      </c>
      <c r="N54" s="110" t="str">
        <f>IF(AND($Z$11,COUNT($BE$24:$BE$123)&gt;30),$B$27,"")</f>
        <v/>
      </c>
      <c r="O54" s="110" t="str">
        <f>IF(AND($Z$11,COUNT($BE$24:$BE$123)&gt;30),$B$26,"")</f>
        <v/>
      </c>
      <c r="P54" s="110" t="str">
        <f>IF(AND($Z$11,COUNT($BE$24:$BE$123)&gt;30),INDEX($BJ$24:$BJ$123,(COUNT($BE$24:$BE$123)-30))*$B$27*$B$26,"")</f>
        <v/>
      </c>
      <c r="Q54" s="110" t="str">
        <f>IF(AND($Z$11,COUNT($BE$24:$BE$123)&gt;30),$B$35,"")</f>
        <v/>
      </c>
      <c r="R54" s="110" t="str">
        <f>IF(AND($Z$11,COUNT($BE$24:$BE$123)&gt;30),INDEX($BL$24:$BL$123,(COUNT($BE$24:$BE$123)-30)),"")</f>
        <v/>
      </c>
      <c r="S54" s="110" t="str">
        <f>IF(AND($Z$11,COUNT($BE$24:$BE$123)&gt;30),INDEX($BM$24:$BM$123,(COUNT($BE$24:$BE$123)-30)),"")</f>
        <v/>
      </c>
      <c r="T54" s="110" t="str">
        <f>IF(AND($Z$11,COUNT($BE$24:$BE$123)&gt;30),INDEX($BN$24:$BN$123,(COUNT($BE$24:$BE$123)-30)),"")</f>
        <v/>
      </c>
      <c r="W54" s="12"/>
      <c r="X54" s="12"/>
      <c r="Y54" s="12"/>
      <c r="Z54" s="12"/>
      <c r="AA54" s="12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D54" s="12">
        <f>31</f>
        <v>31</v>
      </c>
      <c r="BE54" s="32"/>
      <c r="BF54" s="32"/>
      <c r="BG54" s="32" t="str">
        <f>IF(BO54="OK",SUM($BE$24:BE54)-BE54,"")</f>
        <v/>
      </c>
      <c r="BH54" s="32" t="str">
        <f t="shared" si="0"/>
        <v/>
      </c>
      <c r="BI54" s="32" t="str">
        <f>IF(AND(BO54="OK",$Z$7),MAX('Wind Load Check'!$B$29,1.1+0.055*('Wind Load Check'!$B$23/'Wind Load Check'!$B$8)/EXP(ABS(LN((0.6*BF54/'Wind Load Check'!$B$8)*(1-0.011*'Wind Load Check'!$B$23/'Wind Load Check'!$B$8)))^(1.7-0.0013*('Wind Load Check'!$B$23/BF54)^2))),"")</f>
        <v/>
      </c>
      <c r="BJ54" s="32" t="str">
        <f t="shared" si="1"/>
        <v/>
      </c>
      <c r="BK54" s="32" t="str">
        <f>IF(AND(BO54="OK",$Z$7),BJ54*'Wind Load Check'!$B$26*'Wind Load Check'!$B$27*BI54*'Wind Load Check'!$B$35,"")</f>
        <v/>
      </c>
      <c r="BL54" s="32" t="str">
        <f t="shared" si="2"/>
        <v/>
      </c>
      <c r="BM54" s="32" t="str">
        <f>IF(AND(BO54="OK",ISNUMBER('Uplift Check'!$B$38)),(BG54+BH54)/2+'Uplift Check'!$B$38,"")</f>
        <v/>
      </c>
      <c r="BN54" s="32" t="str">
        <f t="shared" si="3"/>
        <v/>
      </c>
      <c r="BO54" s="32" t="str">
        <f t="shared" si="7"/>
        <v/>
      </c>
      <c r="BP54" s="32" t="str">
        <f t="shared" si="4"/>
        <v/>
      </c>
      <c r="BQ54" s="32" t="str">
        <f t="shared" si="5"/>
        <v/>
      </c>
      <c r="BR54" s="32" t="str">
        <f t="shared" si="6"/>
        <v/>
      </c>
    </row>
    <row r="55" spans="1:70" ht="22.05" customHeight="1">
      <c r="A55" s="38"/>
      <c r="B55" s="38"/>
      <c r="C55" s="38"/>
      <c r="D55" s="38"/>
      <c r="E55" s="38"/>
      <c r="F55" s="12"/>
      <c r="G55" s="12"/>
      <c r="H55" s="109" t="str">
        <f>IF(AND($Z$11,COUNT($BE$24:$BE$123)&gt;31),INDEX($BD$24:$BD$123,(COUNT($BE$24:$BE$123)-31)),"")</f>
        <v/>
      </c>
      <c r="I55" s="110" t="str">
        <f>IF(AND($Z$11,COUNT($BE$24:$BE$123)&gt;31),INDEX($BH$24:$BH$123,(COUNT($BE$24:$BE$123)-31))+'Uplift Check'!$B$25,"")</f>
        <v/>
      </c>
      <c r="J55" s="110" t="str">
        <f>IF(AND($Z$11,COUNT($BE$24:$BE$123)&gt;31),INDEX($BF$24:$BF$123,(COUNT($BE$24:$BE$123)-31)),"")</f>
        <v/>
      </c>
      <c r="K55" s="110" t="str">
        <f>IF(AND($Z$11,COUNT($BE$24:$BE$123)&gt;31),$B$8,"")</f>
        <v/>
      </c>
      <c r="L55" s="110" t="str">
        <f>IF(AND($Z$11,COUNT($BE$24:$BE$123)&gt;31),INDEX($BI$24:$BI$123,(COUNT($BE$24:$BE$123)-31)),"")</f>
        <v/>
      </c>
      <c r="M55" s="110" t="str">
        <f>IF(AND($Z$11,COUNT($BE$24:$BE$123)&gt;31),INDEX($BJ$24:$BJ$123,(COUNT($BE$24:$BE$123)-31)),"")</f>
        <v/>
      </c>
      <c r="N55" s="110" t="str">
        <f>IF(AND($Z$11,COUNT($BE$24:$BE$123)&gt;31),$B$27,"")</f>
        <v/>
      </c>
      <c r="O55" s="110" t="str">
        <f>IF(AND($Z$11,COUNT($BE$24:$BE$123)&gt;31),$B$26,"")</f>
        <v/>
      </c>
      <c r="P55" s="110" t="str">
        <f>IF(AND($Z$11,COUNT($BE$24:$BE$123)&gt;31),INDEX($BJ$24:$BJ$123,(COUNT($BE$24:$BE$123)-31))*$B$27*$B$26,"")</f>
        <v/>
      </c>
      <c r="Q55" s="110" t="str">
        <f>IF(AND($Z$11,COUNT($BE$24:$BE$123)&gt;31),$B$35,"")</f>
        <v/>
      </c>
      <c r="R55" s="110" t="str">
        <f>IF(AND($Z$11,COUNT($BE$24:$BE$123)&gt;31),INDEX($BL$24:$BL$123,(COUNT($BE$24:$BE$123)-31)),"")</f>
        <v/>
      </c>
      <c r="S55" s="110" t="str">
        <f>IF(AND($Z$11,COUNT($BE$24:$BE$123)&gt;31),INDEX($BM$24:$BM$123,(COUNT($BE$24:$BE$123)-31)),"")</f>
        <v/>
      </c>
      <c r="T55" s="110" t="str">
        <f>IF(AND($Z$11,COUNT($BE$24:$BE$123)&gt;31),INDEX($BN$24:$BN$123,(COUNT($BE$24:$BE$123)-31)),"")</f>
        <v/>
      </c>
      <c r="W55" s="12"/>
      <c r="X55" s="12"/>
      <c r="Y55" s="12"/>
      <c r="Z55" s="12"/>
      <c r="AA55" s="12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D55" s="12">
        <f>32</f>
        <v>32</v>
      </c>
      <c r="BE55" s="32"/>
      <c r="BF55" s="32"/>
      <c r="BG55" s="32" t="str">
        <f>IF(BO55="OK",SUM($BE$24:BE55)-BE55,"")</f>
        <v/>
      </c>
      <c r="BH55" s="32" t="str">
        <f t="shared" si="0"/>
        <v/>
      </c>
      <c r="BI55" s="32" t="str">
        <f>IF(AND(BO55="OK",$Z$7),MAX('Wind Load Check'!$B$29,1.1+0.055*('Wind Load Check'!$B$23/'Wind Load Check'!$B$8)/EXP(ABS(LN((0.6*BF55/'Wind Load Check'!$B$8)*(1-0.011*'Wind Load Check'!$B$23/'Wind Load Check'!$B$8)))^(1.7-0.0013*('Wind Load Check'!$B$23/BF55)^2))),"")</f>
        <v/>
      </c>
      <c r="BJ55" s="32" t="str">
        <f t="shared" si="1"/>
        <v/>
      </c>
      <c r="BK55" s="32" t="str">
        <f>IF(AND(BO55="OK",$Z$7),BJ55*'Wind Load Check'!$B$26*'Wind Load Check'!$B$27*BI55*'Wind Load Check'!$B$35,"")</f>
        <v/>
      </c>
      <c r="BL55" s="32" t="str">
        <f t="shared" si="2"/>
        <v/>
      </c>
      <c r="BM55" s="32" t="str">
        <f>IF(AND(BO55="OK",ISNUMBER('Uplift Check'!$B$38)),(BG55+BH55)/2+'Uplift Check'!$B$38,"")</f>
        <v/>
      </c>
      <c r="BN55" s="32" t="str">
        <f t="shared" si="3"/>
        <v/>
      </c>
      <c r="BO55" s="32" t="str">
        <f t="shared" si="7"/>
        <v/>
      </c>
      <c r="BP55" s="32" t="str">
        <f t="shared" si="4"/>
        <v/>
      </c>
      <c r="BQ55" s="32" t="str">
        <f t="shared" si="5"/>
        <v/>
      </c>
      <c r="BR55" s="32" t="str">
        <f t="shared" si="6"/>
        <v/>
      </c>
    </row>
    <row r="56" spans="1:70" ht="22.05" customHeight="1">
      <c r="A56" s="12"/>
      <c r="B56" s="12"/>
      <c r="C56" s="12"/>
      <c r="D56" s="12"/>
      <c r="E56" s="12"/>
      <c r="F56" s="12"/>
      <c r="G56" s="12"/>
      <c r="H56" s="109" t="str">
        <f>IF(AND($Z$11,COUNT($BE$24:$BE$123)&gt;32),INDEX($BD$24:$BD$123,(COUNT($BE$24:$BE$123)-32)),"")</f>
        <v/>
      </c>
      <c r="I56" s="110" t="str">
        <f>IF(AND($Z$11,COUNT($BE$24:$BE$123)&gt;32),INDEX($BH$24:$BH$123,(COUNT($BE$24:$BE$123)-32))+'Uplift Check'!$B$25,"")</f>
        <v/>
      </c>
      <c r="J56" s="110" t="str">
        <f>IF(AND($Z$11,COUNT($BE$24:$BE$123)&gt;32),INDEX($BF$24:$BF$123,(COUNT($BE$24:$BE$123)-32)),"")</f>
        <v/>
      </c>
      <c r="K56" s="110" t="str">
        <f>IF(AND($Z$11,COUNT($BE$24:$BE$123)&gt;32),$B$8,"")</f>
        <v/>
      </c>
      <c r="L56" s="110" t="str">
        <f>IF(AND($Z$11,COUNT($BE$24:$BE$123)&gt;32),INDEX($BI$24:$BI$123,(COUNT($BE$24:$BE$123)-32)),"")</f>
        <v/>
      </c>
      <c r="M56" s="110" t="str">
        <f>IF(AND($Z$11,COUNT($BE$24:$BE$123)&gt;32),INDEX($BJ$24:$BJ$123,(COUNT($BE$24:$BE$123)-32)),"")</f>
        <v/>
      </c>
      <c r="N56" s="110" t="str">
        <f>IF(AND($Z$11,COUNT($BE$24:$BE$123)&gt;32),$B$27,"")</f>
        <v/>
      </c>
      <c r="O56" s="110" t="str">
        <f>IF(AND($Z$11,COUNT($BE$24:$BE$123)&gt;32),$B$26,"")</f>
        <v/>
      </c>
      <c r="P56" s="110" t="str">
        <f>IF(AND($Z$11,COUNT($BE$24:$BE$123)&gt;32),INDEX($BJ$24:$BJ$123,(COUNT($BE$24:$BE$123)-32))*$B$27*$B$26,"")</f>
        <v/>
      </c>
      <c r="Q56" s="110" t="str">
        <f>IF(AND($Z$11,COUNT($BE$24:$BE$123)&gt;32),$B$35,"")</f>
        <v/>
      </c>
      <c r="R56" s="110" t="str">
        <f>IF(AND($Z$11,COUNT($BE$24:$BE$123)&gt;32),INDEX($BL$24:$BL$123,(COUNT($BE$24:$BE$123)-32)),"")</f>
        <v/>
      </c>
      <c r="S56" s="110" t="str">
        <f>IF(AND($Z$11,COUNT($BE$24:$BE$123)&gt;32),INDEX($BM$24:$BM$123,(COUNT($BE$24:$BE$123)-32)),"")</f>
        <v/>
      </c>
      <c r="T56" s="110" t="str">
        <f>IF(AND($Z$11,COUNT($BE$24:$BE$123)&gt;32),INDEX($BN$24:$BN$123,(COUNT($BE$24:$BE$123)-32)),"")</f>
        <v/>
      </c>
      <c r="W56" s="12"/>
      <c r="X56" s="12"/>
      <c r="Y56" s="12"/>
      <c r="Z56" s="12"/>
      <c r="AA56" s="12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D56" s="12">
        <f>33</f>
        <v>33</v>
      </c>
      <c r="BE56" s="32"/>
      <c r="BF56" s="32"/>
      <c r="BG56" s="32" t="str">
        <f>IF(BO56="OK",SUM($BE$24:BE56)-BE56,"")</f>
        <v/>
      </c>
      <c r="BH56" s="32" t="str">
        <f t="shared" ref="BH56:BH87" si="8">IF(BO56="OK",BG56+BE56,"")</f>
        <v/>
      </c>
      <c r="BI56" s="32" t="str">
        <f>IF(AND(BO56="OK",$Z$7),MAX('Wind Load Check'!$B$29,1.1+0.055*('Wind Load Check'!$B$23/'Wind Load Check'!$B$8)/EXP(ABS(LN((0.6*BF56/'Wind Load Check'!$B$8)*(1-0.011*'Wind Load Check'!$B$23/'Wind Load Check'!$B$8)))^(1.7-0.0013*('Wind Load Check'!$B$23/BF56)^2))),"")</f>
        <v/>
      </c>
      <c r="BJ56" s="32" t="str">
        <f t="shared" ref="BJ56:BJ87" si="9">IF(BO56="OK",BQ56/BE56,"")</f>
        <v/>
      </c>
      <c r="BK56" s="32" t="str">
        <f>IF(AND(BO56="OK",$Z$7),BJ56*'Wind Load Check'!$B$26*'Wind Load Check'!$B$27*BI56*'Wind Load Check'!$B$35,"")</f>
        <v/>
      </c>
      <c r="BL56" s="32" t="str">
        <f t="shared" ref="BL56:BL87" si="10">IF(AND(BO56="OK",$Z$7),BK56*BF56*BE56,"")</f>
        <v/>
      </c>
      <c r="BM56" s="32" t="str">
        <f>IF(AND(BO56="OK",ISNUMBER('Uplift Check'!$B$38)),(BG56+BH56)/2+'Uplift Check'!$B$38,"")</f>
        <v/>
      </c>
      <c r="BN56" s="32" t="str">
        <f t="shared" ref="BN56:BN87" si="11">IF(COUNT(BL56:BM56)=2,BL56*BM56,"")</f>
        <v/>
      </c>
      <c r="BO56" s="32" t="str">
        <f t="shared" si="7"/>
        <v/>
      </c>
      <c r="BP56" s="32" t="str">
        <f t="shared" ref="BP56:BP87" si="12">IF(ISNUMBER(BL56),BL56/BE56,"")</f>
        <v/>
      </c>
      <c r="BQ56" s="32" t="str">
        <f t="shared" ref="BQ56:BQ87" si="13">IF(AND(BO56="OK",ISNUMBER($B$23)),1.59*MAX(0,MIN((BH56+$B$23-$B$9),2.5)-(BG56+$B$23-$B$9))+3.7/500^0.16*(MAX((BH56+$B$23-$B$9),2.5)^1.16-MAX((BG56+$B$23-$B$9),2.5)^1.16)/1.16,"")</f>
        <v/>
      </c>
      <c r="BR56" s="32" t="str">
        <f t="shared" ref="BR56:BR87" si="14">IF(AND(BO56="OK",ISNUMBER($B$23)),1.59*(MIN((BH56+$B$23-$B$9),2.5)^2-MIN((BG56+$B$23-$B$9),2.5)^2)/2+3.7/500^0.16*(MAX((BH56+$B$23-$B$9),2.5)^2.16-MAX((BG56+$B$23-$B$9),2.5)^2.16)/2.16-($B$23-$B$9)*BQ56,"")</f>
        <v/>
      </c>
    </row>
    <row r="57" spans="1:70" ht="22.05" customHeight="1">
      <c r="A57" s="12"/>
      <c r="B57" s="12"/>
      <c r="C57" s="12"/>
      <c r="D57" s="12"/>
      <c r="E57" s="12"/>
      <c r="F57" s="12"/>
      <c r="G57" s="12"/>
      <c r="H57" s="109" t="str">
        <f>IF(AND($Z$11,COUNT($BE$24:$BE$123)&gt;33),INDEX($BD$24:$BD$123,(COUNT($BE$24:$BE$123)-33)),"")</f>
        <v/>
      </c>
      <c r="I57" s="110" t="str">
        <f>IF(AND($Z$11,COUNT($BE$24:$BE$123)&gt;33),INDEX($BH$24:$BH$123,(COUNT($BE$24:$BE$123)-33))+'Uplift Check'!$B$25,"")</f>
        <v/>
      </c>
      <c r="J57" s="110" t="str">
        <f>IF(AND($Z$11,COUNT($BE$24:$BE$123)&gt;33),INDEX($BF$24:$BF$123,(COUNT($BE$24:$BE$123)-33)),"")</f>
        <v/>
      </c>
      <c r="K57" s="110" t="str">
        <f>IF(AND($Z$11,COUNT($BE$24:$BE$123)&gt;33),$B$8,"")</f>
        <v/>
      </c>
      <c r="L57" s="110" t="str">
        <f>IF(AND($Z$11,COUNT($BE$24:$BE$123)&gt;33),INDEX($BI$24:$BI$123,(COUNT($BE$24:$BE$123)-33)),"")</f>
        <v/>
      </c>
      <c r="M57" s="110" t="str">
        <f>IF(AND($Z$11,COUNT($BE$24:$BE$123)&gt;33),INDEX($BJ$24:$BJ$123,(COUNT($BE$24:$BE$123)-33)),"")</f>
        <v/>
      </c>
      <c r="N57" s="110" t="str">
        <f>IF(AND($Z$11,COUNT($BE$24:$BE$123)&gt;33),$B$27,"")</f>
        <v/>
      </c>
      <c r="O57" s="110" t="str">
        <f>IF(AND($Z$11,COUNT($BE$24:$BE$123)&gt;33),$B$26,"")</f>
        <v/>
      </c>
      <c r="P57" s="110" t="str">
        <f>IF(AND($Z$11,COUNT($BE$24:$BE$123)&gt;33),INDEX($BJ$24:$BJ$123,(COUNT($BE$24:$BE$123)-33))*$B$27*$B$26,"")</f>
        <v/>
      </c>
      <c r="Q57" s="110" t="str">
        <f>IF(AND($Z$11,COUNT($BE$24:$BE$123)&gt;33),$B$35,"")</f>
        <v/>
      </c>
      <c r="R57" s="110" t="str">
        <f>IF(AND($Z$11,COUNT($BE$24:$BE$123)&gt;33),INDEX($BL$24:$BL$123,(COUNT($BE$24:$BE$123)-33)),"")</f>
        <v/>
      </c>
      <c r="S57" s="110" t="str">
        <f>IF(AND($Z$11,COUNT($BE$24:$BE$123)&gt;33),INDEX($BM$24:$BM$123,(COUNT($BE$24:$BE$123)-33)),"")</f>
        <v/>
      </c>
      <c r="T57" s="110" t="str">
        <f>IF(AND($Z$11,COUNT($BE$24:$BE$123)&gt;33),INDEX($BN$24:$BN$123,(COUNT($BE$24:$BE$123)-33)),"")</f>
        <v/>
      </c>
      <c r="W57" s="12"/>
      <c r="X57" s="12"/>
      <c r="Y57" s="12"/>
      <c r="Z57" s="12"/>
      <c r="AA57" s="12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D57" s="12">
        <f>34</f>
        <v>34</v>
      </c>
      <c r="BE57" s="32"/>
      <c r="BF57" s="32"/>
      <c r="BG57" s="32" t="str">
        <f>IF(BO57="OK",SUM($BE$24:BE57)-BE57,"")</f>
        <v/>
      </c>
      <c r="BH57" s="32" t="str">
        <f t="shared" si="8"/>
        <v/>
      </c>
      <c r="BI57" s="32" t="str">
        <f>IF(AND(BO57="OK",$Z$7),MAX('Wind Load Check'!$B$29,1.1+0.055*('Wind Load Check'!$B$23/'Wind Load Check'!$B$8)/EXP(ABS(LN((0.6*BF57/'Wind Load Check'!$B$8)*(1-0.011*'Wind Load Check'!$B$23/'Wind Load Check'!$B$8)))^(1.7-0.0013*('Wind Load Check'!$B$23/BF57)^2))),"")</f>
        <v/>
      </c>
      <c r="BJ57" s="32" t="str">
        <f t="shared" si="9"/>
        <v/>
      </c>
      <c r="BK57" s="32" t="str">
        <f>IF(AND(BO57="OK",$Z$7),BJ57*'Wind Load Check'!$B$26*'Wind Load Check'!$B$27*BI57*'Wind Load Check'!$B$35,"")</f>
        <v/>
      </c>
      <c r="BL57" s="32" t="str">
        <f t="shared" si="10"/>
        <v/>
      </c>
      <c r="BM57" s="32" t="str">
        <f>IF(AND(BO57="OK",ISNUMBER('Uplift Check'!$B$38)),(BG57+BH57)/2+'Uplift Check'!$B$38,"")</f>
        <v/>
      </c>
      <c r="BN57" s="32" t="str">
        <f t="shared" si="11"/>
        <v/>
      </c>
      <c r="BO57" s="32" t="str">
        <f t="shared" ref="BO57:BO88" si="15">IF(COUNTA(BE57:BF57)=0,"",IF(AND(COUNT(BE57:BF57)=2,MIN(BE57:BF57)&gt;0,BO56="OK"),"OK","INVALID"))</f>
        <v/>
      </c>
      <c r="BP57" s="32" t="str">
        <f t="shared" si="12"/>
        <v/>
      </c>
      <c r="BQ57" s="32" t="str">
        <f t="shared" si="13"/>
        <v/>
      </c>
      <c r="BR57" s="32" t="str">
        <f t="shared" si="14"/>
        <v/>
      </c>
    </row>
    <row r="58" spans="1:70" ht="22.05" customHeight="1">
      <c r="A58" s="12"/>
      <c r="B58" s="12"/>
      <c r="C58" s="12"/>
      <c r="D58" s="12"/>
      <c r="E58" s="12"/>
      <c r="F58" s="12"/>
      <c r="G58" s="12"/>
      <c r="H58" s="109" t="str">
        <f>IF(AND($Z$11,COUNT($BE$24:$BE$123)&gt;34),INDEX($BD$24:$BD$123,(COUNT($BE$24:$BE$123)-34)),"")</f>
        <v/>
      </c>
      <c r="I58" s="110" t="str">
        <f>IF(AND($Z$11,COUNT($BE$24:$BE$123)&gt;34),INDEX($BH$24:$BH$123,(COUNT($BE$24:$BE$123)-34))+'Uplift Check'!$B$25,"")</f>
        <v/>
      </c>
      <c r="J58" s="110" t="str">
        <f>IF(AND($Z$11,COUNT($BE$24:$BE$123)&gt;34),INDEX($BF$24:$BF$123,(COUNT($BE$24:$BE$123)-34)),"")</f>
        <v/>
      </c>
      <c r="K58" s="110" t="str">
        <f>IF(AND($Z$11,COUNT($BE$24:$BE$123)&gt;34),$B$8,"")</f>
        <v/>
      </c>
      <c r="L58" s="110" t="str">
        <f>IF(AND($Z$11,COUNT($BE$24:$BE$123)&gt;34),INDEX($BI$24:$BI$123,(COUNT($BE$24:$BE$123)-34)),"")</f>
        <v/>
      </c>
      <c r="M58" s="110" t="str">
        <f>IF(AND($Z$11,COUNT($BE$24:$BE$123)&gt;34),INDEX($BJ$24:$BJ$123,(COUNT($BE$24:$BE$123)-34)),"")</f>
        <v/>
      </c>
      <c r="N58" s="110" t="str">
        <f>IF(AND($Z$11,COUNT($BE$24:$BE$123)&gt;34),$B$27,"")</f>
        <v/>
      </c>
      <c r="O58" s="110" t="str">
        <f>IF(AND($Z$11,COUNT($BE$24:$BE$123)&gt;34),$B$26,"")</f>
        <v/>
      </c>
      <c r="P58" s="110" t="str">
        <f>IF(AND($Z$11,COUNT($BE$24:$BE$123)&gt;34),INDEX($BJ$24:$BJ$123,(COUNT($BE$24:$BE$123)-34))*$B$27*$B$26,"")</f>
        <v/>
      </c>
      <c r="Q58" s="110" t="str">
        <f>IF(AND($Z$11,COUNT($BE$24:$BE$123)&gt;34),$B$35,"")</f>
        <v/>
      </c>
      <c r="R58" s="110" t="str">
        <f>IF(AND($Z$11,COUNT($BE$24:$BE$123)&gt;34),INDEX($BL$24:$BL$123,(COUNT($BE$24:$BE$123)-34)),"")</f>
        <v/>
      </c>
      <c r="S58" s="110" t="str">
        <f>IF(AND($Z$11,COUNT($BE$24:$BE$123)&gt;34),INDEX($BM$24:$BM$123,(COUNT($BE$24:$BE$123)-34)),"")</f>
        <v/>
      </c>
      <c r="T58" s="110" t="str">
        <f>IF(AND($Z$11,COUNT($BE$24:$BE$123)&gt;34),INDEX($BN$24:$BN$123,(COUNT($BE$24:$BE$123)-34)),"")</f>
        <v/>
      </c>
      <c r="W58" s="12"/>
      <c r="X58" s="12"/>
      <c r="Y58" s="12"/>
      <c r="Z58" s="12"/>
      <c r="AA58" s="12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D58" s="12">
        <f>35</f>
        <v>35</v>
      </c>
      <c r="BE58" s="32"/>
      <c r="BF58" s="32"/>
      <c r="BG58" s="32" t="str">
        <f>IF(BO58="OK",SUM($BE$24:BE58)-BE58,"")</f>
        <v/>
      </c>
      <c r="BH58" s="32" t="str">
        <f t="shared" si="8"/>
        <v/>
      </c>
      <c r="BI58" s="32" t="str">
        <f>IF(AND(BO58="OK",$Z$7),MAX('Wind Load Check'!$B$29,1.1+0.055*('Wind Load Check'!$B$23/'Wind Load Check'!$B$8)/EXP(ABS(LN((0.6*BF58/'Wind Load Check'!$B$8)*(1-0.011*'Wind Load Check'!$B$23/'Wind Load Check'!$B$8)))^(1.7-0.0013*('Wind Load Check'!$B$23/BF58)^2))),"")</f>
        <v/>
      </c>
      <c r="BJ58" s="32" t="str">
        <f t="shared" si="9"/>
        <v/>
      </c>
      <c r="BK58" s="32" t="str">
        <f>IF(AND(BO58="OK",$Z$7),BJ58*'Wind Load Check'!$B$26*'Wind Load Check'!$B$27*BI58*'Wind Load Check'!$B$35,"")</f>
        <v/>
      </c>
      <c r="BL58" s="32" t="str">
        <f t="shared" si="10"/>
        <v/>
      </c>
      <c r="BM58" s="32" t="str">
        <f>IF(AND(BO58="OK",ISNUMBER('Uplift Check'!$B$38)),(BG58+BH58)/2+'Uplift Check'!$B$38,"")</f>
        <v/>
      </c>
      <c r="BN58" s="32" t="str">
        <f t="shared" si="11"/>
        <v/>
      </c>
      <c r="BO58" s="32" t="str">
        <f t="shared" si="15"/>
        <v/>
      </c>
      <c r="BP58" s="32" t="str">
        <f t="shared" si="12"/>
        <v/>
      </c>
      <c r="BQ58" s="32" t="str">
        <f t="shared" si="13"/>
        <v/>
      </c>
      <c r="BR58" s="32" t="str">
        <f t="shared" si="14"/>
        <v/>
      </c>
    </row>
    <row r="59" spans="1:70" ht="22.05" customHeight="1">
      <c r="A59" s="12"/>
      <c r="B59" s="12"/>
      <c r="C59" s="12"/>
      <c r="D59" s="12"/>
      <c r="E59" s="12"/>
      <c r="F59" s="12"/>
      <c r="G59" s="12"/>
      <c r="H59" s="109" t="str">
        <f>IF(AND($Z$11,COUNT($BE$24:$BE$123)&gt;35),INDEX($BD$24:$BD$123,(COUNT($BE$24:$BE$123)-35)),"")</f>
        <v/>
      </c>
      <c r="I59" s="110" t="str">
        <f>IF(AND($Z$11,COUNT($BE$24:$BE$123)&gt;35),INDEX($BH$24:$BH$123,(COUNT($BE$24:$BE$123)-35))+'Uplift Check'!$B$25,"")</f>
        <v/>
      </c>
      <c r="J59" s="110" t="str">
        <f>IF(AND($Z$11,COUNT($BE$24:$BE$123)&gt;35),INDEX($BF$24:$BF$123,(COUNT($BE$24:$BE$123)-35)),"")</f>
        <v/>
      </c>
      <c r="K59" s="110" t="str">
        <f>IF(AND($Z$11,COUNT($BE$24:$BE$123)&gt;35),$B$8,"")</f>
        <v/>
      </c>
      <c r="L59" s="110" t="str">
        <f>IF(AND($Z$11,COUNT($BE$24:$BE$123)&gt;35),INDEX($BI$24:$BI$123,(COUNT($BE$24:$BE$123)-35)),"")</f>
        <v/>
      </c>
      <c r="M59" s="110" t="str">
        <f>IF(AND($Z$11,COUNT($BE$24:$BE$123)&gt;35),INDEX($BJ$24:$BJ$123,(COUNT($BE$24:$BE$123)-35)),"")</f>
        <v/>
      </c>
      <c r="N59" s="110" t="str">
        <f>IF(AND($Z$11,COUNT($BE$24:$BE$123)&gt;35),$B$27,"")</f>
        <v/>
      </c>
      <c r="O59" s="110" t="str">
        <f>IF(AND($Z$11,COUNT($BE$24:$BE$123)&gt;35),$B$26,"")</f>
        <v/>
      </c>
      <c r="P59" s="110" t="str">
        <f>IF(AND($Z$11,COUNT($BE$24:$BE$123)&gt;35),INDEX($BJ$24:$BJ$123,(COUNT($BE$24:$BE$123)-35))*$B$27*$B$26,"")</f>
        <v/>
      </c>
      <c r="Q59" s="110" t="str">
        <f>IF(AND($Z$11,COUNT($BE$24:$BE$123)&gt;35),$B$35,"")</f>
        <v/>
      </c>
      <c r="R59" s="110" t="str">
        <f>IF(AND($Z$11,COUNT($BE$24:$BE$123)&gt;35),INDEX($BL$24:$BL$123,(COUNT($BE$24:$BE$123)-35)),"")</f>
        <v/>
      </c>
      <c r="S59" s="110" t="str">
        <f>IF(AND($Z$11,COUNT($BE$24:$BE$123)&gt;35),INDEX($BM$24:$BM$123,(COUNT($BE$24:$BE$123)-35)),"")</f>
        <v/>
      </c>
      <c r="T59" s="110" t="str">
        <f>IF(AND($Z$11,COUNT($BE$24:$BE$123)&gt;35),INDEX($BN$24:$BN$123,(COUNT($BE$24:$BE$123)-35)),"")</f>
        <v/>
      </c>
      <c r="W59" s="12"/>
      <c r="X59" s="12"/>
      <c r="Y59" s="12"/>
      <c r="Z59" s="12"/>
      <c r="AA59" s="12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D59" s="12">
        <f>36</f>
        <v>36</v>
      </c>
      <c r="BE59" s="32"/>
      <c r="BF59" s="32"/>
      <c r="BG59" s="32" t="str">
        <f>IF(BO59="OK",SUM($BE$24:BE59)-BE59,"")</f>
        <v/>
      </c>
      <c r="BH59" s="32" t="str">
        <f t="shared" si="8"/>
        <v/>
      </c>
      <c r="BI59" s="32" t="str">
        <f>IF(AND(BO59="OK",$Z$7),MAX('Wind Load Check'!$B$29,1.1+0.055*('Wind Load Check'!$B$23/'Wind Load Check'!$B$8)/EXP(ABS(LN((0.6*BF59/'Wind Load Check'!$B$8)*(1-0.011*'Wind Load Check'!$B$23/'Wind Load Check'!$B$8)))^(1.7-0.0013*('Wind Load Check'!$B$23/BF59)^2))),"")</f>
        <v/>
      </c>
      <c r="BJ59" s="32" t="str">
        <f t="shared" si="9"/>
        <v/>
      </c>
      <c r="BK59" s="32" t="str">
        <f>IF(AND(BO59="OK",$Z$7),BJ59*'Wind Load Check'!$B$26*'Wind Load Check'!$B$27*BI59*'Wind Load Check'!$B$35,"")</f>
        <v/>
      </c>
      <c r="BL59" s="32" t="str">
        <f t="shared" si="10"/>
        <v/>
      </c>
      <c r="BM59" s="32" t="str">
        <f>IF(AND(BO59="OK",ISNUMBER('Uplift Check'!$B$38)),(BG59+BH59)/2+'Uplift Check'!$B$38,"")</f>
        <v/>
      </c>
      <c r="BN59" s="32" t="str">
        <f t="shared" si="11"/>
        <v/>
      </c>
      <c r="BO59" s="32" t="str">
        <f t="shared" si="15"/>
        <v/>
      </c>
      <c r="BP59" s="32" t="str">
        <f t="shared" si="12"/>
        <v/>
      </c>
      <c r="BQ59" s="32" t="str">
        <f t="shared" si="13"/>
        <v/>
      </c>
      <c r="BR59" s="32" t="str">
        <f t="shared" si="14"/>
        <v/>
      </c>
    </row>
    <row r="60" spans="1:70" ht="22.05" customHeight="1">
      <c r="A60" s="12"/>
      <c r="B60" s="12"/>
      <c r="C60" s="12"/>
      <c r="D60" s="12"/>
      <c r="E60" s="12"/>
      <c r="F60" s="12"/>
      <c r="G60" s="12"/>
      <c r="H60" s="109" t="str">
        <f>IF(AND($Z$11,COUNT($BE$24:$BE$123)&gt;36),INDEX($BD$24:$BD$123,(COUNT($BE$24:$BE$123)-36)),"")</f>
        <v/>
      </c>
      <c r="I60" s="110" t="str">
        <f>IF(AND($Z$11,COUNT($BE$24:$BE$123)&gt;36),INDEX($BH$24:$BH$123,(COUNT($BE$24:$BE$123)-36))+'Uplift Check'!$B$25,"")</f>
        <v/>
      </c>
      <c r="J60" s="110" t="str">
        <f>IF(AND($Z$11,COUNT($BE$24:$BE$123)&gt;36),INDEX($BF$24:$BF$123,(COUNT($BE$24:$BE$123)-36)),"")</f>
        <v/>
      </c>
      <c r="K60" s="110" t="str">
        <f>IF(AND($Z$11,COUNT($BE$24:$BE$123)&gt;36),$B$8,"")</f>
        <v/>
      </c>
      <c r="L60" s="110" t="str">
        <f>IF(AND($Z$11,COUNT($BE$24:$BE$123)&gt;36),INDEX($BI$24:$BI$123,(COUNT($BE$24:$BE$123)-36)),"")</f>
        <v/>
      </c>
      <c r="M60" s="110" t="str">
        <f>IF(AND($Z$11,COUNT($BE$24:$BE$123)&gt;36),INDEX($BJ$24:$BJ$123,(COUNT($BE$24:$BE$123)-36)),"")</f>
        <v/>
      </c>
      <c r="N60" s="110" t="str">
        <f>IF(AND($Z$11,COUNT($BE$24:$BE$123)&gt;36),$B$27,"")</f>
        <v/>
      </c>
      <c r="O60" s="110" t="str">
        <f>IF(AND($Z$11,COUNT($BE$24:$BE$123)&gt;36),$B$26,"")</f>
        <v/>
      </c>
      <c r="P60" s="110" t="str">
        <f>IF(AND($Z$11,COUNT($BE$24:$BE$123)&gt;36),INDEX($BJ$24:$BJ$123,(COUNT($BE$24:$BE$123)-36))*$B$27*$B$26,"")</f>
        <v/>
      </c>
      <c r="Q60" s="110" t="str">
        <f>IF(AND($Z$11,COUNT($BE$24:$BE$123)&gt;36),$B$35,"")</f>
        <v/>
      </c>
      <c r="R60" s="110" t="str">
        <f>IF(AND($Z$11,COUNT($BE$24:$BE$123)&gt;36),INDEX($BL$24:$BL$123,(COUNT($BE$24:$BE$123)-36)),"")</f>
        <v/>
      </c>
      <c r="S60" s="110" t="str">
        <f>IF(AND($Z$11,COUNT($BE$24:$BE$123)&gt;36),INDEX($BM$24:$BM$123,(COUNT($BE$24:$BE$123)-36)),"")</f>
        <v/>
      </c>
      <c r="T60" s="110" t="str">
        <f>IF(AND($Z$11,COUNT($BE$24:$BE$123)&gt;36),INDEX($BN$24:$BN$123,(COUNT($BE$24:$BE$123)-36)),"")</f>
        <v/>
      </c>
      <c r="W60" s="12"/>
      <c r="X60" s="12"/>
      <c r="Y60" s="12"/>
      <c r="Z60" s="12"/>
      <c r="AA60" s="12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D60" s="12">
        <f>37</f>
        <v>37</v>
      </c>
      <c r="BE60" s="32"/>
      <c r="BF60" s="32"/>
      <c r="BG60" s="32" t="str">
        <f>IF(BO60="OK",SUM($BE$24:BE60)-BE60,"")</f>
        <v/>
      </c>
      <c r="BH60" s="32" t="str">
        <f t="shared" si="8"/>
        <v/>
      </c>
      <c r="BI60" s="32" t="str">
        <f>IF(AND(BO60="OK",$Z$7),MAX('Wind Load Check'!$B$29,1.1+0.055*('Wind Load Check'!$B$23/'Wind Load Check'!$B$8)/EXP(ABS(LN((0.6*BF60/'Wind Load Check'!$B$8)*(1-0.011*'Wind Load Check'!$B$23/'Wind Load Check'!$B$8)))^(1.7-0.0013*('Wind Load Check'!$B$23/BF60)^2))),"")</f>
        <v/>
      </c>
      <c r="BJ60" s="32" t="str">
        <f t="shared" si="9"/>
        <v/>
      </c>
      <c r="BK60" s="32" t="str">
        <f>IF(AND(BO60="OK",$Z$7),BJ60*'Wind Load Check'!$B$26*'Wind Load Check'!$B$27*BI60*'Wind Load Check'!$B$35,"")</f>
        <v/>
      </c>
      <c r="BL60" s="32" t="str">
        <f t="shared" si="10"/>
        <v/>
      </c>
      <c r="BM60" s="32" t="str">
        <f>IF(AND(BO60="OK",ISNUMBER('Uplift Check'!$B$38)),(BG60+BH60)/2+'Uplift Check'!$B$38,"")</f>
        <v/>
      </c>
      <c r="BN60" s="32" t="str">
        <f t="shared" si="11"/>
        <v/>
      </c>
      <c r="BO60" s="32" t="str">
        <f t="shared" si="15"/>
        <v/>
      </c>
      <c r="BP60" s="32" t="str">
        <f t="shared" si="12"/>
        <v/>
      </c>
      <c r="BQ60" s="32" t="str">
        <f t="shared" si="13"/>
        <v/>
      </c>
      <c r="BR60" s="32" t="str">
        <f t="shared" si="14"/>
        <v/>
      </c>
    </row>
    <row r="61" spans="1:70" ht="22.05" customHeight="1">
      <c r="A61" s="12"/>
      <c r="B61" s="12"/>
      <c r="C61" s="12"/>
      <c r="D61" s="12"/>
      <c r="E61" s="12"/>
      <c r="F61" s="12"/>
      <c r="G61" s="12"/>
      <c r="H61" s="109" t="str">
        <f>IF(AND($Z$11,COUNT($BE$24:$BE$123)&gt;37),INDEX($BD$24:$BD$123,(COUNT($BE$24:$BE$123)-37)),"")</f>
        <v/>
      </c>
      <c r="I61" s="110" t="str">
        <f>IF(AND($Z$11,COUNT($BE$24:$BE$123)&gt;37),INDEX($BH$24:$BH$123,(COUNT($BE$24:$BE$123)-37))+'Uplift Check'!$B$25,"")</f>
        <v/>
      </c>
      <c r="J61" s="110" t="str">
        <f>IF(AND($Z$11,COUNT($BE$24:$BE$123)&gt;37),INDEX($BF$24:$BF$123,(COUNT($BE$24:$BE$123)-37)),"")</f>
        <v/>
      </c>
      <c r="K61" s="110" t="str">
        <f>IF(AND($Z$11,COUNT($BE$24:$BE$123)&gt;37),$B$8,"")</f>
        <v/>
      </c>
      <c r="L61" s="110" t="str">
        <f>IF(AND($Z$11,COUNT($BE$24:$BE$123)&gt;37),INDEX($BI$24:$BI$123,(COUNT($BE$24:$BE$123)-37)),"")</f>
        <v/>
      </c>
      <c r="M61" s="110" t="str">
        <f>IF(AND($Z$11,COUNT($BE$24:$BE$123)&gt;37),INDEX($BJ$24:$BJ$123,(COUNT($BE$24:$BE$123)-37)),"")</f>
        <v/>
      </c>
      <c r="N61" s="110" t="str">
        <f>IF(AND($Z$11,COUNT($BE$24:$BE$123)&gt;37),$B$27,"")</f>
        <v/>
      </c>
      <c r="O61" s="110" t="str">
        <f>IF(AND($Z$11,COUNT($BE$24:$BE$123)&gt;37),$B$26,"")</f>
        <v/>
      </c>
      <c r="P61" s="110" t="str">
        <f>IF(AND($Z$11,COUNT($BE$24:$BE$123)&gt;37),INDEX($BJ$24:$BJ$123,(COUNT($BE$24:$BE$123)-37))*$B$27*$B$26,"")</f>
        <v/>
      </c>
      <c r="Q61" s="110" t="str">
        <f>IF(AND($Z$11,COUNT($BE$24:$BE$123)&gt;37),$B$35,"")</f>
        <v/>
      </c>
      <c r="R61" s="110" t="str">
        <f>IF(AND($Z$11,COUNT($BE$24:$BE$123)&gt;37),INDEX($BL$24:$BL$123,(COUNT($BE$24:$BE$123)-37)),"")</f>
        <v/>
      </c>
      <c r="S61" s="110" t="str">
        <f>IF(AND($Z$11,COUNT($BE$24:$BE$123)&gt;37),INDEX($BM$24:$BM$123,(COUNT($BE$24:$BE$123)-37)),"")</f>
        <v/>
      </c>
      <c r="T61" s="110" t="str">
        <f>IF(AND($Z$11,COUNT($BE$24:$BE$123)&gt;37),INDEX($BN$24:$BN$123,(COUNT($BE$24:$BE$123)-37)),"")</f>
        <v/>
      </c>
      <c r="W61" s="12"/>
      <c r="X61" s="12"/>
      <c r="Y61" s="12"/>
      <c r="Z61" s="12"/>
      <c r="AA61" s="12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D61" s="12">
        <f>38</f>
        <v>38</v>
      </c>
      <c r="BE61" s="32"/>
      <c r="BF61" s="32"/>
      <c r="BG61" s="32" t="str">
        <f>IF(BO61="OK",SUM($BE$24:BE61)-BE61,"")</f>
        <v/>
      </c>
      <c r="BH61" s="32" t="str">
        <f t="shared" si="8"/>
        <v/>
      </c>
      <c r="BI61" s="32" t="str">
        <f>IF(AND(BO61="OK",$Z$7),MAX('Wind Load Check'!$B$29,1.1+0.055*('Wind Load Check'!$B$23/'Wind Load Check'!$B$8)/EXP(ABS(LN((0.6*BF61/'Wind Load Check'!$B$8)*(1-0.011*'Wind Load Check'!$B$23/'Wind Load Check'!$B$8)))^(1.7-0.0013*('Wind Load Check'!$B$23/BF61)^2))),"")</f>
        <v/>
      </c>
      <c r="BJ61" s="32" t="str">
        <f t="shared" si="9"/>
        <v/>
      </c>
      <c r="BK61" s="32" t="str">
        <f>IF(AND(BO61="OK",$Z$7),BJ61*'Wind Load Check'!$B$26*'Wind Load Check'!$B$27*BI61*'Wind Load Check'!$B$35,"")</f>
        <v/>
      </c>
      <c r="BL61" s="32" t="str">
        <f t="shared" si="10"/>
        <v/>
      </c>
      <c r="BM61" s="32" t="str">
        <f>IF(AND(BO61="OK",ISNUMBER('Uplift Check'!$B$38)),(BG61+BH61)/2+'Uplift Check'!$B$38,"")</f>
        <v/>
      </c>
      <c r="BN61" s="32" t="str">
        <f t="shared" si="11"/>
        <v/>
      </c>
      <c r="BO61" s="32" t="str">
        <f t="shared" si="15"/>
        <v/>
      </c>
      <c r="BP61" s="32" t="str">
        <f t="shared" si="12"/>
        <v/>
      </c>
      <c r="BQ61" s="32" t="str">
        <f t="shared" si="13"/>
        <v/>
      </c>
      <c r="BR61" s="32" t="str">
        <f t="shared" si="14"/>
        <v/>
      </c>
    </row>
    <row r="62" spans="1:70" ht="22.05" customHeight="1">
      <c r="A62" s="12"/>
      <c r="B62" s="12"/>
      <c r="C62" s="12"/>
      <c r="D62" s="12"/>
      <c r="E62" s="12"/>
      <c r="F62" s="12"/>
      <c r="G62" s="12"/>
      <c r="H62" s="109" t="str">
        <f>IF(AND($Z$11,COUNT($BE$24:$BE$123)&gt;38),INDEX($BD$24:$BD$123,(COUNT($BE$24:$BE$123)-38)),"")</f>
        <v/>
      </c>
      <c r="I62" s="110" t="str">
        <f>IF(AND($Z$11,COUNT($BE$24:$BE$123)&gt;38),INDEX($BH$24:$BH$123,(COUNT($BE$24:$BE$123)-38))+'Uplift Check'!$B$25,"")</f>
        <v/>
      </c>
      <c r="J62" s="110" t="str">
        <f>IF(AND($Z$11,COUNT($BE$24:$BE$123)&gt;38),INDEX($BF$24:$BF$123,(COUNT($BE$24:$BE$123)-38)),"")</f>
        <v/>
      </c>
      <c r="K62" s="110" t="str">
        <f>IF(AND($Z$11,COUNT($BE$24:$BE$123)&gt;38),$B$8,"")</f>
        <v/>
      </c>
      <c r="L62" s="110" t="str">
        <f>IF(AND($Z$11,COUNT($BE$24:$BE$123)&gt;38),INDEX($BI$24:$BI$123,(COUNT($BE$24:$BE$123)-38)),"")</f>
        <v/>
      </c>
      <c r="M62" s="110" t="str">
        <f>IF(AND($Z$11,COUNT($BE$24:$BE$123)&gt;38),INDEX($BJ$24:$BJ$123,(COUNT($BE$24:$BE$123)-38)),"")</f>
        <v/>
      </c>
      <c r="N62" s="110" t="str">
        <f>IF(AND($Z$11,COUNT($BE$24:$BE$123)&gt;38),$B$27,"")</f>
        <v/>
      </c>
      <c r="O62" s="110" t="str">
        <f>IF(AND($Z$11,COUNT($BE$24:$BE$123)&gt;38),$B$26,"")</f>
        <v/>
      </c>
      <c r="P62" s="110" t="str">
        <f>IF(AND($Z$11,COUNT($BE$24:$BE$123)&gt;38),INDEX($BJ$24:$BJ$123,(COUNT($BE$24:$BE$123)-38))*$B$27*$B$26,"")</f>
        <v/>
      </c>
      <c r="Q62" s="110" t="str">
        <f>IF(AND($Z$11,COUNT($BE$24:$BE$123)&gt;38),$B$35,"")</f>
        <v/>
      </c>
      <c r="R62" s="110" t="str">
        <f>IF(AND($Z$11,COUNT($BE$24:$BE$123)&gt;38),INDEX($BL$24:$BL$123,(COUNT($BE$24:$BE$123)-38)),"")</f>
        <v/>
      </c>
      <c r="S62" s="110" t="str">
        <f>IF(AND($Z$11,COUNT($BE$24:$BE$123)&gt;38),INDEX($BM$24:$BM$123,(COUNT($BE$24:$BE$123)-38)),"")</f>
        <v/>
      </c>
      <c r="T62" s="110" t="str">
        <f>IF(AND($Z$11,COUNT($BE$24:$BE$123)&gt;38),INDEX($BN$24:$BN$123,(COUNT($BE$24:$BE$123)-38)),"")</f>
        <v/>
      </c>
      <c r="W62" s="12"/>
      <c r="X62" s="12"/>
      <c r="Y62" s="12"/>
      <c r="Z62" s="12"/>
      <c r="AA62" s="12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D62" s="12">
        <f>39</f>
        <v>39</v>
      </c>
      <c r="BE62" s="32"/>
      <c r="BF62" s="32"/>
      <c r="BG62" s="32" t="str">
        <f>IF(BO62="OK",SUM($BE$24:BE62)-BE62,"")</f>
        <v/>
      </c>
      <c r="BH62" s="32" t="str">
        <f t="shared" si="8"/>
        <v/>
      </c>
      <c r="BI62" s="32" t="str">
        <f>IF(AND(BO62="OK",$Z$7),MAX('Wind Load Check'!$B$29,1.1+0.055*('Wind Load Check'!$B$23/'Wind Load Check'!$B$8)/EXP(ABS(LN((0.6*BF62/'Wind Load Check'!$B$8)*(1-0.011*'Wind Load Check'!$B$23/'Wind Load Check'!$B$8)))^(1.7-0.0013*('Wind Load Check'!$B$23/BF62)^2))),"")</f>
        <v/>
      </c>
      <c r="BJ62" s="32" t="str">
        <f t="shared" si="9"/>
        <v/>
      </c>
      <c r="BK62" s="32" t="str">
        <f>IF(AND(BO62="OK",$Z$7),BJ62*'Wind Load Check'!$B$26*'Wind Load Check'!$B$27*BI62*'Wind Load Check'!$B$35,"")</f>
        <v/>
      </c>
      <c r="BL62" s="32" t="str">
        <f t="shared" si="10"/>
        <v/>
      </c>
      <c r="BM62" s="32" t="str">
        <f>IF(AND(BO62="OK",ISNUMBER('Uplift Check'!$B$38)),(BG62+BH62)/2+'Uplift Check'!$B$38,"")</f>
        <v/>
      </c>
      <c r="BN62" s="32" t="str">
        <f t="shared" si="11"/>
        <v/>
      </c>
      <c r="BO62" s="32" t="str">
        <f t="shared" si="15"/>
        <v/>
      </c>
      <c r="BP62" s="32" t="str">
        <f t="shared" si="12"/>
        <v/>
      </c>
      <c r="BQ62" s="32" t="str">
        <f t="shared" si="13"/>
        <v/>
      </c>
      <c r="BR62" s="32" t="str">
        <f t="shared" si="14"/>
        <v/>
      </c>
    </row>
    <row r="63" spans="1:70" ht="22.05" customHeight="1">
      <c r="A63" s="12"/>
      <c r="B63" s="12"/>
      <c r="C63" s="12"/>
      <c r="D63" s="12"/>
      <c r="E63" s="12"/>
      <c r="F63" s="12"/>
      <c r="G63" s="12"/>
      <c r="H63" s="109" t="str">
        <f>IF(AND($Z$11,COUNT($BE$24:$BE$123)&gt;39),INDEX($BD$24:$BD$123,(COUNT($BE$24:$BE$123)-39)),"")</f>
        <v/>
      </c>
      <c r="I63" s="110" t="str">
        <f>IF(AND($Z$11,COUNT($BE$24:$BE$123)&gt;39),INDEX($BH$24:$BH$123,(COUNT($BE$24:$BE$123)-39))+'Uplift Check'!$B$25,"")</f>
        <v/>
      </c>
      <c r="J63" s="110" t="str">
        <f>IF(AND($Z$11,COUNT($BE$24:$BE$123)&gt;39),INDEX($BF$24:$BF$123,(COUNT($BE$24:$BE$123)-39)),"")</f>
        <v/>
      </c>
      <c r="K63" s="110" t="str">
        <f>IF(AND($Z$11,COUNT($BE$24:$BE$123)&gt;39),$B$8,"")</f>
        <v/>
      </c>
      <c r="L63" s="110" t="str">
        <f>IF(AND($Z$11,COUNT($BE$24:$BE$123)&gt;39),INDEX($BI$24:$BI$123,(COUNT($BE$24:$BE$123)-39)),"")</f>
        <v/>
      </c>
      <c r="M63" s="110" t="str">
        <f>IF(AND($Z$11,COUNT($BE$24:$BE$123)&gt;39),INDEX($BJ$24:$BJ$123,(COUNT($BE$24:$BE$123)-39)),"")</f>
        <v/>
      </c>
      <c r="N63" s="110" t="str">
        <f>IF(AND($Z$11,COUNT($BE$24:$BE$123)&gt;39),$B$27,"")</f>
        <v/>
      </c>
      <c r="O63" s="110" t="str">
        <f>IF(AND($Z$11,COUNT($BE$24:$BE$123)&gt;39),$B$26,"")</f>
        <v/>
      </c>
      <c r="P63" s="110" t="str">
        <f>IF(AND($Z$11,COUNT($BE$24:$BE$123)&gt;39),INDEX($BJ$24:$BJ$123,(COUNT($BE$24:$BE$123)-39))*$B$27*$B$26,"")</f>
        <v/>
      </c>
      <c r="Q63" s="110" t="str">
        <f>IF(AND($Z$11,COUNT($BE$24:$BE$123)&gt;39),$B$35,"")</f>
        <v/>
      </c>
      <c r="R63" s="110" t="str">
        <f>IF(AND($Z$11,COUNT($BE$24:$BE$123)&gt;39),INDEX($BL$24:$BL$123,(COUNT($BE$24:$BE$123)-39)),"")</f>
        <v/>
      </c>
      <c r="S63" s="110" t="str">
        <f>IF(AND($Z$11,COUNT($BE$24:$BE$123)&gt;39),INDEX($BM$24:$BM$123,(COUNT($BE$24:$BE$123)-39)),"")</f>
        <v/>
      </c>
      <c r="T63" s="110" t="str">
        <f>IF(AND($Z$11,COUNT($BE$24:$BE$123)&gt;39),INDEX($BN$24:$BN$123,(COUNT($BE$24:$BE$123)-39)),"")</f>
        <v/>
      </c>
      <c r="W63" s="12"/>
      <c r="X63" s="12"/>
      <c r="Y63" s="12"/>
      <c r="Z63" s="12"/>
      <c r="AA63" s="12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D63" s="12">
        <f>40</f>
        <v>40</v>
      </c>
      <c r="BE63" s="32"/>
      <c r="BF63" s="32"/>
      <c r="BG63" s="32" t="str">
        <f>IF(BO63="OK",SUM($BE$24:BE63)-BE63,"")</f>
        <v/>
      </c>
      <c r="BH63" s="32" t="str">
        <f t="shared" si="8"/>
        <v/>
      </c>
      <c r="BI63" s="32" t="str">
        <f>IF(AND(BO63="OK",$Z$7),MAX('Wind Load Check'!$B$29,1.1+0.055*('Wind Load Check'!$B$23/'Wind Load Check'!$B$8)/EXP(ABS(LN((0.6*BF63/'Wind Load Check'!$B$8)*(1-0.011*'Wind Load Check'!$B$23/'Wind Load Check'!$B$8)))^(1.7-0.0013*('Wind Load Check'!$B$23/BF63)^2))),"")</f>
        <v/>
      </c>
      <c r="BJ63" s="32" t="str">
        <f t="shared" si="9"/>
        <v/>
      </c>
      <c r="BK63" s="32" t="str">
        <f>IF(AND(BO63="OK",$Z$7),BJ63*'Wind Load Check'!$B$26*'Wind Load Check'!$B$27*BI63*'Wind Load Check'!$B$35,"")</f>
        <v/>
      </c>
      <c r="BL63" s="32" t="str">
        <f t="shared" si="10"/>
        <v/>
      </c>
      <c r="BM63" s="32" t="str">
        <f>IF(AND(BO63="OK",ISNUMBER('Uplift Check'!$B$38)),(BG63+BH63)/2+'Uplift Check'!$B$38,"")</f>
        <v/>
      </c>
      <c r="BN63" s="32" t="str">
        <f t="shared" si="11"/>
        <v/>
      </c>
      <c r="BO63" s="32" t="str">
        <f t="shared" si="15"/>
        <v/>
      </c>
      <c r="BP63" s="32" t="str">
        <f t="shared" si="12"/>
        <v/>
      </c>
      <c r="BQ63" s="32" t="str">
        <f t="shared" si="13"/>
        <v/>
      </c>
      <c r="BR63" s="32" t="str">
        <f t="shared" si="14"/>
        <v/>
      </c>
    </row>
    <row r="64" spans="1:70" ht="22.05" customHeight="1">
      <c r="A64" s="12"/>
      <c r="B64" s="12"/>
      <c r="C64" s="12"/>
      <c r="D64" s="12"/>
      <c r="E64" s="12"/>
      <c r="F64" s="12"/>
      <c r="G64" s="12"/>
      <c r="H64" s="109" t="str">
        <f>IF(AND($Z$11,COUNT($BE$24:$BE$123)&gt;40),INDEX($BD$24:$BD$123,(COUNT($BE$24:$BE$123)-40)),"")</f>
        <v/>
      </c>
      <c r="I64" s="110" t="str">
        <f>IF(AND($Z$11,COUNT($BE$24:$BE$123)&gt;40),INDEX($BH$24:$BH$123,(COUNT($BE$24:$BE$123)-40))+'Uplift Check'!$B$25,"")</f>
        <v/>
      </c>
      <c r="J64" s="110" t="str">
        <f>IF(AND($Z$11,COUNT($BE$24:$BE$123)&gt;40),INDEX($BF$24:$BF$123,(COUNT($BE$24:$BE$123)-40)),"")</f>
        <v/>
      </c>
      <c r="K64" s="110" t="str">
        <f>IF(AND($Z$11,COUNT($BE$24:$BE$123)&gt;40),$B$8,"")</f>
        <v/>
      </c>
      <c r="L64" s="110" t="str">
        <f>IF(AND($Z$11,COUNT($BE$24:$BE$123)&gt;40),INDEX($BI$24:$BI$123,(COUNT($BE$24:$BE$123)-40)),"")</f>
        <v/>
      </c>
      <c r="M64" s="110" t="str">
        <f>IF(AND($Z$11,COUNT($BE$24:$BE$123)&gt;40),INDEX($BJ$24:$BJ$123,(COUNT($BE$24:$BE$123)-40)),"")</f>
        <v/>
      </c>
      <c r="N64" s="110" t="str">
        <f>IF(AND($Z$11,COUNT($BE$24:$BE$123)&gt;40),$B$27,"")</f>
        <v/>
      </c>
      <c r="O64" s="110" t="str">
        <f>IF(AND($Z$11,COUNT($BE$24:$BE$123)&gt;40),$B$26,"")</f>
        <v/>
      </c>
      <c r="P64" s="110" t="str">
        <f>IF(AND($Z$11,COUNT($BE$24:$BE$123)&gt;40),INDEX($BJ$24:$BJ$123,(COUNT($BE$24:$BE$123)-40))*$B$27*$B$26,"")</f>
        <v/>
      </c>
      <c r="Q64" s="110" t="str">
        <f>IF(AND($Z$11,COUNT($BE$24:$BE$123)&gt;40),$B$35,"")</f>
        <v/>
      </c>
      <c r="R64" s="110" t="str">
        <f>IF(AND($Z$11,COUNT($BE$24:$BE$123)&gt;40),INDEX($BL$24:$BL$123,(COUNT($BE$24:$BE$123)-40)),"")</f>
        <v/>
      </c>
      <c r="S64" s="110" t="str">
        <f>IF(AND($Z$11,COUNT($BE$24:$BE$123)&gt;40),INDEX($BM$24:$BM$123,(COUNT($BE$24:$BE$123)-40)),"")</f>
        <v/>
      </c>
      <c r="T64" s="110" t="str">
        <f>IF(AND($Z$11,COUNT($BE$24:$BE$123)&gt;40),INDEX($BN$24:$BN$123,(COUNT($BE$24:$BE$123)-40)),"")</f>
        <v/>
      </c>
      <c r="W64" s="12"/>
      <c r="X64" s="12"/>
      <c r="Y64" s="12"/>
      <c r="Z64" s="12"/>
      <c r="AA64" s="12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 t="s">
        <v>514</v>
      </c>
      <c r="AR64" s="13" t="s">
        <v>515</v>
      </c>
      <c r="AS64" s="13" t="s">
        <v>516</v>
      </c>
      <c r="AT64" s="13" t="s">
        <v>61</v>
      </c>
      <c r="AU64" s="13" t="s">
        <v>62</v>
      </c>
      <c r="AV64" s="13" t="s">
        <v>63</v>
      </c>
      <c r="AW64" s="13" t="s">
        <v>64</v>
      </c>
      <c r="AX64" s="13" t="s">
        <v>65</v>
      </c>
      <c r="AY64" s="13" t="s">
        <v>66</v>
      </c>
      <c r="AZ64" s="13"/>
      <c r="BD64" s="12">
        <f>41</f>
        <v>41</v>
      </c>
      <c r="BE64" s="32"/>
      <c r="BF64" s="32"/>
      <c r="BG64" s="32" t="str">
        <f>IF(BO64="OK",SUM($BE$24:BE64)-BE64,"")</f>
        <v/>
      </c>
      <c r="BH64" s="32" t="str">
        <f t="shared" si="8"/>
        <v/>
      </c>
      <c r="BI64" s="32" t="str">
        <f>IF(AND(BO64="OK",$Z$7),MAX('Wind Load Check'!$B$29,1.1+0.055*('Wind Load Check'!$B$23/'Wind Load Check'!$B$8)/EXP(ABS(LN((0.6*BF64/'Wind Load Check'!$B$8)*(1-0.011*'Wind Load Check'!$B$23/'Wind Load Check'!$B$8)))^(1.7-0.0013*('Wind Load Check'!$B$23/BF64)^2))),"")</f>
        <v/>
      </c>
      <c r="BJ64" s="32" t="str">
        <f t="shared" si="9"/>
        <v/>
      </c>
      <c r="BK64" s="32" t="str">
        <f>IF(AND(BO64="OK",$Z$7),BJ64*'Wind Load Check'!$B$26*'Wind Load Check'!$B$27*BI64*'Wind Load Check'!$B$35,"")</f>
        <v/>
      </c>
      <c r="BL64" s="32" t="str">
        <f t="shared" si="10"/>
        <v/>
      </c>
      <c r="BM64" s="32" t="str">
        <f>IF(AND(BO64="OK",ISNUMBER('Uplift Check'!$B$38)),(BG64+BH64)/2+'Uplift Check'!$B$38,"")</f>
        <v/>
      </c>
      <c r="BN64" s="32" t="str">
        <f t="shared" si="11"/>
        <v/>
      </c>
      <c r="BO64" s="32" t="str">
        <f t="shared" si="15"/>
        <v/>
      </c>
      <c r="BP64" s="32" t="str">
        <f t="shared" si="12"/>
        <v/>
      </c>
      <c r="BQ64" s="32" t="str">
        <f t="shared" si="13"/>
        <v/>
      </c>
      <c r="BR64" s="32" t="str">
        <f t="shared" si="14"/>
        <v/>
      </c>
    </row>
    <row r="65" spans="1:70" ht="22.05" customHeight="1">
      <c r="A65" s="12"/>
      <c r="B65" s="12"/>
      <c r="C65" s="12"/>
      <c r="D65" s="12"/>
      <c r="E65" s="12"/>
      <c r="F65" s="12"/>
      <c r="G65" s="12"/>
      <c r="H65" s="109" t="str">
        <f>IF(AND($Z$11,COUNT($BE$24:$BE$123)&gt;41),INDEX($BD$24:$BD$123,(COUNT($BE$24:$BE$123)-41)),"")</f>
        <v/>
      </c>
      <c r="I65" s="110" t="str">
        <f>IF(AND($Z$11,COUNT($BE$24:$BE$123)&gt;41),INDEX($BH$24:$BH$123,(COUNT($BE$24:$BE$123)-41))+'Uplift Check'!$B$25,"")</f>
        <v/>
      </c>
      <c r="J65" s="110" t="str">
        <f>IF(AND($Z$11,COUNT($BE$24:$BE$123)&gt;41),INDEX($BF$24:$BF$123,(COUNT($BE$24:$BE$123)-41)),"")</f>
        <v/>
      </c>
      <c r="K65" s="110" t="str">
        <f>IF(AND($Z$11,COUNT($BE$24:$BE$123)&gt;41),$B$8,"")</f>
        <v/>
      </c>
      <c r="L65" s="110" t="str">
        <f>IF(AND($Z$11,COUNT($BE$24:$BE$123)&gt;41),INDEX($BI$24:$BI$123,(COUNT($BE$24:$BE$123)-41)),"")</f>
        <v/>
      </c>
      <c r="M65" s="110" t="str">
        <f>IF(AND($Z$11,COUNT($BE$24:$BE$123)&gt;41),INDEX($BJ$24:$BJ$123,(COUNT($BE$24:$BE$123)-41)),"")</f>
        <v/>
      </c>
      <c r="N65" s="110" t="str">
        <f>IF(AND($Z$11,COUNT($BE$24:$BE$123)&gt;41),$B$27,"")</f>
        <v/>
      </c>
      <c r="O65" s="110" t="str">
        <f>IF(AND($Z$11,COUNT($BE$24:$BE$123)&gt;41),$B$26,"")</f>
        <v/>
      </c>
      <c r="P65" s="110" t="str">
        <f>IF(AND($Z$11,COUNT($BE$24:$BE$123)&gt;41),INDEX($BJ$24:$BJ$123,(COUNT($BE$24:$BE$123)-41))*$B$27*$B$26,"")</f>
        <v/>
      </c>
      <c r="Q65" s="110" t="str">
        <f>IF(AND($Z$11,COUNT($BE$24:$BE$123)&gt;41),$B$35,"")</f>
        <v/>
      </c>
      <c r="R65" s="110" t="str">
        <f>IF(AND($Z$11,COUNT($BE$24:$BE$123)&gt;41),INDEX($BL$24:$BL$123,(COUNT($BE$24:$BE$123)-41)),"")</f>
        <v/>
      </c>
      <c r="S65" s="110" t="str">
        <f>IF(AND($Z$11,COUNT($BE$24:$BE$123)&gt;41),INDEX($BM$24:$BM$123,(COUNT($BE$24:$BE$123)-41)),"")</f>
        <v/>
      </c>
      <c r="T65" s="110" t="str">
        <f>IF(AND($Z$11,COUNT($BE$24:$BE$123)&gt;41),INDEX($BN$24:$BN$123,(COUNT($BE$24:$BE$123)-41)),"")</f>
        <v/>
      </c>
      <c r="W65" s="12"/>
      <c r="X65" s="12"/>
      <c r="Y65" s="12"/>
      <c r="Z65" s="12"/>
      <c r="AA65" s="12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D65" s="12">
        <f>42</f>
        <v>42</v>
      </c>
      <c r="BE65" s="32"/>
      <c r="BF65" s="32"/>
      <c r="BG65" s="32" t="str">
        <f>IF(BO65="OK",SUM($BE$24:BE65)-BE65,"")</f>
        <v/>
      </c>
      <c r="BH65" s="32" t="str">
        <f t="shared" si="8"/>
        <v/>
      </c>
      <c r="BI65" s="32" t="str">
        <f>IF(AND(BO65="OK",$Z$7),MAX('Wind Load Check'!$B$29,1.1+0.055*('Wind Load Check'!$B$23/'Wind Load Check'!$B$8)/EXP(ABS(LN((0.6*BF65/'Wind Load Check'!$B$8)*(1-0.011*'Wind Load Check'!$B$23/'Wind Load Check'!$B$8)))^(1.7-0.0013*('Wind Load Check'!$B$23/BF65)^2))),"")</f>
        <v/>
      </c>
      <c r="BJ65" s="32" t="str">
        <f t="shared" si="9"/>
        <v/>
      </c>
      <c r="BK65" s="32" t="str">
        <f>IF(AND(BO65="OK",$Z$7),BJ65*'Wind Load Check'!$B$26*'Wind Load Check'!$B$27*BI65*'Wind Load Check'!$B$35,"")</f>
        <v/>
      </c>
      <c r="BL65" s="32" t="str">
        <f t="shared" si="10"/>
        <v/>
      </c>
      <c r="BM65" s="32" t="str">
        <f>IF(AND(BO65="OK",ISNUMBER('Uplift Check'!$B$38)),(BG65+BH65)/2+'Uplift Check'!$B$38,"")</f>
        <v/>
      </c>
      <c r="BN65" s="32" t="str">
        <f t="shared" si="11"/>
        <v/>
      </c>
      <c r="BO65" s="32" t="str">
        <f t="shared" si="15"/>
        <v/>
      </c>
      <c r="BP65" s="32" t="str">
        <f t="shared" si="12"/>
        <v/>
      </c>
      <c r="BQ65" s="32" t="str">
        <f t="shared" si="13"/>
        <v/>
      </c>
      <c r="BR65" s="32" t="str">
        <f t="shared" si="14"/>
        <v/>
      </c>
    </row>
    <row r="66" spans="1:70" ht="22.05" customHeight="1">
      <c r="A66" s="12"/>
      <c r="B66" s="12"/>
      <c r="C66" s="12"/>
      <c r="D66" s="12"/>
      <c r="E66" s="12"/>
      <c r="F66" s="12"/>
      <c r="G66" s="12"/>
      <c r="H66" s="109" t="str">
        <f>IF(AND($Z$11,COUNT($BE$24:$BE$123)&gt;42),INDEX($BD$24:$BD$123,(COUNT($BE$24:$BE$123)-42)),"")</f>
        <v/>
      </c>
      <c r="I66" s="110" t="str">
        <f>IF(AND($Z$11,COUNT($BE$24:$BE$123)&gt;42),INDEX($BH$24:$BH$123,(COUNT($BE$24:$BE$123)-42))+'Uplift Check'!$B$25,"")</f>
        <v/>
      </c>
      <c r="J66" s="110" t="str">
        <f>IF(AND($Z$11,COUNT($BE$24:$BE$123)&gt;42),INDEX($BF$24:$BF$123,(COUNT($BE$24:$BE$123)-42)),"")</f>
        <v/>
      </c>
      <c r="K66" s="110" t="str">
        <f>IF(AND($Z$11,COUNT($BE$24:$BE$123)&gt;42),$B$8,"")</f>
        <v/>
      </c>
      <c r="L66" s="110" t="str">
        <f>IF(AND($Z$11,COUNT($BE$24:$BE$123)&gt;42),INDEX($BI$24:$BI$123,(COUNT($BE$24:$BE$123)-42)),"")</f>
        <v/>
      </c>
      <c r="M66" s="110" t="str">
        <f>IF(AND($Z$11,COUNT($BE$24:$BE$123)&gt;42),INDEX($BJ$24:$BJ$123,(COUNT($BE$24:$BE$123)-42)),"")</f>
        <v/>
      </c>
      <c r="N66" s="110" t="str">
        <f>IF(AND($Z$11,COUNT($BE$24:$BE$123)&gt;42),$B$27,"")</f>
        <v/>
      </c>
      <c r="O66" s="110" t="str">
        <f>IF(AND($Z$11,COUNT($BE$24:$BE$123)&gt;42),$B$26,"")</f>
        <v/>
      </c>
      <c r="P66" s="110" t="str">
        <f>IF(AND($Z$11,COUNT($BE$24:$BE$123)&gt;42),INDEX($BJ$24:$BJ$123,(COUNT($BE$24:$BE$123)-42))*$B$27*$B$26,"")</f>
        <v/>
      </c>
      <c r="Q66" s="110" t="str">
        <f>IF(AND($Z$11,COUNT($BE$24:$BE$123)&gt;42),$B$35,"")</f>
        <v/>
      </c>
      <c r="R66" s="110" t="str">
        <f>IF(AND($Z$11,COUNT($BE$24:$BE$123)&gt;42),INDEX($BL$24:$BL$123,(COUNT($BE$24:$BE$123)-42)),"")</f>
        <v/>
      </c>
      <c r="S66" s="110" t="str">
        <f>IF(AND($Z$11,COUNT($BE$24:$BE$123)&gt;42),INDEX($BM$24:$BM$123,(COUNT($BE$24:$BE$123)-42)),"")</f>
        <v/>
      </c>
      <c r="T66" s="110" t="str">
        <f>IF(AND($Z$11,COUNT($BE$24:$BE$123)&gt;42),INDEX($BN$24:$BN$123,(COUNT($BE$24:$BE$123)-42)),"")</f>
        <v/>
      </c>
      <c r="W66" s="12"/>
      <c r="X66" s="12"/>
      <c r="Y66" s="12"/>
      <c r="Z66" s="12"/>
      <c r="AA66" s="12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>
        <v>0</v>
      </c>
      <c r="AR66" s="13">
        <f t="shared" ref="AR66:AR86" si="16">AQ66*$B$9</f>
        <v>0</v>
      </c>
      <c r="AS66" s="13" t="str">
        <f>IF(COUNT(B9,B23)=2,AR66+B23-B9,"")</f>
        <v/>
      </c>
      <c r="AT66" s="13">
        <f t="shared" ref="AT66:AT86" si="17">IF(AS66&lt;=2.5,1.59,IF(AS66&lt;=500,3.7*(AS66/500)^0.16,0))</f>
        <v>0</v>
      </c>
      <c r="AU66" s="13" t="str">
        <f t="shared" ref="AU66:AU86" si="18">IF(OR($B$26="",$B$27=""),"",AT66*$B$26*$B$27)</f>
        <v/>
      </c>
      <c r="AV66" s="13" t="str">
        <f t="shared" ref="AV66:AV86" si="19">IF(ISNUMBER($B$34),$AP$3-1.2*($AP$3-(10/$B$23)^0.14)*(1-AS66/$B$23),"")</f>
        <v/>
      </c>
      <c r="AW66" s="13" t="str">
        <f t="shared" ref="AW66:AW86" si="20">IF(ISNUMBER(AV66),AU66*$AP$1*AV66*$B$19,"")</f>
        <v/>
      </c>
      <c r="AX66" s="13">
        <f>0</f>
        <v>0</v>
      </c>
      <c r="AY66" s="13">
        <f>0</f>
        <v>0</v>
      </c>
      <c r="AZ66" s="13"/>
      <c r="BD66" s="12">
        <f>43</f>
        <v>43</v>
      </c>
      <c r="BE66" s="32"/>
      <c r="BF66" s="32"/>
      <c r="BG66" s="32" t="str">
        <f>IF(BO66="OK",SUM($BE$24:BE66)-BE66,"")</f>
        <v/>
      </c>
      <c r="BH66" s="32" t="str">
        <f t="shared" si="8"/>
        <v/>
      </c>
      <c r="BI66" s="32" t="str">
        <f>IF(AND(BO66="OK",$Z$7),MAX('Wind Load Check'!$B$29,1.1+0.055*('Wind Load Check'!$B$23/'Wind Load Check'!$B$8)/EXP(ABS(LN((0.6*BF66/'Wind Load Check'!$B$8)*(1-0.011*'Wind Load Check'!$B$23/'Wind Load Check'!$B$8)))^(1.7-0.0013*('Wind Load Check'!$B$23/BF66)^2))),"")</f>
        <v/>
      </c>
      <c r="BJ66" s="32" t="str">
        <f t="shared" si="9"/>
        <v/>
      </c>
      <c r="BK66" s="32" t="str">
        <f>IF(AND(BO66="OK",$Z$7),BJ66*'Wind Load Check'!$B$26*'Wind Load Check'!$B$27*BI66*'Wind Load Check'!$B$35,"")</f>
        <v/>
      </c>
      <c r="BL66" s="32" t="str">
        <f t="shared" si="10"/>
        <v/>
      </c>
      <c r="BM66" s="32" t="str">
        <f>IF(AND(BO66="OK",ISNUMBER('Uplift Check'!$B$38)),(BG66+BH66)/2+'Uplift Check'!$B$38,"")</f>
        <v/>
      </c>
      <c r="BN66" s="32" t="str">
        <f t="shared" si="11"/>
        <v/>
      </c>
      <c r="BO66" s="32" t="str">
        <f t="shared" si="15"/>
        <v/>
      </c>
      <c r="BP66" s="32" t="str">
        <f t="shared" si="12"/>
        <v/>
      </c>
      <c r="BQ66" s="32" t="str">
        <f t="shared" si="13"/>
        <v/>
      </c>
      <c r="BR66" s="32" t="str">
        <f t="shared" si="14"/>
        <v/>
      </c>
    </row>
    <row r="67" spans="1:70" ht="22.05" customHeight="1">
      <c r="A67" s="12"/>
      <c r="B67" s="12"/>
      <c r="C67" s="12"/>
      <c r="D67" s="12"/>
      <c r="E67" s="12"/>
      <c r="F67" s="12"/>
      <c r="G67" s="12"/>
      <c r="H67" s="109" t="str">
        <f>IF(AND($Z$11,COUNT($BE$24:$BE$123)&gt;43),INDEX($BD$24:$BD$123,(COUNT($BE$24:$BE$123)-43)),"")</f>
        <v/>
      </c>
      <c r="I67" s="110" t="str">
        <f>IF(AND($Z$11,COUNT($BE$24:$BE$123)&gt;43),INDEX($BH$24:$BH$123,(COUNT($BE$24:$BE$123)-43))+'Uplift Check'!$B$25,"")</f>
        <v/>
      </c>
      <c r="J67" s="110" t="str">
        <f>IF(AND($Z$11,COUNT($BE$24:$BE$123)&gt;43),INDEX($BF$24:$BF$123,(COUNT($BE$24:$BE$123)-43)),"")</f>
        <v/>
      </c>
      <c r="K67" s="110" t="str">
        <f>IF(AND($Z$11,COUNT($BE$24:$BE$123)&gt;43),$B$8,"")</f>
        <v/>
      </c>
      <c r="L67" s="110" t="str">
        <f>IF(AND($Z$11,COUNT($BE$24:$BE$123)&gt;43),INDEX($BI$24:$BI$123,(COUNT($BE$24:$BE$123)-43)),"")</f>
        <v/>
      </c>
      <c r="M67" s="110" t="str">
        <f>IF(AND($Z$11,COUNT($BE$24:$BE$123)&gt;43),INDEX($BJ$24:$BJ$123,(COUNT($BE$24:$BE$123)-43)),"")</f>
        <v/>
      </c>
      <c r="N67" s="110" t="str">
        <f>IF(AND($Z$11,COUNT($BE$24:$BE$123)&gt;43),$B$27,"")</f>
        <v/>
      </c>
      <c r="O67" s="110" t="str">
        <f>IF(AND($Z$11,COUNT($BE$24:$BE$123)&gt;43),$B$26,"")</f>
        <v/>
      </c>
      <c r="P67" s="110" t="str">
        <f>IF(AND($Z$11,COUNT($BE$24:$BE$123)&gt;43),INDEX($BJ$24:$BJ$123,(COUNT($BE$24:$BE$123)-43))*$B$27*$B$26,"")</f>
        <v/>
      </c>
      <c r="Q67" s="110" t="str">
        <f>IF(AND($Z$11,COUNT($BE$24:$BE$123)&gt;43),$B$35,"")</f>
        <v/>
      </c>
      <c r="R67" s="110" t="str">
        <f>IF(AND($Z$11,COUNT($BE$24:$BE$123)&gt;43),INDEX($BL$24:$BL$123,(COUNT($BE$24:$BE$123)-43)),"")</f>
        <v/>
      </c>
      <c r="S67" s="110" t="str">
        <f>IF(AND($Z$11,COUNT($BE$24:$BE$123)&gt;43),INDEX($BM$24:$BM$123,(COUNT($BE$24:$BE$123)-43)),"")</f>
        <v/>
      </c>
      <c r="T67" s="110" t="str">
        <f>IF(AND($Z$11,COUNT($BE$24:$BE$123)&gt;43),INDEX($BN$24:$BN$123,(COUNT($BE$24:$BE$123)-43)),"")</f>
        <v/>
      </c>
      <c r="W67" s="12"/>
      <c r="X67" s="12"/>
      <c r="Y67" s="12"/>
      <c r="Z67" s="12"/>
      <c r="AA67" s="12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>
        <v>0.05</v>
      </c>
      <c r="AR67" s="13">
        <f t="shared" si="16"/>
        <v>0</v>
      </c>
      <c r="AS67" s="13" t="str">
        <f>IF(COUNT(B9,B23)=2,AR67+B23-B9,"")</f>
        <v/>
      </c>
      <c r="AT67" s="13">
        <f t="shared" si="17"/>
        <v>0</v>
      </c>
      <c r="AU67" s="13" t="str">
        <f t="shared" si="18"/>
        <v/>
      </c>
      <c r="AV67" s="13" t="str">
        <f t="shared" si="19"/>
        <v/>
      </c>
      <c r="AW67" s="13" t="str">
        <f t="shared" si="20"/>
        <v/>
      </c>
      <c r="AX67" s="13" t="str">
        <f t="shared" ref="AX67:AX86" si="21">IF(COUNT(AW66:AW67)=2,0.5*(AW66+AW67)*(AR67-AR66),"")</f>
        <v/>
      </c>
      <c r="AY67" s="13" t="str">
        <f t="shared" ref="AY67:AY86" si="22">IF(COUNT(AW66:AW67)=2,(AR67-AR66)/6*(AW66*(2*AR66+AR67)+AW67*(AR66+2*AR67)),"")</f>
        <v/>
      </c>
      <c r="AZ67" s="13"/>
      <c r="BD67" s="12">
        <f>44</f>
        <v>44</v>
      </c>
      <c r="BE67" s="32"/>
      <c r="BF67" s="32"/>
      <c r="BG67" s="32" t="str">
        <f>IF(BO67="OK",SUM($BE$24:BE67)-BE67,"")</f>
        <v/>
      </c>
      <c r="BH67" s="32" t="str">
        <f t="shared" si="8"/>
        <v/>
      </c>
      <c r="BI67" s="32" t="str">
        <f>IF(AND(BO67="OK",$Z$7),MAX('Wind Load Check'!$B$29,1.1+0.055*('Wind Load Check'!$B$23/'Wind Load Check'!$B$8)/EXP(ABS(LN((0.6*BF67/'Wind Load Check'!$B$8)*(1-0.011*'Wind Load Check'!$B$23/'Wind Load Check'!$B$8)))^(1.7-0.0013*('Wind Load Check'!$B$23/BF67)^2))),"")</f>
        <v/>
      </c>
      <c r="BJ67" s="32" t="str">
        <f t="shared" si="9"/>
        <v/>
      </c>
      <c r="BK67" s="32" t="str">
        <f>IF(AND(BO67="OK",$Z$7),BJ67*'Wind Load Check'!$B$26*'Wind Load Check'!$B$27*BI67*'Wind Load Check'!$B$35,"")</f>
        <v/>
      </c>
      <c r="BL67" s="32" t="str">
        <f t="shared" si="10"/>
        <v/>
      </c>
      <c r="BM67" s="32" t="str">
        <f>IF(AND(BO67="OK",ISNUMBER('Uplift Check'!$B$38)),(BG67+BH67)/2+'Uplift Check'!$B$38,"")</f>
        <v/>
      </c>
      <c r="BN67" s="32" t="str">
        <f t="shared" si="11"/>
        <v/>
      </c>
      <c r="BO67" s="32" t="str">
        <f t="shared" si="15"/>
        <v/>
      </c>
      <c r="BP67" s="32" t="str">
        <f t="shared" si="12"/>
        <v/>
      </c>
      <c r="BQ67" s="32" t="str">
        <f t="shared" si="13"/>
        <v/>
      </c>
      <c r="BR67" s="32" t="str">
        <f t="shared" si="14"/>
        <v/>
      </c>
    </row>
    <row r="68" spans="1:70" ht="22.05" customHeight="1">
      <c r="A68" s="12"/>
      <c r="B68" s="12"/>
      <c r="C68" s="12"/>
      <c r="D68" s="12"/>
      <c r="E68" s="12"/>
      <c r="F68" s="12"/>
      <c r="G68" s="12"/>
      <c r="H68" s="109" t="str">
        <f>IF(AND($Z$11,COUNT($BE$24:$BE$123)&gt;44),INDEX($BD$24:$BD$123,(COUNT($BE$24:$BE$123)-44)),"")</f>
        <v/>
      </c>
      <c r="I68" s="110" t="str">
        <f>IF(AND($Z$11,COUNT($BE$24:$BE$123)&gt;44),INDEX($BH$24:$BH$123,(COUNT($BE$24:$BE$123)-44))+'Uplift Check'!$B$25,"")</f>
        <v/>
      </c>
      <c r="J68" s="110" t="str">
        <f>IF(AND($Z$11,COUNT($BE$24:$BE$123)&gt;44),INDEX($BF$24:$BF$123,(COUNT($BE$24:$BE$123)-44)),"")</f>
        <v/>
      </c>
      <c r="K68" s="110" t="str">
        <f>IF(AND($Z$11,COUNT($BE$24:$BE$123)&gt;44),$B$8,"")</f>
        <v/>
      </c>
      <c r="L68" s="110" t="str">
        <f>IF(AND($Z$11,COUNT($BE$24:$BE$123)&gt;44),INDEX($BI$24:$BI$123,(COUNT($BE$24:$BE$123)-44)),"")</f>
        <v/>
      </c>
      <c r="M68" s="110" t="str">
        <f>IF(AND($Z$11,COUNT($BE$24:$BE$123)&gt;44),INDEX($BJ$24:$BJ$123,(COUNT($BE$24:$BE$123)-44)),"")</f>
        <v/>
      </c>
      <c r="N68" s="110" t="str">
        <f>IF(AND($Z$11,COUNT($BE$24:$BE$123)&gt;44),$B$27,"")</f>
        <v/>
      </c>
      <c r="O68" s="110" t="str">
        <f>IF(AND($Z$11,COUNT($BE$24:$BE$123)&gt;44),$B$26,"")</f>
        <v/>
      </c>
      <c r="P68" s="110" t="str">
        <f>IF(AND($Z$11,COUNT($BE$24:$BE$123)&gt;44),INDEX($BJ$24:$BJ$123,(COUNT($BE$24:$BE$123)-44))*$B$27*$B$26,"")</f>
        <v/>
      </c>
      <c r="Q68" s="110" t="str">
        <f>IF(AND($Z$11,COUNT($BE$24:$BE$123)&gt;44),$B$35,"")</f>
        <v/>
      </c>
      <c r="R68" s="110" t="str">
        <f>IF(AND($Z$11,COUNT($BE$24:$BE$123)&gt;44),INDEX($BL$24:$BL$123,(COUNT($BE$24:$BE$123)-44)),"")</f>
        <v/>
      </c>
      <c r="S68" s="110" t="str">
        <f>IF(AND($Z$11,COUNT($BE$24:$BE$123)&gt;44),INDEX($BM$24:$BM$123,(COUNT($BE$24:$BE$123)-44)),"")</f>
        <v/>
      </c>
      <c r="T68" s="110" t="str">
        <f>IF(AND($Z$11,COUNT($BE$24:$BE$123)&gt;44),INDEX($BN$24:$BN$123,(COUNT($BE$24:$BE$123)-44)),"")</f>
        <v/>
      </c>
      <c r="W68" s="12"/>
      <c r="X68" s="12"/>
      <c r="Y68" s="12"/>
      <c r="Z68" s="12"/>
      <c r="AA68" s="12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>
        <v>0.1</v>
      </c>
      <c r="AR68" s="13">
        <f t="shared" si="16"/>
        <v>0</v>
      </c>
      <c r="AS68" s="13" t="str">
        <f>IF(COUNT(B9,B23)=2,AR68+B23-B9,"")</f>
        <v/>
      </c>
      <c r="AT68" s="13">
        <f t="shared" si="17"/>
        <v>0</v>
      </c>
      <c r="AU68" s="13" t="str">
        <f t="shared" si="18"/>
        <v/>
      </c>
      <c r="AV68" s="13" t="str">
        <f t="shared" si="19"/>
        <v/>
      </c>
      <c r="AW68" s="13" t="str">
        <f t="shared" si="20"/>
        <v/>
      </c>
      <c r="AX68" s="13" t="str">
        <f t="shared" si="21"/>
        <v/>
      </c>
      <c r="AY68" s="13" t="str">
        <f t="shared" si="22"/>
        <v/>
      </c>
      <c r="AZ68" s="13"/>
      <c r="BD68" s="12">
        <f>45</f>
        <v>45</v>
      </c>
      <c r="BE68" s="32"/>
      <c r="BF68" s="32"/>
      <c r="BG68" s="32" t="str">
        <f>IF(BO68="OK",SUM($BE$24:BE68)-BE68,"")</f>
        <v/>
      </c>
      <c r="BH68" s="32" t="str">
        <f t="shared" si="8"/>
        <v/>
      </c>
      <c r="BI68" s="32" t="str">
        <f>IF(AND(BO68="OK",$Z$7),MAX('Wind Load Check'!$B$29,1.1+0.055*('Wind Load Check'!$B$23/'Wind Load Check'!$B$8)/EXP(ABS(LN((0.6*BF68/'Wind Load Check'!$B$8)*(1-0.011*'Wind Load Check'!$B$23/'Wind Load Check'!$B$8)))^(1.7-0.0013*('Wind Load Check'!$B$23/BF68)^2))),"")</f>
        <v/>
      </c>
      <c r="BJ68" s="32" t="str">
        <f t="shared" si="9"/>
        <v/>
      </c>
      <c r="BK68" s="32" t="str">
        <f>IF(AND(BO68="OK",$Z$7),BJ68*'Wind Load Check'!$B$26*'Wind Load Check'!$B$27*BI68*'Wind Load Check'!$B$35,"")</f>
        <v/>
      </c>
      <c r="BL68" s="32" t="str">
        <f t="shared" si="10"/>
        <v/>
      </c>
      <c r="BM68" s="32" t="str">
        <f>IF(AND(BO68="OK",ISNUMBER('Uplift Check'!$B$38)),(BG68+BH68)/2+'Uplift Check'!$B$38,"")</f>
        <v/>
      </c>
      <c r="BN68" s="32" t="str">
        <f t="shared" si="11"/>
        <v/>
      </c>
      <c r="BO68" s="32" t="str">
        <f t="shared" si="15"/>
        <v/>
      </c>
      <c r="BP68" s="32" t="str">
        <f t="shared" si="12"/>
        <v/>
      </c>
      <c r="BQ68" s="32" t="str">
        <f t="shared" si="13"/>
        <v/>
      </c>
      <c r="BR68" s="32" t="str">
        <f t="shared" si="14"/>
        <v/>
      </c>
    </row>
    <row r="69" spans="1:70" ht="22.05" customHeight="1">
      <c r="A69" s="12"/>
      <c r="B69" s="12"/>
      <c r="C69" s="12"/>
      <c r="D69" s="12"/>
      <c r="E69" s="12"/>
      <c r="F69" s="12"/>
      <c r="G69" s="12"/>
      <c r="H69" s="109" t="str">
        <f>IF(AND($Z$11,COUNT($BE$24:$BE$123)&gt;45),INDEX($BD$24:$BD$123,(COUNT($BE$24:$BE$123)-45)),"")</f>
        <v/>
      </c>
      <c r="I69" s="110" t="str">
        <f>IF(AND($Z$11,COUNT($BE$24:$BE$123)&gt;45),INDEX($BH$24:$BH$123,(COUNT($BE$24:$BE$123)-45))+'Uplift Check'!$B$25,"")</f>
        <v/>
      </c>
      <c r="J69" s="110" t="str">
        <f>IF(AND($Z$11,COUNT($BE$24:$BE$123)&gt;45),INDEX($BF$24:$BF$123,(COUNT($BE$24:$BE$123)-45)),"")</f>
        <v/>
      </c>
      <c r="K69" s="110" t="str">
        <f>IF(AND($Z$11,COUNT($BE$24:$BE$123)&gt;45),$B$8,"")</f>
        <v/>
      </c>
      <c r="L69" s="110" t="str">
        <f>IF(AND($Z$11,COUNT($BE$24:$BE$123)&gt;45),INDEX($BI$24:$BI$123,(COUNT($BE$24:$BE$123)-45)),"")</f>
        <v/>
      </c>
      <c r="M69" s="110" t="str">
        <f>IF(AND($Z$11,COUNT($BE$24:$BE$123)&gt;45),INDEX($BJ$24:$BJ$123,(COUNT($BE$24:$BE$123)-45)),"")</f>
        <v/>
      </c>
      <c r="N69" s="110" t="str">
        <f>IF(AND($Z$11,COUNT($BE$24:$BE$123)&gt;45),$B$27,"")</f>
        <v/>
      </c>
      <c r="O69" s="110" t="str">
        <f>IF(AND($Z$11,COUNT($BE$24:$BE$123)&gt;45),$B$26,"")</f>
        <v/>
      </c>
      <c r="P69" s="110" t="str">
        <f>IF(AND($Z$11,COUNT($BE$24:$BE$123)&gt;45),INDEX($BJ$24:$BJ$123,(COUNT($BE$24:$BE$123)-45))*$B$27*$B$26,"")</f>
        <v/>
      </c>
      <c r="Q69" s="110" t="str">
        <f>IF(AND($Z$11,COUNT($BE$24:$BE$123)&gt;45),$B$35,"")</f>
        <v/>
      </c>
      <c r="R69" s="110" t="str">
        <f>IF(AND($Z$11,COUNT($BE$24:$BE$123)&gt;45),INDEX($BL$24:$BL$123,(COUNT($BE$24:$BE$123)-45)),"")</f>
        <v/>
      </c>
      <c r="S69" s="110" t="str">
        <f>IF(AND($Z$11,COUNT($BE$24:$BE$123)&gt;45),INDEX($BM$24:$BM$123,(COUNT($BE$24:$BE$123)-45)),"")</f>
        <v/>
      </c>
      <c r="T69" s="110" t="str">
        <f>IF(AND($Z$11,COUNT($BE$24:$BE$123)&gt;45),INDEX($BN$24:$BN$123,(COUNT($BE$24:$BE$123)-45)),"")</f>
        <v/>
      </c>
      <c r="W69" s="12"/>
      <c r="X69" s="12"/>
      <c r="Y69" s="12"/>
      <c r="Z69" s="12"/>
      <c r="AA69" s="12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>
        <v>0.15</v>
      </c>
      <c r="AR69" s="13">
        <f t="shared" si="16"/>
        <v>0</v>
      </c>
      <c r="AS69" s="13" t="str">
        <f>IF(COUNT(B9,B23)=2,AR69+B23-B9,"")</f>
        <v/>
      </c>
      <c r="AT69" s="13">
        <f t="shared" si="17"/>
        <v>0</v>
      </c>
      <c r="AU69" s="13" t="str">
        <f t="shared" si="18"/>
        <v/>
      </c>
      <c r="AV69" s="13" t="str">
        <f t="shared" si="19"/>
        <v/>
      </c>
      <c r="AW69" s="13" t="str">
        <f t="shared" si="20"/>
        <v/>
      </c>
      <c r="AX69" s="13" t="str">
        <f t="shared" si="21"/>
        <v/>
      </c>
      <c r="AY69" s="13" t="str">
        <f t="shared" si="22"/>
        <v/>
      </c>
      <c r="AZ69" s="13"/>
      <c r="BD69" s="12">
        <f>46</f>
        <v>46</v>
      </c>
      <c r="BE69" s="32"/>
      <c r="BF69" s="32"/>
      <c r="BG69" s="32" t="str">
        <f>IF(BO69="OK",SUM($BE$24:BE69)-BE69,"")</f>
        <v/>
      </c>
      <c r="BH69" s="32" t="str">
        <f t="shared" si="8"/>
        <v/>
      </c>
      <c r="BI69" s="32" t="str">
        <f>IF(AND(BO69="OK",$Z$7),MAX('Wind Load Check'!$B$29,1.1+0.055*('Wind Load Check'!$B$23/'Wind Load Check'!$B$8)/EXP(ABS(LN((0.6*BF69/'Wind Load Check'!$B$8)*(1-0.011*'Wind Load Check'!$B$23/'Wind Load Check'!$B$8)))^(1.7-0.0013*('Wind Load Check'!$B$23/BF69)^2))),"")</f>
        <v/>
      </c>
      <c r="BJ69" s="32" t="str">
        <f t="shared" si="9"/>
        <v/>
      </c>
      <c r="BK69" s="32" t="str">
        <f>IF(AND(BO69="OK",$Z$7),BJ69*'Wind Load Check'!$B$26*'Wind Load Check'!$B$27*BI69*'Wind Load Check'!$B$35,"")</f>
        <v/>
      </c>
      <c r="BL69" s="32" t="str">
        <f t="shared" si="10"/>
        <v/>
      </c>
      <c r="BM69" s="32" t="str">
        <f>IF(AND(BO69="OK",ISNUMBER('Uplift Check'!$B$38)),(BG69+BH69)/2+'Uplift Check'!$B$38,"")</f>
        <v/>
      </c>
      <c r="BN69" s="32" t="str">
        <f t="shared" si="11"/>
        <v/>
      </c>
      <c r="BO69" s="32" t="str">
        <f t="shared" si="15"/>
        <v/>
      </c>
      <c r="BP69" s="32" t="str">
        <f t="shared" si="12"/>
        <v/>
      </c>
      <c r="BQ69" s="32" t="str">
        <f t="shared" si="13"/>
        <v/>
      </c>
      <c r="BR69" s="32" t="str">
        <f t="shared" si="14"/>
        <v/>
      </c>
    </row>
    <row r="70" spans="1:70" ht="22.05" customHeight="1">
      <c r="A70" s="12"/>
      <c r="B70" s="12"/>
      <c r="C70" s="12"/>
      <c r="D70" s="12"/>
      <c r="E70" s="12"/>
      <c r="F70" s="12"/>
      <c r="G70" s="12"/>
      <c r="H70" s="109" t="str">
        <f>IF(AND($Z$11,COUNT($BE$24:$BE$123)&gt;46),INDEX($BD$24:$BD$123,(COUNT($BE$24:$BE$123)-46)),"")</f>
        <v/>
      </c>
      <c r="I70" s="110" t="str">
        <f>IF(AND($Z$11,COUNT($BE$24:$BE$123)&gt;46),INDEX($BH$24:$BH$123,(COUNT($BE$24:$BE$123)-46))+'Uplift Check'!$B$25,"")</f>
        <v/>
      </c>
      <c r="J70" s="110" t="str">
        <f>IF(AND($Z$11,COUNT($BE$24:$BE$123)&gt;46),INDEX($BF$24:$BF$123,(COUNT($BE$24:$BE$123)-46)),"")</f>
        <v/>
      </c>
      <c r="K70" s="110" t="str">
        <f>IF(AND($Z$11,COUNT($BE$24:$BE$123)&gt;46),$B$8,"")</f>
        <v/>
      </c>
      <c r="L70" s="110" t="str">
        <f>IF(AND($Z$11,COUNT($BE$24:$BE$123)&gt;46),INDEX($BI$24:$BI$123,(COUNT($BE$24:$BE$123)-46)),"")</f>
        <v/>
      </c>
      <c r="M70" s="110" t="str">
        <f>IF(AND($Z$11,COUNT($BE$24:$BE$123)&gt;46),INDEX($BJ$24:$BJ$123,(COUNT($BE$24:$BE$123)-46)),"")</f>
        <v/>
      </c>
      <c r="N70" s="110" t="str">
        <f>IF(AND($Z$11,COUNT($BE$24:$BE$123)&gt;46),$B$27,"")</f>
        <v/>
      </c>
      <c r="O70" s="110" t="str">
        <f>IF(AND($Z$11,COUNT($BE$24:$BE$123)&gt;46),$B$26,"")</f>
        <v/>
      </c>
      <c r="P70" s="110" t="str">
        <f>IF(AND($Z$11,COUNT($BE$24:$BE$123)&gt;46),INDEX($BJ$24:$BJ$123,(COUNT($BE$24:$BE$123)-46))*$B$27*$B$26,"")</f>
        <v/>
      </c>
      <c r="Q70" s="110" t="str">
        <f>IF(AND($Z$11,COUNT($BE$24:$BE$123)&gt;46),$B$35,"")</f>
        <v/>
      </c>
      <c r="R70" s="110" t="str">
        <f>IF(AND($Z$11,COUNT($BE$24:$BE$123)&gt;46),INDEX($BL$24:$BL$123,(COUNT($BE$24:$BE$123)-46)),"")</f>
        <v/>
      </c>
      <c r="S70" s="110" t="str">
        <f>IF(AND($Z$11,COUNT($BE$24:$BE$123)&gt;46),INDEX($BM$24:$BM$123,(COUNT($BE$24:$BE$123)-46)),"")</f>
        <v/>
      </c>
      <c r="T70" s="110" t="str">
        <f>IF(AND($Z$11,COUNT($BE$24:$BE$123)&gt;46),INDEX($BN$24:$BN$123,(COUNT($BE$24:$BE$123)-46)),"")</f>
        <v/>
      </c>
      <c r="W70" s="12"/>
      <c r="X70" s="12"/>
      <c r="Y70" s="12"/>
      <c r="Z70" s="12"/>
      <c r="AA70" s="12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>
        <v>0.2</v>
      </c>
      <c r="AR70" s="13">
        <f t="shared" si="16"/>
        <v>0</v>
      </c>
      <c r="AS70" s="13" t="str">
        <f>IF(COUNT(B9,B23)=2,AR70+B23-B9,"")</f>
        <v/>
      </c>
      <c r="AT70" s="13">
        <f t="shared" si="17"/>
        <v>0</v>
      </c>
      <c r="AU70" s="13" t="str">
        <f t="shared" si="18"/>
        <v/>
      </c>
      <c r="AV70" s="13" t="str">
        <f t="shared" si="19"/>
        <v/>
      </c>
      <c r="AW70" s="13" t="str">
        <f t="shared" si="20"/>
        <v/>
      </c>
      <c r="AX70" s="13" t="str">
        <f t="shared" si="21"/>
        <v/>
      </c>
      <c r="AY70" s="13" t="str">
        <f t="shared" si="22"/>
        <v/>
      </c>
      <c r="AZ70" s="13"/>
      <c r="BD70" s="12">
        <f>47</f>
        <v>47</v>
      </c>
      <c r="BE70" s="32"/>
      <c r="BF70" s="32"/>
      <c r="BG70" s="32" t="str">
        <f>IF(BO70="OK",SUM($BE$24:BE70)-BE70,"")</f>
        <v/>
      </c>
      <c r="BH70" s="32" t="str">
        <f t="shared" si="8"/>
        <v/>
      </c>
      <c r="BI70" s="32" t="str">
        <f>IF(AND(BO70="OK",$Z$7),MAX('Wind Load Check'!$B$29,1.1+0.055*('Wind Load Check'!$B$23/'Wind Load Check'!$B$8)/EXP(ABS(LN((0.6*BF70/'Wind Load Check'!$B$8)*(1-0.011*'Wind Load Check'!$B$23/'Wind Load Check'!$B$8)))^(1.7-0.0013*('Wind Load Check'!$B$23/BF70)^2))),"")</f>
        <v/>
      </c>
      <c r="BJ70" s="32" t="str">
        <f t="shared" si="9"/>
        <v/>
      </c>
      <c r="BK70" s="32" t="str">
        <f>IF(AND(BO70="OK",$Z$7),BJ70*'Wind Load Check'!$B$26*'Wind Load Check'!$B$27*BI70*'Wind Load Check'!$B$35,"")</f>
        <v/>
      </c>
      <c r="BL70" s="32" t="str">
        <f t="shared" si="10"/>
        <v/>
      </c>
      <c r="BM70" s="32" t="str">
        <f>IF(AND(BO70="OK",ISNUMBER('Uplift Check'!$B$38)),(BG70+BH70)/2+'Uplift Check'!$B$38,"")</f>
        <v/>
      </c>
      <c r="BN70" s="32" t="str">
        <f t="shared" si="11"/>
        <v/>
      </c>
      <c r="BO70" s="32" t="str">
        <f t="shared" si="15"/>
        <v/>
      </c>
      <c r="BP70" s="32" t="str">
        <f t="shared" si="12"/>
        <v/>
      </c>
      <c r="BQ70" s="32" t="str">
        <f t="shared" si="13"/>
        <v/>
      </c>
      <c r="BR70" s="32" t="str">
        <f t="shared" si="14"/>
        <v/>
      </c>
    </row>
    <row r="71" spans="1:70" ht="22.05" customHeight="1">
      <c r="A71" s="12"/>
      <c r="B71" s="12"/>
      <c r="C71" s="12"/>
      <c r="D71" s="12"/>
      <c r="E71" s="12"/>
      <c r="F71" s="12"/>
      <c r="G71" s="12"/>
      <c r="H71" s="109" t="str">
        <f>IF(AND($Z$11,COUNT($BE$24:$BE$123)&gt;47),INDEX($BD$24:$BD$123,(COUNT($BE$24:$BE$123)-47)),"")</f>
        <v/>
      </c>
      <c r="I71" s="110" t="str">
        <f>IF(AND($Z$11,COUNT($BE$24:$BE$123)&gt;47),INDEX($BH$24:$BH$123,(COUNT($BE$24:$BE$123)-47))+'Uplift Check'!$B$25,"")</f>
        <v/>
      </c>
      <c r="J71" s="110" t="str">
        <f>IF(AND($Z$11,COUNT($BE$24:$BE$123)&gt;47),INDEX($BF$24:$BF$123,(COUNT($BE$24:$BE$123)-47)),"")</f>
        <v/>
      </c>
      <c r="K71" s="110" t="str">
        <f>IF(AND($Z$11,COUNT($BE$24:$BE$123)&gt;47),$B$8,"")</f>
        <v/>
      </c>
      <c r="L71" s="110" t="str">
        <f>IF(AND($Z$11,COUNT($BE$24:$BE$123)&gt;47),INDEX($BI$24:$BI$123,(COUNT($BE$24:$BE$123)-47)),"")</f>
        <v/>
      </c>
      <c r="M71" s="110" t="str">
        <f>IF(AND($Z$11,COUNT($BE$24:$BE$123)&gt;47),INDEX($BJ$24:$BJ$123,(COUNT($BE$24:$BE$123)-47)),"")</f>
        <v/>
      </c>
      <c r="N71" s="110" t="str">
        <f>IF(AND($Z$11,COUNT($BE$24:$BE$123)&gt;47),$B$27,"")</f>
        <v/>
      </c>
      <c r="O71" s="110" t="str">
        <f>IF(AND($Z$11,COUNT($BE$24:$BE$123)&gt;47),$B$26,"")</f>
        <v/>
      </c>
      <c r="P71" s="110" t="str">
        <f>IF(AND($Z$11,COUNT($BE$24:$BE$123)&gt;47),INDEX($BJ$24:$BJ$123,(COUNT($BE$24:$BE$123)-47))*$B$27*$B$26,"")</f>
        <v/>
      </c>
      <c r="Q71" s="110" t="str">
        <f>IF(AND($Z$11,COUNT($BE$24:$BE$123)&gt;47),$B$35,"")</f>
        <v/>
      </c>
      <c r="R71" s="110" t="str">
        <f>IF(AND($Z$11,COUNT($BE$24:$BE$123)&gt;47),INDEX($BL$24:$BL$123,(COUNT($BE$24:$BE$123)-47)),"")</f>
        <v/>
      </c>
      <c r="S71" s="110" t="str">
        <f>IF(AND($Z$11,COUNT($BE$24:$BE$123)&gt;47),INDEX($BM$24:$BM$123,(COUNT($BE$24:$BE$123)-47)),"")</f>
        <v/>
      </c>
      <c r="T71" s="110" t="str">
        <f>IF(AND($Z$11,COUNT($BE$24:$BE$123)&gt;47),INDEX($BN$24:$BN$123,(COUNT($BE$24:$BE$123)-47)),"")</f>
        <v/>
      </c>
      <c r="W71" s="12"/>
      <c r="X71" s="12"/>
      <c r="Y71" s="12"/>
      <c r="Z71" s="12"/>
      <c r="AA71" s="12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>
        <v>0.25</v>
      </c>
      <c r="AR71" s="13">
        <f t="shared" si="16"/>
        <v>0</v>
      </c>
      <c r="AS71" s="13" t="str">
        <f>IF(COUNT(B9,B23)=2,AR71+B23-B9,"")</f>
        <v/>
      </c>
      <c r="AT71" s="13">
        <f t="shared" si="17"/>
        <v>0</v>
      </c>
      <c r="AU71" s="13" t="str">
        <f t="shared" si="18"/>
        <v/>
      </c>
      <c r="AV71" s="13" t="str">
        <f t="shared" si="19"/>
        <v/>
      </c>
      <c r="AW71" s="13" t="str">
        <f t="shared" si="20"/>
        <v/>
      </c>
      <c r="AX71" s="13" t="str">
        <f t="shared" si="21"/>
        <v/>
      </c>
      <c r="AY71" s="13" t="str">
        <f t="shared" si="22"/>
        <v/>
      </c>
      <c r="AZ71" s="13"/>
      <c r="BD71" s="12">
        <f>48</f>
        <v>48</v>
      </c>
      <c r="BE71" s="32"/>
      <c r="BF71" s="32"/>
      <c r="BG71" s="32" t="str">
        <f>IF(BO71="OK",SUM($BE$24:BE71)-BE71,"")</f>
        <v/>
      </c>
      <c r="BH71" s="32" t="str">
        <f t="shared" si="8"/>
        <v/>
      </c>
      <c r="BI71" s="32" t="str">
        <f>IF(AND(BO71="OK",$Z$7),MAX('Wind Load Check'!$B$29,1.1+0.055*('Wind Load Check'!$B$23/'Wind Load Check'!$B$8)/EXP(ABS(LN((0.6*BF71/'Wind Load Check'!$B$8)*(1-0.011*'Wind Load Check'!$B$23/'Wind Load Check'!$B$8)))^(1.7-0.0013*('Wind Load Check'!$B$23/BF71)^2))),"")</f>
        <v/>
      </c>
      <c r="BJ71" s="32" t="str">
        <f t="shared" si="9"/>
        <v/>
      </c>
      <c r="BK71" s="32" t="str">
        <f>IF(AND(BO71="OK",$Z$7),BJ71*'Wind Load Check'!$B$26*'Wind Load Check'!$B$27*BI71*'Wind Load Check'!$B$35,"")</f>
        <v/>
      </c>
      <c r="BL71" s="32" t="str">
        <f t="shared" si="10"/>
        <v/>
      </c>
      <c r="BM71" s="32" t="str">
        <f>IF(AND(BO71="OK",ISNUMBER('Uplift Check'!$B$38)),(BG71+BH71)/2+'Uplift Check'!$B$38,"")</f>
        <v/>
      </c>
      <c r="BN71" s="32" t="str">
        <f t="shared" si="11"/>
        <v/>
      </c>
      <c r="BO71" s="32" t="str">
        <f t="shared" si="15"/>
        <v/>
      </c>
      <c r="BP71" s="32" t="str">
        <f t="shared" si="12"/>
        <v/>
      </c>
      <c r="BQ71" s="32" t="str">
        <f t="shared" si="13"/>
        <v/>
      </c>
      <c r="BR71" s="32" t="str">
        <f t="shared" si="14"/>
        <v/>
      </c>
    </row>
    <row r="72" spans="1:70" ht="22.05" customHeight="1">
      <c r="A72" s="12"/>
      <c r="B72" s="12"/>
      <c r="C72" s="12"/>
      <c r="D72" s="12"/>
      <c r="E72" s="12"/>
      <c r="F72" s="12"/>
      <c r="G72" s="12"/>
      <c r="H72" s="109" t="str">
        <f>IF(AND($Z$11,COUNT($BE$24:$BE$123)&gt;48),INDEX($BD$24:$BD$123,(COUNT($BE$24:$BE$123)-48)),"")</f>
        <v/>
      </c>
      <c r="I72" s="110" t="str">
        <f>IF(AND($Z$11,COUNT($BE$24:$BE$123)&gt;48),INDEX($BH$24:$BH$123,(COUNT($BE$24:$BE$123)-48))+'Uplift Check'!$B$25,"")</f>
        <v/>
      </c>
      <c r="J72" s="110" t="str">
        <f>IF(AND($Z$11,COUNT($BE$24:$BE$123)&gt;48),INDEX($BF$24:$BF$123,(COUNT($BE$24:$BE$123)-48)),"")</f>
        <v/>
      </c>
      <c r="K72" s="110" t="str">
        <f>IF(AND($Z$11,COUNT($BE$24:$BE$123)&gt;48),$B$8,"")</f>
        <v/>
      </c>
      <c r="L72" s="110" t="str">
        <f>IF(AND($Z$11,COUNT($BE$24:$BE$123)&gt;48),INDEX($BI$24:$BI$123,(COUNT($BE$24:$BE$123)-48)),"")</f>
        <v/>
      </c>
      <c r="M72" s="110" t="str">
        <f>IF(AND($Z$11,COUNT($BE$24:$BE$123)&gt;48),INDEX($BJ$24:$BJ$123,(COUNT($BE$24:$BE$123)-48)),"")</f>
        <v/>
      </c>
      <c r="N72" s="110" t="str">
        <f>IF(AND($Z$11,COUNT($BE$24:$BE$123)&gt;48),$B$27,"")</f>
        <v/>
      </c>
      <c r="O72" s="110" t="str">
        <f>IF(AND($Z$11,COUNT($BE$24:$BE$123)&gt;48),$B$26,"")</f>
        <v/>
      </c>
      <c r="P72" s="110" t="str">
        <f>IF(AND($Z$11,COUNT($BE$24:$BE$123)&gt;48),INDEX($BJ$24:$BJ$123,(COUNT($BE$24:$BE$123)-48))*$B$27*$B$26,"")</f>
        <v/>
      </c>
      <c r="Q72" s="110" t="str">
        <f>IF(AND($Z$11,COUNT($BE$24:$BE$123)&gt;48),$B$35,"")</f>
        <v/>
      </c>
      <c r="R72" s="110" t="str">
        <f>IF(AND($Z$11,COUNT($BE$24:$BE$123)&gt;48),INDEX($BL$24:$BL$123,(COUNT($BE$24:$BE$123)-48)),"")</f>
        <v/>
      </c>
      <c r="S72" s="110" t="str">
        <f>IF(AND($Z$11,COUNT($BE$24:$BE$123)&gt;48),INDEX($BM$24:$BM$123,(COUNT($BE$24:$BE$123)-48)),"")</f>
        <v/>
      </c>
      <c r="T72" s="110" t="str">
        <f>IF(AND($Z$11,COUNT($BE$24:$BE$123)&gt;48),INDEX($BN$24:$BN$123,(COUNT($BE$24:$BE$123)-48)),"")</f>
        <v/>
      </c>
      <c r="W72" s="12"/>
      <c r="X72" s="12"/>
      <c r="Y72" s="12"/>
      <c r="Z72" s="12"/>
      <c r="AA72" s="12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>
        <v>0.3</v>
      </c>
      <c r="AR72" s="13">
        <f t="shared" si="16"/>
        <v>0</v>
      </c>
      <c r="AS72" s="13" t="str">
        <f>IF(COUNT(B9,B23)=2,AR72+B23-B9,"")</f>
        <v/>
      </c>
      <c r="AT72" s="13">
        <f t="shared" si="17"/>
        <v>0</v>
      </c>
      <c r="AU72" s="13" t="str">
        <f t="shared" si="18"/>
        <v/>
      </c>
      <c r="AV72" s="13" t="str">
        <f t="shared" si="19"/>
        <v/>
      </c>
      <c r="AW72" s="13" t="str">
        <f t="shared" si="20"/>
        <v/>
      </c>
      <c r="AX72" s="13" t="str">
        <f t="shared" si="21"/>
        <v/>
      </c>
      <c r="AY72" s="13" t="str">
        <f t="shared" si="22"/>
        <v/>
      </c>
      <c r="AZ72" s="13"/>
      <c r="BD72" s="12">
        <f>49</f>
        <v>49</v>
      </c>
      <c r="BE72" s="32"/>
      <c r="BF72" s="32"/>
      <c r="BG72" s="32" t="str">
        <f>IF(BO72="OK",SUM($BE$24:BE72)-BE72,"")</f>
        <v/>
      </c>
      <c r="BH72" s="32" t="str">
        <f t="shared" si="8"/>
        <v/>
      </c>
      <c r="BI72" s="32" t="str">
        <f>IF(AND(BO72="OK",$Z$7),MAX('Wind Load Check'!$B$29,1.1+0.055*('Wind Load Check'!$B$23/'Wind Load Check'!$B$8)/EXP(ABS(LN((0.6*BF72/'Wind Load Check'!$B$8)*(1-0.011*'Wind Load Check'!$B$23/'Wind Load Check'!$B$8)))^(1.7-0.0013*('Wind Load Check'!$B$23/BF72)^2))),"")</f>
        <v/>
      </c>
      <c r="BJ72" s="32" t="str">
        <f t="shared" si="9"/>
        <v/>
      </c>
      <c r="BK72" s="32" t="str">
        <f>IF(AND(BO72="OK",$Z$7),BJ72*'Wind Load Check'!$B$26*'Wind Load Check'!$B$27*BI72*'Wind Load Check'!$B$35,"")</f>
        <v/>
      </c>
      <c r="BL72" s="32" t="str">
        <f t="shared" si="10"/>
        <v/>
      </c>
      <c r="BM72" s="32" t="str">
        <f>IF(AND(BO72="OK",ISNUMBER('Uplift Check'!$B$38)),(BG72+BH72)/2+'Uplift Check'!$B$38,"")</f>
        <v/>
      </c>
      <c r="BN72" s="32" t="str">
        <f t="shared" si="11"/>
        <v/>
      </c>
      <c r="BO72" s="32" t="str">
        <f t="shared" si="15"/>
        <v/>
      </c>
      <c r="BP72" s="32" t="str">
        <f t="shared" si="12"/>
        <v/>
      </c>
      <c r="BQ72" s="32" t="str">
        <f t="shared" si="13"/>
        <v/>
      </c>
      <c r="BR72" s="32" t="str">
        <f t="shared" si="14"/>
        <v/>
      </c>
    </row>
    <row r="73" spans="1:70" ht="22.05" customHeight="1">
      <c r="A73" s="12"/>
      <c r="B73" s="12"/>
      <c r="C73" s="12"/>
      <c r="D73" s="12"/>
      <c r="E73" s="12"/>
      <c r="F73" s="12"/>
      <c r="G73" s="12"/>
      <c r="H73" s="109" t="str">
        <f>IF(AND($Z$11,COUNT($BE$24:$BE$123)&gt;49),INDEX($BD$24:$BD$123,(COUNT($BE$24:$BE$123)-49)),"")</f>
        <v/>
      </c>
      <c r="I73" s="110" t="str">
        <f>IF(AND($Z$11,COUNT($BE$24:$BE$123)&gt;49),INDEX($BH$24:$BH$123,(COUNT($BE$24:$BE$123)-49))+'Uplift Check'!$B$25,"")</f>
        <v/>
      </c>
      <c r="J73" s="110" t="str">
        <f>IF(AND($Z$11,COUNT($BE$24:$BE$123)&gt;49),INDEX($BF$24:$BF$123,(COUNT($BE$24:$BE$123)-49)),"")</f>
        <v/>
      </c>
      <c r="K73" s="110" t="str">
        <f>IF(AND($Z$11,COUNT($BE$24:$BE$123)&gt;49),$B$8,"")</f>
        <v/>
      </c>
      <c r="L73" s="110" t="str">
        <f>IF(AND($Z$11,COUNT($BE$24:$BE$123)&gt;49),INDEX($BI$24:$BI$123,(COUNT($BE$24:$BE$123)-49)),"")</f>
        <v/>
      </c>
      <c r="M73" s="110" t="str">
        <f>IF(AND($Z$11,COUNT($BE$24:$BE$123)&gt;49),INDEX($BJ$24:$BJ$123,(COUNT($BE$24:$BE$123)-49)),"")</f>
        <v/>
      </c>
      <c r="N73" s="110" t="str">
        <f>IF(AND($Z$11,COUNT($BE$24:$BE$123)&gt;49),$B$27,"")</f>
        <v/>
      </c>
      <c r="O73" s="110" t="str">
        <f>IF(AND($Z$11,COUNT($BE$24:$BE$123)&gt;49),$B$26,"")</f>
        <v/>
      </c>
      <c r="P73" s="110" t="str">
        <f>IF(AND($Z$11,COUNT($BE$24:$BE$123)&gt;49),INDEX($BJ$24:$BJ$123,(COUNT($BE$24:$BE$123)-49))*$B$27*$B$26,"")</f>
        <v/>
      </c>
      <c r="Q73" s="110" t="str">
        <f>IF(AND($Z$11,COUNT($BE$24:$BE$123)&gt;49),$B$35,"")</f>
        <v/>
      </c>
      <c r="R73" s="110" t="str">
        <f>IF(AND($Z$11,COUNT($BE$24:$BE$123)&gt;49),INDEX($BL$24:$BL$123,(COUNT($BE$24:$BE$123)-49)),"")</f>
        <v/>
      </c>
      <c r="S73" s="110" t="str">
        <f>IF(AND($Z$11,COUNT($BE$24:$BE$123)&gt;49),INDEX($BM$24:$BM$123,(COUNT($BE$24:$BE$123)-49)),"")</f>
        <v/>
      </c>
      <c r="T73" s="110" t="str">
        <f>IF(AND($Z$11,COUNT($BE$24:$BE$123)&gt;49),INDEX($BN$24:$BN$123,(COUNT($BE$24:$BE$123)-49)),"")</f>
        <v/>
      </c>
      <c r="W73" s="12"/>
      <c r="X73" s="12"/>
      <c r="Y73" s="12"/>
      <c r="Z73" s="12"/>
      <c r="AA73" s="12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>
        <v>0.35</v>
      </c>
      <c r="AR73" s="13">
        <f t="shared" si="16"/>
        <v>0</v>
      </c>
      <c r="AS73" s="13" t="str">
        <f>IF(COUNT(B9,B23)=2,AR73+B23-B9,"")</f>
        <v/>
      </c>
      <c r="AT73" s="13">
        <f t="shared" si="17"/>
        <v>0</v>
      </c>
      <c r="AU73" s="13" t="str">
        <f t="shared" si="18"/>
        <v/>
      </c>
      <c r="AV73" s="13" t="str">
        <f t="shared" si="19"/>
        <v/>
      </c>
      <c r="AW73" s="13" t="str">
        <f t="shared" si="20"/>
        <v/>
      </c>
      <c r="AX73" s="13" t="str">
        <f t="shared" si="21"/>
        <v/>
      </c>
      <c r="AY73" s="13" t="str">
        <f t="shared" si="22"/>
        <v/>
      </c>
      <c r="AZ73" s="13"/>
      <c r="BD73" s="12">
        <f>50</f>
        <v>50</v>
      </c>
      <c r="BE73" s="32"/>
      <c r="BF73" s="32"/>
      <c r="BG73" s="32" t="str">
        <f>IF(BO73="OK",SUM($BE$24:BE73)-BE73,"")</f>
        <v/>
      </c>
      <c r="BH73" s="32" t="str">
        <f t="shared" si="8"/>
        <v/>
      </c>
      <c r="BI73" s="32" t="str">
        <f>IF(AND(BO73="OK",$Z$7),MAX('Wind Load Check'!$B$29,1.1+0.055*('Wind Load Check'!$B$23/'Wind Load Check'!$B$8)/EXP(ABS(LN((0.6*BF73/'Wind Load Check'!$B$8)*(1-0.011*'Wind Load Check'!$B$23/'Wind Load Check'!$B$8)))^(1.7-0.0013*('Wind Load Check'!$B$23/BF73)^2))),"")</f>
        <v/>
      </c>
      <c r="BJ73" s="32" t="str">
        <f t="shared" si="9"/>
        <v/>
      </c>
      <c r="BK73" s="32" t="str">
        <f>IF(AND(BO73="OK",$Z$7),BJ73*'Wind Load Check'!$B$26*'Wind Load Check'!$B$27*BI73*'Wind Load Check'!$B$35,"")</f>
        <v/>
      </c>
      <c r="BL73" s="32" t="str">
        <f t="shared" si="10"/>
        <v/>
      </c>
      <c r="BM73" s="32" t="str">
        <f>IF(AND(BO73="OK",ISNUMBER('Uplift Check'!$B$38)),(BG73+BH73)/2+'Uplift Check'!$B$38,"")</f>
        <v/>
      </c>
      <c r="BN73" s="32" t="str">
        <f t="shared" si="11"/>
        <v/>
      </c>
      <c r="BO73" s="32" t="str">
        <f t="shared" si="15"/>
        <v/>
      </c>
      <c r="BP73" s="32" t="str">
        <f t="shared" si="12"/>
        <v/>
      </c>
      <c r="BQ73" s="32" t="str">
        <f t="shared" si="13"/>
        <v/>
      </c>
      <c r="BR73" s="32" t="str">
        <f t="shared" si="14"/>
        <v/>
      </c>
    </row>
    <row r="74" spans="1:70" ht="22.05" customHeight="1">
      <c r="A74" s="12"/>
      <c r="B74" s="12"/>
      <c r="C74" s="12"/>
      <c r="D74" s="12"/>
      <c r="E74" s="12"/>
      <c r="F74" s="12"/>
      <c r="G74" s="12"/>
      <c r="H74" s="109" t="str">
        <f>IF(AND($Z$11,COUNT($BE$24:$BE$123)&gt;50),INDEX($BD$24:$BD$123,(COUNT($BE$24:$BE$123)-50)),"")</f>
        <v/>
      </c>
      <c r="I74" s="110" t="str">
        <f>IF(AND($Z$11,COUNT($BE$24:$BE$123)&gt;50),INDEX($BH$24:$BH$123,(COUNT($BE$24:$BE$123)-50))+'Uplift Check'!$B$25,"")</f>
        <v/>
      </c>
      <c r="J74" s="110" t="str">
        <f>IF(AND($Z$11,COUNT($BE$24:$BE$123)&gt;50),INDEX($BF$24:$BF$123,(COUNT($BE$24:$BE$123)-50)),"")</f>
        <v/>
      </c>
      <c r="K74" s="110" t="str">
        <f>IF(AND($Z$11,COUNT($BE$24:$BE$123)&gt;50),$B$8,"")</f>
        <v/>
      </c>
      <c r="L74" s="110" t="str">
        <f>IF(AND($Z$11,COUNT($BE$24:$BE$123)&gt;50),INDEX($BI$24:$BI$123,(COUNT($BE$24:$BE$123)-50)),"")</f>
        <v/>
      </c>
      <c r="M74" s="110" t="str">
        <f>IF(AND($Z$11,COUNT($BE$24:$BE$123)&gt;50),INDEX($BJ$24:$BJ$123,(COUNT($BE$24:$BE$123)-50)),"")</f>
        <v/>
      </c>
      <c r="N74" s="110" t="str">
        <f>IF(AND($Z$11,COUNT($BE$24:$BE$123)&gt;50),$B$27,"")</f>
        <v/>
      </c>
      <c r="O74" s="110" t="str">
        <f>IF(AND($Z$11,COUNT($BE$24:$BE$123)&gt;50),$B$26,"")</f>
        <v/>
      </c>
      <c r="P74" s="110" t="str">
        <f>IF(AND($Z$11,COUNT($BE$24:$BE$123)&gt;50),INDEX($BJ$24:$BJ$123,(COUNT($BE$24:$BE$123)-50))*$B$27*$B$26,"")</f>
        <v/>
      </c>
      <c r="Q74" s="110" t="str">
        <f>IF(AND($Z$11,COUNT($BE$24:$BE$123)&gt;50),$B$35,"")</f>
        <v/>
      </c>
      <c r="R74" s="110" t="str">
        <f>IF(AND($Z$11,COUNT($BE$24:$BE$123)&gt;50),INDEX($BL$24:$BL$123,(COUNT($BE$24:$BE$123)-50)),"")</f>
        <v/>
      </c>
      <c r="S74" s="110" t="str">
        <f>IF(AND($Z$11,COUNT($BE$24:$BE$123)&gt;50),INDEX($BM$24:$BM$123,(COUNT($BE$24:$BE$123)-50)),"")</f>
        <v/>
      </c>
      <c r="T74" s="110" t="str">
        <f>IF(AND($Z$11,COUNT($BE$24:$BE$123)&gt;50),INDEX($BN$24:$BN$123,(COUNT($BE$24:$BE$123)-50)),"")</f>
        <v/>
      </c>
      <c r="W74" s="12"/>
      <c r="X74" s="12"/>
      <c r="Y74" s="12"/>
      <c r="Z74" s="12"/>
      <c r="AA74" s="12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>
        <v>0.4</v>
      </c>
      <c r="AR74" s="13">
        <f t="shared" si="16"/>
        <v>0</v>
      </c>
      <c r="AS74" s="13" t="str">
        <f>IF(COUNT(B9,B23)=2,AR74+B23-B9,"")</f>
        <v/>
      </c>
      <c r="AT74" s="13">
        <f t="shared" si="17"/>
        <v>0</v>
      </c>
      <c r="AU74" s="13" t="str">
        <f t="shared" si="18"/>
        <v/>
      </c>
      <c r="AV74" s="13" t="str">
        <f t="shared" si="19"/>
        <v/>
      </c>
      <c r="AW74" s="13" t="str">
        <f t="shared" si="20"/>
        <v/>
      </c>
      <c r="AX74" s="13" t="str">
        <f t="shared" si="21"/>
        <v/>
      </c>
      <c r="AY74" s="13" t="str">
        <f t="shared" si="22"/>
        <v/>
      </c>
      <c r="AZ74" s="13"/>
      <c r="BD74" s="12">
        <f>51</f>
        <v>51</v>
      </c>
      <c r="BE74" s="32"/>
      <c r="BF74" s="32"/>
      <c r="BG74" s="32" t="str">
        <f>IF(BO74="OK",SUM($BE$24:BE74)-BE74,"")</f>
        <v/>
      </c>
      <c r="BH74" s="32" t="str">
        <f t="shared" si="8"/>
        <v/>
      </c>
      <c r="BI74" s="32" t="str">
        <f>IF(AND(BO74="OK",$Z$7),MAX('Wind Load Check'!$B$29,1.1+0.055*('Wind Load Check'!$B$23/'Wind Load Check'!$B$8)/EXP(ABS(LN((0.6*BF74/'Wind Load Check'!$B$8)*(1-0.011*'Wind Load Check'!$B$23/'Wind Load Check'!$B$8)))^(1.7-0.0013*('Wind Load Check'!$B$23/BF74)^2))),"")</f>
        <v/>
      </c>
      <c r="BJ74" s="32" t="str">
        <f t="shared" si="9"/>
        <v/>
      </c>
      <c r="BK74" s="32" t="str">
        <f>IF(AND(BO74="OK",$Z$7),BJ74*'Wind Load Check'!$B$26*'Wind Load Check'!$B$27*BI74*'Wind Load Check'!$B$35,"")</f>
        <v/>
      </c>
      <c r="BL74" s="32" t="str">
        <f t="shared" si="10"/>
        <v/>
      </c>
      <c r="BM74" s="32" t="str">
        <f>IF(AND(BO74="OK",ISNUMBER('Uplift Check'!$B$38)),(BG74+BH74)/2+'Uplift Check'!$B$38,"")</f>
        <v/>
      </c>
      <c r="BN74" s="32" t="str">
        <f t="shared" si="11"/>
        <v/>
      </c>
      <c r="BO74" s="32" t="str">
        <f t="shared" si="15"/>
        <v/>
      </c>
      <c r="BP74" s="32" t="str">
        <f t="shared" si="12"/>
        <v/>
      </c>
      <c r="BQ74" s="32" t="str">
        <f t="shared" si="13"/>
        <v/>
      </c>
      <c r="BR74" s="32" t="str">
        <f t="shared" si="14"/>
        <v/>
      </c>
    </row>
    <row r="75" spans="1:70" ht="22.05" customHeight="1">
      <c r="A75" s="12"/>
      <c r="B75" s="12"/>
      <c r="C75" s="12"/>
      <c r="D75" s="12"/>
      <c r="E75" s="12"/>
      <c r="F75" s="12"/>
      <c r="G75" s="12"/>
      <c r="H75" s="109" t="str">
        <f>IF(AND($Z$11,COUNT($BE$24:$BE$123)&gt;51),INDEX($BD$24:$BD$123,(COUNT($BE$24:$BE$123)-51)),"")</f>
        <v/>
      </c>
      <c r="I75" s="110" t="str">
        <f>IF(AND($Z$11,COUNT($BE$24:$BE$123)&gt;51),INDEX($BH$24:$BH$123,(COUNT($BE$24:$BE$123)-51))+'Uplift Check'!$B$25,"")</f>
        <v/>
      </c>
      <c r="J75" s="110" t="str">
        <f>IF(AND($Z$11,COUNT($BE$24:$BE$123)&gt;51),INDEX($BF$24:$BF$123,(COUNT($BE$24:$BE$123)-51)),"")</f>
        <v/>
      </c>
      <c r="K75" s="110" t="str">
        <f>IF(AND($Z$11,COUNT($BE$24:$BE$123)&gt;51),$B$8,"")</f>
        <v/>
      </c>
      <c r="L75" s="110" t="str">
        <f>IF(AND($Z$11,COUNT($BE$24:$BE$123)&gt;51),INDEX($BI$24:$BI$123,(COUNT($BE$24:$BE$123)-51)),"")</f>
        <v/>
      </c>
      <c r="M75" s="110" t="str">
        <f>IF(AND($Z$11,COUNT($BE$24:$BE$123)&gt;51),INDEX($BJ$24:$BJ$123,(COUNT($BE$24:$BE$123)-51)),"")</f>
        <v/>
      </c>
      <c r="N75" s="110" t="str">
        <f>IF(AND($Z$11,COUNT($BE$24:$BE$123)&gt;51),$B$27,"")</f>
        <v/>
      </c>
      <c r="O75" s="110" t="str">
        <f>IF(AND($Z$11,COUNT($BE$24:$BE$123)&gt;51),$B$26,"")</f>
        <v/>
      </c>
      <c r="P75" s="110" t="str">
        <f>IF(AND($Z$11,COUNT($BE$24:$BE$123)&gt;51),INDEX($BJ$24:$BJ$123,(COUNT($BE$24:$BE$123)-51))*$B$27*$B$26,"")</f>
        <v/>
      </c>
      <c r="Q75" s="110" t="str">
        <f>IF(AND($Z$11,COUNT($BE$24:$BE$123)&gt;51),$B$35,"")</f>
        <v/>
      </c>
      <c r="R75" s="110" t="str">
        <f>IF(AND($Z$11,COUNT($BE$24:$BE$123)&gt;51),INDEX($BL$24:$BL$123,(COUNT($BE$24:$BE$123)-51)),"")</f>
        <v/>
      </c>
      <c r="S75" s="110" t="str">
        <f>IF(AND($Z$11,COUNT($BE$24:$BE$123)&gt;51),INDEX($BM$24:$BM$123,(COUNT($BE$24:$BE$123)-51)),"")</f>
        <v/>
      </c>
      <c r="T75" s="110" t="str">
        <f>IF(AND($Z$11,COUNT($BE$24:$BE$123)&gt;51),INDEX($BN$24:$BN$123,(COUNT($BE$24:$BE$123)-51)),"")</f>
        <v/>
      </c>
      <c r="W75" s="12"/>
      <c r="X75" s="12"/>
      <c r="Y75" s="12"/>
      <c r="Z75" s="12"/>
      <c r="AA75" s="12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>
        <v>0.45</v>
      </c>
      <c r="AR75" s="13">
        <f t="shared" si="16"/>
        <v>0</v>
      </c>
      <c r="AS75" s="13" t="str">
        <f>IF(COUNT(B9,B23)=2,AR75+B23-B9,"")</f>
        <v/>
      </c>
      <c r="AT75" s="13">
        <f t="shared" si="17"/>
        <v>0</v>
      </c>
      <c r="AU75" s="13" t="str">
        <f t="shared" si="18"/>
        <v/>
      </c>
      <c r="AV75" s="13" t="str">
        <f t="shared" si="19"/>
        <v/>
      </c>
      <c r="AW75" s="13" t="str">
        <f t="shared" si="20"/>
        <v/>
      </c>
      <c r="AX75" s="13" t="str">
        <f t="shared" si="21"/>
        <v/>
      </c>
      <c r="AY75" s="13" t="str">
        <f t="shared" si="22"/>
        <v/>
      </c>
      <c r="AZ75" s="13"/>
      <c r="BD75" s="12">
        <f>52</f>
        <v>52</v>
      </c>
      <c r="BE75" s="32"/>
      <c r="BF75" s="32"/>
      <c r="BG75" s="32" t="str">
        <f>IF(BO75="OK",SUM($BE$24:BE75)-BE75,"")</f>
        <v/>
      </c>
      <c r="BH75" s="32" t="str">
        <f t="shared" si="8"/>
        <v/>
      </c>
      <c r="BI75" s="32" t="str">
        <f>IF(AND(BO75="OK",$Z$7),MAX('Wind Load Check'!$B$29,1.1+0.055*('Wind Load Check'!$B$23/'Wind Load Check'!$B$8)/EXP(ABS(LN((0.6*BF75/'Wind Load Check'!$B$8)*(1-0.011*'Wind Load Check'!$B$23/'Wind Load Check'!$B$8)))^(1.7-0.0013*('Wind Load Check'!$B$23/BF75)^2))),"")</f>
        <v/>
      </c>
      <c r="BJ75" s="32" t="str">
        <f t="shared" si="9"/>
        <v/>
      </c>
      <c r="BK75" s="32" t="str">
        <f>IF(AND(BO75="OK",$Z$7),BJ75*'Wind Load Check'!$B$26*'Wind Load Check'!$B$27*BI75*'Wind Load Check'!$B$35,"")</f>
        <v/>
      </c>
      <c r="BL75" s="32" t="str">
        <f t="shared" si="10"/>
        <v/>
      </c>
      <c r="BM75" s="32" t="str">
        <f>IF(AND(BO75="OK",ISNUMBER('Uplift Check'!$B$38)),(BG75+BH75)/2+'Uplift Check'!$B$38,"")</f>
        <v/>
      </c>
      <c r="BN75" s="32" t="str">
        <f t="shared" si="11"/>
        <v/>
      </c>
      <c r="BO75" s="32" t="str">
        <f t="shared" si="15"/>
        <v/>
      </c>
      <c r="BP75" s="32" t="str">
        <f t="shared" si="12"/>
        <v/>
      </c>
      <c r="BQ75" s="32" t="str">
        <f t="shared" si="13"/>
        <v/>
      </c>
      <c r="BR75" s="32" t="str">
        <f t="shared" si="14"/>
        <v/>
      </c>
    </row>
    <row r="76" spans="1:70" ht="22.05" customHeight="1">
      <c r="A76" s="12"/>
      <c r="B76" s="12"/>
      <c r="C76" s="12"/>
      <c r="D76" s="12"/>
      <c r="E76" s="12"/>
      <c r="F76" s="12"/>
      <c r="G76" s="12"/>
      <c r="H76" s="109" t="str">
        <f>IF(AND($Z$11,COUNT($BE$24:$BE$123)&gt;52),INDEX($BD$24:$BD$123,(COUNT($BE$24:$BE$123)-52)),"")</f>
        <v/>
      </c>
      <c r="I76" s="110" t="str">
        <f>IF(AND($Z$11,COUNT($BE$24:$BE$123)&gt;52),INDEX($BH$24:$BH$123,(COUNT($BE$24:$BE$123)-52))+'Uplift Check'!$B$25,"")</f>
        <v/>
      </c>
      <c r="J76" s="110" t="str">
        <f>IF(AND($Z$11,COUNT($BE$24:$BE$123)&gt;52),INDEX($BF$24:$BF$123,(COUNT($BE$24:$BE$123)-52)),"")</f>
        <v/>
      </c>
      <c r="K76" s="110" t="str">
        <f>IF(AND($Z$11,COUNT($BE$24:$BE$123)&gt;52),$B$8,"")</f>
        <v/>
      </c>
      <c r="L76" s="110" t="str">
        <f>IF(AND($Z$11,COUNT($BE$24:$BE$123)&gt;52),INDEX($BI$24:$BI$123,(COUNT($BE$24:$BE$123)-52)),"")</f>
        <v/>
      </c>
      <c r="M76" s="110" t="str">
        <f>IF(AND($Z$11,COUNT($BE$24:$BE$123)&gt;52),INDEX($BJ$24:$BJ$123,(COUNT($BE$24:$BE$123)-52)),"")</f>
        <v/>
      </c>
      <c r="N76" s="110" t="str">
        <f>IF(AND($Z$11,COUNT($BE$24:$BE$123)&gt;52),$B$27,"")</f>
        <v/>
      </c>
      <c r="O76" s="110" t="str">
        <f>IF(AND($Z$11,COUNT($BE$24:$BE$123)&gt;52),$B$26,"")</f>
        <v/>
      </c>
      <c r="P76" s="110" t="str">
        <f>IF(AND($Z$11,COUNT($BE$24:$BE$123)&gt;52),INDEX($BJ$24:$BJ$123,(COUNT($BE$24:$BE$123)-52))*$B$27*$B$26,"")</f>
        <v/>
      </c>
      <c r="Q76" s="110" t="str">
        <f>IF(AND($Z$11,COUNT($BE$24:$BE$123)&gt;52),$B$35,"")</f>
        <v/>
      </c>
      <c r="R76" s="110" t="str">
        <f>IF(AND($Z$11,COUNT($BE$24:$BE$123)&gt;52),INDEX($BL$24:$BL$123,(COUNT($BE$24:$BE$123)-52)),"")</f>
        <v/>
      </c>
      <c r="S76" s="110" t="str">
        <f>IF(AND($Z$11,COUNT($BE$24:$BE$123)&gt;52),INDEX($BM$24:$BM$123,(COUNT($BE$24:$BE$123)-52)),"")</f>
        <v/>
      </c>
      <c r="T76" s="110" t="str">
        <f>IF(AND($Z$11,COUNT($BE$24:$BE$123)&gt;52),INDEX($BN$24:$BN$123,(COUNT($BE$24:$BE$123)-52)),"")</f>
        <v/>
      </c>
      <c r="W76" s="12"/>
      <c r="X76" s="12"/>
      <c r="Y76" s="12"/>
      <c r="Z76" s="12"/>
      <c r="AA76" s="12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>
        <v>0.5</v>
      </c>
      <c r="AR76" s="13">
        <f t="shared" si="16"/>
        <v>0</v>
      </c>
      <c r="AS76" s="13" t="str">
        <f>IF(COUNT(B9,B23)=2,AR76+B23-B9,"")</f>
        <v/>
      </c>
      <c r="AT76" s="13">
        <f t="shared" si="17"/>
        <v>0</v>
      </c>
      <c r="AU76" s="13" t="str">
        <f t="shared" si="18"/>
        <v/>
      </c>
      <c r="AV76" s="13" t="str">
        <f t="shared" si="19"/>
        <v/>
      </c>
      <c r="AW76" s="13" t="str">
        <f t="shared" si="20"/>
        <v/>
      </c>
      <c r="AX76" s="13" t="str">
        <f t="shared" si="21"/>
        <v/>
      </c>
      <c r="AY76" s="13" t="str">
        <f t="shared" si="22"/>
        <v/>
      </c>
      <c r="AZ76" s="13"/>
      <c r="BD76" s="12">
        <f>53</f>
        <v>53</v>
      </c>
      <c r="BE76" s="32"/>
      <c r="BF76" s="32"/>
      <c r="BG76" s="32" t="str">
        <f>IF(BO76="OK",SUM($BE$24:BE76)-BE76,"")</f>
        <v/>
      </c>
      <c r="BH76" s="32" t="str">
        <f t="shared" si="8"/>
        <v/>
      </c>
      <c r="BI76" s="32" t="str">
        <f>IF(AND(BO76="OK",$Z$7),MAX('Wind Load Check'!$B$29,1.1+0.055*('Wind Load Check'!$B$23/'Wind Load Check'!$B$8)/EXP(ABS(LN((0.6*BF76/'Wind Load Check'!$B$8)*(1-0.011*'Wind Load Check'!$B$23/'Wind Load Check'!$B$8)))^(1.7-0.0013*('Wind Load Check'!$B$23/BF76)^2))),"")</f>
        <v/>
      </c>
      <c r="BJ76" s="32" t="str">
        <f t="shared" si="9"/>
        <v/>
      </c>
      <c r="BK76" s="32" t="str">
        <f>IF(AND(BO76="OK",$Z$7),BJ76*'Wind Load Check'!$B$26*'Wind Load Check'!$B$27*BI76*'Wind Load Check'!$B$35,"")</f>
        <v/>
      </c>
      <c r="BL76" s="32" t="str">
        <f t="shared" si="10"/>
        <v/>
      </c>
      <c r="BM76" s="32" t="str">
        <f>IF(AND(BO76="OK",ISNUMBER('Uplift Check'!$B$38)),(BG76+BH76)/2+'Uplift Check'!$B$38,"")</f>
        <v/>
      </c>
      <c r="BN76" s="32" t="str">
        <f t="shared" si="11"/>
        <v/>
      </c>
      <c r="BO76" s="32" t="str">
        <f t="shared" si="15"/>
        <v/>
      </c>
      <c r="BP76" s="32" t="str">
        <f t="shared" si="12"/>
        <v/>
      </c>
      <c r="BQ76" s="32" t="str">
        <f t="shared" si="13"/>
        <v/>
      </c>
      <c r="BR76" s="32" t="str">
        <f t="shared" si="14"/>
        <v/>
      </c>
    </row>
    <row r="77" spans="1:70" ht="22.05" customHeight="1">
      <c r="A77" s="12"/>
      <c r="B77" s="12"/>
      <c r="C77" s="12"/>
      <c r="D77" s="12"/>
      <c r="E77" s="12"/>
      <c r="F77" s="12"/>
      <c r="G77" s="12"/>
      <c r="H77" s="109" t="str">
        <f>IF(AND($Z$11,COUNT($BE$24:$BE$123)&gt;53),INDEX($BD$24:$BD$123,(COUNT($BE$24:$BE$123)-53)),"")</f>
        <v/>
      </c>
      <c r="I77" s="110" t="str">
        <f>IF(AND($Z$11,COUNT($BE$24:$BE$123)&gt;53),INDEX($BH$24:$BH$123,(COUNT($BE$24:$BE$123)-53))+'Uplift Check'!$B$25,"")</f>
        <v/>
      </c>
      <c r="J77" s="110" t="str">
        <f>IF(AND($Z$11,COUNT($BE$24:$BE$123)&gt;53),INDEX($BF$24:$BF$123,(COUNT($BE$24:$BE$123)-53)),"")</f>
        <v/>
      </c>
      <c r="K77" s="110" t="str">
        <f>IF(AND($Z$11,COUNT($BE$24:$BE$123)&gt;53),$B$8,"")</f>
        <v/>
      </c>
      <c r="L77" s="110" t="str">
        <f>IF(AND($Z$11,COUNT($BE$24:$BE$123)&gt;53),INDEX($BI$24:$BI$123,(COUNT($BE$24:$BE$123)-53)),"")</f>
        <v/>
      </c>
      <c r="M77" s="110" t="str">
        <f>IF(AND($Z$11,COUNT($BE$24:$BE$123)&gt;53),INDEX($BJ$24:$BJ$123,(COUNT($BE$24:$BE$123)-53)),"")</f>
        <v/>
      </c>
      <c r="N77" s="110" t="str">
        <f>IF(AND($Z$11,COUNT($BE$24:$BE$123)&gt;53),$B$27,"")</f>
        <v/>
      </c>
      <c r="O77" s="110" t="str">
        <f>IF(AND($Z$11,COUNT($BE$24:$BE$123)&gt;53),$B$26,"")</f>
        <v/>
      </c>
      <c r="P77" s="110" t="str">
        <f>IF(AND($Z$11,COUNT($BE$24:$BE$123)&gt;53),INDEX($BJ$24:$BJ$123,(COUNT($BE$24:$BE$123)-53))*$B$27*$B$26,"")</f>
        <v/>
      </c>
      <c r="Q77" s="110" t="str">
        <f>IF(AND($Z$11,COUNT($BE$24:$BE$123)&gt;53),$B$35,"")</f>
        <v/>
      </c>
      <c r="R77" s="110" t="str">
        <f>IF(AND($Z$11,COUNT($BE$24:$BE$123)&gt;53),INDEX($BL$24:$BL$123,(COUNT($BE$24:$BE$123)-53)),"")</f>
        <v/>
      </c>
      <c r="S77" s="110" t="str">
        <f>IF(AND($Z$11,COUNT($BE$24:$BE$123)&gt;53),INDEX($BM$24:$BM$123,(COUNT($BE$24:$BE$123)-53)),"")</f>
        <v/>
      </c>
      <c r="T77" s="110" t="str">
        <f>IF(AND($Z$11,COUNT($BE$24:$BE$123)&gt;53),INDEX($BN$24:$BN$123,(COUNT($BE$24:$BE$123)-53)),"")</f>
        <v/>
      </c>
      <c r="W77" s="12"/>
      <c r="X77" s="12"/>
      <c r="Y77" s="12"/>
      <c r="Z77" s="12"/>
      <c r="AA77" s="12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>
        <v>0.55000000000000004</v>
      </c>
      <c r="AR77" s="13">
        <f t="shared" si="16"/>
        <v>0</v>
      </c>
      <c r="AS77" s="13" t="str">
        <f>IF(COUNT(B9,B23)=2,AR77+B23-B9,"")</f>
        <v/>
      </c>
      <c r="AT77" s="13">
        <f t="shared" si="17"/>
        <v>0</v>
      </c>
      <c r="AU77" s="13" t="str">
        <f t="shared" si="18"/>
        <v/>
      </c>
      <c r="AV77" s="13" t="str">
        <f t="shared" si="19"/>
        <v/>
      </c>
      <c r="AW77" s="13" t="str">
        <f t="shared" si="20"/>
        <v/>
      </c>
      <c r="AX77" s="13" t="str">
        <f t="shared" si="21"/>
        <v/>
      </c>
      <c r="AY77" s="13" t="str">
        <f t="shared" si="22"/>
        <v/>
      </c>
      <c r="AZ77" s="13"/>
      <c r="BD77" s="12">
        <f>54</f>
        <v>54</v>
      </c>
      <c r="BE77" s="32"/>
      <c r="BF77" s="32"/>
      <c r="BG77" s="32" t="str">
        <f>IF(BO77="OK",SUM($BE$24:BE77)-BE77,"")</f>
        <v/>
      </c>
      <c r="BH77" s="32" t="str">
        <f t="shared" si="8"/>
        <v/>
      </c>
      <c r="BI77" s="32" t="str">
        <f>IF(AND(BO77="OK",$Z$7),MAX('Wind Load Check'!$B$29,1.1+0.055*('Wind Load Check'!$B$23/'Wind Load Check'!$B$8)/EXP(ABS(LN((0.6*BF77/'Wind Load Check'!$B$8)*(1-0.011*'Wind Load Check'!$B$23/'Wind Load Check'!$B$8)))^(1.7-0.0013*('Wind Load Check'!$B$23/BF77)^2))),"")</f>
        <v/>
      </c>
      <c r="BJ77" s="32" t="str">
        <f t="shared" si="9"/>
        <v/>
      </c>
      <c r="BK77" s="32" t="str">
        <f>IF(AND(BO77="OK",$Z$7),BJ77*'Wind Load Check'!$B$26*'Wind Load Check'!$B$27*BI77*'Wind Load Check'!$B$35,"")</f>
        <v/>
      </c>
      <c r="BL77" s="32" t="str">
        <f t="shared" si="10"/>
        <v/>
      </c>
      <c r="BM77" s="32" t="str">
        <f>IF(AND(BO77="OK",ISNUMBER('Uplift Check'!$B$38)),(BG77+BH77)/2+'Uplift Check'!$B$38,"")</f>
        <v/>
      </c>
      <c r="BN77" s="32" t="str">
        <f t="shared" si="11"/>
        <v/>
      </c>
      <c r="BO77" s="32" t="str">
        <f t="shared" si="15"/>
        <v/>
      </c>
      <c r="BP77" s="32" t="str">
        <f t="shared" si="12"/>
        <v/>
      </c>
      <c r="BQ77" s="32" t="str">
        <f t="shared" si="13"/>
        <v/>
      </c>
      <c r="BR77" s="32" t="str">
        <f t="shared" si="14"/>
        <v/>
      </c>
    </row>
    <row r="78" spans="1:70" ht="22.05" customHeight="1">
      <c r="A78" s="12"/>
      <c r="B78" s="12"/>
      <c r="C78" s="12"/>
      <c r="D78" s="12"/>
      <c r="E78" s="12"/>
      <c r="F78" s="12"/>
      <c r="G78" s="12"/>
      <c r="H78" s="109" t="str">
        <f>IF(AND($Z$11,COUNT($BE$24:$BE$123)&gt;54),INDEX($BD$24:$BD$123,(COUNT($BE$24:$BE$123)-54)),"")</f>
        <v/>
      </c>
      <c r="I78" s="110" t="str">
        <f>IF(AND($Z$11,COUNT($BE$24:$BE$123)&gt;54),INDEX($BH$24:$BH$123,(COUNT($BE$24:$BE$123)-54))+'Uplift Check'!$B$25,"")</f>
        <v/>
      </c>
      <c r="J78" s="110" t="str">
        <f>IF(AND($Z$11,COUNT($BE$24:$BE$123)&gt;54),INDEX($BF$24:$BF$123,(COUNT($BE$24:$BE$123)-54)),"")</f>
        <v/>
      </c>
      <c r="K78" s="110" t="str">
        <f>IF(AND($Z$11,COUNT($BE$24:$BE$123)&gt;54),$B$8,"")</f>
        <v/>
      </c>
      <c r="L78" s="110" t="str">
        <f>IF(AND($Z$11,COUNT($BE$24:$BE$123)&gt;54),INDEX($BI$24:$BI$123,(COUNT($BE$24:$BE$123)-54)),"")</f>
        <v/>
      </c>
      <c r="M78" s="110" t="str">
        <f>IF(AND($Z$11,COUNT($BE$24:$BE$123)&gt;54),INDEX($BJ$24:$BJ$123,(COUNT($BE$24:$BE$123)-54)),"")</f>
        <v/>
      </c>
      <c r="N78" s="110" t="str">
        <f>IF(AND($Z$11,COUNT($BE$24:$BE$123)&gt;54),$B$27,"")</f>
        <v/>
      </c>
      <c r="O78" s="110" t="str">
        <f>IF(AND($Z$11,COUNT($BE$24:$BE$123)&gt;54),$B$26,"")</f>
        <v/>
      </c>
      <c r="P78" s="110" t="str">
        <f>IF(AND($Z$11,COUNT($BE$24:$BE$123)&gt;54),INDEX($BJ$24:$BJ$123,(COUNT($BE$24:$BE$123)-54))*$B$27*$B$26,"")</f>
        <v/>
      </c>
      <c r="Q78" s="110" t="str">
        <f>IF(AND($Z$11,COUNT($BE$24:$BE$123)&gt;54),$B$35,"")</f>
        <v/>
      </c>
      <c r="R78" s="110" t="str">
        <f>IF(AND($Z$11,COUNT($BE$24:$BE$123)&gt;54),INDEX($BL$24:$BL$123,(COUNT($BE$24:$BE$123)-54)),"")</f>
        <v/>
      </c>
      <c r="S78" s="110" t="str">
        <f>IF(AND($Z$11,COUNT($BE$24:$BE$123)&gt;54),INDEX($BM$24:$BM$123,(COUNT($BE$24:$BE$123)-54)),"")</f>
        <v/>
      </c>
      <c r="T78" s="110" t="str">
        <f>IF(AND($Z$11,COUNT($BE$24:$BE$123)&gt;54),INDEX($BN$24:$BN$123,(COUNT($BE$24:$BE$123)-54)),"")</f>
        <v/>
      </c>
      <c r="W78" s="12"/>
      <c r="X78" s="12"/>
      <c r="Y78" s="12"/>
      <c r="Z78" s="12"/>
      <c r="AA78" s="12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>
        <v>0.6</v>
      </c>
      <c r="AR78" s="13">
        <f t="shared" si="16"/>
        <v>0</v>
      </c>
      <c r="AS78" s="13" t="str">
        <f>IF(COUNT(B9,B23)=2,AR78+B23-B9,"")</f>
        <v/>
      </c>
      <c r="AT78" s="13">
        <f t="shared" si="17"/>
        <v>0</v>
      </c>
      <c r="AU78" s="13" t="str">
        <f t="shared" si="18"/>
        <v/>
      </c>
      <c r="AV78" s="13" t="str">
        <f t="shared" si="19"/>
        <v/>
      </c>
      <c r="AW78" s="13" t="str">
        <f t="shared" si="20"/>
        <v/>
      </c>
      <c r="AX78" s="13" t="str">
        <f t="shared" si="21"/>
        <v/>
      </c>
      <c r="AY78" s="13" t="str">
        <f t="shared" si="22"/>
        <v/>
      </c>
      <c r="AZ78" s="13"/>
      <c r="BD78" s="12">
        <f>55</f>
        <v>55</v>
      </c>
      <c r="BE78" s="32"/>
      <c r="BF78" s="32"/>
      <c r="BG78" s="32" t="str">
        <f>IF(BO78="OK",SUM($BE$24:BE78)-BE78,"")</f>
        <v/>
      </c>
      <c r="BH78" s="32" t="str">
        <f t="shared" si="8"/>
        <v/>
      </c>
      <c r="BI78" s="32" t="str">
        <f>IF(AND(BO78="OK",$Z$7),MAX('Wind Load Check'!$B$29,1.1+0.055*('Wind Load Check'!$B$23/'Wind Load Check'!$B$8)/EXP(ABS(LN((0.6*BF78/'Wind Load Check'!$B$8)*(1-0.011*'Wind Load Check'!$B$23/'Wind Load Check'!$B$8)))^(1.7-0.0013*('Wind Load Check'!$B$23/BF78)^2))),"")</f>
        <v/>
      </c>
      <c r="BJ78" s="32" t="str">
        <f t="shared" si="9"/>
        <v/>
      </c>
      <c r="BK78" s="32" t="str">
        <f>IF(AND(BO78="OK",$Z$7),BJ78*'Wind Load Check'!$B$26*'Wind Load Check'!$B$27*BI78*'Wind Load Check'!$B$35,"")</f>
        <v/>
      </c>
      <c r="BL78" s="32" t="str">
        <f t="shared" si="10"/>
        <v/>
      </c>
      <c r="BM78" s="32" t="str">
        <f>IF(AND(BO78="OK",ISNUMBER('Uplift Check'!$B$38)),(BG78+BH78)/2+'Uplift Check'!$B$38,"")</f>
        <v/>
      </c>
      <c r="BN78" s="32" t="str">
        <f t="shared" si="11"/>
        <v/>
      </c>
      <c r="BO78" s="32" t="str">
        <f t="shared" si="15"/>
        <v/>
      </c>
      <c r="BP78" s="32" t="str">
        <f t="shared" si="12"/>
        <v/>
      </c>
      <c r="BQ78" s="32" t="str">
        <f t="shared" si="13"/>
        <v/>
      </c>
      <c r="BR78" s="32" t="str">
        <f t="shared" si="14"/>
        <v/>
      </c>
    </row>
    <row r="79" spans="1:70" ht="22.05" customHeight="1">
      <c r="A79" s="12"/>
      <c r="B79" s="12"/>
      <c r="C79" s="12"/>
      <c r="D79" s="12"/>
      <c r="E79" s="12"/>
      <c r="F79" s="12"/>
      <c r="G79" s="12"/>
      <c r="H79" s="109" t="str">
        <f>IF(AND($Z$11,COUNT($BE$24:$BE$123)&gt;55),INDEX($BD$24:$BD$123,(COUNT($BE$24:$BE$123)-55)),"")</f>
        <v/>
      </c>
      <c r="I79" s="110" t="str">
        <f>IF(AND($Z$11,COUNT($BE$24:$BE$123)&gt;55),INDEX($BH$24:$BH$123,(COUNT($BE$24:$BE$123)-55))+'Uplift Check'!$B$25,"")</f>
        <v/>
      </c>
      <c r="J79" s="110" t="str">
        <f>IF(AND($Z$11,COUNT($BE$24:$BE$123)&gt;55),INDEX($BF$24:$BF$123,(COUNT($BE$24:$BE$123)-55)),"")</f>
        <v/>
      </c>
      <c r="K79" s="110" t="str">
        <f>IF(AND($Z$11,COUNT($BE$24:$BE$123)&gt;55),$B$8,"")</f>
        <v/>
      </c>
      <c r="L79" s="110" t="str">
        <f>IF(AND($Z$11,COUNT($BE$24:$BE$123)&gt;55),INDEX($BI$24:$BI$123,(COUNT($BE$24:$BE$123)-55)),"")</f>
        <v/>
      </c>
      <c r="M79" s="110" t="str">
        <f>IF(AND($Z$11,COUNT($BE$24:$BE$123)&gt;55),INDEX($BJ$24:$BJ$123,(COUNT($BE$24:$BE$123)-55)),"")</f>
        <v/>
      </c>
      <c r="N79" s="110" t="str">
        <f>IF(AND($Z$11,COUNT($BE$24:$BE$123)&gt;55),$B$27,"")</f>
        <v/>
      </c>
      <c r="O79" s="110" t="str">
        <f>IF(AND($Z$11,COUNT($BE$24:$BE$123)&gt;55),$B$26,"")</f>
        <v/>
      </c>
      <c r="P79" s="110" t="str">
        <f>IF(AND($Z$11,COUNT($BE$24:$BE$123)&gt;55),INDEX($BJ$24:$BJ$123,(COUNT($BE$24:$BE$123)-55))*$B$27*$B$26,"")</f>
        <v/>
      </c>
      <c r="Q79" s="110" t="str">
        <f>IF(AND($Z$11,COUNT($BE$24:$BE$123)&gt;55),$B$35,"")</f>
        <v/>
      </c>
      <c r="R79" s="110" t="str">
        <f>IF(AND($Z$11,COUNT($BE$24:$BE$123)&gt;55),INDEX($BL$24:$BL$123,(COUNT($BE$24:$BE$123)-55)),"")</f>
        <v/>
      </c>
      <c r="S79" s="110" t="str">
        <f>IF(AND($Z$11,COUNT($BE$24:$BE$123)&gt;55),INDEX($BM$24:$BM$123,(COUNT($BE$24:$BE$123)-55)),"")</f>
        <v/>
      </c>
      <c r="T79" s="110" t="str">
        <f>IF(AND($Z$11,COUNT($BE$24:$BE$123)&gt;55),INDEX($BN$24:$BN$123,(COUNT($BE$24:$BE$123)-55)),"")</f>
        <v/>
      </c>
      <c r="W79" s="12"/>
      <c r="X79" s="12"/>
      <c r="Y79" s="12"/>
      <c r="Z79" s="12"/>
      <c r="AA79" s="12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>
        <v>0.65</v>
      </c>
      <c r="AR79" s="13">
        <f t="shared" si="16"/>
        <v>0</v>
      </c>
      <c r="AS79" s="13" t="str">
        <f>IF(COUNT(B9,B23)=2,AR79+B23-B9,"")</f>
        <v/>
      </c>
      <c r="AT79" s="13">
        <f t="shared" si="17"/>
        <v>0</v>
      </c>
      <c r="AU79" s="13" t="str">
        <f t="shared" si="18"/>
        <v/>
      </c>
      <c r="AV79" s="13" t="str">
        <f t="shared" si="19"/>
        <v/>
      </c>
      <c r="AW79" s="13" t="str">
        <f t="shared" si="20"/>
        <v/>
      </c>
      <c r="AX79" s="13" t="str">
        <f t="shared" si="21"/>
        <v/>
      </c>
      <c r="AY79" s="13" t="str">
        <f t="shared" si="22"/>
        <v/>
      </c>
      <c r="AZ79" s="13"/>
      <c r="BD79" s="12">
        <f>56</f>
        <v>56</v>
      </c>
      <c r="BE79" s="32"/>
      <c r="BF79" s="32"/>
      <c r="BG79" s="32" t="str">
        <f>IF(BO79="OK",SUM($BE$24:BE79)-BE79,"")</f>
        <v/>
      </c>
      <c r="BH79" s="32" t="str">
        <f t="shared" si="8"/>
        <v/>
      </c>
      <c r="BI79" s="32" t="str">
        <f>IF(AND(BO79="OK",$Z$7),MAX('Wind Load Check'!$B$29,1.1+0.055*('Wind Load Check'!$B$23/'Wind Load Check'!$B$8)/EXP(ABS(LN((0.6*BF79/'Wind Load Check'!$B$8)*(1-0.011*'Wind Load Check'!$B$23/'Wind Load Check'!$B$8)))^(1.7-0.0013*('Wind Load Check'!$B$23/BF79)^2))),"")</f>
        <v/>
      </c>
      <c r="BJ79" s="32" t="str">
        <f t="shared" si="9"/>
        <v/>
      </c>
      <c r="BK79" s="32" t="str">
        <f>IF(AND(BO79="OK",$Z$7),BJ79*'Wind Load Check'!$B$26*'Wind Load Check'!$B$27*BI79*'Wind Load Check'!$B$35,"")</f>
        <v/>
      </c>
      <c r="BL79" s="32" t="str">
        <f t="shared" si="10"/>
        <v/>
      </c>
      <c r="BM79" s="32" t="str">
        <f>IF(AND(BO79="OK",ISNUMBER('Uplift Check'!$B$38)),(BG79+BH79)/2+'Uplift Check'!$B$38,"")</f>
        <v/>
      </c>
      <c r="BN79" s="32" t="str">
        <f t="shared" si="11"/>
        <v/>
      </c>
      <c r="BO79" s="32" t="str">
        <f t="shared" si="15"/>
        <v/>
      </c>
      <c r="BP79" s="32" t="str">
        <f t="shared" si="12"/>
        <v/>
      </c>
      <c r="BQ79" s="32" t="str">
        <f t="shared" si="13"/>
        <v/>
      </c>
      <c r="BR79" s="32" t="str">
        <f t="shared" si="14"/>
        <v/>
      </c>
    </row>
    <row r="80" spans="1:70" ht="22.05" customHeight="1">
      <c r="A80" s="12"/>
      <c r="B80" s="12"/>
      <c r="C80" s="12"/>
      <c r="D80" s="12"/>
      <c r="E80" s="12"/>
      <c r="F80" s="12"/>
      <c r="G80" s="12"/>
      <c r="H80" s="109" t="str">
        <f>IF(AND($Z$11,COUNT($BE$24:$BE$123)&gt;56),INDEX($BD$24:$BD$123,(COUNT($BE$24:$BE$123)-56)),"")</f>
        <v/>
      </c>
      <c r="I80" s="110" t="str">
        <f>IF(AND($Z$11,COUNT($BE$24:$BE$123)&gt;56),INDEX($BH$24:$BH$123,(COUNT($BE$24:$BE$123)-56))+'Uplift Check'!$B$25,"")</f>
        <v/>
      </c>
      <c r="J80" s="110" t="str">
        <f>IF(AND($Z$11,COUNT($BE$24:$BE$123)&gt;56),INDEX($BF$24:$BF$123,(COUNT($BE$24:$BE$123)-56)),"")</f>
        <v/>
      </c>
      <c r="K80" s="110" t="str">
        <f>IF(AND($Z$11,COUNT($BE$24:$BE$123)&gt;56),$B$8,"")</f>
        <v/>
      </c>
      <c r="L80" s="110" t="str">
        <f>IF(AND($Z$11,COUNT($BE$24:$BE$123)&gt;56),INDEX($BI$24:$BI$123,(COUNT($BE$24:$BE$123)-56)),"")</f>
        <v/>
      </c>
      <c r="M80" s="110" t="str">
        <f>IF(AND($Z$11,COUNT($BE$24:$BE$123)&gt;56),INDEX($BJ$24:$BJ$123,(COUNT($BE$24:$BE$123)-56)),"")</f>
        <v/>
      </c>
      <c r="N80" s="110" t="str">
        <f>IF(AND($Z$11,COUNT($BE$24:$BE$123)&gt;56),$B$27,"")</f>
        <v/>
      </c>
      <c r="O80" s="110" t="str">
        <f>IF(AND($Z$11,COUNT($BE$24:$BE$123)&gt;56),$B$26,"")</f>
        <v/>
      </c>
      <c r="P80" s="110" t="str">
        <f>IF(AND($Z$11,COUNT($BE$24:$BE$123)&gt;56),INDEX($BJ$24:$BJ$123,(COUNT($BE$24:$BE$123)-56))*$B$27*$B$26,"")</f>
        <v/>
      </c>
      <c r="Q80" s="110" t="str">
        <f>IF(AND($Z$11,COUNT($BE$24:$BE$123)&gt;56),$B$35,"")</f>
        <v/>
      </c>
      <c r="R80" s="110" t="str">
        <f>IF(AND($Z$11,COUNT($BE$24:$BE$123)&gt;56),INDEX($BL$24:$BL$123,(COUNT($BE$24:$BE$123)-56)),"")</f>
        <v/>
      </c>
      <c r="S80" s="110" t="str">
        <f>IF(AND($Z$11,COUNT($BE$24:$BE$123)&gt;56),INDEX($BM$24:$BM$123,(COUNT($BE$24:$BE$123)-56)),"")</f>
        <v/>
      </c>
      <c r="T80" s="110" t="str">
        <f>IF(AND($Z$11,COUNT($BE$24:$BE$123)&gt;56),INDEX($BN$24:$BN$123,(COUNT($BE$24:$BE$123)-56)),"")</f>
        <v/>
      </c>
      <c r="W80" s="12"/>
      <c r="X80" s="12"/>
      <c r="Y80" s="12"/>
      <c r="Z80" s="12"/>
      <c r="AA80" s="12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>
        <v>0.7</v>
      </c>
      <c r="AR80" s="13">
        <f t="shared" si="16"/>
        <v>0</v>
      </c>
      <c r="AS80" s="13" t="str">
        <f>IF(COUNT(B9,B23)=2,AR80+B23-B9,"")</f>
        <v/>
      </c>
      <c r="AT80" s="13">
        <f t="shared" si="17"/>
        <v>0</v>
      </c>
      <c r="AU80" s="13" t="str">
        <f t="shared" si="18"/>
        <v/>
      </c>
      <c r="AV80" s="13" t="str">
        <f t="shared" si="19"/>
        <v/>
      </c>
      <c r="AW80" s="13" t="str">
        <f t="shared" si="20"/>
        <v/>
      </c>
      <c r="AX80" s="13" t="str">
        <f t="shared" si="21"/>
        <v/>
      </c>
      <c r="AY80" s="13" t="str">
        <f t="shared" si="22"/>
        <v/>
      </c>
      <c r="AZ80" s="13"/>
      <c r="BD80" s="12">
        <f>57</f>
        <v>57</v>
      </c>
      <c r="BE80" s="32"/>
      <c r="BF80" s="32"/>
      <c r="BG80" s="32" t="str">
        <f>IF(BO80="OK",SUM($BE$24:BE80)-BE80,"")</f>
        <v/>
      </c>
      <c r="BH80" s="32" t="str">
        <f t="shared" si="8"/>
        <v/>
      </c>
      <c r="BI80" s="32" t="str">
        <f>IF(AND(BO80="OK",$Z$7),MAX('Wind Load Check'!$B$29,1.1+0.055*('Wind Load Check'!$B$23/'Wind Load Check'!$B$8)/EXP(ABS(LN((0.6*BF80/'Wind Load Check'!$B$8)*(1-0.011*'Wind Load Check'!$B$23/'Wind Load Check'!$B$8)))^(1.7-0.0013*('Wind Load Check'!$B$23/BF80)^2))),"")</f>
        <v/>
      </c>
      <c r="BJ80" s="32" t="str">
        <f t="shared" si="9"/>
        <v/>
      </c>
      <c r="BK80" s="32" t="str">
        <f>IF(AND(BO80="OK",$Z$7),BJ80*'Wind Load Check'!$B$26*'Wind Load Check'!$B$27*BI80*'Wind Load Check'!$B$35,"")</f>
        <v/>
      </c>
      <c r="BL80" s="32" t="str">
        <f t="shared" si="10"/>
        <v/>
      </c>
      <c r="BM80" s="32" t="str">
        <f>IF(AND(BO80="OK",ISNUMBER('Uplift Check'!$B$38)),(BG80+BH80)/2+'Uplift Check'!$B$38,"")</f>
        <v/>
      </c>
      <c r="BN80" s="32" t="str">
        <f t="shared" si="11"/>
        <v/>
      </c>
      <c r="BO80" s="32" t="str">
        <f t="shared" si="15"/>
        <v/>
      </c>
      <c r="BP80" s="32" t="str">
        <f t="shared" si="12"/>
        <v/>
      </c>
      <c r="BQ80" s="32" t="str">
        <f t="shared" si="13"/>
        <v/>
      </c>
      <c r="BR80" s="32" t="str">
        <f t="shared" si="14"/>
        <v/>
      </c>
    </row>
    <row r="81" spans="1:70" ht="22.05" customHeight="1">
      <c r="A81" s="12"/>
      <c r="B81" s="12"/>
      <c r="C81" s="12"/>
      <c r="D81" s="12"/>
      <c r="E81" s="12"/>
      <c r="F81" s="12"/>
      <c r="G81" s="12"/>
      <c r="H81" s="109" t="str">
        <f>IF(AND($Z$11,COUNT($BE$24:$BE$123)&gt;57),INDEX($BD$24:$BD$123,(COUNT($BE$24:$BE$123)-57)),"")</f>
        <v/>
      </c>
      <c r="I81" s="110" t="str">
        <f>IF(AND($Z$11,COUNT($BE$24:$BE$123)&gt;57),INDEX($BH$24:$BH$123,(COUNT($BE$24:$BE$123)-57))+'Uplift Check'!$B$25,"")</f>
        <v/>
      </c>
      <c r="J81" s="110" t="str">
        <f>IF(AND($Z$11,COUNT($BE$24:$BE$123)&gt;57),INDEX($BF$24:$BF$123,(COUNT($BE$24:$BE$123)-57)),"")</f>
        <v/>
      </c>
      <c r="K81" s="110" t="str">
        <f>IF(AND($Z$11,COUNT($BE$24:$BE$123)&gt;57),$B$8,"")</f>
        <v/>
      </c>
      <c r="L81" s="110" t="str">
        <f>IF(AND($Z$11,COUNT($BE$24:$BE$123)&gt;57),INDEX($BI$24:$BI$123,(COUNT($BE$24:$BE$123)-57)),"")</f>
        <v/>
      </c>
      <c r="M81" s="110" t="str">
        <f>IF(AND($Z$11,COUNT($BE$24:$BE$123)&gt;57),INDEX($BJ$24:$BJ$123,(COUNT($BE$24:$BE$123)-57)),"")</f>
        <v/>
      </c>
      <c r="N81" s="110" t="str">
        <f>IF(AND($Z$11,COUNT($BE$24:$BE$123)&gt;57),$B$27,"")</f>
        <v/>
      </c>
      <c r="O81" s="110" t="str">
        <f>IF(AND($Z$11,COUNT($BE$24:$BE$123)&gt;57),$B$26,"")</f>
        <v/>
      </c>
      <c r="P81" s="110" t="str">
        <f>IF(AND($Z$11,COUNT($BE$24:$BE$123)&gt;57),INDEX($BJ$24:$BJ$123,(COUNT($BE$24:$BE$123)-57))*$B$27*$B$26,"")</f>
        <v/>
      </c>
      <c r="Q81" s="110" t="str">
        <f>IF(AND($Z$11,COUNT($BE$24:$BE$123)&gt;57),$B$35,"")</f>
        <v/>
      </c>
      <c r="R81" s="110" t="str">
        <f>IF(AND($Z$11,COUNT($BE$24:$BE$123)&gt;57),INDEX($BL$24:$BL$123,(COUNT($BE$24:$BE$123)-57)),"")</f>
        <v/>
      </c>
      <c r="S81" s="110" t="str">
        <f>IF(AND($Z$11,COUNT($BE$24:$BE$123)&gt;57),INDEX($BM$24:$BM$123,(COUNT($BE$24:$BE$123)-57)),"")</f>
        <v/>
      </c>
      <c r="T81" s="110" t="str">
        <f>IF(AND($Z$11,COUNT($BE$24:$BE$123)&gt;57),INDEX($BN$24:$BN$123,(COUNT($BE$24:$BE$123)-57)),"")</f>
        <v/>
      </c>
      <c r="W81" s="12"/>
      <c r="X81" s="12"/>
      <c r="Y81" s="12"/>
      <c r="Z81" s="12"/>
      <c r="AA81" s="12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>
        <v>0.75</v>
      </c>
      <c r="AR81" s="13">
        <f t="shared" si="16"/>
        <v>0</v>
      </c>
      <c r="AS81" s="13" t="str">
        <f>IF(COUNT(B9,B23)=2,AR81+B23-B9,"")</f>
        <v/>
      </c>
      <c r="AT81" s="13">
        <f t="shared" si="17"/>
        <v>0</v>
      </c>
      <c r="AU81" s="13" t="str">
        <f t="shared" si="18"/>
        <v/>
      </c>
      <c r="AV81" s="13" t="str">
        <f t="shared" si="19"/>
        <v/>
      </c>
      <c r="AW81" s="13" t="str">
        <f t="shared" si="20"/>
        <v/>
      </c>
      <c r="AX81" s="13" t="str">
        <f t="shared" si="21"/>
        <v/>
      </c>
      <c r="AY81" s="13" t="str">
        <f t="shared" si="22"/>
        <v/>
      </c>
      <c r="AZ81" s="13"/>
      <c r="BD81" s="12">
        <f>58</f>
        <v>58</v>
      </c>
      <c r="BE81" s="32"/>
      <c r="BF81" s="32"/>
      <c r="BG81" s="32" t="str">
        <f>IF(BO81="OK",SUM($BE$24:BE81)-BE81,"")</f>
        <v/>
      </c>
      <c r="BH81" s="32" t="str">
        <f t="shared" si="8"/>
        <v/>
      </c>
      <c r="BI81" s="32" t="str">
        <f>IF(AND(BO81="OK",$Z$7),MAX('Wind Load Check'!$B$29,1.1+0.055*('Wind Load Check'!$B$23/'Wind Load Check'!$B$8)/EXP(ABS(LN((0.6*BF81/'Wind Load Check'!$B$8)*(1-0.011*'Wind Load Check'!$B$23/'Wind Load Check'!$B$8)))^(1.7-0.0013*('Wind Load Check'!$B$23/BF81)^2))),"")</f>
        <v/>
      </c>
      <c r="BJ81" s="32" t="str">
        <f t="shared" si="9"/>
        <v/>
      </c>
      <c r="BK81" s="32" t="str">
        <f>IF(AND(BO81="OK",$Z$7),BJ81*'Wind Load Check'!$B$26*'Wind Load Check'!$B$27*BI81*'Wind Load Check'!$B$35,"")</f>
        <v/>
      </c>
      <c r="BL81" s="32" t="str">
        <f t="shared" si="10"/>
        <v/>
      </c>
      <c r="BM81" s="32" t="str">
        <f>IF(AND(BO81="OK",ISNUMBER('Uplift Check'!$B$38)),(BG81+BH81)/2+'Uplift Check'!$B$38,"")</f>
        <v/>
      </c>
      <c r="BN81" s="32" t="str">
        <f t="shared" si="11"/>
        <v/>
      </c>
      <c r="BO81" s="32" t="str">
        <f t="shared" si="15"/>
        <v/>
      </c>
      <c r="BP81" s="32" t="str">
        <f t="shared" si="12"/>
        <v/>
      </c>
      <c r="BQ81" s="32" t="str">
        <f t="shared" si="13"/>
        <v/>
      </c>
      <c r="BR81" s="32" t="str">
        <f t="shared" si="14"/>
        <v/>
      </c>
    </row>
    <row r="82" spans="1:70" ht="22.05" customHeight="1">
      <c r="A82" s="12"/>
      <c r="B82" s="12"/>
      <c r="C82" s="12"/>
      <c r="D82" s="12"/>
      <c r="E82" s="12"/>
      <c r="F82" s="12"/>
      <c r="G82" s="12"/>
      <c r="H82" s="109" t="str">
        <f>IF(AND($Z$11,COUNT($BE$24:$BE$123)&gt;58),INDEX($BD$24:$BD$123,(COUNT($BE$24:$BE$123)-58)),"")</f>
        <v/>
      </c>
      <c r="I82" s="110" t="str">
        <f>IF(AND($Z$11,COUNT($BE$24:$BE$123)&gt;58),INDEX($BH$24:$BH$123,(COUNT($BE$24:$BE$123)-58))+'Uplift Check'!$B$25,"")</f>
        <v/>
      </c>
      <c r="J82" s="110" t="str">
        <f>IF(AND($Z$11,COUNT($BE$24:$BE$123)&gt;58),INDEX($BF$24:$BF$123,(COUNT($BE$24:$BE$123)-58)),"")</f>
        <v/>
      </c>
      <c r="K82" s="110" t="str">
        <f>IF(AND($Z$11,COUNT($BE$24:$BE$123)&gt;58),$B$8,"")</f>
        <v/>
      </c>
      <c r="L82" s="110" t="str">
        <f>IF(AND($Z$11,COUNT($BE$24:$BE$123)&gt;58),INDEX($BI$24:$BI$123,(COUNT($BE$24:$BE$123)-58)),"")</f>
        <v/>
      </c>
      <c r="M82" s="110" t="str">
        <f>IF(AND($Z$11,COUNT($BE$24:$BE$123)&gt;58),INDEX($BJ$24:$BJ$123,(COUNT($BE$24:$BE$123)-58)),"")</f>
        <v/>
      </c>
      <c r="N82" s="110" t="str">
        <f>IF(AND($Z$11,COUNT($BE$24:$BE$123)&gt;58),$B$27,"")</f>
        <v/>
      </c>
      <c r="O82" s="110" t="str">
        <f>IF(AND($Z$11,COUNT($BE$24:$BE$123)&gt;58),$B$26,"")</f>
        <v/>
      </c>
      <c r="P82" s="110" t="str">
        <f>IF(AND($Z$11,COUNT($BE$24:$BE$123)&gt;58),INDEX($BJ$24:$BJ$123,(COUNT($BE$24:$BE$123)-58))*$B$27*$B$26,"")</f>
        <v/>
      </c>
      <c r="Q82" s="110" t="str">
        <f>IF(AND($Z$11,COUNT($BE$24:$BE$123)&gt;58),$B$35,"")</f>
        <v/>
      </c>
      <c r="R82" s="110" t="str">
        <f>IF(AND($Z$11,COUNT($BE$24:$BE$123)&gt;58),INDEX($BL$24:$BL$123,(COUNT($BE$24:$BE$123)-58)),"")</f>
        <v/>
      </c>
      <c r="S82" s="110" t="str">
        <f>IF(AND($Z$11,COUNT($BE$24:$BE$123)&gt;58),INDEX($BM$24:$BM$123,(COUNT($BE$24:$BE$123)-58)),"")</f>
        <v/>
      </c>
      <c r="T82" s="110" t="str">
        <f>IF(AND($Z$11,COUNT($BE$24:$BE$123)&gt;58),INDEX($BN$24:$BN$123,(COUNT($BE$24:$BE$123)-58)),"")</f>
        <v/>
      </c>
      <c r="W82" s="12"/>
      <c r="X82" s="12"/>
      <c r="Y82" s="12"/>
      <c r="Z82" s="12"/>
      <c r="AA82" s="12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>
        <v>0.8</v>
      </c>
      <c r="AR82" s="13">
        <f t="shared" si="16"/>
        <v>0</v>
      </c>
      <c r="AS82" s="13" t="str">
        <f>IF(COUNT(B9,B23)=2,AR82+B23-B9,"")</f>
        <v/>
      </c>
      <c r="AT82" s="13">
        <f t="shared" si="17"/>
        <v>0</v>
      </c>
      <c r="AU82" s="13" t="str">
        <f t="shared" si="18"/>
        <v/>
      </c>
      <c r="AV82" s="13" t="str">
        <f t="shared" si="19"/>
        <v/>
      </c>
      <c r="AW82" s="13" t="str">
        <f t="shared" si="20"/>
        <v/>
      </c>
      <c r="AX82" s="13" t="str">
        <f t="shared" si="21"/>
        <v/>
      </c>
      <c r="AY82" s="13" t="str">
        <f t="shared" si="22"/>
        <v/>
      </c>
      <c r="AZ82" s="13"/>
      <c r="BD82" s="12">
        <f>59</f>
        <v>59</v>
      </c>
      <c r="BE82" s="32"/>
      <c r="BF82" s="32"/>
      <c r="BG82" s="32" t="str">
        <f>IF(BO82="OK",SUM($BE$24:BE82)-BE82,"")</f>
        <v/>
      </c>
      <c r="BH82" s="32" t="str">
        <f t="shared" si="8"/>
        <v/>
      </c>
      <c r="BI82" s="32" t="str">
        <f>IF(AND(BO82="OK",$Z$7),MAX('Wind Load Check'!$B$29,1.1+0.055*('Wind Load Check'!$B$23/'Wind Load Check'!$B$8)/EXP(ABS(LN((0.6*BF82/'Wind Load Check'!$B$8)*(1-0.011*'Wind Load Check'!$B$23/'Wind Load Check'!$B$8)))^(1.7-0.0013*('Wind Load Check'!$B$23/BF82)^2))),"")</f>
        <v/>
      </c>
      <c r="BJ82" s="32" t="str">
        <f t="shared" si="9"/>
        <v/>
      </c>
      <c r="BK82" s="32" t="str">
        <f>IF(AND(BO82="OK",$Z$7),BJ82*'Wind Load Check'!$B$26*'Wind Load Check'!$B$27*BI82*'Wind Load Check'!$B$35,"")</f>
        <v/>
      </c>
      <c r="BL82" s="32" t="str">
        <f t="shared" si="10"/>
        <v/>
      </c>
      <c r="BM82" s="32" t="str">
        <f>IF(AND(BO82="OK",ISNUMBER('Uplift Check'!$B$38)),(BG82+BH82)/2+'Uplift Check'!$B$38,"")</f>
        <v/>
      </c>
      <c r="BN82" s="32" t="str">
        <f t="shared" si="11"/>
        <v/>
      </c>
      <c r="BO82" s="32" t="str">
        <f t="shared" si="15"/>
        <v/>
      </c>
      <c r="BP82" s="32" t="str">
        <f t="shared" si="12"/>
        <v/>
      </c>
      <c r="BQ82" s="32" t="str">
        <f t="shared" si="13"/>
        <v/>
      </c>
      <c r="BR82" s="32" t="str">
        <f t="shared" si="14"/>
        <v/>
      </c>
    </row>
    <row r="83" spans="1:70" ht="22.05" customHeight="1">
      <c r="A83" s="12"/>
      <c r="B83" s="12"/>
      <c r="C83" s="12"/>
      <c r="D83" s="12"/>
      <c r="E83" s="12"/>
      <c r="F83" s="12"/>
      <c r="G83" s="12"/>
      <c r="H83" s="109" t="str">
        <f>IF(AND($Z$11,COUNT($BE$24:$BE$123)&gt;59),INDEX($BD$24:$BD$123,(COUNT($BE$24:$BE$123)-59)),"")</f>
        <v/>
      </c>
      <c r="I83" s="110" t="str">
        <f>IF(AND($Z$11,COUNT($BE$24:$BE$123)&gt;59),INDEX($BH$24:$BH$123,(COUNT($BE$24:$BE$123)-59))+'Uplift Check'!$B$25,"")</f>
        <v/>
      </c>
      <c r="J83" s="110" t="str">
        <f>IF(AND($Z$11,COUNT($BE$24:$BE$123)&gt;59),INDEX($BF$24:$BF$123,(COUNT($BE$24:$BE$123)-59)),"")</f>
        <v/>
      </c>
      <c r="K83" s="110" t="str">
        <f>IF(AND($Z$11,COUNT($BE$24:$BE$123)&gt;59),$B$8,"")</f>
        <v/>
      </c>
      <c r="L83" s="110" t="str">
        <f>IF(AND($Z$11,COUNT($BE$24:$BE$123)&gt;59),INDEX($BI$24:$BI$123,(COUNT($BE$24:$BE$123)-59)),"")</f>
        <v/>
      </c>
      <c r="M83" s="110" t="str">
        <f>IF(AND($Z$11,COUNT($BE$24:$BE$123)&gt;59),INDEX($BJ$24:$BJ$123,(COUNT($BE$24:$BE$123)-59)),"")</f>
        <v/>
      </c>
      <c r="N83" s="110" t="str">
        <f>IF(AND($Z$11,COUNT($BE$24:$BE$123)&gt;59),$B$27,"")</f>
        <v/>
      </c>
      <c r="O83" s="110" t="str">
        <f>IF(AND($Z$11,COUNT($BE$24:$BE$123)&gt;59),$B$26,"")</f>
        <v/>
      </c>
      <c r="P83" s="110" t="str">
        <f>IF(AND($Z$11,COUNT($BE$24:$BE$123)&gt;59),INDEX($BJ$24:$BJ$123,(COUNT($BE$24:$BE$123)-59))*$B$27*$B$26,"")</f>
        <v/>
      </c>
      <c r="Q83" s="110" t="str">
        <f>IF(AND($Z$11,COUNT($BE$24:$BE$123)&gt;59),$B$35,"")</f>
        <v/>
      </c>
      <c r="R83" s="110" t="str">
        <f>IF(AND($Z$11,COUNT($BE$24:$BE$123)&gt;59),INDEX($BL$24:$BL$123,(COUNT($BE$24:$BE$123)-59)),"")</f>
        <v/>
      </c>
      <c r="S83" s="110" t="str">
        <f>IF(AND($Z$11,COUNT($BE$24:$BE$123)&gt;59),INDEX($BM$24:$BM$123,(COUNT($BE$24:$BE$123)-59)),"")</f>
        <v/>
      </c>
      <c r="T83" s="110" t="str">
        <f>IF(AND($Z$11,COUNT($BE$24:$BE$123)&gt;59),INDEX($BN$24:$BN$123,(COUNT($BE$24:$BE$123)-59)),"")</f>
        <v/>
      </c>
      <c r="W83" s="12"/>
      <c r="X83" s="12"/>
      <c r="Y83" s="12"/>
      <c r="Z83" s="12"/>
      <c r="AA83" s="12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>
        <v>0.85</v>
      </c>
      <c r="AR83" s="13">
        <f t="shared" si="16"/>
        <v>0</v>
      </c>
      <c r="AS83" s="13" t="str">
        <f>IF(COUNT(B9,B23)=2,AR83+B23-B9,"")</f>
        <v/>
      </c>
      <c r="AT83" s="13">
        <f t="shared" si="17"/>
        <v>0</v>
      </c>
      <c r="AU83" s="13" t="str">
        <f t="shared" si="18"/>
        <v/>
      </c>
      <c r="AV83" s="13" t="str">
        <f t="shared" si="19"/>
        <v/>
      </c>
      <c r="AW83" s="13" t="str">
        <f t="shared" si="20"/>
        <v/>
      </c>
      <c r="AX83" s="13" t="str">
        <f t="shared" si="21"/>
        <v/>
      </c>
      <c r="AY83" s="13" t="str">
        <f t="shared" si="22"/>
        <v/>
      </c>
      <c r="AZ83" s="13"/>
      <c r="BD83" s="12">
        <f>60</f>
        <v>60</v>
      </c>
      <c r="BE83" s="32"/>
      <c r="BF83" s="32"/>
      <c r="BG83" s="32" t="str">
        <f>IF(BO83="OK",SUM($BE$24:BE83)-BE83,"")</f>
        <v/>
      </c>
      <c r="BH83" s="32" t="str">
        <f t="shared" si="8"/>
        <v/>
      </c>
      <c r="BI83" s="32" t="str">
        <f>IF(AND(BO83="OK",$Z$7),MAX('Wind Load Check'!$B$29,1.1+0.055*('Wind Load Check'!$B$23/'Wind Load Check'!$B$8)/EXP(ABS(LN((0.6*BF83/'Wind Load Check'!$B$8)*(1-0.011*'Wind Load Check'!$B$23/'Wind Load Check'!$B$8)))^(1.7-0.0013*('Wind Load Check'!$B$23/BF83)^2))),"")</f>
        <v/>
      </c>
      <c r="BJ83" s="32" t="str">
        <f t="shared" si="9"/>
        <v/>
      </c>
      <c r="BK83" s="32" t="str">
        <f>IF(AND(BO83="OK",$Z$7),BJ83*'Wind Load Check'!$B$26*'Wind Load Check'!$B$27*BI83*'Wind Load Check'!$B$35,"")</f>
        <v/>
      </c>
      <c r="BL83" s="32" t="str">
        <f t="shared" si="10"/>
        <v/>
      </c>
      <c r="BM83" s="32" t="str">
        <f>IF(AND(BO83="OK",ISNUMBER('Uplift Check'!$B$38)),(BG83+BH83)/2+'Uplift Check'!$B$38,"")</f>
        <v/>
      </c>
      <c r="BN83" s="32" t="str">
        <f t="shared" si="11"/>
        <v/>
      </c>
      <c r="BO83" s="32" t="str">
        <f t="shared" si="15"/>
        <v/>
      </c>
      <c r="BP83" s="32" t="str">
        <f t="shared" si="12"/>
        <v/>
      </c>
      <c r="BQ83" s="32" t="str">
        <f t="shared" si="13"/>
        <v/>
      </c>
      <c r="BR83" s="32" t="str">
        <f t="shared" si="14"/>
        <v/>
      </c>
    </row>
    <row r="84" spans="1:70" ht="22.05" customHeight="1">
      <c r="A84" s="12"/>
      <c r="B84" s="12"/>
      <c r="C84" s="12"/>
      <c r="D84" s="12"/>
      <c r="E84" s="12"/>
      <c r="F84" s="12"/>
      <c r="G84" s="12"/>
      <c r="H84" s="109" t="str">
        <f>IF(AND($Z$11,COUNT($BE$24:$BE$123)&gt;60),INDEX($BD$24:$BD$123,(COUNT($BE$24:$BE$123)-60)),"")</f>
        <v/>
      </c>
      <c r="I84" s="110" t="str">
        <f>IF(AND($Z$11,COUNT($BE$24:$BE$123)&gt;60),INDEX($BH$24:$BH$123,(COUNT($BE$24:$BE$123)-60))+'Uplift Check'!$B$25,"")</f>
        <v/>
      </c>
      <c r="J84" s="110" t="str">
        <f>IF(AND($Z$11,COUNT($BE$24:$BE$123)&gt;60),INDEX($BF$24:$BF$123,(COUNT($BE$24:$BE$123)-60)),"")</f>
        <v/>
      </c>
      <c r="K84" s="110" t="str">
        <f>IF(AND($Z$11,COUNT($BE$24:$BE$123)&gt;60),$B$8,"")</f>
        <v/>
      </c>
      <c r="L84" s="110" t="str">
        <f>IF(AND($Z$11,COUNT($BE$24:$BE$123)&gt;60),INDEX($BI$24:$BI$123,(COUNT($BE$24:$BE$123)-60)),"")</f>
        <v/>
      </c>
      <c r="M84" s="110" t="str">
        <f>IF(AND($Z$11,COUNT($BE$24:$BE$123)&gt;60),INDEX($BJ$24:$BJ$123,(COUNT($BE$24:$BE$123)-60)),"")</f>
        <v/>
      </c>
      <c r="N84" s="110" t="str">
        <f>IF(AND($Z$11,COUNT($BE$24:$BE$123)&gt;60),$B$27,"")</f>
        <v/>
      </c>
      <c r="O84" s="110" t="str">
        <f>IF(AND($Z$11,COUNT($BE$24:$BE$123)&gt;60),$B$26,"")</f>
        <v/>
      </c>
      <c r="P84" s="110" t="str">
        <f>IF(AND($Z$11,COUNT($BE$24:$BE$123)&gt;60),INDEX($BJ$24:$BJ$123,(COUNT($BE$24:$BE$123)-60))*$B$27*$B$26,"")</f>
        <v/>
      </c>
      <c r="Q84" s="110" t="str">
        <f>IF(AND($Z$11,COUNT($BE$24:$BE$123)&gt;60),$B$35,"")</f>
        <v/>
      </c>
      <c r="R84" s="110" t="str">
        <f>IF(AND($Z$11,COUNT($BE$24:$BE$123)&gt;60),INDEX($BL$24:$BL$123,(COUNT($BE$24:$BE$123)-60)),"")</f>
        <v/>
      </c>
      <c r="S84" s="110" t="str">
        <f>IF(AND($Z$11,COUNT($BE$24:$BE$123)&gt;60),INDEX($BM$24:$BM$123,(COUNT($BE$24:$BE$123)-60)),"")</f>
        <v/>
      </c>
      <c r="T84" s="110" t="str">
        <f>IF(AND($Z$11,COUNT($BE$24:$BE$123)&gt;60),INDEX($BN$24:$BN$123,(COUNT($BE$24:$BE$123)-60)),"")</f>
        <v/>
      </c>
      <c r="W84" s="12"/>
      <c r="X84" s="12"/>
      <c r="Y84" s="12"/>
      <c r="Z84" s="12"/>
      <c r="AA84" s="12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>
        <v>0.9</v>
      </c>
      <c r="AR84" s="13">
        <f t="shared" si="16"/>
        <v>0</v>
      </c>
      <c r="AS84" s="13" t="str">
        <f>IF(COUNT(B9,B23)=2,AR84+B23-B9,"")</f>
        <v/>
      </c>
      <c r="AT84" s="13">
        <f t="shared" si="17"/>
        <v>0</v>
      </c>
      <c r="AU84" s="13" t="str">
        <f t="shared" si="18"/>
        <v/>
      </c>
      <c r="AV84" s="13" t="str">
        <f t="shared" si="19"/>
        <v/>
      </c>
      <c r="AW84" s="13" t="str">
        <f t="shared" si="20"/>
        <v/>
      </c>
      <c r="AX84" s="13" t="str">
        <f t="shared" si="21"/>
        <v/>
      </c>
      <c r="AY84" s="13" t="str">
        <f t="shared" si="22"/>
        <v/>
      </c>
      <c r="AZ84" s="13"/>
      <c r="BD84" s="12">
        <f>61</f>
        <v>61</v>
      </c>
      <c r="BE84" s="32"/>
      <c r="BF84" s="32"/>
      <c r="BG84" s="32" t="str">
        <f>IF(BO84="OK",SUM($BE$24:BE84)-BE84,"")</f>
        <v/>
      </c>
      <c r="BH84" s="32" t="str">
        <f t="shared" si="8"/>
        <v/>
      </c>
      <c r="BI84" s="32" t="str">
        <f>IF(AND(BO84="OK",$Z$7),MAX('Wind Load Check'!$B$29,1.1+0.055*('Wind Load Check'!$B$23/'Wind Load Check'!$B$8)/EXP(ABS(LN((0.6*BF84/'Wind Load Check'!$B$8)*(1-0.011*'Wind Load Check'!$B$23/'Wind Load Check'!$B$8)))^(1.7-0.0013*('Wind Load Check'!$B$23/BF84)^2))),"")</f>
        <v/>
      </c>
      <c r="BJ84" s="32" t="str">
        <f t="shared" si="9"/>
        <v/>
      </c>
      <c r="BK84" s="32" t="str">
        <f>IF(AND(BO84="OK",$Z$7),BJ84*'Wind Load Check'!$B$26*'Wind Load Check'!$B$27*BI84*'Wind Load Check'!$B$35,"")</f>
        <v/>
      </c>
      <c r="BL84" s="32" t="str">
        <f t="shared" si="10"/>
        <v/>
      </c>
      <c r="BM84" s="32" t="str">
        <f>IF(AND(BO84="OK",ISNUMBER('Uplift Check'!$B$38)),(BG84+BH84)/2+'Uplift Check'!$B$38,"")</f>
        <v/>
      </c>
      <c r="BN84" s="32" t="str">
        <f t="shared" si="11"/>
        <v/>
      </c>
      <c r="BO84" s="32" t="str">
        <f t="shared" si="15"/>
        <v/>
      </c>
      <c r="BP84" s="32" t="str">
        <f t="shared" si="12"/>
        <v/>
      </c>
      <c r="BQ84" s="32" t="str">
        <f t="shared" si="13"/>
        <v/>
      </c>
      <c r="BR84" s="32" t="str">
        <f t="shared" si="14"/>
        <v/>
      </c>
    </row>
    <row r="85" spans="1:70" ht="22.05" customHeight="1">
      <c r="A85" s="12"/>
      <c r="B85" s="12"/>
      <c r="C85" s="12"/>
      <c r="D85" s="12"/>
      <c r="E85" s="12"/>
      <c r="F85" s="12"/>
      <c r="G85" s="12"/>
      <c r="H85" s="109" t="str">
        <f>IF(AND($Z$11,COUNT($BE$24:$BE$123)&gt;61),INDEX($BD$24:$BD$123,(COUNT($BE$24:$BE$123)-61)),"")</f>
        <v/>
      </c>
      <c r="I85" s="110" t="str">
        <f>IF(AND($Z$11,COUNT($BE$24:$BE$123)&gt;61),INDEX($BH$24:$BH$123,(COUNT($BE$24:$BE$123)-61))+'Uplift Check'!$B$25,"")</f>
        <v/>
      </c>
      <c r="J85" s="110" t="str">
        <f>IF(AND($Z$11,COUNT($BE$24:$BE$123)&gt;61),INDEX($BF$24:$BF$123,(COUNT($BE$24:$BE$123)-61)),"")</f>
        <v/>
      </c>
      <c r="K85" s="110" t="str">
        <f>IF(AND($Z$11,COUNT($BE$24:$BE$123)&gt;61),$B$8,"")</f>
        <v/>
      </c>
      <c r="L85" s="110" t="str">
        <f>IF(AND($Z$11,COUNT($BE$24:$BE$123)&gt;61),INDEX($BI$24:$BI$123,(COUNT($BE$24:$BE$123)-61)),"")</f>
        <v/>
      </c>
      <c r="M85" s="110" t="str">
        <f>IF(AND($Z$11,COUNT($BE$24:$BE$123)&gt;61),INDEX($BJ$24:$BJ$123,(COUNT($BE$24:$BE$123)-61)),"")</f>
        <v/>
      </c>
      <c r="N85" s="110" t="str">
        <f>IF(AND($Z$11,COUNT($BE$24:$BE$123)&gt;61),$B$27,"")</f>
        <v/>
      </c>
      <c r="O85" s="110" t="str">
        <f>IF(AND($Z$11,COUNT($BE$24:$BE$123)&gt;61),$B$26,"")</f>
        <v/>
      </c>
      <c r="P85" s="110" t="str">
        <f>IF(AND($Z$11,COUNT($BE$24:$BE$123)&gt;61),INDEX($BJ$24:$BJ$123,(COUNT($BE$24:$BE$123)-61))*$B$27*$B$26,"")</f>
        <v/>
      </c>
      <c r="Q85" s="110" t="str">
        <f>IF(AND($Z$11,COUNT($BE$24:$BE$123)&gt;61),$B$35,"")</f>
        <v/>
      </c>
      <c r="R85" s="110" t="str">
        <f>IF(AND($Z$11,COUNT($BE$24:$BE$123)&gt;61),INDEX($BL$24:$BL$123,(COUNT($BE$24:$BE$123)-61)),"")</f>
        <v/>
      </c>
      <c r="S85" s="110" t="str">
        <f>IF(AND($Z$11,COUNT($BE$24:$BE$123)&gt;61),INDEX($BM$24:$BM$123,(COUNT($BE$24:$BE$123)-61)),"")</f>
        <v/>
      </c>
      <c r="T85" s="110" t="str">
        <f>IF(AND($Z$11,COUNT($BE$24:$BE$123)&gt;61),INDEX($BN$24:$BN$123,(COUNT($BE$24:$BE$123)-61)),"")</f>
        <v/>
      </c>
      <c r="W85" s="12"/>
      <c r="X85" s="12"/>
      <c r="Y85" s="12"/>
      <c r="Z85" s="12"/>
      <c r="AA85" s="12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>
        <v>0.95</v>
      </c>
      <c r="AR85" s="13">
        <f t="shared" si="16"/>
        <v>0</v>
      </c>
      <c r="AS85" s="13" t="str">
        <f>IF(COUNT(B9,B23)=2,AR85+B23-B9,"")</f>
        <v/>
      </c>
      <c r="AT85" s="13">
        <f t="shared" si="17"/>
        <v>0</v>
      </c>
      <c r="AU85" s="13" t="str">
        <f t="shared" si="18"/>
        <v/>
      </c>
      <c r="AV85" s="13" t="str">
        <f t="shared" si="19"/>
        <v/>
      </c>
      <c r="AW85" s="13" t="str">
        <f t="shared" si="20"/>
        <v/>
      </c>
      <c r="AX85" s="13" t="str">
        <f t="shared" si="21"/>
        <v/>
      </c>
      <c r="AY85" s="13" t="str">
        <f t="shared" si="22"/>
        <v/>
      </c>
      <c r="AZ85" s="13"/>
      <c r="BD85" s="12">
        <f>62</f>
        <v>62</v>
      </c>
      <c r="BE85" s="32"/>
      <c r="BF85" s="32"/>
      <c r="BG85" s="32" t="str">
        <f>IF(BO85="OK",SUM($BE$24:BE85)-BE85,"")</f>
        <v/>
      </c>
      <c r="BH85" s="32" t="str">
        <f t="shared" si="8"/>
        <v/>
      </c>
      <c r="BI85" s="32" t="str">
        <f>IF(AND(BO85="OK",$Z$7),MAX('Wind Load Check'!$B$29,1.1+0.055*('Wind Load Check'!$B$23/'Wind Load Check'!$B$8)/EXP(ABS(LN((0.6*BF85/'Wind Load Check'!$B$8)*(1-0.011*'Wind Load Check'!$B$23/'Wind Load Check'!$B$8)))^(1.7-0.0013*('Wind Load Check'!$B$23/BF85)^2))),"")</f>
        <v/>
      </c>
      <c r="BJ85" s="32" t="str">
        <f t="shared" si="9"/>
        <v/>
      </c>
      <c r="BK85" s="32" t="str">
        <f>IF(AND(BO85="OK",$Z$7),BJ85*'Wind Load Check'!$B$26*'Wind Load Check'!$B$27*BI85*'Wind Load Check'!$B$35,"")</f>
        <v/>
      </c>
      <c r="BL85" s="32" t="str">
        <f t="shared" si="10"/>
        <v/>
      </c>
      <c r="BM85" s="32" t="str">
        <f>IF(AND(BO85="OK",ISNUMBER('Uplift Check'!$B$38)),(BG85+BH85)/2+'Uplift Check'!$B$38,"")</f>
        <v/>
      </c>
      <c r="BN85" s="32" t="str">
        <f t="shared" si="11"/>
        <v/>
      </c>
      <c r="BO85" s="32" t="str">
        <f t="shared" si="15"/>
        <v/>
      </c>
      <c r="BP85" s="32" t="str">
        <f t="shared" si="12"/>
        <v/>
      </c>
      <c r="BQ85" s="32" t="str">
        <f t="shared" si="13"/>
        <v/>
      </c>
      <c r="BR85" s="32" t="str">
        <f t="shared" si="14"/>
        <v/>
      </c>
    </row>
    <row r="86" spans="1:70" ht="22.05" customHeight="1">
      <c r="A86" s="12"/>
      <c r="B86" s="12"/>
      <c r="C86" s="12"/>
      <c r="D86" s="12"/>
      <c r="E86" s="12"/>
      <c r="F86" s="12"/>
      <c r="G86" s="12"/>
      <c r="H86" s="109" t="str">
        <f>IF(AND($Z$11,COUNT($BE$24:$BE$123)&gt;62),INDEX($BD$24:$BD$123,(COUNT($BE$24:$BE$123)-62)),"")</f>
        <v/>
      </c>
      <c r="I86" s="110" t="str">
        <f>IF(AND($Z$11,COUNT($BE$24:$BE$123)&gt;62),INDEX($BH$24:$BH$123,(COUNT($BE$24:$BE$123)-62))+'Uplift Check'!$B$25,"")</f>
        <v/>
      </c>
      <c r="J86" s="110" t="str">
        <f>IF(AND($Z$11,COUNT($BE$24:$BE$123)&gt;62),INDEX($BF$24:$BF$123,(COUNT($BE$24:$BE$123)-62)),"")</f>
        <v/>
      </c>
      <c r="K86" s="110" t="str">
        <f>IF(AND($Z$11,COUNT($BE$24:$BE$123)&gt;62),$B$8,"")</f>
        <v/>
      </c>
      <c r="L86" s="110" t="str">
        <f>IF(AND($Z$11,COUNT($BE$24:$BE$123)&gt;62),INDEX($BI$24:$BI$123,(COUNT($BE$24:$BE$123)-62)),"")</f>
        <v/>
      </c>
      <c r="M86" s="110" t="str">
        <f>IF(AND($Z$11,COUNT($BE$24:$BE$123)&gt;62),INDEX($BJ$24:$BJ$123,(COUNT($BE$24:$BE$123)-62)),"")</f>
        <v/>
      </c>
      <c r="N86" s="110" t="str">
        <f>IF(AND($Z$11,COUNT($BE$24:$BE$123)&gt;62),$B$27,"")</f>
        <v/>
      </c>
      <c r="O86" s="110" t="str">
        <f>IF(AND($Z$11,COUNT($BE$24:$BE$123)&gt;62),$B$26,"")</f>
        <v/>
      </c>
      <c r="P86" s="110" t="str">
        <f>IF(AND($Z$11,COUNT($BE$24:$BE$123)&gt;62),INDEX($BJ$24:$BJ$123,(COUNT($BE$24:$BE$123)-62))*$B$27*$B$26,"")</f>
        <v/>
      </c>
      <c r="Q86" s="110" t="str">
        <f>IF(AND($Z$11,COUNT($BE$24:$BE$123)&gt;62),$B$35,"")</f>
        <v/>
      </c>
      <c r="R86" s="110" t="str">
        <f>IF(AND($Z$11,COUNT($BE$24:$BE$123)&gt;62),INDEX($BL$24:$BL$123,(COUNT($BE$24:$BE$123)-62)),"")</f>
        <v/>
      </c>
      <c r="S86" s="110" t="str">
        <f>IF(AND($Z$11,COUNT($BE$24:$BE$123)&gt;62),INDEX($BM$24:$BM$123,(COUNT($BE$24:$BE$123)-62)),"")</f>
        <v/>
      </c>
      <c r="T86" s="110" t="str">
        <f>IF(AND($Z$11,COUNT($BE$24:$BE$123)&gt;62),INDEX($BN$24:$BN$123,(COUNT($BE$24:$BE$123)-62)),"")</f>
        <v/>
      </c>
      <c r="W86" s="12"/>
      <c r="X86" s="12"/>
      <c r="Y86" s="12"/>
      <c r="Z86" s="12"/>
      <c r="AA86" s="12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>
        <v>1</v>
      </c>
      <c r="AR86" s="13">
        <f t="shared" si="16"/>
        <v>0</v>
      </c>
      <c r="AS86" s="13" t="str">
        <f>IF(COUNT(B9,B23)=2,AR86+B23-B9,"")</f>
        <v/>
      </c>
      <c r="AT86" s="13">
        <f t="shared" si="17"/>
        <v>0</v>
      </c>
      <c r="AU86" s="13" t="str">
        <f t="shared" si="18"/>
        <v/>
      </c>
      <c r="AV86" s="13" t="str">
        <f t="shared" si="19"/>
        <v/>
      </c>
      <c r="AW86" s="13" t="str">
        <f t="shared" si="20"/>
        <v/>
      </c>
      <c r="AX86" s="13" t="str">
        <f t="shared" si="21"/>
        <v/>
      </c>
      <c r="AY86" s="13" t="str">
        <f t="shared" si="22"/>
        <v/>
      </c>
      <c r="AZ86" s="13"/>
      <c r="BD86" s="12">
        <f>63</f>
        <v>63</v>
      </c>
      <c r="BE86" s="32"/>
      <c r="BF86" s="32"/>
      <c r="BG86" s="32" t="str">
        <f>IF(BO86="OK",SUM($BE$24:BE86)-BE86,"")</f>
        <v/>
      </c>
      <c r="BH86" s="32" t="str">
        <f t="shared" si="8"/>
        <v/>
      </c>
      <c r="BI86" s="32" t="str">
        <f>IF(AND(BO86="OK",$Z$7),MAX('Wind Load Check'!$B$29,1.1+0.055*('Wind Load Check'!$B$23/'Wind Load Check'!$B$8)/EXP(ABS(LN((0.6*BF86/'Wind Load Check'!$B$8)*(1-0.011*'Wind Load Check'!$B$23/'Wind Load Check'!$B$8)))^(1.7-0.0013*('Wind Load Check'!$B$23/BF86)^2))),"")</f>
        <v/>
      </c>
      <c r="BJ86" s="32" t="str">
        <f t="shared" si="9"/>
        <v/>
      </c>
      <c r="BK86" s="32" t="str">
        <f>IF(AND(BO86="OK",$Z$7),BJ86*'Wind Load Check'!$B$26*'Wind Load Check'!$B$27*BI86*'Wind Load Check'!$B$35,"")</f>
        <v/>
      </c>
      <c r="BL86" s="32" t="str">
        <f t="shared" si="10"/>
        <v/>
      </c>
      <c r="BM86" s="32" t="str">
        <f>IF(AND(BO86="OK",ISNUMBER('Uplift Check'!$B$38)),(BG86+BH86)/2+'Uplift Check'!$B$38,"")</f>
        <v/>
      </c>
      <c r="BN86" s="32" t="str">
        <f t="shared" si="11"/>
        <v/>
      </c>
      <c r="BO86" s="32" t="str">
        <f t="shared" si="15"/>
        <v/>
      </c>
      <c r="BP86" s="32" t="str">
        <f t="shared" si="12"/>
        <v/>
      </c>
      <c r="BQ86" s="32" t="str">
        <f t="shared" si="13"/>
        <v/>
      </c>
      <c r="BR86" s="32" t="str">
        <f t="shared" si="14"/>
        <v/>
      </c>
    </row>
    <row r="87" spans="1:70" ht="22.05" customHeight="1">
      <c r="A87" s="12"/>
      <c r="B87" s="12"/>
      <c r="C87" s="12"/>
      <c r="D87" s="12"/>
      <c r="E87" s="12"/>
      <c r="F87" s="12"/>
      <c r="G87" s="12"/>
      <c r="H87" s="109" t="str">
        <f>IF(AND($Z$11,COUNT($BE$24:$BE$123)&gt;63),INDEX($BD$24:$BD$123,(COUNT($BE$24:$BE$123)-63)),"")</f>
        <v/>
      </c>
      <c r="I87" s="110" t="str">
        <f>IF(AND($Z$11,COUNT($BE$24:$BE$123)&gt;63),INDEX($BH$24:$BH$123,(COUNT($BE$24:$BE$123)-63))+'Uplift Check'!$B$25,"")</f>
        <v/>
      </c>
      <c r="J87" s="110" t="str">
        <f>IF(AND($Z$11,COUNT($BE$24:$BE$123)&gt;63),INDEX($BF$24:$BF$123,(COUNT($BE$24:$BE$123)-63)),"")</f>
        <v/>
      </c>
      <c r="K87" s="110" t="str">
        <f>IF(AND($Z$11,COUNT($BE$24:$BE$123)&gt;63),$B$8,"")</f>
        <v/>
      </c>
      <c r="L87" s="110" t="str">
        <f>IF(AND($Z$11,COUNT($BE$24:$BE$123)&gt;63),INDEX($BI$24:$BI$123,(COUNT($BE$24:$BE$123)-63)),"")</f>
        <v/>
      </c>
      <c r="M87" s="110" t="str">
        <f>IF(AND($Z$11,COUNT($BE$24:$BE$123)&gt;63),INDEX($BJ$24:$BJ$123,(COUNT($BE$24:$BE$123)-63)),"")</f>
        <v/>
      </c>
      <c r="N87" s="110" t="str">
        <f>IF(AND($Z$11,COUNT($BE$24:$BE$123)&gt;63),$B$27,"")</f>
        <v/>
      </c>
      <c r="O87" s="110" t="str">
        <f>IF(AND($Z$11,COUNT($BE$24:$BE$123)&gt;63),$B$26,"")</f>
        <v/>
      </c>
      <c r="P87" s="110" t="str">
        <f>IF(AND($Z$11,COUNT($BE$24:$BE$123)&gt;63),INDEX($BJ$24:$BJ$123,(COUNT($BE$24:$BE$123)-63))*$B$27*$B$26,"")</f>
        <v/>
      </c>
      <c r="Q87" s="110" t="str">
        <f>IF(AND($Z$11,COUNT($BE$24:$BE$123)&gt;63),$B$35,"")</f>
        <v/>
      </c>
      <c r="R87" s="110" t="str">
        <f>IF(AND($Z$11,COUNT($BE$24:$BE$123)&gt;63),INDEX($BL$24:$BL$123,(COUNT($BE$24:$BE$123)-63)),"")</f>
        <v/>
      </c>
      <c r="S87" s="110" t="str">
        <f>IF(AND($Z$11,COUNT($BE$24:$BE$123)&gt;63),INDEX($BM$24:$BM$123,(COUNT($BE$24:$BE$123)-63)),"")</f>
        <v/>
      </c>
      <c r="T87" s="110" t="str">
        <f>IF(AND($Z$11,COUNT($BE$24:$BE$123)&gt;63),INDEX($BN$24:$BN$123,(COUNT($BE$24:$BE$123)-63)),"")</f>
        <v/>
      </c>
      <c r="W87" s="12"/>
      <c r="X87" s="12"/>
      <c r="Y87" s="12"/>
      <c r="Z87" s="12"/>
      <c r="AA87" s="12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>
        <f>SUM(AX67:AX86)</f>
        <v>0</v>
      </c>
      <c r="AY87" s="13">
        <f>SUM(AY67:AY86)</f>
        <v>0</v>
      </c>
      <c r="AZ87" s="13"/>
      <c r="BD87" s="12">
        <f>64</f>
        <v>64</v>
      </c>
      <c r="BE87" s="32"/>
      <c r="BF87" s="32"/>
      <c r="BG87" s="32" t="str">
        <f>IF(BO87="OK",SUM($BE$24:BE87)-BE87,"")</f>
        <v/>
      </c>
      <c r="BH87" s="32" t="str">
        <f t="shared" si="8"/>
        <v/>
      </c>
      <c r="BI87" s="32" t="str">
        <f>IF(AND(BO87="OK",$Z$7),MAX('Wind Load Check'!$B$29,1.1+0.055*('Wind Load Check'!$B$23/'Wind Load Check'!$B$8)/EXP(ABS(LN((0.6*BF87/'Wind Load Check'!$B$8)*(1-0.011*'Wind Load Check'!$B$23/'Wind Load Check'!$B$8)))^(1.7-0.0013*('Wind Load Check'!$B$23/BF87)^2))),"")</f>
        <v/>
      </c>
      <c r="BJ87" s="32" t="str">
        <f t="shared" si="9"/>
        <v/>
      </c>
      <c r="BK87" s="32" t="str">
        <f>IF(AND(BO87="OK",$Z$7),BJ87*'Wind Load Check'!$B$26*'Wind Load Check'!$B$27*BI87*'Wind Load Check'!$B$35,"")</f>
        <v/>
      </c>
      <c r="BL87" s="32" t="str">
        <f t="shared" si="10"/>
        <v/>
      </c>
      <c r="BM87" s="32" t="str">
        <f>IF(AND(BO87="OK",ISNUMBER('Uplift Check'!$B$38)),(BG87+BH87)/2+'Uplift Check'!$B$38,"")</f>
        <v/>
      </c>
      <c r="BN87" s="32" t="str">
        <f t="shared" si="11"/>
        <v/>
      </c>
      <c r="BO87" s="32" t="str">
        <f t="shared" si="15"/>
        <v/>
      </c>
      <c r="BP87" s="32" t="str">
        <f t="shared" si="12"/>
        <v/>
      </c>
      <c r="BQ87" s="32" t="str">
        <f t="shared" si="13"/>
        <v/>
      </c>
      <c r="BR87" s="32" t="str">
        <f t="shared" si="14"/>
        <v/>
      </c>
    </row>
    <row r="88" spans="1:70" ht="22.05" customHeight="1">
      <c r="A88" s="12"/>
      <c r="B88" s="12"/>
      <c r="C88" s="12"/>
      <c r="D88" s="12"/>
      <c r="E88" s="12"/>
      <c r="F88" s="12"/>
      <c r="G88" s="12"/>
      <c r="H88" s="109" t="str">
        <f>IF(AND($Z$11,COUNT($BE$24:$BE$123)&gt;64),INDEX($BD$24:$BD$123,(COUNT($BE$24:$BE$123)-64)),"")</f>
        <v/>
      </c>
      <c r="I88" s="110" t="str">
        <f>IF(AND($Z$11,COUNT($BE$24:$BE$123)&gt;64),INDEX($BH$24:$BH$123,(COUNT($BE$24:$BE$123)-64))+'Uplift Check'!$B$25,"")</f>
        <v/>
      </c>
      <c r="J88" s="110" t="str">
        <f>IF(AND($Z$11,COUNT($BE$24:$BE$123)&gt;64),INDEX($BF$24:$BF$123,(COUNT($BE$24:$BE$123)-64)),"")</f>
        <v/>
      </c>
      <c r="K88" s="110" t="str">
        <f>IF(AND($Z$11,COUNT($BE$24:$BE$123)&gt;64),$B$8,"")</f>
        <v/>
      </c>
      <c r="L88" s="110" t="str">
        <f>IF(AND($Z$11,COUNT($BE$24:$BE$123)&gt;64),INDEX($BI$24:$BI$123,(COUNT($BE$24:$BE$123)-64)),"")</f>
        <v/>
      </c>
      <c r="M88" s="110" t="str">
        <f>IF(AND($Z$11,COUNT($BE$24:$BE$123)&gt;64),INDEX($BJ$24:$BJ$123,(COUNT($BE$24:$BE$123)-64)),"")</f>
        <v/>
      </c>
      <c r="N88" s="110" t="str">
        <f>IF(AND($Z$11,COUNT($BE$24:$BE$123)&gt;64),$B$27,"")</f>
        <v/>
      </c>
      <c r="O88" s="110" t="str">
        <f>IF(AND($Z$11,COUNT($BE$24:$BE$123)&gt;64),$B$26,"")</f>
        <v/>
      </c>
      <c r="P88" s="110" t="str">
        <f>IF(AND($Z$11,COUNT($BE$24:$BE$123)&gt;64),INDEX($BJ$24:$BJ$123,(COUNT($BE$24:$BE$123)-64))*$B$27*$B$26,"")</f>
        <v/>
      </c>
      <c r="Q88" s="110" t="str">
        <f>IF(AND($Z$11,COUNT($BE$24:$BE$123)&gt;64),$B$35,"")</f>
        <v/>
      </c>
      <c r="R88" s="110" t="str">
        <f>IF(AND($Z$11,COUNT($BE$24:$BE$123)&gt;64),INDEX($BL$24:$BL$123,(COUNT($BE$24:$BE$123)-64)),"")</f>
        <v/>
      </c>
      <c r="S88" s="110" t="str">
        <f>IF(AND($Z$11,COUNT($BE$24:$BE$123)&gt;64),INDEX($BM$24:$BM$123,(COUNT($BE$24:$BE$123)-64)),"")</f>
        <v/>
      </c>
      <c r="T88" s="110" t="str">
        <f>IF(AND($Z$11,COUNT($BE$24:$BE$123)&gt;64),INDEX($BN$24:$BN$123,(COUNT($BE$24:$BE$123)-64)),"")</f>
        <v/>
      </c>
      <c r="W88" s="12"/>
      <c r="X88" s="12"/>
      <c r="Y88" s="12"/>
      <c r="Z88" s="12"/>
      <c r="AA88" s="12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D88" s="12">
        <f>65</f>
        <v>65</v>
      </c>
      <c r="BE88" s="32"/>
      <c r="BF88" s="32"/>
      <c r="BG88" s="32" t="str">
        <f>IF(BO88="OK",SUM($BE$24:BE88)-BE88,"")</f>
        <v/>
      </c>
      <c r="BH88" s="32" t="str">
        <f t="shared" ref="BH88:BH119" si="23">IF(BO88="OK",BG88+BE88,"")</f>
        <v/>
      </c>
      <c r="BI88" s="32" t="str">
        <f>IF(AND(BO88="OK",$Z$7),MAX('Wind Load Check'!$B$29,1.1+0.055*('Wind Load Check'!$B$23/'Wind Load Check'!$B$8)/EXP(ABS(LN((0.6*BF88/'Wind Load Check'!$B$8)*(1-0.011*'Wind Load Check'!$B$23/'Wind Load Check'!$B$8)))^(1.7-0.0013*('Wind Load Check'!$B$23/BF88)^2))),"")</f>
        <v/>
      </c>
      <c r="BJ88" s="32" t="str">
        <f t="shared" ref="BJ88:BJ123" si="24">IF(BO88="OK",BQ88/BE88,"")</f>
        <v/>
      </c>
      <c r="BK88" s="32" t="str">
        <f>IF(AND(BO88="OK",$Z$7),BJ88*'Wind Load Check'!$B$26*'Wind Load Check'!$B$27*BI88*'Wind Load Check'!$B$35,"")</f>
        <v/>
      </c>
      <c r="BL88" s="32" t="str">
        <f t="shared" ref="BL88:BL119" si="25">IF(AND(BO88="OK",$Z$7),BK88*BF88*BE88,"")</f>
        <v/>
      </c>
      <c r="BM88" s="32" t="str">
        <f>IF(AND(BO88="OK",ISNUMBER('Uplift Check'!$B$38)),(BG88+BH88)/2+'Uplift Check'!$B$38,"")</f>
        <v/>
      </c>
      <c r="BN88" s="32" t="str">
        <f t="shared" ref="BN88:BN119" si="26">IF(COUNT(BL88:BM88)=2,BL88*BM88,"")</f>
        <v/>
      </c>
      <c r="BO88" s="32" t="str">
        <f t="shared" si="15"/>
        <v/>
      </c>
      <c r="BP88" s="32" t="str">
        <f t="shared" ref="BP88:BP123" si="27">IF(ISNUMBER(BL88),BL88/BE88,"")</f>
        <v/>
      </c>
      <c r="BQ88" s="32" t="str">
        <f t="shared" ref="BQ88:BQ123" si="28">IF(AND(BO88="OK",ISNUMBER($B$23)),1.59*MAX(0,MIN((BH88+$B$23-$B$9),2.5)-(BG88+$B$23-$B$9))+3.7/500^0.16*(MAX((BH88+$B$23-$B$9),2.5)^1.16-MAX((BG88+$B$23-$B$9),2.5)^1.16)/1.16,"")</f>
        <v/>
      </c>
      <c r="BR88" s="32" t="str">
        <f t="shared" ref="BR88:BR119" si="29">IF(AND(BO88="OK",ISNUMBER($B$23)),1.59*(MIN((BH88+$B$23-$B$9),2.5)^2-MIN((BG88+$B$23-$B$9),2.5)^2)/2+3.7/500^0.16*(MAX((BH88+$B$23-$B$9),2.5)^2.16-MAX((BG88+$B$23-$B$9),2.5)^2.16)/2.16-($B$23-$B$9)*BQ88,"")</f>
        <v/>
      </c>
    </row>
    <row r="89" spans="1:70" ht="22.05" customHeight="1">
      <c r="A89" s="12"/>
      <c r="B89" s="12"/>
      <c r="C89" s="12"/>
      <c r="D89" s="12"/>
      <c r="E89" s="12"/>
      <c r="F89" s="12"/>
      <c r="G89" s="12"/>
      <c r="H89" s="109" t="str">
        <f>IF(AND($Z$11,COUNT($BE$24:$BE$123)&gt;65),INDEX($BD$24:$BD$123,(COUNT($BE$24:$BE$123)-65)),"")</f>
        <v/>
      </c>
      <c r="I89" s="110" t="str">
        <f>IF(AND($Z$11,COUNT($BE$24:$BE$123)&gt;65),INDEX($BH$24:$BH$123,(COUNT($BE$24:$BE$123)-65))+'Uplift Check'!$B$25,"")</f>
        <v/>
      </c>
      <c r="J89" s="110" t="str">
        <f>IF(AND($Z$11,COUNT($BE$24:$BE$123)&gt;65),INDEX($BF$24:$BF$123,(COUNT($BE$24:$BE$123)-65)),"")</f>
        <v/>
      </c>
      <c r="K89" s="110" t="str">
        <f>IF(AND($Z$11,COUNT($BE$24:$BE$123)&gt;65),$B$8,"")</f>
        <v/>
      </c>
      <c r="L89" s="110" t="str">
        <f>IF(AND($Z$11,COUNT($BE$24:$BE$123)&gt;65),INDEX($BI$24:$BI$123,(COUNT($BE$24:$BE$123)-65)),"")</f>
        <v/>
      </c>
      <c r="M89" s="110" t="str">
        <f>IF(AND($Z$11,COUNT($BE$24:$BE$123)&gt;65),INDEX($BJ$24:$BJ$123,(COUNT($BE$24:$BE$123)-65)),"")</f>
        <v/>
      </c>
      <c r="N89" s="110" t="str">
        <f>IF(AND($Z$11,COUNT($BE$24:$BE$123)&gt;65),$B$27,"")</f>
        <v/>
      </c>
      <c r="O89" s="110" t="str">
        <f>IF(AND($Z$11,COUNT($BE$24:$BE$123)&gt;65),$B$26,"")</f>
        <v/>
      </c>
      <c r="P89" s="110" t="str">
        <f>IF(AND($Z$11,COUNT($BE$24:$BE$123)&gt;65),INDEX($BJ$24:$BJ$123,(COUNT($BE$24:$BE$123)-65))*$B$27*$B$26,"")</f>
        <v/>
      </c>
      <c r="Q89" s="110" t="str">
        <f>IF(AND($Z$11,COUNT($BE$24:$BE$123)&gt;65),$B$35,"")</f>
        <v/>
      </c>
      <c r="R89" s="110" t="str">
        <f>IF(AND($Z$11,COUNT($BE$24:$BE$123)&gt;65),INDEX($BL$24:$BL$123,(COUNT($BE$24:$BE$123)-65)),"")</f>
        <v/>
      </c>
      <c r="S89" s="110" t="str">
        <f>IF(AND($Z$11,COUNT($BE$24:$BE$123)&gt;65),INDEX($BM$24:$BM$123,(COUNT($BE$24:$BE$123)-65)),"")</f>
        <v/>
      </c>
      <c r="T89" s="110" t="str">
        <f>IF(AND($Z$11,COUNT($BE$24:$BE$123)&gt;65),INDEX($BN$24:$BN$123,(COUNT($BE$24:$BE$123)-65)),"")</f>
        <v/>
      </c>
      <c r="W89" s="12"/>
      <c r="X89" s="12"/>
      <c r="Y89" s="12"/>
      <c r="Z89" s="12"/>
      <c r="AA89" s="12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D89" s="12">
        <f>66</f>
        <v>66</v>
      </c>
      <c r="BE89" s="32"/>
      <c r="BF89" s="32"/>
      <c r="BG89" s="32" t="str">
        <f>IF(BO89="OK",SUM($BE$24:BE89)-BE89,"")</f>
        <v/>
      </c>
      <c r="BH89" s="32" t="str">
        <f t="shared" si="23"/>
        <v/>
      </c>
      <c r="BI89" s="32" t="str">
        <f>IF(AND(BO89="OK",$Z$7),MAX('Wind Load Check'!$B$29,1.1+0.055*('Wind Load Check'!$B$23/'Wind Load Check'!$B$8)/EXP(ABS(LN((0.6*BF89/'Wind Load Check'!$B$8)*(1-0.011*'Wind Load Check'!$B$23/'Wind Load Check'!$B$8)))^(1.7-0.0013*('Wind Load Check'!$B$23/BF89)^2))),"")</f>
        <v/>
      </c>
      <c r="BJ89" s="32" t="str">
        <f t="shared" si="24"/>
        <v/>
      </c>
      <c r="BK89" s="32" t="str">
        <f>IF(AND(BO89="OK",$Z$7),BJ89*'Wind Load Check'!$B$26*'Wind Load Check'!$B$27*BI89*'Wind Load Check'!$B$35,"")</f>
        <v/>
      </c>
      <c r="BL89" s="32" t="str">
        <f t="shared" si="25"/>
        <v/>
      </c>
      <c r="BM89" s="32" t="str">
        <f>IF(AND(BO89="OK",ISNUMBER('Uplift Check'!$B$38)),(BG89+BH89)/2+'Uplift Check'!$B$38,"")</f>
        <v/>
      </c>
      <c r="BN89" s="32" t="str">
        <f t="shared" si="26"/>
        <v/>
      </c>
      <c r="BO89" s="32" t="str">
        <f t="shared" ref="BO89:BO123" si="30">IF(COUNTA(BE89:BF89)=0,"",IF(AND(COUNT(BE89:BF89)=2,MIN(BE89:BF89)&gt;0,BO88="OK"),"OK","INVALID"))</f>
        <v/>
      </c>
      <c r="BP89" s="32" t="str">
        <f t="shared" si="27"/>
        <v/>
      </c>
      <c r="BQ89" s="32" t="str">
        <f t="shared" si="28"/>
        <v/>
      </c>
      <c r="BR89" s="32" t="str">
        <f t="shared" si="29"/>
        <v/>
      </c>
    </row>
    <row r="90" spans="1:70" ht="22.05" customHeight="1">
      <c r="A90" s="12"/>
      <c r="B90" s="12"/>
      <c r="C90" s="12"/>
      <c r="D90" s="12"/>
      <c r="E90" s="12"/>
      <c r="F90" s="12"/>
      <c r="G90" s="12"/>
      <c r="H90" s="109" t="str">
        <f>IF(AND($Z$11,COUNT($BE$24:$BE$123)&gt;66),INDEX($BD$24:$BD$123,(COUNT($BE$24:$BE$123)-66)),"")</f>
        <v/>
      </c>
      <c r="I90" s="110" t="str">
        <f>IF(AND($Z$11,COUNT($BE$24:$BE$123)&gt;66),INDEX($BH$24:$BH$123,(COUNT($BE$24:$BE$123)-66))+'Uplift Check'!$B$25,"")</f>
        <v/>
      </c>
      <c r="J90" s="110" t="str">
        <f>IF(AND($Z$11,COUNT($BE$24:$BE$123)&gt;66),INDEX($BF$24:$BF$123,(COUNT($BE$24:$BE$123)-66)),"")</f>
        <v/>
      </c>
      <c r="K90" s="110" t="str">
        <f>IF(AND($Z$11,COUNT($BE$24:$BE$123)&gt;66),$B$8,"")</f>
        <v/>
      </c>
      <c r="L90" s="110" t="str">
        <f>IF(AND($Z$11,COUNT($BE$24:$BE$123)&gt;66),INDEX($BI$24:$BI$123,(COUNT($BE$24:$BE$123)-66)),"")</f>
        <v/>
      </c>
      <c r="M90" s="110" t="str">
        <f>IF(AND($Z$11,COUNT($BE$24:$BE$123)&gt;66),INDEX($BJ$24:$BJ$123,(COUNT($BE$24:$BE$123)-66)),"")</f>
        <v/>
      </c>
      <c r="N90" s="110" t="str">
        <f>IF(AND($Z$11,COUNT($BE$24:$BE$123)&gt;66),$B$27,"")</f>
        <v/>
      </c>
      <c r="O90" s="110" t="str">
        <f>IF(AND($Z$11,COUNT($BE$24:$BE$123)&gt;66),$B$26,"")</f>
        <v/>
      </c>
      <c r="P90" s="110" t="str">
        <f>IF(AND($Z$11,COUNT($BE$24:$BE$123)&gt;66),INDEX($BJ$24:$BJ$123,(COUNT($BE$24:$BE$123)-66))*$B$27*$B$26,"")</f>
        <v/>
      </c>
      <c r="Q90" s="110" t="str">
        <f>IF(AND($Z$11,COUNT($BE$24:$BE$123)&gt;66),$B$35,"")</f>
        <v/>
      </c>
      <c r="R90" s="110" t="str">
        <f>IF(AND($Z$11,COUNT($BE$24:$BE$123)&gt;66),INDEX($BL$24:$BL$123,(COUNT($BE$24:$BE$123)-66)),"")</f>
        <v/>
      </c>
      <c r="S90" s="110" t="str">
        <f>IF(AND($Z$11,COUNT($BE$24:$BE$123)&gt;66),INDEX($BM$24:$BM$123,(COUNT($BE$24:$BE$123)-66)),"")</f>
        <v/>
      </c>
      <c r="T90" s="110" t="str">
        <f>IF(AND($Z$11,COUNT($BE$24:$BE$123)&gt;66),INDEX($BN$24:$BN$123,(COUNT($BE$24:$BE$123)-66)),"")</f>
        <v/>
      </c>
      <c r="W90" s="12"/>
      <c r="X90" s="12"/>
      <c r="Y90" s="12"/>
      <c r="Z90" s="12"/>
      <c r="AA90" s="12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D90" s="12">
        <f>67</f>
        <v>67</v>
      </c>
      <c r="BE90" s="32"/>
      <c r="BF90" s="32"/>
      <c r="BG90" s="32" t="str">
        <f>IF(BO90="OK",SUM($BE$24:BE90)-BE90,"")</f>
        <v/>
      </c>
      <c r="BH90" s="32" t="str">
        <f t="shared" si="23"/>
        <v/>
      </c>
      <c r="BI90" s="32" t="str">
        <f>IF(AND(BO90="OK",$Z$7),MAX('Wind Load Check'!$B$29,1.1+0.055*('Wind Load Check'!$B$23/'Wind Load Check'!$B$8)/EXP(ABS(LN((0.6*BF90/'Wind Load Check'!$B$8)*(1-0.011*'Wind Load Check'!$B$23/'Wind Load Check'!$B$8)))^(1.7-0.0013*('Wind Load Check'!$B$23/BF90)^2))),"")</f>
        <v/>
      </c>
      <c r="BJ90" s="32" t="str">
        <f t="shared" si="24"/>
        <v/>
      </c>
      <c r="BK90" s="32" t="str">
        <f>IF(AND(BO90="OK",$Z$7),BJ90*'Wind Load Check'!$B$26*'Wind Load Check'!$B$27*BI90*'Wind Load Check'!$B$35,"")</f>
        <v/>
      </c>
      <c r="BL90" s="32" t="str">
        <f t="shared" si="25"/>
        <v/>
      </c>
      <c r="BM90" s="32" t="str">
        <f>IF(AND(BO90="OK",ISNUMBER('Uplift Check'!$B$38)),(BG90+BH90)/2+'Uplift Check'!$B$38,"")</f>
        <v/>
      </c>
      <c r="BN90" s="32" t="str">
        <f t="shared" si="26"/>
        <v/>
      </c>
      <c r="BO90" s="32" t="str">
        <f t="shared" si="30"/>
        <v/>
      </c>
      <c r="BP90" s="32" t="str">
        <f t="shared" si="27"/>
        <v/>
      </c>
      <c r="BQ90" s="32" t="str">
        <f t="shared" si="28"/>
        <v/>
      </c>
      <c r="BR90" s="32" t="str">
        <f t="shared" si="29"/>
        <v/>
      </c>
    </row>
    <row r="91" spans="1:70" ht="22.05" customHeight="1">
      <c r="A91" s="12"/>
      <c r="B91" s="12"/>
      <c r="C91" s="12"/>
      <c r="D91" s="12"/>
      <c r="E91" s="12"/>
      <c r="F91" s="12"/>
      <c r="G91" s="12"/>
      <c r="H91" s="109" t="str">
        <f>IF(AND($Z$11,COUNT($BE$24:$BE$123)&gt;67),INDEX($BD$24:$BD$123,(COUNT($BE$24:$BE$123)-67)),"")</f>
        <v/>
      </c>
      <c r="I91" s="110" t="str">
        <f>IF(AND($Z$11,COUNT($BE$24:$BE$123)&gt;67),INDEX($BH$24:$BH$123,(COUNT($BE$24:$BE$123)-67))+'Uplift Check'!$B$25,"")</f>
        <v/>
      </c>
      <c r="J91" s="110" t="str">
        <f>IF(AND($Z$11,COUNT($BE$24:$BE$123)&gt;67),INDEX($BF$24:$BF$123,(COUNT($BE$24:$BE$123)-67)),"")</f>
        <v/>
      </c>
      <c r="K91" s="110" t="str">
        <f>IF(AND($Z$11,COUNT($BE$24:$BE$123)&gt;67),$B$8,"")</f>
        <v/>
      </c>
      <c r="L91" s="110" t="str">
        <f>IF(AND($Z$11,COUNT($BE$24:$BE$123)&gt;67),INDEX($BI$24:$BI$123,(COUNT($BE$24:$BE$123)-67)),"")</f>
        <v/>
      </c>
      <c r="M91" s="110" t="str">
        <f>IF(AND($Z$11,COUNT($BE$24:$BE$123)&gt;67),INDEX($BJ$24:$BJ$123,(COUNT($BE$24:$BE$123)-67)),"")</f>
        <v/>
      </c>
      <c r="N91" s="110" t="str">
        <f>IF(AND($Z$11,COUNT($BE$24:$BE$123)&gt;67),$B$27,"")</f>
        <v/>
      </c>
      <c r="O91" s="110" t="str">
        <f>IF(AND($Z$11,COUNT($BE$24:$BE$123)&gt;67),$B$26,"")</f>
        <v/>
      </c>
      <c r="P91" s="110" t="str">
        <f>IF(AND($Z$11,COUNT($BE$24:$BE$123)&gt;67),INDEX($BJ$24:$BJ$123,(COUNT($BE$24:$BE$123)-67))*$B$27*$B$26,"")</f>
        <v/>
      </c>
      <c r="Q91" s="110" t="str">
        <f>IF(AND($Z$11,COUNT($BE$24:$BE$123)&gt;67),$B$35,"")</f>
        <v/>
      </c>
      <c r="R91" s="110" t="str">
        <f>IF(AND($Z$11,COUNT($BE$24:$BE$123)&gt;67),INDEX($BL$24:$BL$123,(COUNT($BE$24:$BE$123)-67)),"")</f>
        <v/>
      </c>
      <c r="S91" s="110" t="str">
        <f>IF(AND($Z$11,COUNT($BE$24:$BE$123)&gt;67),INDEX($BM$24:$BM$123,(COUNT($BE$24:$BE$123)-67)),"")</f>
        <v/>
      </c>
      <c r="T91" s="110" t="str">
        <f>IF(AND($Z$11,COUNT($BE$24:$BE$123)&gt;67),INDEX($BN$24:$BN$123,(COUNT($BE$24:$BE$123)-67)),"")</f>
        <v/>
      </c>
      <c r="W91" s="12"/>
      <c r="X91" s="12"/>
      <c r="Y91" s="12"/>
      <c r="Z91" s="12"/>
      <c r="AA91" s="12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D91" s="12">
        <f>68</f>
        <v>68</v>
      </c>
      <c r="BE91" s="32"/>
      <c r="BF91" s="32"/>
      <c r="BG91" s="32" t="str">
        <f>IF(BO91="OK",SUM($BE$24:BE91)-BE91,"")</f>
        <v/>
      </c>
      <c r="BH91" s="32" t="str">
        <f t="shared" si="23"/>
        <v/>
      </c>
      <c r="BI91" s="32" t="str">
        <f>IF(AND(BO91="OK",$Z$7),MAX('Wind Load Check'!$B$29,1.1+0.055*('Wind Load Check'!$B$23/'Wind Load Check'!$B$8)/EXP(ABS(LN((0.6*BF91/'Wind Load Check'!$B$8)*(1-0.011*'Wind Load Check'!$B$23/'Wind Load Check'!$B$8)))^(1.7-0.0013*('Wind Load Check'!$B$23/BF91)^2))),"")</f>
        <v/>
      </c>
      <c r="BJ91" s="32" t="str">
        <f t="shared" si="24"/>
        <v/>
      </c>
      <c r="BK91" s="32" t="str">
        <f>IF(AND(BO91="OK",$Z$7),BJ91*'Wind Load Check'!$B$26*'Wind Load Check'!$B$27*BI91*'Wind Load Check'!$B$35,"")</f>
        <v/>
      </c>
      <c r="BL91" s="32" t="str">
        <f t="shared" si="25"/>
        <v/>
      </c>
      <c r="BM91" s="32" t="str">
        <f>IF(AND(BO91="OK",ISNUMBER('Uplift Check'!$B$38)),(BG91+BH91)/2+'Uplift Check'!$B$38,"")</f>
        <v/>
      </c>
      <c r="BN91" s="32" t="str">
        <f t="shared" si="26"/>
        <v/>
      </c>
      <c r="BO91" s="32" t="str">
        <f t="shared" si="30"/>
        <v/>
      </c>
      <c r="BP91" s="32" t="str">
        <f t="shared" si="27"/>
        <v/>
      </c>
      <c r="BQ91" s="32" t="str">
        <f t="shared" si="28"/>
        <v/>
      </c>
      <c r="BR91" s="32" t="str">
        <f t="shared" si="29"/>
        <v/>
      </c>
    </row>
    <row r="92" spans="1:70" ht="22.05" customHeight="1">
      <c r="A92" s="12"/>
      <c r="B92" s="12"/>
      <c r="C92" s="12"/>
      <c r="D92" s="12"/>
      <c r="E92" s="12"/>
      <c r="F92" s="12"/>
      <c r="G92" s="12"/>
      <c r="H92" s="109" t="str">
        <f>IF(AND($Z$11,COUNT($BE$24:$BE$123)&gt;68),INDEX($BD$24:$BD$123,(COUNT($BE$24:$BE$123)-68)),"")</f>
        <v/>
      </c>
      <c r="I92" s="110" t="str">
        <f>IF(AND($Z$11,COUNT($BE$24:$BE$123)&gt;68),INDEX($BH$24:$BH$123,(COUNT($BE$24:$BE$123)-68))+'Uplift Check'!$B$25,"")</f>
        <v/>
      </c>
      <c r="J92" s="110" t="str">
        <f>IF(AND($Z$11,COUNT($BE$24:$BE$123)&gt;68),INDEX($BF$24:$BF$123,(COUNT($BE$24:$BE$123)-68)),"")</f>
        <v/>
      </c>
      <c r="K92" s="110" t="str">
        <f>IF(AND($Z$11,COUNT($BE$24:$BE$123)&gt;68),$B$8,"")</f>
        <v/>
      </c>
      <c r="L92" s="110" t="str">
        <f>IF(AND($Z$11,COUNT($BE$24:$BE$123)&gt;68),INDEX($BI$24:$BI$123,(COUNT($BE$24:$BE$123)-68)),"")</f>
        <v/>
      </c>
      <c r="M92" s="110" t="str">
        <f>IF(AND($Z$11,COUNT($BE$24:$BE$123)&gt;68),INDEX($BJ$24:$BJ$123,(COUNT($BE$24:$BE$123)-68)),"")</f>
        <v/>
      </c>
      <c r="N92" s="110" t="str">
        <f>IF(AND($Z$11,COUNT($BE$24:$BE$123)&gt;68),$B$27,"")</f>
        <v/>
      </c>
      <c r="O92" s="110" t="str">
        <f>IF(AND($Z$11,COUNT($BE$24:$BE$123)&gt;68),$B$26,"")</f>
        <v/>
      </c>
      <c r="P92" s="110" t="str">
        <f>IF(AND($Z$11,COUNT($BE$24:$BE$123)&gt;68),INDEX($BJ$24:$BJ$123,(COUNT($BE$24:$BE$123)-68))*$B$27*$B$26,"")</f>
        <v/>
      </c>
      <c r="Q92" s="110" t="str">
        <f>IF(AND($Z$11,COUNT($BE$24:$BE$123)&gt;68),$B$35,"")</f>
        <v/>
      </c>
      <c r="R92" s="110" t="str">
        <f>IF(AND($Z$11,COUNT($BE$24:$BE$123)&gt;68),INDEX($BL$24:$BL$123,(COUNT($BE$24:$BE$123)-68)),"")</f>
        <v/>
      </c>
      <c r="S92" s="110" t="str">
        <f>IF(AND($Z$11,COUNT($BE$24:$BE$123)&gt;68),INDEX($BM$24:$BM$123,(COUNT($BE$24:$BE$123)-68)),"")</f>
        <v/>
      </c>
      <c r="T92" s="110" t="str">
        <f>IF(AND($Z$11,COUNT($BE$24:$BE$123)&gt;68),INDEX($BN$24:$BN$123,(COUNT($BE$24:$BE$123)-68)),"")</f>
        <v/>
      </c>
      <c r="W92" s="12"/>
      <c r="X92" s="12"/>
      <c r="Y92" s="12"/>
      <c r="Z92" s="12"/>
      <c r="AA92" s="12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D92" s="12">
        <f>69</f>
        <v>69</v>
      </c>
      <c r="BE92" s="32"/>
      <c r="BF92" s="32"/>
      <c r="BG92" s="32" t="str">
        <f>IF(BO92="OK",SUM($BE$24:BE92)-BE92,"")</f>
        <v/>
      </c>
      <c r="BH92" s="32" t="str">
        <f t="shared" si="23"/>
        <v/>
      </c>
      <c r="BI92" s="32" t="str">
        <f>IF(AND(BO92="OK",$Z$7),MAX('Wind Load Check'!$B$29,1.1+0.055*('Wind Load Check'!$B$23/'Wind Load Check'!$B$8)/EXP(ABS(LN((0.6*BF92/'Wind Load Check'!$B$8)*(1-0.011*'Wind Load Check'!$B$23/'Wind Load Check'!$B$8)))^(1.7-0.0013*('Wind Load Check'!$B$23/BF92)^2))),"")</f>
        <v/>
      </c>
      <c r="BJ92" s="32" t="str">
        <f t="shared" si="24"/>
        <v/>
      </c>
      <c r="BK92" s="32" t="str">
        <f>IF(AND(BO92="OK",$Z$7),BJ92*'Wind Load Check'!$B$26*'Wind Load Check'!$B$27*BI92*'Wind Load Check'!$B$35,"")</f>
        <v/>
      </c>
      <c r="BL92" s="32" t="str">
        <f t="shared" si="25"/>
        <v/>
      </c>
      <c r="BM92" s="32" t="str">
        <f>IF(AND(BO92="OK",ISNUMBER('Uplift Check'!$B$38)),(BG92+BH92)/2+'Uplift Check'!$B$38,"")</f>
        <v/>
      </c>
      <c r="BN92" s="32" t="str">
        <f t="shared" si="26"/>
        <v/>
      </c>
      <c r="BO92" s="32" t="str">
        <f t="shared" si="30"/>
        <v/>
      </c>
      <c r="BP92" s="32" t="str">
        <f t="shared" si="27"/>
        <v/>
      </c>
      <c r="BQ92" s="32" t="str">
        <f t="shared" si="28"/>
        <v/>
      </c>
      <c r="BR92" s="32" t="str">
        <f t="shared" si="29"/>
        <v/>
      </c>
    </row>
    <row r="93" spans="1:70" ht="22.05" customHeight="1">
      <c r="A93" s="12"/>
      <c r="B93" s="12"/>
      <c r="C93" s="12"/>
      <c r="D93" s="12"/>
      <c r="E93" s="12"/>
      <c r="F93" s="12"/>
      <c r="G93" s="12"/>
      <c r="H93" s="109" t="str">
        <f>IF(AND($Z$11,COUNT($BE$24:$BE$123)&gt;69),INDEX($BD$24:$BD$123,(COUNT($BE$24:$BE$123)-69)),"")</f>
        <v/>
      </c>
      <c r="I93" s="110" t="str">
        <f>IF(AND($Z$11,COUNT($BE$24:$BE$123)&gt;69),INDEX($BH$24:$BH$123,(COUNT($BE$24:$BE$123)-69))+'Uplift Check'!$B$25,"")</f>
        <v/>
      </c>
      <c r="J93" s="110" t="str">
        <f>IF(AND($Z$11,COUNT($BE$24:$BE$123)&gt;69),INDEX($BF$24:$BF$123,(COUNT($BE$24:$BE$123)-69)),"")</f>
        <v/>
      </c>
      <c r="K93" s="110" t="str">
        <f>IF(AND($Z$11,COUNT($BE$24:$BE$123)&gt;69),$B$8,"")</f>
        <v/>
      </c>
      <c r="L93" s="110" t="str">
        <f>IF(AND($Z$11,COUNT($BE$24:$BE$123)&gt;69),INDEX($BI$24:$BI$123,(COUNT($BE$24:$BE$123)-69)),"")</f>
        <v/>
      </c>
      <c r="M93" s="110" t="str">
        <f>IF(AND($Z$11,COUNT($BE$24:$BE$123)&gt;69),INDEX($BJ$24:$BJ$123,(COUNT($BE$24:$BE$123)-69)),"")</f>
        <v/>
      </c>
      <c r="N93" s="110" t="str">
        <f>IF(AND($Z$11,COUNT($BE$24:$BE$123)&gt;69),$B$27,"")</f>
        <v/>
      </c>
      <c r="O93" s="110" t="str">
        <f>IF(AND($Z$11,COUNT($BE$24:$BE$123)&gt;69),$B$26,"")</f>
        <v/>
      </c>
      <c r="P93" s="110" t="str">
        <f>IF(AND($Z$11,COUNT($BE$24:$BE$123)&gt;69),INDEX($BJ$24:$BJ$123,(COUNT($BE$24:$BE$123)-69))*$B$27*$B$26,"")</f>
        <v/>
      </c>
      <c r="Q93" s="110" t="str">
        <f>IF(AND($Z$11,COUNT($BE$24:$BE$123)&gt;69),$B$35,"")</f>
        <v/>
      </c>
      <c r="R93" s="110" t="str">
        <f>IF(AND($Z$11,COUNT($BE$24:$BE$123)&gt;69),INDEX($BL$24:$BL$123,(COUNT($BE$24:$BE$123)-69)),"")</f>
        <v/>
      </c>
      <c r="S93" s="110" t="str">
        <f>IF(AND($Z$11,COUNT($BE$24:$BE$123)&gt;69),INDEX($BM$24:$BM$123,(COUNT($BE$24:$BE$123)-69)),"")</f>
        <v/>
      </c>
      <c r="T93" s="110" t="str">
        <f>IF(AND($Z$11,COUNT($BE$24:$BE$123)&gt;69),INDEX($BN$24:$BN$123,(COUNT($BE$24:$BE$123)-69)),"")</f>
        <v/>
      </c>
      <c r="W93" s="12"/>
      <c r="X93" s="12"/>
      <c r="Y93" s="12"/>
      <c r="Z93" s="12"/>
      <c r="AA93" s="12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D93" s="12">
        <f>70</f>
        <v>70</v>
      </c>
      <c r="BE93" s="32"/>
      <c r="BF93" s="32"/>
      <c r="BG93" s="32" t="str">
        <f>IF(BO93="OK",SUM($BE$24:BE93)-BE93,"")</f>
        <v/>
      </c>
      <c r="BH93" s="32" t="str">
        <f t="shared" si="23"/>
        <v/>
      </c>
      <c r="BI93" s="32" t="str">
        <f>IF(AND(BO93="OK",$Z$7),MAX('Wind Load Check'!$B$29,1.1+0.055*('Wind Load Check'!$B$23/'Wind Load Check'!$B$8)/EXP(ABS(LN((0.6*BF93/'Wind Load Check'!$B$8)*(1-0.011*'Wind Load Check'!$B$23/'Wind Load Check'!$B$8)))^(1.7-0.0013*('Wind Load Check'!$B$23/BF93)^2))),"")</f>
        <v/>
      </c>
      <c r="BJ93" s="32" t="str">
        <f t="shared" si="24"/>
        <v/>
      </c>
      <c r="BK93" s="32" t="str">
        <f>IF(AND(BO93="OK",$Z$7),BJ93*'Wind Load Check'!$B$26*'Wind Load Check'!$B$27*BI93*'Wind Load Check'!$B$35,"")</f>
        <v/>
      </c>
      <c r="BL93" s="32" t="str">
        <f t="shared" si="25"/>
        <v/>
      </c>
      <c r="BM93" s="32" t="str">
        <f>IF(AND(BO93="OK",ISNUMBER('Uplift Check'!$B$38)),(BG93+BH93)/2+'Uplift Check'!$B$38,"")</f>
        <v/>
      </c>
      <c r="BN93" s="32" t="str">
        <f t="shared" si="26"/>
        <v/>
      </c>
      <c r="BO93" s="32" t="str">
        <f t="shared" si="30"/>
        <v/>
      </c>
      <c r="BP93" s="32" t="str">
        <f t="shared" si="27"/>
        <v/>
      </c>
      <c r="BQ93" s="32" t="str">
        <f t="shared" si="28"/>
        <v/>
      </c>
      <c r="BR93" s="32" t="str">
        <f t="shared" si="29"/>
        <v/>
      </c>
    </row>
    <row r="94" spans="1:70" ht="22.05" customHeight="1">
      <c r="A94" s="12"/>
      <c r="B94" s="12"/>
      <c r="C94" s="12"/>
      <c r="D94" s="12"/>
      <c r="E94" s="12"/>
      <c r="F94" s="12"/>
      <c r="G94" s="12"/>
      <c r="H94" s="109" t="str">
        <f>IF(AND($Z$11,COUNT($BE$24:$BE$123)&gt;70),INDEX($BD$24:$BD$123,(COUNT($BE$24:$BE$123)-70)),"")</f>
        <v/>
      </c>
      <c r="I94" s="110" t="str">
        <f>IF(AND($Z$11,COUNT($BE$24:$BE$123)&gt;70),INDEX($BH$24:$BH$123,(COUNT($BE$24:$BE$123)-70))+'Uplift Check'!$B$25,"")</f>
        <v/>
      </c>
      <c r="J94" s="110" t="str">
        <f>IF(AND($Z$11,COUNT($BE$24:$BE$123)&gt;70),INDEX($BF$24:$BF$123,(COUNT($BE$24:$BE$123)-70)),"")</f>
        <v/>
      </c>
      <c r="K94" s="110" t="str">
        <f>IF(AND($Z$11,COUNT($BE$24:$BE$123)&gt;70),$B$8,"")</f>
        <v/>
      </c>
      <c r="L94" s="110" t="str">
        <f>IF(AND($Z$11,COUNT($BE$24:$BE$123)&gt;70),INDEX($BI$24:$BI$123,(COUNT($BE$24:$BE$123)-70)),"")</f>
        <v/>
      </c>
      <c r="M94" s="110" t="str">
        <f>IF(AND($Z$11,COUNT($BE$24:$BE$123)&gt;70),INDEX($BJ$24:$BJ$123,(COUNT($BE$24:$BE$123)-70)),"")</f>
        <v/>
      </c>
      <c r="N94" s="110" t="str">
        <f>IF(AND($Z$11,COUNT($BE$24:$BE$123)&gt;70),$B$27,"")</f>
        <v/>
      </c>
      <c r="O94" s="110" t="str">
        <f>IF(AND($Z$11,COUNT($BE$24:$BE$123)&gt;70),$B$26,"")</f>
        <v/>
      </c>
      <c r="P94" s="110" t="str">
        <f>IF(AND($Z$11,COUNT($BE$24:$BE$123)&gt;70),INDEX($BJ$24:$BJ$123,(COUNT($BE$24:$BE$123)-70))*$B$27*$B$26,"")</f>
        <v/>
      </c>
      <c r="Q94" s="110" t="str">
        <f>IF(AND($Z$11,COUNT($BE$24:$BE$123)&gt;70),$B$35,"")</f>
        <v/>
      </c>
      <c r="R94" s="110" t="str">
        <f>IF(AND($Z$11,COUNT($BE$24:$BE$123)&gt;70),INDEX($BL$24:$BL$123,(COUNT($BE$24:$BE$123)-70)),"")</f>
        <v/>
      </c>
      <c r="S94" s="110" t="str">
        <f>IF(AND($Z$11,COUNT($BE$24:$BE$123)&gt;70),INDEX($BM$24:$BM$123,(COUNT($BE$24:$BE$123)-70)),"")</f>
        <v/>
      </c>
      <c r="T94" s="110" t="str">
        <f>IF(AND($Z$11,COUNT($BE$24:$BE$123)&gt;70),INDEX($BN$24:$BN$123,(COUNT($BE$24:$BE$123)-70)),"")</f>
        <v/>
      </c>
      <c r="W94" s="12"/>
      <c r="X94" s="12"/>
      <c r="Y94" s="12"/>
      <c r="Z94" s="12"/>
      <c r="AA94" s="12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D94" s="12">
        <f>71</f>
        <v>71</v>
      </c>
      <c r="BE94" s="32"/>
      <c r="BF94" s="32"/>
      <c r="BG94" s="32" t="str">
        <f>IF(BO94="OK",SUM($BE$24:BE94)-BE94,"")</f>
        <v/>
      </c>
      <c r="BH94" s="32" t="str">
        <f t="shared" si="23"/>
        <v/>
      </c>
      <c r="BI94" s="32" t="str">
        <f>IF(AND(BO94="OK",$Z$7),MAX('Wind Load Check'!$B$29,1.1+0.055*('Wind Load Check'!$B$23/'Wind Load Check'!$B$8)/EXP(ABS(LN((0.6*BF94/'Wind Load Check'!$B$8)*(1-0.011*'Wind Load Check'!$B$23/'Wind Load Check'!$B$8)))^(1.7-0.0013*('Wind Load Check'!$B$23/BF94)^2))),"")</f>
        <v/>
      </c>
      <c r="BJ94" s="32" t="str">
        <f t="shared" si="24"/>
        <v/>
      </c>
      <c r="BK94" s="32" t="str">
        <f>IF(AND(BO94="OK",$Z$7),BJ94*'Wind Load Check'!$B$26*'Wind Load Check'!$B$27*BI94*'Wind Load Check'!$B$35,"")</f>
        <v/>
      </c>
      <c r="BL94" s="32" t="str">
        <f t="shared" si="25"/>
        <v/>
      </c>
      <c r="BM94" s="32" t="str">
        <f>IF(AND(BO94="OK",ISNUMBER('Uplift Check'!$B$38)),(BG94+BH94)/2+'Uplift Check'!$B$38,"")</f>
        <v/>
      </c>
      <c r="BN94" s="32" t="str">
        <f t="shared" si="26"/>
        <v/>
      </c>
      <c r="BO94" s="32" t="str">
        <f t="shared" si="30"/>
        <v/>
      </c>
      <c r="BP94" s="32" t="str">
        <f t="shared" si="27"/>
        <v/>
      </c>
      <c r="BQ94" s="32" t="str">
        <f t="shared" si="28"/>
        <v/>
      </c>
      <c r="BR94" s="32" t="str">
        <f t="shared" si="29"/>
        <v/>
      </c>
    </row>
    <row r="95" spans="1:70" ht="22.05" customHeight="1">
      <c r="A95" s="12"/>
      <c r="B95" s="12"/>
      <c r="C95" s="12"/>
      <c r="D95" s="12"/>
      <c r="E95" s="12"/>
      <c r="F95" s="12"/>
      <c r="G95" s="12"/>
      <c r="H95" s="109" t="str">
        <f>IF(AND($Z$11,COUNT($BE$24:$BE$123)&gt;71),INDEX($BD$24:$BD$123,(COUNT($BE$24:$BE$123)-71)),"")</f>
        <v/>
      </c>
      <c r="I95" s="110" t="str">
        <f>IF(AND($Z$11,COUNT($BE$24:$BE$123)&gt;71),INDEX($BH$24:$BH$123,(COUNT($BE$24:$BE$123)-71))+'Uplift Check'!$B$25,"")</f>
        <v/>
      </c>
      <c r="J95" s="110" t="str">
        <f>IF(AND($Z$11,COUNT($BE$24:$BE$123)&gt;71),INDEX($BF$24:$BF$123,(COUNT($BE$24:$BE$123)-71)),"")</f>
        <v/>
      </c>
      <c r="K95" s="110" t="str">
        <f>IF(AND($Z$11,COUNT($BE$24:$BE$123)&gt;71),$B$8,"")</f>
        <v/>
      </c>
      <c r="L95" s="110" t="str">
        <f>IF(AND($Z$11,COUNT($BE$24:$BE$123)&gt;71),INDEX($BI$24:$BI$123,(COUNT($BE$24:$BE$123)-71)),"")</f>
        <v/>
      </c>
      <c r="M95" s="110" t="str">
        <f>IF(AND($Z$11,COUNT($BE$24:$BE$123)&gt;71),INDEX($BJ$24:$BJ$123,(COUNT($BE$24:$BE$123)-71)),"")</f>
        <v/>
      </c>
      <c r="N95" s="110" t="str">
        <f>IF(AND($Z$11,COUNT($BE$24:$BE$123)&gt;71),$B$27,"")</f>
        <v/>
      </c>
      <c r="O95" s="110" t="str">
        <f>IF(AND($Z$11,COUNT($BE$24:$BE$123)&gt;71),$B$26,"")</f>
        <v/>
      </c>
      <c r="P95" s="110" t="str">
        <f>IF(AND($Z$11,COUNT($BE$24:$BE$123)&gt;71),INDEX($BJ$24:$BJ$123,(COUNT($BE$24:$BE$123)-71))*$B$27*$B$26,"")</f>
        <v/>
      </c>
      <c r="Q95" s="110" t="str">
        <f>IF(AND($Z$11,COUNT($BE$24:$BE$123)&gt;71),$B$35,"")</f>
        <v/>
      </c>
      <c r="R95" s="110" t="str">
        <f>IF(AND($Z$11,COUNT($BE$24:$BE$123)&gt;71),INDEX($BL$24:$BL$123,(COUNT($BE$24:$BE$123)-71)),"")</f>
        <v/>
      </c>
      <c r="S95" s="110" t="str">
        <f>IF(AND($Z$11,COUNT($BE$24:$BE$123)&gt;71),INDEX($BM$24:$BM$123,(COUNT($BE$24:$BE$123)-71)),"")</f>
        <v/>
      </c>
      <c r="T95" s="110" t="str">
        <f>IF(AND($Z$11,COUNT($BE$24:$BE$123)&gt;71),INDEX($BN$24:$BN$123,(COUNT($BE$24:$BE$123)-71)),"")</f>
        <v/>
      </c>
      <c r="W95" s="12"/>
      <c r="X95" s="12"/>
      <c r="Y95" s="12"/>
      <c r="Z95" s="12"/>
      <c r="AA95" s="12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D95" s="12">
        <f>72</f>
        <v>72</v>
      </c>
      <c r="BE95" s="32"/>
      <c r="BF95" s="32"/>
      <c r="BG95" s="32" t="str">
        <f>IF(BO95="OK",SUM($BE$24:BE95)-BE95,"")</f>
        <v/>
      </c>
      <c r="BH95" s="32" t="str">
        <f t="shared" si="23"/>
        <v/>
      </c>
      <c r="BI95" s="32" t="str">
        <f>IF(AND(BO95="OK",$Z$7),MAX('Wind Load Check'!$B$29,1.1+0.055*('Wind Load Check'!$B$23/'Wind Load Check'!$B$8)/EXP(ABS(LN((0.6*BF95/'Wind Load Check'!$B$8)*(1-0.011*'Wind Load Check'!$B$23/'Wind Load Check'!$B$8)))^(1.7-0.0013*('Wind Load Check'!$B$23/BF95)^2))),"")</f>
        <v/>
      </c>
      <c r="BJ95" s="32" t="str">
        <f t="shared" si="24"/>
        <v/>
      </c>
      <c r="BK95" s="32" t="str">
        <f>IF(AND(BO95="OK",$Z$7),BJ95*'Wind Load Check'!$B$26*'Wind Load Check'!$B$27*BI95*'Wind Load Check'!$B$35,"")</f>
        <v/>
      </c>
      <c r="BL95" s="32" t="str">
        <f t="shared" si="25"/>
        <v/>
      </c>
      <c r="BM95" s="32" t="str">
        <f>IF(AND(BO95="OK",ISNUMBER('Uplift Check'!$B$38)),(BG95+BH95)/2+'Uplift Check'!$B$38,"")</f>
        <v/>
      </c>
      <c r="BN95" s="32" t="str">
        <f t="shared" si="26"/>
        <v/>
      </c>
      <c r="BO95" s="32" t="str">
        <f t="shared" si="30"/>
        <v/>
      </c>
      <c r="BP95" s="32" t="str">
        <f t="shared" si="27"/>
        <v/>
      </c>
      <c r="BQ95" s="32" t="str">
        <f t="shared" si="28"/>
        <v/>
      </c>
      <c r="BR95" s="32" t="str">
        <f t="shared" si="29"/>
        <v/>
      </c>
    </row>
    <row r="96" spans="1:70" ht="22.05" customHeight="1">
      <c r="A96" s="12"/>
      <c r="B96" s="12"/>
      <c r="C96" s="12"/>
      <c r="D96" s="12"/>
      <c r="E96" s="12"/>
      <c r="F96" s="12"/>
      <c r="G96" s="12"/>
      <c r="H96" s="109" t="str">
        <f>IF(AND($Z$11,COUNT($BE$24:$BE$123)&gt;72),INDEX($BD$24:$BD$123,(COUNT($BE$24:$BE$123)-72)),"")</f>
        <v/>
      </c>
      <c r="I96" s="110" t="str">
        <f>IF(AND($Z$11,COUNT($BE$24:$BE$123)&gt;72),INDEX($BH$24:$BH$123,(COUNT($BE$24:$BE$123)-72))+'Uplift Check'!$B$25,"")</f>
        <v/>
      </c>
      <c r="J96" s="110" t="str">
        <f>IF(AND($Z$11,COUNT($BE$24:$BE$123)&gt;72),INDEX($BF$24:$BF$123,(COUNT($BE$24:$BE$123)-72)),"")</f>
        <v/>
      </c>
      <c r="K96" s="110" t="str">
        <f>IF(AND($Z$11,COUNT($BE$24:$BE$123)&gt;72),$B$8,"")</f>
        <v/>
      </c>
      <c r="L96" s="110" t="str">
        <f>IF(AND($Z$11,COUNT($BE$24:$BE$123)&gt;72),INDEX($BI$24:$BI$123,(COUNT($BE$24:$BE$123)-72)),"")</f>
        <v/>
      </c>
      <c r="M96" s="110" t="str">
        <f>IF(AND($Z$11,COUNT($BE$24:$BE$123)&gt;72),INDEX($BJ$24:$BJ$123,(COUNT($BE$24:$BE$123)-72)),"")</f>
        <v/>
      </c>
      <c r="N96" s="110" t="str">
        <f>IF(AND($Z$11,COUNT($BE$24:$BE$123)&gt;72),$B$27,"")</f>
        <v/>
      </c>
      <c r="O96" s="110" t="str">
        <f>IF(AND($Z$11,COUNT($BE$24:$BE$123)&gt;72),$B$26,"")</f>
        <v/>
      </c>
      <c r="P96" s="110" t="str">
        <f>IF(AND($Z$11,COUNT($BE$24:$BE$123)&gt;72),INDEX($BJ$24:$BJ$123,(COUNT($BE$24:$BE$123)-72))*$B$27*$B$26,"")</f>
        <v/>
      </c>
      <c r="Q96" s="110" t="str">
        <f>IF(AND($Z$11,COUNT($BE$24:$BE$123)&gt;72),$B$35,"")</f>
        <v/>
      </c>
      <c r="R96" s="110" t="str">
        <f>IF(AND($Z$11,COUNT($BE$24:$BE$123)&gt;72),INDEX($BL$24:$BL$123,(COUNT($BE$24:$BE$123)-72)),"")</f>
        <v/>
      </c>
      <c r="S96" s="110" t="str">
        <f>IF(AND($Z$11,COUNT($BE$24:$BE$123)&gt;72),INDEX($BM$24:$BM$123,(COUNT($BE$24:$BE$123)-72)),"")</f>
        <v/>
      </c>
      <c r="T96" s="110" t="str">
        <f>IF(AND($Z$11,COUNT($BE$24:$BE$123)&gt;72),INDEX($BN$24:$BN$123,(COUNT($BE$24:$BE$123)-72)),"")</f>
        <v/>
      </c>
      <c r="W96" s="12"/>
      <c r="X96" s="12"/>
      <c r="Y96" s="12"/>
      <c r="Z96" s="12"/>
      <c r="AA96" s="12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D96" s="12">
        <f>73</f>
        <v>73</v>
      </c>
      <c r="BE96" s="32"/>
      <c r="BF96" s="32"/>
      <c r="BG96" s="32" t="str">
        <f>IF(BO96="OK",SUM($BE$24:BE96)-BE96,"")</f>
        <v/>
      </c>
      <c r="BH96" s="32" t="str">
        <f t="shared" si="23"/>
        <v/>
      </c>
      <c r="BI96" s="32" t="str">
        <f>IF(AND(BO96="OK",$Z$7),MAX('Wind Load Check'!$B$29,1.1+0.055*('Wind Load Check'!$B$23/'Wind Load Check'!$B$8)/EXP(ABS(LN((0.6*BF96/'Wind Load Check'!$B$8)*(1-0.011*'Wind Load Check'!$B$23/'Wind Load Check'!$B$8)))^(1.7-0.0013*('Wind Load Check'!$B$23/BF96)^2))),"")</f>
        <v/>
      </c>
      <c r="BJ96" s="32" t="str">
        <f t="shared" si="24"/>
        <v/>
      </c>
      <c r="BK96" s="32" t="str">
        <f>IF(AND(BO96="OK",$Z$7),BJ96*'Wind Load Check'!$B$26*'Wind Load Check'!$B$27*BI96*'Wind Load Check'!$B$35,"")</f>
        <v/>
      </c>
      <c r="BL96" s="32" t="str">
        <f t="shared" si="25"/>
        <v/>
      </c>
      <c r="BM96" s="32" t="str">
        <f>IF(AND(BO96="OK",ISNUMBER('Uplift Check'!$B$38)),(BG96+BH96)/2+'Uplift Check'!$B$38,"")</f>
        <v/>
      </c>
      <c r="BN96" s="32" t="str">
        <f t="shared" si="26"/>
        <v/>
      </c>
      <c r="BO96" s="32" t="str">
        <f t="shared" si="30"/>
        <v/>
      </c>
      <c r="BP96" s="32" t="str">
        <f t="shared" si="27"/>
        <v/>
      </c>
      <c r="BQ96" s="32" t="str">
        <f t="shared" si="28"/>
        <v/>
      </c>
      <c r="BR96" s="32" t="str">
        <f t="shared" si="29"/>
        <v/>
      </c>
    </row>
    <row r="97" spans="1:70" ht="22.05" customHeight="1">
      <c r="A97" s="12"/>
      <c r="B97" s="12"/>
      <c r="C97" s="12"/>
      <c r="D97" s="12"/>
      <c r="E97" s="12"/>
      <c r="F97" s="12"/>
      <c r="G97" s="12"/>
      <c r="H97" s="109" t="str">
        <f>IF(AND($Z$11,COUNT($BE$24:$BE$123)&gt;73),INDEX($BD$24:$BD$123,(COUNT($BE$24:$BE$123)-73)),"")</f>
        <v/>
      </c>
      <c r="I97" s="110" t="str">
        <f>IF(AND($Z$11,COUNT($BE$24:$BE$123)&gt;73),INDEX($BH$24:$BH$123,(COUNT($BE$24:$BE$123)-73))+'Uplift Check'!$B$25,"")</f>
        <v/>
      </c>
      <c r="J97" s="110" t="str">
        <f>IF(AND($Z$11,COUNT($BE$24:$BE$123)&gt;73),INDEX($BF$24:$BF$123,(COUNT($BE$24:$BE$123)-73)),"")</f>
        <v/>
      </c>
      <c r="K97" s="110" t="str">
        <f>IF(AND($Z$11,COUNT($BE$24:$BE$123)&gt;73),$B$8,"")</f>
        <v/>
      </c>
      <c r="L97" s="110" t="str">
        <f>IF(AND($Z$11,COUNT($BE$24:$BE$123)&gt;73),INDEX($BI$24:$BI$123,(COUNT($BE$24:$BE$123)-73)),"")</f>
        <v/>
      </c>
      <c r="M97" s="110" t="str">
        <f>IF(AND($Z$11,COUNT($BE$24:$BE$123)&gt;73),INDEX($BJ$24:$BJ$123,(COUNT($BE$24:$BE$123)-73)),"")</f>
        <v/>
      </c>
      <c r="N97" s="110" t="str">
        <f>IF(AND($Z$11,COUNT($BE$24:$BE$123)&gt;73),$B$27,"")</f>
        <v/>
      </c>
      <c r="O97" s="110" t="str">
        <f>IF(AND($Z$11,COUNT($BE$24:$BE$123)&gt;73),$B$26,"")</f>
        <v/>
      </c>
      <c r="P97" s="110" t="str">
        <f>IF(AND($Z$11,COUNT($BE$24:$BE$123)&gt;73),INDEX($BJ$24:$BJ$123,(COUNT($BE$24:$BE$123)-73))*$B$27*$B$26,"")</f>
        <v/>
      </c>
      <c r="Q97" s="110" t="str">
        <f>IF(AND($Z$11,COUNT($BE$24:$BE$123)&gt;73),$B$35,"")</f>
        <v/>
      </c>
      <c r="R97" s="110" t="str">
        <f>IF(AND($Z$11,COUNT($BE$24:$BE$123)&gt;73),INDEX($BL$24:$BL$123,(COUNT($BE$24:$BE$123)-73)),"")</f>
        <v/>
      </c>
      <c r="S97" s="110" t="str">
        <f>IF(AND($Z$11,COUNT($BE$24:$BE$123)&gt;73),INDEX($BM$24:$BM$123,(COUNT($BE$24:$BE$123)-73)),"")</f>
        <v/>
      </c>
      <c r="T97" s="110" t="str">
        <f>IF(AND($Z$11,COUNT($BE$24:$BE$123)&gt;73),INDEX($BN$24:$BN$123,(COUNT($BE$24:$BE$123)-73)),"")</f>
        <v/>
      </c>
      <c r="W97" s="12"/>
      <c r="X97" s="12"/>
      <c r="Y97" s="12"/>
      <c r="Z97" s="12"/>
      <c r="AA97" s="12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D97" s="12">
        <f>74</f>
        <v>74</v>
      </c>
      <c r="BE97" s="32"/>
      <c r="BF97" s="32"/>
      <c r="BG97" s="32" t="str">
        <f>IF(BO97="OK",SUM($BE$24:BE97)-BE97,"")</f>
        <v/>
      </c>
      <c r="BH97" s="32" t="str">
        <f t="shared" si="23"/>
        <v/>
      </c>
      <c r="BI97" s="32" t="str">
        <f>IF(AND(BO97="OK",$Z$7),MAX('Wind Load Check'!$B$29,1.1+0.055*('Wind Load Check'!$B$23/'Wind Load Check'!$B$8)/EXP(ABS(LN((0.6*BF97/'Wind Load Check'!$B$8)*(1-0.011*'Wind Load Check'!$B$23/'Wind Load Check'!$B$8)))^(1.7-0.0013*('Wind Load Check'!$B$23/BF97)^2))),"")</f>
        <v/>
      </c>
      <c r="BJ97" s="32" t="str">
        <f t="shared" si="24"/>
        <v/>
      </c>
      <c r="BK97" s="32" t="str">
        <f>IF(AND(BO97="OK",$Z$7),BJ97*'Wind Load Check'!$B$26*'Wind Load Check'!$B$27*BI97*'Wind Load Check'!$B$35,"")</f>
        <v/>
      </c>
      <c r="BL97" s="32" t="str">
        <f t="shared" si="25"/>
        <v/>
      </c>
      <c r="BM97" s="32" t="str">
        <f>IF(AND(BO97="OK",ISNUMBER('Uplift Check'!$B$38)),(BG97+BH97)/2+'Uplift Check'!$B$38,"")</f>
        <v/>
      </c>
      <c r="BN97" s="32" t="str">
        <f t="shared" si="26"/>
        <v/>
      </c>
      <c r="BO97" s="32" t="str">
        <f t="shared" si="30"/>
        <v/>
      </c>
      <c r="BP97" s="32" t="str">
        <f t="shared" si="27"/>
        <v/>
      </c>
      <c r="BQ97" s="32" t="str">
        <f t="shared" si="28"/>
        <v/>
      </c>
      <c r="BR97" s="32" t="str">
        <f t="shared" si="29"/>
        <v/>
      </c>
    </row>
    <row r="98" spans="1:70" ht="22.05" customHeight="1">
      <c r="A98" s="12"/>
      <c r="B98" s="12"/>
      <c r="C98" s="12"/>
      <c r="D98" s="12"/>
      <c r="E98" s="12"/>
      <c r="F98" s="12"/>
      <c r="G98" s="12"/>
      <c r="H98" s="109" t="str">
        <f>IF(AND($Z$11,COUNT($BE$24:$BE$123)&gt;74),INDEX($BD$24:$BD$123,(COUNT($BE$24:$BE$123)-74)),"")</f>
        <v/>
      </c>
      <c r="I98" s="110" t="str">
        <f>IF(AND($Z$11,COUNT($BE$24:$BE$123)&gt;74),INDEX($BH$24:$BH$123,(COUNT($BE$24:$BE$123)-74))+'Uplift Check'!$B$25,"")</f>
        <v/>
      </c>
      <c r="J98" s="110" t="str">
        <f>IF(AND($Z$11,COUNT($BE$24:$BE$123)&gt;74),INDEX($BF$24:$BF$123,(COUNT($BE$24:$BE$123)-74)),"")</f>
        <v/>
      </c>
      <c r="K98" s="110" t="str">
        <f>IF(AND($Z$11,COUNT($BE$24:$BE$123)&gt;74),$B$8,"")</f>
        <v/>
      </c>
      <c r="L98" s="110" t="str">
        <f>IF(AND($Z$11,COUNT($BE$24:$BE$123)&gt;74),INDEX($BI$24:$BI$123,(COUNT($BE$24:$BE$123)-74)),"")</f>
        <v/>
      </c>
      <c r="M98" s="110" t="str">
        <f>IF(AND($Z$11,COUNT($BE$24:$BE$123)&gt;74),INDEX($BJ$24:$BJ$123,(COUNT($BE$24:$BE$123)-74)),"")</f>
        <v/>
      </c>
      <c r="N98" s="110" t="str">
        <f>IF(AND($Z$11,COUNT($BE$24:$BE$123)&gt;74),$B$27,"")</f>
        <v/>
      </c>
      <c r="O98" s="110" t="str">
        <f>IF(AND($Z$11,COUNT($BE$24:$BE$123)&gt;74),$B$26,"")</f>
        <v/>
      </c>
      <c r="P98" s="110" t="str">
        <f>IF(AND($Z$11,COUNT($BE$24:$BE$123)&gt;74),INDEX($BJ$24:$BJ$123,(COUNT($BE$24:$BE$123)-74))*$B$27*$B$26,"")</f>
        <v/>
      </c>
      <c r="Q98" s="110" t="str">
        <f>IF(AND($Z$11,COUNT($BE$24:$BE$123)&gt;74),$B$35,"")</f>
        <v/>
      </c>
      <c r="R98" s="110" t="str">
        <f>IF(AND($Z$11,COUNT($BE$24:$BE$123)&gt;74),INDEX($BL$24:$BL$123,(COUNT($BE$24:$BE$123)-74)),"")</f>
        <v/>
      </c>
      <c r="S98" s="110" t="str">
        <f>IF(AND($Z$11,COUNT($BE$24:$BE$123)&gt;74),INDEX($BM$24:$BM$123,(COUNT($BE$24:$BE$123)-74)),"")</f>
        <v/>
      </c>
      <c r="T98" s="110" t="str">
        <f>IF(AND($Z$11,COUNT($BE$24:$BE$123)&gt;74),INDEX($BN$24:$BN$123,(COUNT($BE$24:$BE$123)-74)),"")</f>
        <v/>
      </c>
      <c r="W98" s="12"/>
      <c r="X98" s="12"/>
      <c r="Y98" s="12"/>
      <c r="Z98" s="12"/>
      <c r="AA98" s="12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D98" s="12">
        <f>75</f>
        <v>75</v>
      </c>
      <c r="BE98" s="32"/>
      <c r="BF98" s="32"/>
      <c r="BG98" s="32" t="str">
        <f>IF(BO98="OK",SUM($BE$24:BE98)-BE98,"")</f>
        <v/>
      </c>
      <c r="BH98" s="32" t="str">
        <f t="shared" si="23"/>
        <v/>
      </c>
      <c r="BI98" s="32" t="str">
        <f>IF(AND(BO98="OK",$Z$7),MAX('Wind Load Check'!$B$29,1.1+0.055*('Wind Load Check'!$B$23/'Wind Load Check'!$B$8)/EXP(ABS(LN((0.6*BF98/'Wind Load Check'!$B$8)*(1-0.011*'Wind Load Check'!$B$23/'Wind Load Check'!$B$8)))^(1.7-0.0013*('Wind Load Check'!$B$23/BF98)^2))),"")</f>
        <v/>
      </c>
      <c r="BJ98" s="32" t="str">
        <f t="shared" si="24"/>
        <v/>
      </c>
      <c r="BK98" s="32" t="str">
        <f>IF(AND(BO98="OK",$Z$7),BJ98*'Wind Load Check'!$B$26*'Wind Load Check'!$B$27*BI98*'Wind Load Check'!$B$35,"")</f>
        <v/>
      </c>
      <c r="BL98" s="32" t="str">
        <f t="shared" si="25"/>
        <v/>
      </c>
      <c r="BM98" s="32" t="str">
        <f>IF(AND(BO98="OK",ISNUMBER('Uplift Check'!$B$38)),(BG98+BH98)/2+'Uplift Check'!$B$38,"")</f>
        <v/>
      </c>
      <c r="BN98" s="32" t="str">
        <f t="shared" si="26"/>
        <v/>
      </c>
      <c r="BO98" s="32" t="str">
        <f t="shared" si="30"/>
        <v/>
      </c>
      <c r="BP98" s="32" t="str">
        <f t="shared" si="27"/>
        <v/>
      </c>
      <c r="BQ98" s="32" t="str">
        <f t="shared" si="28"/>
        <v/>
      </c>
      <c r="BR98" s="32" t="str">
        <f t="shared" si="29"/>
        <v/>
      </c>
    </row>
    <row r="99" spans="1:70" ht="22.05" customHeight="1">
      <c r="A99" s="12"/>
      <c r="B99" s="12"/>
      <c r="C99" s="12"/>
      <c r="D99" s="12"/>
      <c r="E99" s="12"/>
      <c r="F99" s="12"/>
      <c r="G99" s="12"/>
      <c r="H99" s="109" t="str">
        <f>IF(AND($Z$11,COUNT($BE$24:$BE$123)&gt;75),INDEX($BD$24:$BD$123,(COUNT($BE$24:$BE$123)-75)),"")</f>
        <v/>
      </c>
      <c r="I99" s="110" t="str">
        <f>IF(AND($Z$11,COUNT($BE$24:$BE$123)&gt;75),INDEX($BH$24:$BH$123,(COUNT($BE$24:$BE$123)-75))+'Uplift Check'!$B$25,"")</f>
        <v/>
      </c>
      <c r="J99" s="110" t="str">
        <f>IF(AND($Z$11,COUNT($BE$24:$BE$123)&gt;75),INDEX($BF$24:$BF$123,(COUNT($BE$24:$BE$123)-75)),"")</f>
        <v/>
      </c>
      <c r="K99" s="110" t="str">
        <f>IF(AND($Z$11,COUNT($BE$24:$BE$123)&gt;75),$B$8,"")</f>
        <v/>
      </c>
      <c r="L99" s="110" t="str">
        <f>IF(AND($Z$11,COUNT($BE$24:$BE$123)&gt;75),INDEX($BI$24:$BI$123,(COUNT($BE$24:$BE$123)-75)),"")</f>
        <v/>
      </c>
      <c r="M99" s="110" t="str">
        <f>IF(AND($Z$11,COUNT($BE$24:$BE$123)&gt;75),INDEX($BJ$24:$BJ$123,(COUNT($BE$24:$BE$123)-75)),"")</f>
        <v/>
      </c>
      <c r="N99" s="110" t="str">
        <f>IF(AND($Z$11,COUNT($BE$24:$BE$123)&gt;75),$B$27,"")</f>
        <v/>
      </c>
      <c r="O99" s="110" t="str">
        <f>IF(AND($Z$11,COUNT($BE$24:$BE$123)&gt;75),$B$26,"")</f>
        <v/>
      </c>
      <c r="P99" s="110" t="str">
        <f>IF(AND($Z$11,COUNT($BE$24:$BE$123)&gt;75),INDEX($BJ$24:$BJ$123,(COUNT($BE$24:$BE$123)-75))*$B$27*$B$26,"")</f>
        <v/>
      </c>
      <c r="Q99" s="110" t="str">
        <f>IF(AND($Z$11,COUNT($BE$24:$BE$123)&gt;75),$B$35,"")</f>
        <v/>
      </c>
      <c r="R99" s="110" t="str">
        <f>IF(AND($Z$11,COUNT($BE$24:$BE$123)&gt;75),INDEX($BL$24:$BL$123,(COUNT($BE$24:$BE$123)-75)),"")</f>
        <v/>
      </c>
      <c r="S99" s="110" t="str">
        <f>IF(AND($Z$11,COUNT($BE$24:$BE$123)&gt;75),INDEX($BM$24:$BM$123,(COUNT($BE$24:$BE$123)-75)),"")</f>
        <v/>
      </c>
      <c r="T99" s="110" t="str">
        <f>IF(AND($Z$11,COUNT($BE$24:$BE$123)&gt;75),INDEX($BN$24:$BN$123,(COUNT($BE$24:$BE$123)-75)),"")</f>
        <v/>
      </c>
      <c r="W99" s="12"/>
      <c r="X99" s="12"/>
      <c r="Y99" s="12"/>
      <c r="Z99" s="12"/>
      <c r="AA99" s="12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D99" s="12">
        <f>76</f>
        <v>76</v>
      </c>
      <c r="BE99" s="32"/>
      <c r="BF99" s="32"/>
      <c r="BG99" s="32" t="str">
        <f>IF(BO99="OK",SUM($BE$24:BE99)-BE99,"")</f>
        <v/>
      </c>
      <c r="BH99" s="32" t="str">
        <f t="shared" si="23"/>
        <v/>
      </c>
      <c r="BI99" s="32" t="str">
        <f>IF(AND(BO99="OK",$Z$7),MAX('Wind Load Check'!$B$29,1.1+0.055*('Wind Load Check'!$B$23/'Wind Load Check'!$B$8)/EXP(ABS(LN((0.6*BF99/'Wind Load Check'!$B$8)*(1-0.011*'Wind Load Check'!$B$23/'Wind Load Check'!$B$8)))^(1.7-0.0013*('Wind Load Check'!$B$23/BF99)^2))),"")</f>
        <v/>
      </c>
      <c r="BJ99" s="32" t="str">
        <f t="shared" si="24"/>
        <v/>
      </c>
      <c r="BK99" s="32" t="str">
        <f>IF(AND(BO99="OK",$Z$7),BJ99*'Wind Load Check'!$B$26*'Wind Load Check'!$B$27*BI99*'Wind Load Check'!$B$35,"")</f>
        <v/>
      </c>
      <c r="BL99" s="32" t="str">
        <f t="shared" si="25"/>
        <v/>
      </c>
      <c r="BM99" s="32" t="str">
        <f>IF(AND(BO99="OK",ISNUMBER('Uplift Check'!$B$38)),(BG99+BH99)/2+'Uplift Check'!$B$38,"")</f>
        <v/>
      </c>
      <c r="BN99" s="32" t="str">
        <f t="shared" si="26"/>
        <v/>
      </c>
      <c r="BO99" s="32" t="str">
        <f t="shared" si="30"/>
        <v/>
      </c>
      <c r="BP99" s="32" t="str">
        <f t="shared" si="27"/>
        <v/>
      </c>
      <c r="BQ99" s="32" t="str">
        <f t="shared" si="28"/>
        <v/>
      </c>
      <c r="BR99" s="32" t="str">
        <f t="shared" si="29"/>
        <v/>
      </c>
    </row>
    <row r="100" spans="1:70" ht="22.05" customHeight="1">
      <c r="A100" s="12"/>
      <c r="B100" s="12"/>
      <c r="C100" s="12"/>
      <c r="D100" s="12"/>
      <c r="E100" s="12"/>
      <c r="F100" s="12"/>
      <c r="G100" s="12"/>
      <c r="H100" s="109" t="str">
        <f>IF(AND($Z$11,COUNT($BE$24:$BE$123)&gt;76),INDEX($BD$24:$BD$123,(COUNT($BE$24:$BE$123)-76)),"")</f>
        <v/>
      </c>
      <c r="I100" s="110" t="str">
        <f>IF(AND($Z$11,COUNT($BE$24:$BE$123)&gt;76),INDEX($BH$24:$BH$123,(COUNT($BE$24:$BE$123)-76))+'Uplift Check'!$B$25,"")</f>
        <v/>
      </c>
      <c r="J100" s="110" t="str">
        <f>IF(AND($Z$11,COUNT($BE$24:$BE$123)&gt;76),INDEX($BF$24:$BF$123,(COUNT($BE$24:$BE$123)-76)),"")</f>
        <v/>
      </c>
      <c r="K100" s="110" t="str">
        <f>IF(AND($Z$11,COUNT($BE$24:$BE$123)&gt;76),$B$8,"")</f>
        <v/>
      </c>
      <c r="L100" s="110" t="str">
        <f>IF(AND($Z$11,COUNT($BE$24:$BE$123)&gt;76),INDEX($BI$24:$BI$123,(COUNT($BE$24:$BE$123)-76)),"")</f>
        <v/>
      </c>
      <c r="M100" s="110" t="str">
        <f>IF(AND($Z$11,COUNT($BE$24:$BE$123)&gt;76),INDEX($BJ$24:$BJ$123,(COUNT($BE$24:$BE$123)-76)),"")</f>
        <v/>
      </c>
      <c r="N100" s="110" t="str">
        <f>IF(AND($Z$11,COUNT($BE$24:$BE$123)&gt;76),$B$27,"")</f>
        <v/>
      </c>
      <c r="O100" s="110" t="str">
        <f>IF(AND($Z$11,COUNT($BE$24:$BE$123)&gt;76),$B$26,"")</f>
        <v/>
      </c>
      <c r="P100" s="110" t="str">
        <f>IF(AND($Z$11,COUNT($BE$24:$BE$123)&gt;76),INDEX($BJ$24:$BJ$123,(COUNT($BE$24:$BE$123)-76))*$B$27*$B$26,"")</f>
        <v/>
      </c>
      <c r="Q100" s="110" t="str">
        <f>IF(AND($Z$11,COUNT($BE$24:$BE$123)&gt;76),$B$35,"")</f>
        <v/>
      </c>
      <c r="R100" s="110" t="str">
        <f>IF(AND($Z$11,COUNT($BE$24:$BE$123)&gt;76),INDEX($BL$24:$BL$123,(COUNT($BE$24:$BE$123)-76)),"")</f>
        <v/>
      </c>
      <c r="S100" s="110" t="str">
        <f>IF(AND($Z$11,COUNT($BE$24:$BE$123)&gt;76),INDEX($BM$24:$BM$123,(COUNT($BE$24:$BE$123)-76)),"")</f>
        <v/>
      </c>
      <c r="T100" s="110" t="str">
        <f>IF(AND($Z$11,COUNT($BE$24:$BE$123)&gt;76),INDEX($BN$24:$BN$123,(COUNT($BE$24:$BE$123)-76)),"")</f>
        <v/>
      </c>
      <c r="W100" s="12"/>
      <c r="X100" s="12"/>
      <c r="Y100" s="12"/>
      <c r="Z100" s="12"/>
      <c r="AA100" s="12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D100" s="12">
        <f>77</f>
        <v>77</v>
      </c>
      <c r="BE100" s="32"/>
      <c r="BF100" s="32"/>
      <c r="BG100" s="32" t="str">
        <f>IF(BO100="OK",SUM($BE$24:BE100)-BE100,"")</f>
        <v/>
      </c>
      <c r="BH100" s="32" t="str">
        <f t="shared" si="23"/>
        <v/>
      </c>
      <c r="BI100" s="32" t="str">
        <f>IF(AND(BO100="OK",$Z$7),MAX('Wind Load Check'!$B$29,1.1+0.055*('Wind Load Check'!$B$23/'Wind Load Check'!$B$8)/EXP(ABS(LN((0.6*BF100/'Wind Load Check'!$B$8)*(1-0.011*'Wind Load Check'!$B$23/'Wind Load Check'!$B$8)))^(1.7-0.0013*('Wind Load Check'!$B$23/BF100)^2))),"")</f>
        <v/>
      </c>
      <c r="BJ100" s="32" t="str">
        <f t="shared" si="24"/>
        <v/>
      </c>
      <c r="BK100" s="32" t="str">
        <f>IF(AND(BO100="OK",$Z$7),BJ100*'Wind Load Check'!$B$26*'Wind Load Check'!$B$27*BI100*'Wind Load Check'!$B$35,"")</f>
        <v/>
      </c>
      <c r="BL100" s="32" t="str">
        <f t="shared" si="25"/>
        <v/>
      </c>
      <c r="BM100" s="32" t="str">
        <f>IF(AND(BO100="OK",ISNUMBER('Uplift Check'!$B$38)),(BG100+BH100)/2+'Uplift Check'!$B$38,"")</f>
        <v/>
      </c>
      <c r="BN100" s="32" t="str">
        <f t="shared" si="26"/>
        <v/>
      </c>
      <c r="BO100" s="32" t="str">
        <f t="shared" si="30"/>
        <v/>
      </c>
      <c r="BP100" s="32" t="str">
        <f t="shared" si="27"/>
        <v/>
      </c>
      <c r="BQ100" s="32" t="str">
        <f t="shared" si="28"/>
        <v/>
      </c>
      <c r="BR100" s="32" t="str">
        <f t="shared" si="29"/>
        <v/>
      </c>
    </row>
    <row r="101" spans="1:70" ht="22.05" customHeight="1">
      <c r="A101" s="12"/>
      <c r="B101" s="12"/>
      <c r="C101" s="12"/>
      <c r="D101" s="12"/>
      <c r="E101" s="12"/>
      <c r="F101" s="12"/>
      <c r="G101" s="12"/>
      <c r="H101" s="109" t="str">
        <f>IF(AND($Z$11,COUNT($BE$24:$BE$123)&gt;77),INDEX($BD$24:$BD$123,(COUNT($BE$24:$BE$123)-77)),"")</f>
        <v/>
      </c>
      <c r="I101" s="110" t="str">
        <f>IF(AND($Z$11,COUNT($BE$24:$BE$123)&gt;77),INDEX($BH$24:$BH$123,(COUNT($BE$24:$BE$123)-77))+'Uplift Check'!$B$25,"")</f>
        <v/>
      </c>
      <c r="J101" s="110" t="str">
        <f>IF(AND($Z$11,COUNT($BE$24:$BE$123)&gt;77),INDEX($BF$24:$BF$123,(COUNT($BE$24:$BE$123)-77)),"")</f>
        <v/>
      </c>
      <c r="K101" s="110" t="str">
        <f>IF(AND($Z$11,COUNT($BE$24:$BE$123)&gt;77),$B$8,"")</f>
        <v/>
      </c>
      <c r="L101" s="110" t="str">
        <f>IF(AND($Z$11,COUNT($BE$24:$BE$123)&gt;77),INDEX($BI$24:$BI$123,(COUNT($BE$24:$BE$123)-77)),"")</f>
        <v/>
      </c>
      <c r="M101" s="110" t="str">
        <f>IF(AND($Z$11,COUNT($BE$24:$BE$123)&gt;77),INDEX($BJ$24:$BJ$123,(COUNT($BE$24:$BE$123)-77)),"")</f>
        <v/>
      </c>
      <c r="N101" s="110" t="str">
        <f>IF(AND($Z$11,COUNT($BE$24:$BE$123)&gt;77),$B$27,"")</f>
        <v/>
      </c>
      <c r="O101" s="110" t="str">
        <f>IF(AND($Z$11,COUNT($BE$24:$BE$123)&gt;77),$B$26,"")</f>
        <v/>
      </c>
      <c r="P101" s="110" t="str">
        <f>IF(AND($Z$11,COUNT($BE$24:$BE$123)&gt;77),INDEX($BJ$24:$BJ$123,(COUNT($BE$24:$BE$123)-77))*$B$27*$B$26,"")</f>
        <v/>
      </c>
      <c r="Q101" s="110" t="str">
        <f>IF(AND($Z$11,COUNT($BE$24:$BE$123)&gt;77),$B$35,"")</f>
        <v/>
      </c>
      <c r="R101" s="110" t="str">
        <f>IF(AND($Z$11,COUNT($BE$24:$BE$123)&gt;77),INDEX($BL$24:$BL$123,(COUNT($BE$24:$BE$123)-77)),"")</f>
        <v/>
      </c>
      <c r="S101" s="110" t="str">
        <f>IF(AND($Z$11,COUNT($BE$24:$BE$123)&gt;77),INDEX($BM$24:$BM$123,(COUNT($BE$24:$BE$123)-77)),"")</f>
        <v/>
      </c>
      <c r="T101" s="110" t="str">
        <f>IF(AND($Z$11,COUNT($BE$24:$BE$123)&gt;77),INDEX($BN$24:$BN$123,(COUNT($BE$24:$BE$123)-77)),"")</f>
        <v/>
      </c>
      <c r="W101" s="12"/>
      <c r="X101" s="12"/>
      <c r="Y101" s="12"/>
      <c r="Z101" s="12"/>
      <c r="AA101" s="12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D101" s="12">
        <f>78</f>
        <v>78</v>
      </c>
      <c r="BE101" s="32"/>
      <c r="BF101" s="32"/>
      <c r="BG101" s="32" t="str">
        <f>IF(BO101="OK",SUM($BE$24:BE101)-BE101,"")</f>
        <v/>
      </c>
      <c r="BH101" s="32" t="str">
        <f t="shared" si="23"/>
        <v/>
      </c>
      <c r="BI101" s="32" t="str">
        <f>IF(AND(BO101="OK",$Z$7),MAX('Wind Load Check'!$B$29,1.1+0.055*('Wind Load Check'!$B$23/'Wind Load Check'!$B$8)/EXP(ABS(LN((0.6*BF101/'Wind Load Check'!$B$8)*(1-0.011*'Wind Load Check'!$B$23/'Wind Load Check'!$B$8)))^(1.7-0.0013*('Wind Load Check'!$B$23/BF101)^2))),"")</f>
        <v/>
      </c>
      <c r="BJ101" s="32" t="str">
        <f t="shared" si="24"/>
        <v/>
      </c>
      <c r="BK101" s="32" t="str">
        <f>IF(AND(BO101="OK",$Z$7),BJ101*'Wind Load Check'!$B$26*'Wind Load Check'!$B$27*BI101*'Wind Load Check'!$B$35,"")</f>
        <v/>
      </c>
      <c r="BL101" s="32" t="str">
        <f t="shared" si="25"/>
        <v/>
      </c>
      <c r="BM101" s="32" t="str">
        <f>IF(AND(BO101="OK",ISNUMBER('Uplift Check'!$B$38)),(BG101+BH101)/2+'Uplift Check'!$B$38,"")</f>
        <v/>
      </c>
      <c r="BN101" s="32" t="str">
        <f t="shared" si="26"/>
        <v/>
      </c>
      <c r="BO101" s="32" t="str">
        <f t="shared" si="30"/>
        <v/>
      </c>
      <c r="BP101" s="32" t="str">
        <f t="shared" si="27"/>
        <v/>
      </c>
      <c r="BQ101" s="32" t="str">
        <f t="shared" si="28"/>
        <v/>
      </c>
      <c r="BR101" s="32" t="str">
        <f t="shared" si="29"/>
        <v/>
      </c>
    </row>
    <row r="102" spans="1:70" ht="22.05" customHeight="1">
      <c r="A102" s="12"/>
      <c r="B102" s="12"/>
      <c r="C102" s="12"/>
      <c r="D102" s="12"/>
      <c r="E102" s="12"/>
      <c r="F102" s="12"/>
      <c r="G102" s="12"/>
      <c r="H102" s="109" t="str">
        <f>IF(AND($Z$11,COUNT($BE$24:$BE$123)&gt;78),INDEX($BD$24:$BD$123,(COUNT($BE$24:$BE$123)-78)),"")</f>
        <v/>
      </c>
      <c r="I102" s="110" t="str">
        <f>IF(AND($Z$11,COUNT($BE$24:$BE$123)&gt;78),INDEX($BH$24:$BH$123,(COUNT($BE$24:$BE$123)-78))+'Uplift Check'!$B$25,"")</f>
        <v/>
      </c>
      <c r="J102" s="110" t="str">
        <f>IF(AND($Z$11,COUNT($BE$24:$BE$123)&gt;78),INDEX($BF$24:$BF$123,(COUNT($BE$24:$BE$123)-78)),"")</f>
        <v/>
      </c>
      <c r="K102" s="110" t="str">
        <f>IF(AND($Z$11,COUNT($BE$24:$BE$123)&gt;78),$B$8,"")</f>
        <v/>
      </c>
      <c r="L102" s="110" t="str">
        <f>IF(AND($Z$11,COUNT($BE$24:$BE$123)&gt;78),INDEX($BI$24:$BI$123,(COUNT($BE$24:$BE$123)-78)),"")</f>
        <v/>
      </c>
      <c r="M102" s="110" t="str">
        <f>IF(AND($Z$11,COUNT($BE$24:$BE$123)&gt;78),INDEX($BJ$24:$BJ$123,(COUNT($BE$24:$BE$123)-78)),"")</f>
        <v/>
      </c>
      <c r="N102" s="110" t="str">
        <f>IF(AND($Z$11,COUNT($BE$24:$BE$123)&gt;78),$B$27,"")</f>
        <v/>
      </c>
      <c r="O102" s="110" t="str">
        <f>IF(AND($Z$11,COUNT($BE$24:$BE$123)&gt;78),$B$26,"")</f>
        <v/>
      </c>
      <c r="P102" s="110" t="str">
        <f>IF(AND($Z$11,COUNT($BE$24:$BE$123)&gt;78),INDEX($BJ$24:$BJ$123,(COUNT($BE$24:$BE$123)-78))*$B$27*$B$26,"")</f>
        <v/>
      </c>
      <c r="Q102" s="110" t="str">
        <f>IF(AND($Z$11,COUNT($BE$24:$BE$123)&gt;78),$B$35,"")</f>
        <v/>
      </c>
      <c r="R102" s="110" t="str">
        <f>IF(AND($Z$11,COUNT($BE$24:$BE$123)&gt;78),INDEX($BL$24:$BL$123,(COUNT($BE$24:$BE$123)-78)),"")</f>
        <v/>
      </c>
      <c r="S102" s="110" t="str">
        <f>IF(AND($Z$11,COUNT($BE$24:$BE$123)&gt;78),INDEX($BM$24:$BM$123,(COUNT($BE$24:$BE$123)-78)),"")</f>
        <v/>
      </c>
      <c r="T102" s="110" t="str">
        <f>IF(AND($Z$11,COUNT($BE$24:$BE$123)&gt;78),INDEX($BN$24:$BN$123,(COUNT($BE$24:$BE$123)-78)),"")</f>
        <v/>
      </c>
      <c r="W102" s="12"/>
      <c r="X102" s="12"/>
      <c r="Y102" s="12"/>
      <c r="Z102" s="12"/>
      <c r="AA102" s="12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D102" s="12">
        <f>79</f>
        <v>79</v>
      </c>
      <c r="BE102" s="32"/>
      <c r="BF102" s="32"/>
      <c r="BG102" s="32" t="str">
        <f>IF(BO102="OK",SUM($BE$24:BE102)-BE102,"")</f>
        <v/>
      </c>
      <c r="BH102" s="32" t="str">
        <f t="shared" si="23"/>
        <v/>
      </c>
      <c r="BI102" s="32" t="str">
        <f>IF(AND(BO102="OK",$Z$7),MAX('Wind Load Check'!$B$29,1.1+0.055*('Wind Load Check'!$B$23/'Wind Load Check'!$B$8)/EXP(ABS(LN((0.6*BF102/'Wind Load Check'!$B$8)*(1-0.011*'Wind Load Check'!$B$23/'Wind Load Check'!$B$8)))^(1.7-0.0013*('Wind Load Check'!$B$23/BF102)^2))),"")</f>
        <v/>
      </c>
      <c r="BJ102" s="32" t="str">
        <f t="shared" si="24"/>
        <v/>
      </c>
      <c r="BK102" s="32" t="str">
        <f>IF(AND(BO102="OK",$Z$7),BJ102*'Wind Load Check'!$B$26*'Wind Load Check'!$B$27*BI102*'Wind Load Check'!$B$35,"")</f>
        <v/>
      </c>
      <c r="BL102" s="32" t="str">
        <f t="shared" si="25"/>
        <v/>
      </c>
      <c r="BM102" s="32" t="str">
        <f>IF(AND(BO102="OK",ISNUMBER('Uplift Check'!$B$38)),(BG102+BH102)/2+'Uplift Check'!$B$38,"")</f>
        <v/>
      </c>
      <c r="BN102" s="32" t="str">
        <f t="shared" si="26"/>
        <v/>
      </c>
      <c r="BO102" s="32" t="str">
        <f t="shared" si="30"/>
        <v/>
      </c>
      <c r="BP102" s="32" t="str">
        <f t="shared" si="27"/>
        <v/>
      </c>
      <c r="BQ102" s="32" t="str">
        <f t="shared" si="28"/>
        <v/>
      </c>
      <c r="BR102" s="32" t="str">
        <f t="shared" si="29"/>
        <v/>
      </c>
    </row>
    <row r="103" spans="1:70" ht="22.05" customHeight="1">
      <c r="A103" s="12"/>
      <c r="B103" s="12"/>
      <c r="C103" s="12"/>
      <c r="D103" s="12"/>
      <c r="E103" s="12"/>
      <c r="F103" s="12"/>
      <c r="G103" s="12"/>
      <c r="H103" s="109" t="str">
        <f>IF(AND($Z$11,COUNT($BE$24:$BE$123)&gt;79),INDEX($BD$24:$BD$123,(COUNT($BE$24:$BE$123)-79)),"")</f>
        <v/>
      </c>
      <c r="I103" s="110" t="str">
        <f>IF(AND($Z$11,COUNT($BE$24:$BE$123)&gt;79),INDEX($BH$24:$BH$123,(COUNT($BE$24:$BE$123)-79))+'Uplift Check'!$B$25,"")</f>
        <v/>
      </c>
      <c r="J103" s="110" t="str">
        <f>IF(AND($Z$11,COUNT($BE$24:$BE$123)&gt;79),INDEX($BF$24:$BF$123,(COUNT($BE$24:$BE$123)-79)),"")</f>
        <v/>
      </c>
      <c r="K103" s="110" t="str">
        <f>IF(AND($Z$11,COUNT($BE$24:$BE$123)&gt;79),$B$8,"")</f>
        <v/>
      </c>
      <c r="L103" s="110" t="str">
        <f>IF(AND($Z$11,COUNT($BE$24:$BE$123)&gt;79),INDEX($BI$24:$BI$123,(COUNT($BE$24:$BE$123)-79)),"")</f>
        <v/>
      </c>
      <c r="M103" s="110" t="str">
        <f>IF(AND($Z$11,COUNT($BE$24:$BE$123)&gt;79),INDEX($BJ$24:$BJ$123,(COUNT($BE$24:$BE$123)-79)),"")</f>
        <v/>
      </c>
      <c r="N103" s="110" t="str">
        <f>IF(AND($Z$11,COUNT($BE$24:$BE$123)&gt;79),$B$27,"")</f>
        <v/>
      </c>
      <c r="O103" s="110" t="str">
        <f>IF(AND($Z$11,COUNT($BE$24:$BE$123)&gt;79),$B$26,"")</f>
        <v/>
      </c>
      <c r="P103" s="110" t="str">
        <f>IF(AND($Z$11,COUNT($BE$24:$BE$123)&gt;79),INDEX($BJ$24:$BJ$123,(COUNT($BE$24:$BE$123)-79))*$B$27*$B$26,"")</f>
        <v/>
      </c>
      <c r="Q103" s="110" t="str">
        <f>IF(AND($Z$11,COUNT($BE$24:$BE$123)&gt;79),$B$35,"")</f>
        <v/>
      </c>
      <c r="R103" s="110" t="str">
        <f>IF(AND($Z$11,COUNT($BE$24:$BE$123)&gt;79),INDEX($BL$24:$BL$123,(COUNT($BE$24:$BE$123)-79)),"")</f>
        <v/>
      </c>
      <c r="S103" s="110" t="str">
        <f>IF(AND($Z$11,COUNT($BE$24:$BE$123)&gt;79),INDEX($BM$24:$BM$123,(COUNT($BE$24:$BE$123)-79)),"")</f>
        <v/>
      </c>
      <c r="T103" s="110" t="str">
        <f>IF(AND($Z$11,COUNT($BE$24:$BE$123)&gt;79),INDEX($BN$24:$BN$123,(COUNT($BE$24:$BE$123)-79)),"")</f>
        <v/>
      </c>
      <c r="W103" s="12"/>
      <c r="X103" s="12"/>
      <c r="Y103" s="12"/>
      <c r="Z103" s="12"/>
      <c r="AA103" s="12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D103" s="12">
        <f>80</f>
        <v>80</v>
      </c>
      <c r="BE103" s="32"/>
      <c r="BF103" s="32"/>
      <c r="BG103" s="32" t="str">
        <f>IF(BO103="OK",SUM($BE$24:BE103)-BE103,"")</f>
        <v/>
      </c>
      <c r="BH103" s="32" t="str">
        <f t="shared" si="23"/>
        <v/>
      </c>
      <c r="BI103" s="32" t="str">
        <f>IF(AND(BO103="OK",$Z$7),MAX('Wind Load Check'!$B$29,1.1+0.055*('Wind Load Check'!$B$23/'Wind Load Check'!$B$8)/EXP(ABS(LN((0.6*BF103/'Wind Load Check'!$B$8)*(1-0.011*'Wind Load Check'!$B$23/'Wind Load Check'!$B$8)))^(1.7-0.0013*('Wind Load Check'!$B$23/BF103)^2))),"")</f>
        <v/>
      </c>
      <c r="BJ103" s="32" t="str">
        <f t="shared" si="24"/>
        <v/>
      </c>
      <c r="BK103" s="32" t="str">
        <f>IF(AND(BO103="OK",$Z$7),BJ103*'Wind Load Check'!$B$26*'Wind Load Check'!$B$27*BI103*'Wind Load Check'!$B$35,"")</f>
        <v/>
      </c>
      <c r="BL103" s="32" t="str">
        <f t="shared" si="25"/>
        <v/>
      </c>
      <c r="BM103" s="32" t="str">
        <f>IF(AND(BO103="OK",ISNUMBER('Uplift Check'!$B$38)),(BG103+BH103)/2+'Uplift Check'!$B$38,"")</f>
        <v/>
      </c>
      <c r="BN103" s="32" t="str">
        <f t="shared" si="26"/>
        <v/>
      </c>
      <c r="BO103" s="32" t="str">
        <f t="shared" si="30"/>
        <v/>
      </c>
      <c r="BP103" s="32" t="str">
        <f t="shared" si="27"/>
        <v/>
      </c>
      <c r="BQ103" s="32" t="str">
        <f t="shared" si="28"/>
        <v/>
      </c>
      <c r="BR103" s="32" t="str">
        <f t="shared" si="29"/>
        <v/>
      </c>
    </row>
    <row r="104" spans="1:70" ht="22.05" customHeight="1">
      <c r="A104" s="12"/>
      <c r="B104" s="12"/>
      <c r="C104" s="12"/>
      <c r="D104" s="12"/>
      <c r="E104" s="12"/>
      <c r="F104" s="12"/>
      <c r="G104" s="12"/>
      <c r="H104" s="109" t="str">
        <f>IF(AND($Z$11,COUNT($BE$24:$BE$123)&gt;80),INDEX($BD$24:$BD$123,(COUNT($BE$24:$BE$123)-80)),"")</f>
        <v/>
      </c>
      <c r="I104" s="110" t="str">
        <f>IF(AND($Z$11,COUNT($BE$24:$BE$123)&gt;80),INDEX($BH$24:$BH$123,(COUNT($BE$24:$BE$123)-80))+'Uplift Check'!$B$25,"")</f>
        <v/>
      </c>
      <c r="J104" s="110" t="str">
        <f>IF(AND($Z$11,COUNT($BE$24:$BE$123)&gt;80),INDEX($BF$24:$BF$123,(COUNT($BE$24:$BE$123)-80)),"")</f>
        <v/>
      </c>
      <c r="K104" s="110" t="str">
        <f>IF(AND($Z$11,COUNT($BE$24:$BE$123)&gt;80),$B$8,"")</f>
        <v/>
      </c>
      <c r="L104" s="110" t="str">
        <f>IF(AND($Z$11,COUNT($BE$24:$BE$123)&gt;80),INDEX($BI$24:$BI$123,(COUNT($BE$24:$BE$123)-80)),"")</f>
        <v/>
      </c>
      <c r="M104" s="110" t="str">
        <f>IF(AND($Z$11,COUNT($BE$24:$BE$123)&gt;80),INDEX($BJ$24:$BJ$123,(COUNT($BE$24:$BE$123)-80)),"")</f>
        <v/>
      </c>
      <c r="N104" s="110" t="str">
        <f>IF(AND($Z$11,COUNT($BE$24:$BE$123)&gt;80),$B$27,"")</f>
        <v/>
      </c>
      <c r="O104" s="110" t="str">
        <f>IF(AND($Z$11,COUNT($BE$24:$BE$123)&gt;80),$B$26,"")</f>
        <v/>
      </c>
      <c r="P104" s="110" t="str">
        <f>IF(AND($Z$11,COUNT($BE$24:$BE$123)&gt;80),INDEX($BJ$24:$BJ$123,(COUNT($BE$24:$BE$123)-80))*$B$27*$B$26,"")</f>
        <v/>
      </c>
      <c r="Q104" s="110" t="str">
        <f>IF(AND($Z$11,COUNT($BE$24:$BE$123)&gt;80),$B$35,"")</f>
        <v/>
      </c>
      <c r="R104" s="110" t="str">
        <f>IF(AND($Z$11,COUNT($BE$24:$BE$123)&gt;80),INDEX($BL$24:$BL$123,(COUNT($BE$24:$BE$123)-80)),"")</f>
        <v/>
      </c>
      <c r="S104" s="110" t="str">
        <f>IF(AND($Z$11,COUNT($BE$24:$BE$123)&gt;80),INDEX($BM$24:$BM$123,(COUNT($BE$24:$BE$123)-80)),"")</f>
        <v/>
      </c>
      <c r="T104" s="110" t="str">
        <f>IF(AND($Z$11,COUNT($BE$24:$BE$123)&gt;80),INDEX($BN$24:$BN$123,(COUNT($BE$24:$BE$123)-80)),"")</f>
        <v/>
      </c>
      <c r="W104" s="12"/>
      <c r="X104" s="12"/>
      <c r="Y104" s="12"/>
      <c r="Z104" s="12"/>
      <c r="AA104" s="12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D104" s="12">
        <f>81</f>
        <v>81</v>
      </c>
      <c r="BE104" s="32"/>
      <c r="BF104" s="32"/>
      <c r="BG104" s="32" t="str">
        <f>IF(BO104="OK",SUM($BE$24:BE104)-BE104,"")</f>
        <v/>
      </c>
      <c r="BH104" s="32" t="str">
        <f t="shared" si="23"/>
        <v/>
      </c>
      <c r="BI104" s="32" t="str">
        <f>IF(AND(BO104="OK",$Z$7),MAX('Wind Load Check'!$B$29,1.1+0.055*('Wind Load Check'!$B$23/'Wind Load Check'!$B$8)/EXP(ABS(LN((0.6*BF104/'Wind Load Check'!$B$8)*(1-0.011*'Wind Load Check'!$B$23/'Wind Load Check'!$B$8)))^(1.7-0.0013*('Wind Load Check'!$B$23/BF104)^2))),"")</f>
        <v/>
      </c>
      <c r="BJ104" s="32" t="str">
        <f t="shared" si="24"/>
        <v/>
      </c>
      <c r="BK104" s="32" t="str">
        <f>IF(AND(BO104="OK",$Z$7),BJ104*'Wind Load Check'!$B$26*'Wind Load Check'!$B$27*BI104*'Wind Load Check'!$B$35,"")</f>
        <v/>
      </c>
      <c r="BL104" s="32" t="str">
        <f t="shared" si="25"/>
        <v/>
      </c>
      <c r="BM104" s="32" t="str">
        <f>IF(AND(BO104="OK",ISNUMBER('Uplift Check'!$B$38)),(BG104+BH104)/2+'Uplift Check'!$B$38,"")</f>
        <v/>
      </c>
      <c r="BN104" s="32" t="str">
        <f t="shared" si="26"/>
        <v/>
      </c>
      <c r="BO104" s="32" t="str">
        <f t="shared" si="30"/>
        <v/>
      </c>
      <c r="BP104" s="32" t="str">
        <f t="shared" si="27"/>
        <v/>
      </c>
      <c r="BQ104" s="32" t="str">
        <f t="shared" si="28"/>
        <v/>
      </c>
      <c r="BR104" s="32" t="str">
        <f t="shared" si="29"/>
        <v/>
      </c>
    </row>
    <row r="105" spans="1:70" ht="22.05" customHeight="1">
      <c r="A105" s="12"/>
      <c r="B105" s="12"/>
      <c r="C105" s="12"/>
      <c r="D105" s="12"/>
      <c r="E105" s="12"/>
      <c r="F105" s="12"/>
      <c r="G105" s="12"/>
      <c r="H105" s="109" t="str">
        <f>IF(AND($Z$11,COUNT($BE$24:$BE$123)&gt;81),INDEX($BD$24:$BD$123,(COUNT($BE$24:$BE$123)-81)),"")</f>
        <v/>
      </c>
      <c r="I105" s="110" t="str">
        <f>IF(AND($Z$11,COUNT($BE$24:$BE$123)&gt;81),INDEX($BH$24:$BH$123,(COUNT($BE$24:$BE$123)-81))+'Uplift Check'!$B$25,"")</f>
        <v/>
      </c>
      <c r="J105" s="110" t="str">
        <f>IF(AND($Z$11,COUNT($BE$24:$BE$123)&gt;81),INDEX($BF$24:$BF$123,(COUNT($BE$24:$BE$123)-81)),"")</f>
        <v/>
      </c>
      <c r="K105" s="110" t="str">
        <f>IF(AND($Z$11,COUNT($BE$24:$BE$123)&gt;81),$B$8,"")</f>
        <v/>
      </c>
      <c r="L105" s="110" t="str">
        <f>IF(AND($Z$11,COUNT($BE$24:$BE$123)&gt;81),INDEX($BI$24:$BI$123,(COUNT($BE$24:$BE$123)-81)),"")</f>
        <v/>
      </c>
      <c r="M105" s="110" t="str">
        <f>IF(AND($Z$11,COUNT($BE$24:$BE$123)&gt;81),INDEX($BJ$24:$BJ$123,(COUNT($BE$24:$BE$123)-81)),"")</f>
        <v/>
      </c>
      <c r="N105" s="110" t="str">
        <f>IF(AND($Z$11,COUNT($BE$24:$BE$123)&gt;81),$B$27,"")</f>
        <v/>
      </c>
      <c r="O105" s="110" t="str">
        <f>IF(AND($Z$11,COUNT($BE$24:$BE$123)&gt;81),$B$26,"")</f>
        <v/>
      </c>
      <c r="P105" s="110" t="str">
        <f>IF(AND($Z$11,COUNT($BE$24:$BE$123)&gt;81),INDEX($BJ$24:$BJ$123,(COUNT($BE$24:$BE$123)-81))*$B$27*$B$26,"")</f>
        <v/>
      </c>
      <c r="Q105" s="110" t="str">
        <f>IF(AND($Z$11,COUNT($BE$24:$BE$123)&gt;81),$B$35,"")</f>
        <v/>
      </c>
      <c r="R105" s="110" t="str">
        <f>IF(AND($Z$11,COUNT($BE$24:$BE$123)&gt;81),INDEX($BL$24:$BL$123,(COUNT($BE$24:$BE$123)-81)),"")</f>
        <v/>
      </c>
      <c r="S105" s="110" t="str">
        <f>IF(AND($Z$11,COUNT($BE$24:$BE$123)&gt;81),INDEX($BM$24:$BM$123,(COUNT($BE$24:$BE$123)-81)),"")</f>
        <v/>
      </c>
      <c r="T105" s="110" t="str">
        <f>IF(AND($Z$11,COUNT($BE$24:$BE$123)&gt;81),INDEX($BN$24:$BN$123,(COUNT($BE$24:$BE$123)-81)),"")</f>
        <v/>
      </c>
      <c r="W105" s="12"/>
      <c r="X105" s="12"/>
      <c r="Y105" s="12"/>
      <c r="Z105" s="12"/>
      <c r="AA105" s="12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D105" s="12">
        <f>82</f>
        <v>82</v>
      </c>
      <c r="BE105" s="32"/>
      <c r="BF105" s="32"/>
      <c r="BG105" s="32" t="str">
        <f>IF(BO105="OK",SUM($BE$24:BE105)-BE105,"")</f>
        <v/>
      </c>
      <c r="BH105" s="32" t="str">
        <f t="shared" si="23"/>
        <v/>
      </c>
      <c r="BI105" s="32" t="str">
        <f>IF(AND(BO105="OK",$Z$7),MAX('Wind Load Check'!$B$29,1.1+0.055*('Wind Load Check'!$B$23/'Wind Load Check'!$B$8)/EXP(ABS(LN((0.6*BF105/'Wind Load Check'!$B$8)*(1-0.011*'Wind Load Check'!$B$23/'Wind Load Check'!$B$8)))^(1.7-0.0013*('Wind Load Check'!$B$23/BF105)^2))),"")</f>
        <v/>
      </c>
      <c r="BJ105" s="32" t="str">
        <f t="shared" si="24"/>
        <v/>
      </c>
      <c r="BK105" s="32" t="str">
        <f>IF(AND(BO105="OK",$Z$7),BJ105*'Wind Load Check'!$B$26*'Wind Load Check'!$B$27*BI105*'Wind Load Check'!$B$35,"")</f>
        <v/>
      </c>
      <c r="BL105" s="32" t="str">
        <f t="shared" si="25"/>
        <v/>
      </c>
      <c r="BM105" s="32" t="str">
        <f>IF(AND(BO105="OK",ISNUMBER('Uplift Check'!$B$38)),(BG105+BH105)/2+'Uplift Check'!$B$38,"")</f>
        <v/>
      </c>
      <c r="BN105" s="32" t="str">
        <f t="shared" si="26"/>
        <v/>
      </c>
      <c r="BO105" s="32" t="str">
        <f t="shared" si="30"/>
        <v/>
      </c>
      <c r="BP105" s="32" t="str">
        <f t="shared" si="27"/>
        <v/>
      </c>
      <c r="BQ105" s="32" t="str">
        <f t="shared" si="28"/>
        <v/>
      </c>
      <c r="BR105" s="32" t="str">
        <f t="shared" si="29"/>
        <v/>
      </c>
    </row>
    <row r="106" spans="1:70" ht="22.05" customHeight="1">
      <c r="A106" s="12"/>
      <c r="B106" s="12"/>
      <c r="C106" s="12"/>
      <c r="D106" s="12"/>
      <c r="E106" s="12"/>
      <c r="F106" s="12"/>
      <c r="G106" s="12"/>
      <c r="H106" s="109" t="str">
        <f>IF(AND($Z$11,COUNT($BE$24:$BE$123)&gt;82),INDEX($BD$24:$BD$123,(COUNT($BE$24:$BE$123)-82)),"")</f>
        <v/>
      </c>
      <c r="I106" s="110" t="str">
        <f>IF(AND($Z$11,COUNT($BE$24:$BE$123)&gt;82),INDEX($BH$24:$BH$123,(COUNT($BE$24:$BE$123)-82))+'Uplift Check'!$B$25,"")</f>
        <v/>
      </c>
      <c r="J106" s="110" t="str">
        <f>IF(AND($Z$11,COUNT($BE$24:$BE$123)&gt;82),INDEX($BF$24:$BF$123,(COUNT($BE$24:$BE$123)-82)),"")</f>
        <v/>
      </c>
      <c r="K106" s="110" t="str">
        <f>IF(AND($Z$11,COUNT($BE$24:$BE$123)&gt;82),$B$8,"")</f>
        <v/>
      </c>
      <c r="L106" s="110" t="str">
        <f>IF(AND($Z$11,COUNT($BE$24:$BE$123)&gt;82),INDEX($BI$24:$BI$123,(COUNT($BE$24:$BE$123)-82)),"")</f>
        <v/>
      </c>
      <c r="M106" s="110" t="str">
        <f>IF(AND($Z$11,COUNT($BE$24:$BE$123)&gt;82),INDEX($BJ$24:$BJ$123,(COUNT($BE$24:$BE$123)-82)),"")</f>
        <v/>
      </c>
      <c r="N106" s="110" t="str">
        <f>IF(AND($Z$11,COUNT($BE$24:$BE$123)&gt;82),$B$27,"")</f>
        <v/>
      </c>
      <c r="O106" s="110" t="str">
        <f>IF(AND($Z$11,COUNT($BE$24:$BE$123)&gt;82),$B$26,"")</f>
        <v/>
      </c>
      <c r="P106" s="110" t="str">
        <f>IF(AND($Z$11,COUNT($BE$24:$BE$123)&gt;82),INDEX($BJ$24:$BJ$123,(COUNT($BE$24:$BE$123)-82))*$B$27*$B$26,"")</f>
        <v/>
      </c>
      <c r="Q106" s="110" t="str">
        <f>IF(AND($Z$11,COUNT($BE$24:$BE$123)&gt;82),$B$35,"")</f>
        <v/>
      </c>
      <c r="R106" s="110" t="str">
        <f>IF(AND($Z$11,COUNT($BE$24:$BE$123)&gt;82),INDEX($BL$24:$BL$123,(COUNT($BE$24:$BE$123)-82)),"")</f>
        <v/>
      </c>
      <c r="S106" s="110" t="str">
        <f>IF(AND($Z$11,COUNT($BE$24:$BE$123)&gt;82),INDEX($BM$24:$BM$123,(COUNT($BE$24:$BE$123)-82)),"")</f>
        <v/>
      </c>
      <c r="T106" s="110" t="str">
        <f>IF(AND($Z$11,COUNT($BE$24:$BE$123)&gt;82),INDEX($BN$24:$BN$123,(COUNT($BE$24:$BE$123)-82)),"")</f>
        <v/>
      </c>
      <c r="W106" s="12"/>
      <c r="X106" s="12"/>
      <c r="Y106" s="12"/>
      <c r="Z106" s="12"/>
      <c r="AA106" s="12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D106" s="12">
        <f>83</f>
        <v>83</v>
      </c>
      <c r="BE106" s="32"/>
      <c r="BF106" s="32"/>
      <c r="BG106" s="32" t="str">
        <f>IF(BO106="OK",SUM($BE$24:BE106)-BE106,"")</f>
        <v/>
      </c>
      <c r="BH106" s="32" t="str">
        <f t="shared" si="23"/>
        <v/>
      </c>
      <c r="BI106" s="32" t="str">
        <f>IF(AND(BO106="OK",$Z$7),MAX('Wind Load Check'!$B$29,1.1+0.055*('Wind Load Check'!$B$23/'Wind Load Check'!$B$8)/EXP(ABS(LN((0.6*BF106/'Wind Load Check'!$B$8)*(1-0.011*'Wind Load Check'!$B$23/'Wind Load Check'!$B$8)))^(1.7-0.0013*('Wind Load Check'!$B$23/BF106)^2))),"")</f>
        <v/>
      </c>
      <c r="BJ106" s="32" t="str">
        <f t="shared" si="24"/>
        <v/>
      </c>
      <c r="BK106" s="32" t="str">
        <f>IF(AND(BO106="OK",$Z$7),BJ106*'Wind Load Check'!$B$26*'Wind Load Check'!$B$27*BI106*'Wind Load Check'!$B$35,"")</f>
        <v/>
      </c>
      <c r="BL106" s="32" t="str">
        <f t="shared" si="25"/>
        <v/>
      </c>
      <c r="BM106" s="32" t="str">
        <f>IF(AND(BO106="OK",ISNUMBER('Uplift Check'!$B$38)),(BG106+BH106)/2+'Uplift Check'!$B$38,"")</f>
        <v/>
      </c>
      <c r="BN106" s="32" t="str">
        <f t="shared" si="26"/>
        <v/>
      </c>
      <c r="BO106" s="32" t="str">
        <f t="shared" si="30"/>
        <v/>
      </c>
      <c r="BP106" s="32" t="str">
        <f t="shared" si="27"/>
        <v/>
      </c>
      <c r="BQ106" s="32" t="str">
        <f t="shared" si="28"/>
        <v/>
      </c>
      <c r="BR106" s="32" t="str">
        <f t="shared" si="29"/>
        <v/>
      </c>
    </row>
    <row r="107" spans="1:70" ht="22.05" customHeight="1">
      <c r="A107" s="12"/>
      <c r="B107" s="12"/>
      <c r="C107" s="12"/>
      <c r="D107" s="12"/>
      <c r="E107" s="12"/>
      <c r="F107" s="12"/>
      <c r="G107" s="12"/>
      <c r="H107" s="109" t="str">
        <f>IF(AND($Z$11,COUNT($BE$24:$BE$123)&gt;83),INDEX($BD$24:$BD$123,(COUNT($BE$24:$BE$123)-83)),"")</f>
        <v/>
      </c>
      <c r="I107" s="110" t="str">
        <f>IF(AND($Z$11,COUNT($BE$24:$BE$123)&gt;83),INDEX($BH$24:$BH$123,(COUNT($BE$24:$BE$123)-83))+'Uplift Check'!$B$25,"")</f>
        <v/>
      </c>
      <c r="J107" s="110" t="str">
        <f>IF(AND($Z$11,COUNT($BE$24:$BE$123)&gt;83),INDEX($BF$24:$BF$123,(COUNT($BE$24:$BE$123)-83)),"")</f>
        <v/>
      </c>
      <c r="K107" s="110" t="str">
        <f>IF(AND($Z$11,COUNT($BE$24:$BE$123)&gt;83),$B$8,"")</f>
        <v/>
      </c>
      <c r="L107" s="110" t="str">
        <f>IF(AND($Z$11,COUNT($BE$24:$BE$123)&gt;83),INDEX($BI$24:$BI$123,(COUNT($BE$24:$BE$123)-83)),"")</f>
        <v/>
      </c>
      <c r="M107" s="110" t="str">
        <f>IF(AND($Z$11,COUNT($BE$24:$BE$123)&gt;83),INDEX($BJ$24:$BJ$123,(COUNT($BE$24:$BE$123)-83)),"")</f>
        <v/>
      </c>
      <c r="N107" s="110" t="str">
        <f>IF(AND($Z$11,COUNT($BE$24:$BE$123)&gt;83),$B$27,"")</f>
        <v/>
      </c>
      <c r="O107" s="110" t="str">
        <f>IF(AND($Z$11,COUNT($BE$24:$BE$123)&gt;83),$B$26,"")</f>
        <v/>
      </c>
      <c r="P107" s="110" t="str">
        <f>IF(AND($Z$11,COUNT($BE$24:$BE$123)&gt;83),INDEX($BJ$24:$BJ$123,(COUNT($BE$24:$BE$123)-83))*$B$27*$B$26,"")</f>
        <v/>
      </c>
      <c r="Q107" s="110" t="str">
        <f>IF(AND($Z$11,COUNT($BE$24:$BE$123)&gt;83),$B$35,"")</f>
        <v/>
      </c>
      <c r="R107" s="110" t="str">
        <f>IF(AND($Z$11,COUNT($BE$24:$BE$123)&gt;83),INDEX($BL$24:$BL$123,(COUNT($BE$24:$BE$123)-83)),"")</f>
        <v/>
      </c>
      <c r="S107" s="110" t="str">
        <f>IF(AND($Z$11,COUNT($BE$24:$BE$123)&gt;83),INDEX($BM$24:$BM$123,(COUNT($BE$24:$BE$123)-83)),"")</f>
        <v/>
      </c>
      <c r="T107" s="110" t="str">
        <f>IF(AND($Z$11,COUNT($BE$24:$BE$123)&gt;83),INDEX($BN$24:$BN$123,(COUNT($BE$24:$BE$123)-83)),"")</f>
        <v/>
      </c>
      <c r="W107" s="12"/>
      <c r="X107" s="12"/>
      <c r="Y107" s="12"/>
      <c r="Z107" s="12"/>
      <c r="AA107" s="12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D107" s="12">
        <f>84</f>
        <v>84</v>
      </c>
      <c r="BE107" s="32"/>
      <c r="BF107" s="32"/>
      <c r="BG107" s="32" t="str">
        <f>IF(BO107="OK",SUM($BE$24:BE107)-BE107,"")</f>
        <v/>
      </c>
      <c r="BH107" s="32" t="str">
        <f t="shared" si="23"/>
        <v/>
      </c>
      <c r="BI107" s="32" t="str">
        <f>IF(AND(BO107="OK",$Z$7),MAX('Wind Load Check'!$B$29,1.1+0.055*('Wind Load Check'!$B$23/'Wind Load Check'!$B$8)/EXP(ABS(LN((0.6*BF107/'Wind Load Check'!$B$8)*(1-0.011*'Wind Load Check'!$B$23/'Wind Load Check'!$B$8)))^(1.7-0.0013*('Wind Load Check'!$B$23/BF107)^2))),"")</f>
        <v/>
      </c>
      <c r="BJ107" s="32" t="str">
        <f t="shared" si="24"/>
        <v/>
      </c>
      <c r="BK107" s="32" t="str">
        <f>IF(AND(BO107="OK",$Z$7),BJ107*'Wind Load Check'!$B$26*'Wind Load Check'!$B$27*BI107*'Wind Load Check'!$B$35,"")</f>
        <v/>
      </c>
      <c r="BL107" s="32" t="str">
        <f t="shared" si="25"/>
        <v/>
      </c>
      <c r="BM107" s="32" t="str">
        <f>IF(AND(BO107="OK",ISNUMBER('Uplift Check'!$B$38)),(BG107+BH107)/2+'Uplift Check'!$B$38,"")</f>
        <v/>
      </c>
      <c r="BN107" s="32" t="str">
        <f t="shared" si="26"/>
        <v/>
      </c>
      <c r="BO107" s="32" t="str">
        <f t="shared" si="30"/>
        <v/>
      </c>
      <c r="BP107" s="32" t="str">
        <f t="shared" si="27"/>
        <v/>
      </c>
      <c r="BQ107" s="32" t="str">
        <f t="shared" si="28"/>
        <v/>
      </c>
      <c r="BR107" s="32" t="str">
        <f t="shared" si="29"/>
        <v/>
      </c>
    </row>
    <row r="108" spans="1:70" ht="22.05" customHeight="1">
      <c r="A108" s="12"/>
      <c r="B108" s="12"/>
      <c r="C108" s="12"/>
      <c r="D108" s="12"/>
      <c r="E108" s="12"/>
      <c r="F108" s="12"/>
      <c r="G108" s="12"/>
      <c r="H108" s="109" t="str">
        <f>IF(AND($Z$11,COUNT($BE$24:$BE$123)&gt;84),INDEX($BD$24:$BD$123,(COUNT($BE$24:$BE$123)-84)),"")</f>
        <v/>
      </c>
      <c r="I108" s="110" t="str">
        <f>IF(AND($Z$11,COUNT($BE$24:$BE$123)&gt;84),INDEX($BH$24:$BH$123,(COUNT($BE$24:$BE$123)-84))+'Uplift Check'!$B$25,"")</f>
        <v/>
      </c>
      <c r="J108" s="110" t="str">
        <f>IF(AND($Z$11,COUNT($BE$24:$BE$123)&gt;84),INDEX($BF$24:$BF$123,(COUNT($BE$24:$BE$123)-84)),"")</f>
        <v/>
      </c>
      <c r="K108" s="110" t="str">
        <f>IF(AND($Z$11,COUNT($BE$24:$BE$123)&gt;84),$B$8,"")</f>
        <v/>
      </c>
      <c r="L108" s="110" t="str">
        <f>IF(AND($Z$11,COUNT($BE$24:$BE$123)&gt;84),INDEX($BI$24:$BI$123,(COUNT($BE$24:$BE$123)-84)),"")</f>
        <v/>
      </c>
      <c r="M108" s="110" t="str">
        <f>IF(AND($Z$11,COUNT($BE$24:$BE$123)&gt;84),INDEX($BJ$24:$BJ$123,(COUNT($BE$24:$BE$123)-84)),"")</f>
        <v/>
      </c>
      <c r="N108" s="110" t="str">
        <f>IF(AND($Z$11,COUNT($BE$24:$BE$123)&gt;84),$B$27,"")</f>
        <v/>
      </c>
      <c r="O108" s="110" t="str">
        <f>IF(AND($Z$11,COUNT($BE$24:$BE$123)&gt;84),$B$26,"")</f>
        <v/>
      </c>
      <c r="P108" s="110" t="str">
        <f>IF(AND($Z$11,COUNT($BE$24:$BE$123)&gt;84),INDEX($BJ$24:$BJ$123,(COUNT($BE$24:$BE$123)-84))*$B$27*$B$26,"")</f>
        <v/>
      </c>
      <c r="Q108" s="110" t="str">
        <f>IF(AND($Z$11,COUNT($BE$24:$BE$123)&gt;84),$B$35,"")</f>
        <v/>
      </c>
      <c r="R108" s="110" t="str">
        <f>IF(AND($Z$11,COUNT($BE$24:$BE$123)&gt;84),INDEX($BL$24:$BL$123,(COUNT($BE$24:$BE$123)-84)),"")</f>
        <v/>
      </c>
      <c r="S108" s="110" t="str">
        <f>IF(AND($Z$11,COUNT($BE$24:$BE$123)&gt;84),INDEX($BM$24:$BM$123,(COUNT($BE$24:$BE$123)-84)),"")</f>
        <v/>
      </c>
      <c r="T108" s="110" t="str">
        <f>IF(AND($Z$11,COUNT($BE$24:$BE$123)&gt;84),INDEX($BN$24:$BN$123,(COUNT($BE$24:$BE$123)-84)),"")</f>
        <v/>
      </c>
      <c r="W108" s="12"/>
      <c r="X108" s="12"/>
      <c r="Y108" s="12"/>
      <c r="Z108" s="12"/>
      <c r="AA108" s="12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D108" s="12">
        <f>85</f>
        <v>85</v>
      </c>
      <c r="BE108" s="32"/>
      <c r="BF108" s="32"/>
      <c r="BG108" s="32" t="str">
        <f>IF(BO108="OK",SUM($BE$24:BE108)-BE108,"")</f>
        <v/>
      </c>
      <c r="BH108" s="32" t="str">
        <f t="shared" si="23"/>
        <v/>
      </c>
      <c r="BI108" s="32" t="str">
        <f>IF(AND(BO108="OK",$Z$7),MAX('Wind Load Check'!$B$29,1.1+0.055*('Wind Load Check'!$B$23/'Wind Load Check'!$B$8)/EXP(ABS(LN((0.6*BF108/'Wind Load Check'!$B$8)*(1-0.011*'Wind Load Check'!$B$23/'Wind Load Check'!$B$8)))^(1.7-0.0013*('Wind Load Check'!$B$23/BF108)^2))),"")</f>
        <v/>
      </c>
      <c r="BJ108" s="32" t="str">
        <f t="shared" si="24"/>
        <v/>
      </c>
      <c r="BK108" s="32" t="str">
        <f>IF(AND(BO108="OK",$Z$7),BJ108*'Wind Load Check'!$B$26*'Wind Load Check'!$B$27*BI108*'Wind Load Check'!$B$35,"")</f>
        <v/>
      </c>
      <c r="BL108" s="32" t="str">
        <f t="shared" si="25"/>
        <v/>
      </c>
      <c r="BM108" s="32" t="str">
        <f>IF(AND(BO108="OK",ISNUMBER('Uplift Check'!$B$38)),(BG108+BH108)/2+'Uplift Check'!$B$38,"")</f>
        <v/>
      </c>
      <c r="BN108" s="32" t="str">
        <f t="shared" si="26"/>
        <v/>
      </c>
      <c r="BO108" s="32" t="str">
        <f t="shared" si="30"/>
        <v/>
      </c>
      <c r="BP108" s="32" t="str">
        <f t="shared" si="27"/>
        <v/>
      </c>
      <c r="BQ108" s="32" t="str">
        <f t="shared" si="28"/>
        <v/>
      </c>
      <c r="BR108" s="32" t="str">
        <f t="shared" si="29"/>
        <v/>
      </c>
    </row>
    <row r="109" spans="1:70" ht="22.05" customHeight="1">
      <c r="A109" s="12"/>
      <c r="B109" s="12"/>
      <c r="C109" s="12"/>
      <c r="D109" s="12"/>
      <c r="E109" s="12"/>
      <c r="F109" s="12"/>
      <c r="G109" s="12"/>
      <c r="H109" s="109" t="str">
        <f>IF(AND($Z$11,COUNT($BE$24:$BE$123)&gt;85),INDEX($BD$24:$BD$123,(COUNT($BE$24:$BE$123)-85)),"")</f>
        <v/>
      </c>
      <c r="I109" s="110" t="str">
        <f>IF(AND($Z$11,COUNT($BE$24:$BE$123)&gt;85),INDEX($BH$24:$BH$123,(COUNT($BE$24:$BE$123)-85))+'Uplift Check'!$B$25,"")</f>
        <v/>
      </c>
      <c r="J109" s="110" t="str">
        <f>IF(AND($Z$11,COUNT($BE$24:$BE$123)&gt;85),INDEX($BF$24:$BF$123,(COUNT($BE$24:$BE$123)-85)),"")</f>
        <v/>
      </c>
      <c r="K109" s="110" t="str">
        <f>IF(AND($Z$11,COUNT($BE$24:$BE$123)&gt;85),$B$8,"")</f>
        <v/>
      </c>
      <c r="L109" s="110" t="str">
        <f>IF(AND($Z$11,COUNT($BE$24:$BE$123)&gt;85),INDEX($BI$24:$BI$123,(COUNT($BE$24:$BE$123)-85)),"")</f>
        <v/>
      </c>
      <c r="M109" s="110" t="str">
        <f>IF(AND($Z$11,COUNT($BE$24:$BE$123)&gt;85),INDEX($BJ$24:$BJ$123,(COUNT($BE$24:$BE$123)-85)),"")</f>
        <v/>
      </c>
      <c r="N109" s="110" t="str">
        <f>IF(AND($Z$11,COUNT($BE$24:$BE$123)&gt;85),$B$27,"")</f>
        <v/>
      </c>
      <c r="O109" s="110" t="str">
        <f>IF(AND($Z$11,COUNT($BE$24:$BE$123)&gt;85),$B$26,"")</f>
        <v/>
      </c>
      <c r="P109" s="110" t="str">
        <f>IF(AND($Z$11,COUNT($BE$24:$BE$123)&gt;85),INDEX($BJ$24:$BJ$123,(COUNT($BE$24:$BE$123)-85))*$B$27*$B$26,"")</f>
        <v/>
      </c>
      <c r="Q109" s="110" t="str">
        <f>IF(AND($Z$11,COUNT($BE$24:$BE$123)&gt;85),$B$35,"")</f>
        <v/>
      </c>
      <c r="R109" s="110" t="str">
        <f>IF(AND($Z$11,COUNT($BE$24:$BE$123)&gt;85),INDEX($BL$24:$BL$123,(COUNT($BE$24:$BE$123)-85)),"")</f>
        <v/>
      </c>
      <c r="S109" s="110" t="str">
        <f>IF(AND($Z$11,COUNT($BE$24:$BE$123)&gt;85),INDEX($BM$24:$BM$123,(COUNT($BE$24:$BE$123)-85)),"")</f>
        <v/>
      </c>
      <c r="T109" s="110" t="str">
        <f>IF(AND($Z$11,COUNT($BE$24:$BE$123)&gt;85),INDEX($BN$24:$BN$123,(COUNT($BE$24:$BE$123)-85)),"")</f>
        <v/>
      </c>
      <c r="W109" s="12"/>
      <c r="X109" s="12"/>
      <c r="Y109" s="12"/>
      <c r="Z109" s="12"/>
      <c r="AA109" s="12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D109" s="12">
        <f>86</f>
        <v>86</v>
      </c>
      <c r="BE109" s="32"/>
      <c r="BF109" s="32"/>
      <c r="BG109" s="32" t="str">
        <f>IF(BO109="OK",SUM($BE$24:BE109)-BE109,"")</f>
        <v/>
      </c>
      <c r="BH109" s="32" t="str">
        <f t="shared" si="23"/>
        <v/>
      </c>
      <c r="BI109" s="32" t="str">
        <f>IF(AND(BO109="OK",$Z$7),MAX('Wind Load Check'!$B$29,1.1+0.055*('Wind Load Check'!$B$23/'Wind Load Check'!$B$8)/EXP(ABS(LN((0.6*BF109/'Wind Load Check'!$B$8)*(1-0.011*'Wind Load Check'!$B$23/'Wind Load Check'!$B$8)))^(1.7-0.0013*('Wind Load Check'!$B$23/BF109)^2))),"")</f>
        <v/>
      </c>
      <c r="BJ109" s="32" t="str">
        <f t="shared" si="24"/>
        <v/>
      </c>
      <c r="BK109" s="32" t="str">
        <f>IF(AND(BO109="OK",$Z$7),BJ109*'Wind Load Check'!$B$26*'Wind Load Check'!$B$27*BI109*'Wind Load Check'!$B$35,"")</f>
        <v/>
      </c>
      <c r="BL109" s="32" t="str">
        <f t="shared" si="25"/>
        <v/>
      </c>
      <c r="BM109" s="32" t="str">
        <f>IF(AND(BO109="OK",ISNUMBER('Uplift Check'!$B$38)),(BG109+BH109)/2+'Uplift Check'!$B$38,"")</f>
        <v/>
      </c>
      <c r="BN109" s="32" t="str">
        <f t="shared" si="26"/>
        <v/>
      </c>
      <c r="BO109" s="32" t="str">
        <f t="shared" si="30"/>
        <v/>
      </c>
      <c r="BP109" s="32" t="str">
        <f t="shared" si="27"/>
        <v/>
      </c>
      <c r="BQ109" s="32" t="str">
        <f t="shared" si="28"/>
        <v/>
      </c>
      <c r="BR109" s="32" t="str">
        <f t="shared" si="29"/>
        <v/>
      </c>
    </row>
    <row r="110" spans="1:70" ht="22.05" customHeight="1">
      <c r="A110" s="12"/>
      <c r="B110" s="12"/>
      <c r="C110" s="12"/>
      <c r="D110" s="12"/>
      <c r="E110" s="12"/>
      <c r="F110" s="12"/>
      <c r="G110" s="12"/>
      <c r="H110" s="109" t="str">
        <f>IF(AND($Z$11,COUNT($BE$24:$BE$123)&gt;86),INDEX($BD$24:$BD$123,(COUNT($BE$24:$BE$123)-86)),"")</f>
        <v/>
      </c>
      <c r="I110" s="110" t="str">
        <f>IF(AND($Z$11,COUNT($BE$24:$BE$123)&gt;86),INDEX($BH$24:$BH$123,(COUNT($BE$24:$BE$123)-86))+'Uplift Check'!$B$25,"")</f>
        <v/>
      </c>
      <c r="J110" s="110" t="str">
        <f>IF(AND($Z$11,COUNT($BE$24:$BE$123)&gt;86),INDEX($BF$24:$BF$123,(COUNT($BE$24:$BE$123)-86)),"")</f>
        <v/>
      </c>
      <c r="K110" s="110" t="str">
        <f>IF(AND($Z$11,COUNT($BE$24:$BE$123)&gt;86),$B$8,"")</f>
        <v/>
      </c>
      <c r="L110" s="110" t="str">
        <f>IF(AND($Z$11,COUNT($BE$24:$BE$123)&gt;86),INDEX($BI$24:$BI$123,(COUNT($BE$24:$BE$123)-86)),"")</f>
        <v/>
      </c>
      <c r="M110" s="110" t="str">
        <f>IF(AND($Z$11,COUNT($BE$24:$BE$123)&gt;86),INDEX($BJ$24:$BJ$123,(COUNT($BE$24:$BE$123)-86)),"")</f>
        <v/>
      </c>
      <c r="N110" s="110" t="str">
        <f>IF(AND($Z$11,COUNT($BE$24:$BE$123)&gt;86),$B$27,"")</f>
        <v/>
      </c>
      <c r="O110" s="110" t="str">
        <f>IF(AND($Z$11,COUNT($BE$24:$BE$123)&gt;86),$B$26,"")</f>
        <v/>
      </c>
      <c r="P110" s="110" t="str">
        <f>IF(AND($Z$11,COUNT($BE$24:$BE$123)&gt;86),INDEX($BJ$24:$BJ$123,(COUNT($BE$24:$BE$123)-86))*$B$27*$B$26,"")</f>
        <v/>
      </c>
      <c r="Q110" s="110" t="str">
        <f>IF(AND($Z$11,COUNT($BE$24:$BE$123)&gt;86),$B$35,"")</f>
        <v/>
      </c>
      <c r="R110" s="110" t="str">
        <f>IF(AND($Z$11,COUNT($BE$24:$BE$123)&gt;86),INDEX($BL$24:$BL$123,(COUNT($BE$24:$BE$123)-86)),"")</f>
        <v/>
      </c>
      <c r="S110" s="110" t="str">
        <f>IF(AND($Z$11,COUNT($BE$24:$BE$123)&gt;86),INDEX($BM$24:$BM$123,(COUNT($BE$24:$BE$123)-86)),"")</f>
        <v/>
      </c>
      <c r="T110" s="110" t="str">
        <f>IF(AND($Z$11,COUNT($BE$24:$BE$123)&gt;86),INDEX($BN$24:$BN$123,(COUNT($BE$24:$BE$123)-86)),"")</f>
        <v/>
      </c>
      <c r="W110" s="12"/>
      <c r="X110" s="12"/>
      <c r="Y110" s="12"/>
      <c r="Z110" s="12"/>
      <c r="AA110" s="12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D110" s="12">
        <f>87</f>
        <v>87</v>
      </c>
      <c r="BE110" s="32"/>
      <c r="BF110" s="32"/>
      <c r="BG110" s="32" t="str">
        <f>IF(BO110="OK",SUM($BE$24:BE110)-BE110,"")</f>
        <v/>
      </c>
      <c r="BH110" s="32" t="str">
        <f t="shared" si="23"/>
        <v/>
      </c>
      <c r="BI110" s="32" t="str">
        <f>IF(AND(BO110="OK",$Z$7),MAX('Wind Load Check'!$B$29,1.1+0.055*('Wind Load Check'!$B$23/'Wind Load Check'!$B$8)/EXP(ABS(LN((0.6*BF110/'Wind Load Check'!$B$8)*(1-0.011*'Wind Load Check'!$B$23/'Wind Load Check'!$B$8)))^(1.7-0.0013*('Wind Load Check'!$B$23/BF110)^2))),"")</f>
        <v/>
      </c>
      <c r="BJ110" s="32" t="str">
        <f t="shared" si="24"/>
        <v/>
      </c>
      <c r="BK110" s="32" t="str">
        <f>IF(AND(BO110="OK",$Z$7),BJ110*'Wind Load Check'!$B$26*'Wind Load Check'!$B$27*BI110*'Wind Load Check'!$B$35,"")</f>
        <v/>
      </c>
      <c r="BL110" s="32" t="str">
        <f t="shared" si="25"/>
        <v/>
      </c>
      <c r="BM110" s="32" t="str">
        <f>IF(AND(BO110="OK",ISNUMBER('Uplift Check'!$B$38)),(BG110+BH110)/2+'Uplift Check'!$B$38,"")</f>
        <v/>
      </c>
      <c r="BN110" s="32" t="str">
        <f t="shared" si="26"/>
        <v/>
      </c>
      <c r="BO110" s="32" t="str">
        <f t="shared" si="30"/>
        <v/>
      </c>
      <c r="BP110" s="32" t="str">
        <f t="shared" si="27"/>
        <v/>
      </c>
      <c r="BQ110" s="32" t="str">
        <f t="shared" si="28"/>
        <v/>
      </c>
      <c r="BR110" s="32" t="str">
        <f t="shared" si="29"/>
        <v/>
      </c>
    </row>
    <row r="111" spans="1:70" ht="22.05" customHeight="1">
      <c r="A111" s="12"/>
      <c r="B111" s="12"/>
      <c r="C111" s="12"/>
      <c r="D111" s="12"/>
      <c r="E111" s="12"/>
      <c r="F111" s="12"/>
      <c r="G111" s="12"/>
      <c r="H111" s="109" t="str">
        <f>IF(AND($Z$11,COUNT($BE$24:$BE$123)&gt;87),INDEX($BD$24:$BD$123,(COUNT($BE$24:$BE$123)-87)),"")</f>
        <v/>
      </c>
      <c r="I111" s="110" t="str">
        <f>IF(AND($Z$11,COUNT($BE$24:$BE$123)&gt;87),INDEX($BH$24:$BH$123,(COUNT($BE$24:$BE$123)-87))+'Uplift Check'!$B$25,"")</f>
        <v/>
      </c>
      <c r="J111" s="110" t="str">
        <f>IF(AND($Z$11,COUNT($BE$24:$BE$123)&gt;87),INDEX($BF$24:$BF$123,(COUNT($BE$24:$BE$123)-87)),"")</f>
        <v/>
      </c>
      <c r="K111" s="110" t="str">
        <f>IF(AND($Z$11,COUNT($BE$24:$BE$123)&gt;87),$B$8,"")</f>
        <v/>
      </c>
      <c r="L111" s="110" t="str">
        <f>IF(AND($Z$11,COUNT($BE$24:$BE$123)&gt;87),INDEX($BI$24:$BI$123,(COUNT($BE$24:$BE$123)-87)),"")</f>
        <v/>
      </c>
      <c r="M111" s="110" t="str">
        <f>IF(AND($Z$11,COUNT($BE$24:$BE$123)&gt;87),INDEX($BJ$24:$BJ$123,(COUNT($BE$24:$BE$123)-87)),"")</f>
        <v/>
      </c>
      <c r="N111" s="110" t="str">
        <f>IF(AND($Z$11,COUNT($BE$24:$BE$123)&gt;87),$B$27,"")</f>
        <v/>
      </c>
      <c r="O111" s="110" t="str">
        <f>IF(AND($Z$11,COUNT($BE$24:$BE$123)&gt;87),$B$26,"")</f>
        <v/>
      </c>
      <c r="P111" s="110" t="str">
        <f>IF(AND($Z$11,COUNT($BE$24:$BE$123)&gt;87),INDEX($BJ$24:$BJ$123,(COUNT($BE$24:$BE$123)-87))*$B$27*$B$26,"")</f>
        <v/>
      </c>
      <c r="Q111" s="110" t="str">
        <f>IF(AND($Z$11,COUNT($BE$24:$BE$123)&gt;87),$B$35,"")</f>
        <v/>
      </c>
      <c r="R111" s="110" t="str">
        <f>IF(AND($Z$11,COUNT($BE$24:$BE$123)&gt;87),INDEX($BL$24:$BL$123,(COUNT($BE$24:$BE$123)-87)),"")</f>
        <v/>
      </c>
      <c r="S111" s="110" t="str">
        <f>IF(AND($Z$11,COUNT($BE$24:$BE$123)&gt;87),INDEX($BM$24:$BM$123,(COUNT($BE$24:$BE$123)-87)),"")</f>
        <v/>
      </c>
      <c r="T111" s="110" t="str">
        <f>IF(AND($Z$11,COUNT($BE$24:$BE$123)&gt;87),INDEX($BN$24:$BN$123,(COUNT($BE$24:$BE$123)-87)),"")</f>
        <v/>
      </c>
      <c r="W111" s="12"/>
      <c r="X111" s="12"/>
      <c r="Y111" s="12"/>
      <c r="Z111" s="12"/>
      <c r="AA111" s="12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D111" s="12">
        <f>88</f>
        <v>88</v>
      </c>
      <c r="BE111" s="32"/>
      <c r="BF111" s="32"/>
      <c r="BG111" s="32" t="str">
        <f>IF(BO111="OK",SUM($BE$24:BE111)-BE111,"")</f>
        <v/>
      </c>
      <c r="BH111" s="32" t="str">
        <f t="shared" si="23"/>
        <v/>
      </c>
      <c r="BI111" s="32" t="str">
        <f>IF(AND(BO111="OK",$Z$7),MAX('Wind Load Check'!$B$29,1.1+0.055*('Wind Load Check'!$B$23/'Wind Load Check'!$B$8)/EXP(ABS(LN((0.6*BF111/'Wind Load Check'!$B$8)*(1-0.011*'Wind Load Check'!$B$23/'Wind Load Check'!$B$8)))^(1.7-0.0013*('Wind Load Check'!$B$23/BF111)^2))),"")</f>
        <v/>
      </c>
      <c r="BJ111" s="32" t="str">
        <f t="shared" si="24"/>
        <v/>
      </c>
      <c r="BK111" s="32" t="str">
        <f>IF(AND(BO111="OK",$Z$7),BJ111*'Wind Load Check'!$B$26*'Wind Load Check'!$B$27*BI111*'Wind Load Check'!$B$35,"")</f>
        <v/>
      </c>
      <c r="BL111" s="32" t="str">
        <f t="shared" si="25"/>
        <v/>
      </c>
      <c r="BM111" s="32" t="str">
        <f>IF(AND(BO111="OK",ISNUMBER('Uplift Check'!$B$38)),(BG111+BH111)/2+'Uplift Check'!$B$38,"")</f>
        <v/>
      </c>
      <c r="BN111" s="32" t="str">
        <f t="shared" si="26"/>
        <v/>
      </c>
      <c r="BO111" s="32" t="str">
        <f t="shared" si="30"/>
        <v/>
      </c>
      <c r="BP111" s="32" t="str">
        <f t="shared" si="27"/>
        <v/>
      </c>
      <c r="BQ111" s="32" t="str">
        <f t="shared" si="28"/>
        <v/>
      </c>
      <c r="BR111" s="32" t="str">
        <f t="shared" si="29"/>
        <v/>
      </c>
    </row>
    <row r="112" spans="1:70" ht="22.05" customHeight="1">
      <c r="A112" s="12"/>
      <c r="B112" s="12"/>
      <c r="C112" s="12"/>
      <c r="D112" s="12"/>
      <c r="E112" s="12"/>
      <c r="F112" s="12"/>
      <c r="G112" s="12"/>
      <c r="H112" s="109" t="str">
        <f>IF(AND($Z$11,COUNT($BE$24:$BE$123)&gt;88),INDEX($BD$24:$BD$123,(COUNT($BE$24:$BE$123)-88)),"")</f>
        <v/>
      </c>
      <c r="I112" s="110" t="str">
        <f>IF(AND($Z$11,COUNT($BE$24:$BE$123)&gt;88),INDEX($BH$24:$BH$123,(COUNT($BE$24:$BE$123)-88))+'Uplift Check'!$B$25,"")</f>
        <v/>
      </c>
      <c r="J112" s="110" t="str">
        <f>IF(AND($Z$11,COUNT($BE$24:$BE$123)&gt;88),INDEX($BF$24:$BF$123,(COUNT($BE$24:$BE$123)-88)),"")</f>
        <v/>
      </c>
      <c r="K112" s="110" t="str">
        <f>IF(AND($Z$11,COUNT($BE$24:$BE$123)&gt;88),$B$8,"")</f>
        <v/>
      </c>
      <c r="L112" s="110" t="str">
        <f>IF(AND($Z$11,COUNT($BE$24:$BE$123)&gt;88),INDEX($BI$24:$BI$123,(COUNT($BE$24:$BE$123)-88)),"")</f>
        <v/>
      </c>
      <c r="M112" s="110" t="str">
        <f>IF(AND($Z$11,COUNT($BE$24:$BE$123)&gt;88),INDEX($BJ$24:$BJ$123,(COUNT($BE$24:$BE$123)-88)),"")</f>
        <v/>
      </c>
      <c r="N112" s="110" t="str">
        <f>IF(AND($Z$11,COUNT($BE$24:$BE$123)&gt;88),$B$27,"")</f>
        <v/>
      </c>
      <c r="O112" s="110" t="str">
        <f>IF(AND($Z$11,COUNT($BE$24:$BE$123)&gt;88),$B$26,"")</f>
        <v/>
      </c>
      <c r="P112" s="110" t="str">
        <f>IF(AND($Z$11,COUNT($BE$24:$BE$123)&gt;88),INDEX($BJ$24:$BJ$123,(COUNT($BE$24:$BE$123)-88))*$B$27*$B$26,"")</f>
        <v/>
      </c>
      <c r="Q112" s="110" t="str">
        <f>IF(AND($Z$11,COUNT($BE$24:$BE$123)&gt;88),$B$35,"")</f>
        <v/>
      </c>
      <c r="R112" s="110" t="str">
        <f>IF(AND($Z$11,COUNT($BE$24:$BE$123)&gt;88),INDEX($BL$24:$BL$123,(COUNT($BE$24:$BE$123)-88)),"")</f>
        <v/>
      </c>
      <c r="S112" s="110" t="str">
        <f>IF(AND($Z$11,COUNT($BE$24:$BE$123)&gt;88),INDEX($BM$24:$BM$123,(COUNT($BE$24:$BE$123)-88)),"")</f>
        <v/>
      </c>
      <c r="T112" s="110" t="str">
        <f>IF(AND($Z$11,COUNT($BE$24:$BE$123)&gt;88),INDEX($BN$24:$BN$123,(COUNT($BE$24:$BE$123)-88)),"")</f>
        <v/>
      </c>
      <c r="W112" s="12"/>
      <c r="X112" s="12"/>
      <c r="Y112" s="12"/>
      <c r="Z112" s="12"/>
      <c r="AA112" s="12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D112" s="12">
        <f>89</f>
        <v>89</v>
      </c>
      <c r="BE112" s="32"/>
      <c r="BF112" s="32"/>
      <c r="BG112" s="32" t="str">
        <f>IF(BO112="OK",SUM($BE$24:BE112)-BE112,"")</f>
        <v/>
      </c>
      <c r="BH112" s="32" t="str">
        <f t="shared" si="23"/>
        <v/>
      </c>
      <c r="BI112" s="32" t="str">
        <f>IF(AND(BO112="OK",$Z$7),MAX('Wind Load Check'!$B$29,1.1+0.055*('Wind Load Check'!$B$23/'Wind Load Check'!$B$8)/EXP(ABS(LN((0.6*BF112/'Wind Load Check'!$B$8)*(1-0.011*'Wind Load Check'!$B$23/'Wind Load Check'!$B$8)))^(1.7-0.0013*('Wind Load Check'!$B$23/BF112)^2))),"")</f>
        <v/>
      </c>
      <c r="BJ112" s="32" t="str">
        <f t="shared" si="24"/>
        <v/>
      </c>
      <c r="BK112" s="32" t="str">
        <f>IF(AND(BO112="OK",$Z$7),BJ112*'Wind Load Check'!$B$26*'Wind Load Check'!$B$27*BI112*'Wind Load Check'!$B$35,"")</f>
        <v/>
      </c>
      <c r="BL112" s="32" t="str">
        <f t="shared" si="25"/>
        <v/>
      </c>
      <c r="BM112" s="32" t="str">
        <f>IF(AND(BO112="OK",ISNUMBER('Uplift Check'!$B$38)),(BG112+BH112)/2+'Uplift Check'!$B$38,"")</f>
        <v/>
      </c>
      <c r="BN112" s="32" t="str">
        <f t="shared" si="26"/>
        <v/>
      </c>
      <c r="BO112" s="32" t="str">
        <f t="shared" si="30"/>
        <v/>
      </c>
      <c r="BP112" s="32" t="str">
        <f t="shared" si="27"/>
        <v/>
      </c>
      <c r="BQ112" s="32" t="str">
        <f t="shared" si="28"/>
        <v/>
      </c>
      <c r="BR112" s="32" t="str">
        <f t="shared" si="29"/>
        <v/>
      </c>
    </row>
    <row r="113" spans="1:70" ht="22.05" customHeight="1">
      <c r="A113" s="12"/>
      <c r="B113" s="12"/>
      <c r="C113" s="12"/>
      <c r="D113" s="12"/>
      <c r="E113" s="12"/>
      <c r="F113" s="12"/>
      <c r="G113" s="12"/>
      <c r="H113" s="109" t="str">
        <f>IF(AND($Z$11,COUNT($BE$24:$BE$123)&gt;89),INDEX($BD$24:$BD$123,(COUNT($BE$24:$BE$123)-89)),"")</f>
        <v/>
      </c>
      <c r="I113" s="110" t="str">
        <f>IF(AND($Z$11,COUNT($BE$24:$BE$123)&gt;89),INDEX($BH$24:$BH$123,(COUNT($BE$24:$BE$123)-89))+'Uplift Check'!$B$25,"")</f>
        <v/>
      </c>
      <c r="J113" s="110" t="str">
        <f>IF(AND($Z$11,COUNT($BE$24:$BE$123)&gt;89),INDEX($BF$24:$BF$123,(COUNT($BE$24:$BE$123)-89)),"")</f>
        <v/>
      </c>
      <c r="K113" s="110" t="str">
        <f>IF(AND($Z$11,COUNT($BE$24:$BE$123)&gt;89),$B$8,"")</f>
        <v/>
      </c>
      <c r="L113" s="110" t="str">
        <f>IF(AND($Z$11,COUNT($BE$24:$BE$123)&gt;89),INDEX($BI$24:$BI$123,(COUNT($BE$24:$BE$123)-89)),"")</f>
        <v/>
      </c>
      <c r="M113" s="110" t="str">
        <f>IF(AND($Z$11,COUNT($BE$24:$BE$123)&gt;89),INDEX($BJ$24:$BJ$123,(COUNT($BE$24:$BE$123)-89)),"")</f>
        <v/>
      </c>
      <c r="N113" s="110" t="str">
        <f>IF(AND($Z$11,COUNT($BE$24:$BE$123)&gt;89),$B$27,"")</f>
        <v/>
      </c>
      <c r="O113" s="110" t="str">
        <f>IF(AND($Z$11,COUNT($BE$24:$BE$123)&gt;89),$B$26,"")</f>
        <v/>
      </c>
      <c r="P113" s="110" t="str">
        <f>IF(AND($Z$11,COUNT($BE$24:$BE$123)&gt;89),INDEX($BJ$24:$BJ$123,(COUNT($BE$24:$BE$123)-89))*$B$27*$B$26,"")</f>
        <v/>
      </c>
      <c r="Q113" s="110" t="str">
        <f>IF(AND($Z$11,COUNT($BE$24:$BE$123)&gt;89),$B$35,"")</f>
        <v/>
      </c>
      <c r="R113" s="110" t="str">
        <f>IF(AND($Z$11,COUNT($BE$24:$BE$123)&gt;89),INDEX($BL$24:$BL$123,(COUNT($BE$24:$BE$123)-89)),"")</f>
        <v/>
      </c>
      <c r="S113" s="110" t="str">
        <f>IF(AND($Z$11,COUNT($BE$24:$BE$123)&gt;89),INDEX($BM$24:$BM$123,(COUNT($BE$24:$BE$123)-89)),"")</f>
        <v/>
      </c>
      <c r="T113" s="110" t="str">
        <f>IF(AND($Z$11,COUNT($BE$24:$BE$123)&gt;89),INDEX($BN$24:$BN$123,(COUNT($BE$24:$BE$123)-89)),"")</f>
        <v/>
      </c>
      <c r="W113" s="12"/>
      <c r="X113" s="12"/>
      <c r="Y113" s="12"/>
      <c r="Z113" s="12"/>
      <c r="AA113" s="12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D113" s="12">
        <f>90</f>
        <v>90</v>
      </c>
      <c r="BE113" s="32"/>
      <c r="BF113" s="32"/>
      <c r="BG113" s="32" t="str">
        <f>IF(BO113="OK",SUM($BE$24:BE113)-BE113,"")</f>
        <v/>
      </c>
      <c r="BH113" s="32" t="str">
        <f t="shared" si="23"/>
        <v/>
      </c>
      <c r="BI113" s="32" t="str">
        <f>IF(AND(BO113="OK",$Z$7),MAX('Wind Load Check'!$B$29,1.1+0.055*('Wind Load Check'!$B$23/'Wind Load Check'!$B$8)/EXP(ABS(LN((0.6*BF113/'Wind Load Check'!$B$8)*(1-0.011*'Wind Load Check'!$B$23/'Wind Load Check'!$B$8)))^(1.7-0.0013*('Wind Load Check'!$B$23/BF113)^2))),"")</f>
        <v/>
      </c>
      <c r="BJ113" s="32" t="str">
        <f t="shared" si="24"/>
        <v/>
      </c>
      <c r="BK113" s="32" t="str">
        <f>IF(AND(BO113="OK",$Z$7),BJ113*'Wind Load Check'!$B$26*'Wind Load Check'!$B$27*BI113*'Wind Load Check'!$B$35,"")</f>
        <v/>
      </c>
      <c r="BL113" s="32" t="str">
        <f t="shared" si="25"/>
        <v/>
      </c>
      <c r="BM113" s="32" t="str">
        <f>IF(AND(BO113="OK",ISNUMBER('Uplift Check'!$B$38)),(BG113+BH113)/2+'Uplift Check'!$B$38,"")</f>
        <v/>
      </c>
      <c r="BN113" s="32" t="str">
        <f t="shared" si="26"/>
        <v/>
      </c>
      <c r="BO113" s="32" t="str">
        <f t="shared" si="30"/>
        <v/>
      </c>
      <c r="BP113" s="32" t="str">
        <f t="shared" si="27"/>
        <v/>
      </c>
      <c r="BQ113" s="32" t="str">
        <f t="shared" si="28"/>
        <v/>
      </c>
      <c r="BR113" s="32" t="str">
        <f t="shared" si="29"/>
        <v/>
      </c>
    </row>
    <row r="114" spans="1:70" ht="22.05" customHeight="1">
      <c r="A114" s="12"/>
      <c r="B114" s="12"/>
      <c r="C114" s="12"/>
      <c r="D114" s="12"/>
      <c r="E114" s="12"/>
      <c r="F114" s="12"/>
      <c r="G114" s="12"/>
      <c r="H114" s="109" t="str">
        <f>IF(AND($Z$11,COUNT($BE$24:$BE$123)&gt;90),INDEX($BD$24:$BD$123,(COUNT($BE$24:$BE$123)-90)),"")</f>
        <v/>
      </c>
      <c r="I114" s="110" t="str">
        <f>IF(AND($Z$11,COUNT($BE$24:$BE$123)&gt;90),INDEX($BH$24:$BH$123,(COUNT($BE$24:$BE$123)-90))+'Uplift Check'!$B$25,"")</f>
        <v/>
      </c>
      <c r="J114" s="110" t="str">
        <f>IF(AND($Z$11,COUNT($BE$24:$BE$123)&gt;90),INDEX($BF$24:$BF$123,(COUNT($BE$24:$BE$123)-90)),"")</f>
        <v/>
      </c>
      <c r="K114" s="110" t="str">
        <f>IF(AND($Z$11,COUNT($BE$24:$BE$123)&gt;90),$B$8,"")</f>
        <v/>
      </c>
      <c r="L114" s="110" t="str">
        <f>IF(AND($Z$11,COUNT($BE$24:$BE$123)&gt;90),INDEX($BI$24:$BI$123,(COUNT($BE$24:$BE$123)-90)),"")</f>
        <v/>
      </c>
      <c r="M114" s="110" t="str">
        <f>IF(AND($Z$11,COUNT($BE$24:$BE$123)&gt;90),INDEX($BJ$24:$BJ$123,(COUNT($BE$24:$BE$123)-90)),"")</f>
        <v/>
      </c>
      <c r="N114" s="110" t="str">
        <f>IF(AND($Z$11,COUNT($BE$24:$BE$123)&gt;90),$B$27,"")</f>
        <v/>
      </c>
      <c r="O114" s="110" t="str">
        <f>IF(AND($Z$11,COUNT($BE$24:$BE$123)&gt;90),$B$26,"")</f>
        <v/>
      </c>
      <c r="P114" s="110" t="str">
        <f>IF(AND($Z$11,COUNT($BE$24:$BE$123)&gt;90),INDEX($BJ$24:$BJ$123,(COUNT($BE$24:$BE$123)-90))*$B$27*$B$26,"")</f>
        <v/>
      </c>
      <c r="Q114" s="110" t="str">
        <f>IF(AND($Z$11,COUNT($BE$24:$BE$123)&gt;90),$B$35,"")</f>
        <v/>
      </c>
      <c r="R114" s="110" t="str">
        <f>IF(AND($Z$11,COUNT($BE$24:$BE$123)&gt;90),INDEX($BL$24:$BL$123,(COUNT($BE$24:$BE$123)-90)),"")</f>
        <v/>
      </c>
      <c r="S114" s="110" t="str">
        <f>IF(AND($Z$11,COUNT($BE$24:$BE$123)&gt;90),INDEX($BM$24:$BM$123,(COUNT($BE$24:$BE$123)-90)),"")</f>
        <v/>
      </c>
      <c r="T114" s="110" t="str">
        <f>IF(AND($Z$11,COUNT($BE$24:$BE$123)&gt;90),INDEX($BN$24:$BN$123,(COUNT($BE$24:$BE$123)-90)),"")</f>
        <v/>
      </c>
      <c r="W114" s="12"/>
      <c r="X114" s="12"/>
      <c r="Y114" s="12"/>
      <c r="Z114" s="12"/>
      <c r="AA114" s="12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D114" s="12">
        <f>91</f>
        <v>91</v>
      </c>
      <c r="BE114" s="32"/>
      <c r="BF114" s="32"/>
      <c r="BG114" s="32" t="str">
        <f>IF(BO114="OK",SUM($BE$24:BE114)-BE114,"")</f>
        <v/>
      </c>
      <c r="BH114" s="32" t="str">
        <f t="shared" si="23"/>
        <v/>
      </c>
      <c r="BI114" s="32" t="str">
        <f>IF(AND(BO114="OK",$Z$7),MAX('Wind Load Check'!$B$29,1.1+0.055*('Wind Load Check'!$B$23/'Wind Load Check'!$B$8)/EXP(ABS(LN((0.6*BF114/'Wind Load Check'!$B$8)*(1-0.011*'Wind Load Check'!$B$23/'Wind Load Check'!$B$8)))^(1.7-0.0013*('Wind Load Check'!$B$23/BF114)^2))),"")</f>
        <v/>
      </c>
      <c r="BJ114" s="32" t="str">
        <f t="shared" si="24"/>
        <v/>
      </c>
      <c r="BK114" s="32" t="str">
        <f>IF(AND(BO114="OK",$Z$7),BJ114*'Wind Load Check'!$B$26*'Wind Load Check'!$B$27*BI114*'Wind Load Check'!$B$35,"")</f>
        <v/>
      </c>
      <c r="BL114" s="32" t="str">
        <f t="shared" si="25"/>
        <v/>
      </c>
      <c r="BM114" s="32" t="str">
        <f>IF(AND(BO114="OK",ISNUMBER('Uplift Check'!$B$38)),(BG114+BH114)/2+'Uplift Check'!$B$38,"")</f>
        <v/>
      </c>
      <c r="BN114" s="32" t="str">
        <f t="shared" si="26"/>
        <v/>
      </c>
      <c r="BO114" s="32" t="str">
        <f t="shared" si="30"/>
        <v/>
      </c>
      <c r="BP114" s="32" t="str">
        <f t="shared" si="27"/>
        <v/>
      </c>
      <c r="BQ114" s="32" t="str">
        <f t="shared" si="28"/>
        <v/>
      </c>
      <c r="BR114" s="32" t="str">
        <f t="shared" si="29"/>
        <v/>
      </c>
    </row>
    <row r="115" spans="1:70" ht="22.05" customHeight="1">
      <c r="A115" s="12"/>
      <c r="B115" s="12"/>
      <c r="C115" s="12"/>
      <c r="D115" s="12"/>
      <c r="E115" s="12"/>
      <c r="F115" s="12"/>
      <c r="G115" s="12"/>
      <c r="H115" s="109" t="str">
        <f>IF(AND($Z$11,COUNT($BE$24:$BE$123)&gt;91),INDEX($BD$24:$BD$123,(COUNT($BE$24:$BE$123)-91)),"")</f>
        <v/>
      </c>
      <c r="I115" s="110" t="str">
        <f>IF(AND($Z$11,COUNT($BE$24:$BE$123)&gt;91),INDEX($BH$24:$BH$123,(COUNT($BE$24:$BE$123)-91))+'Uplift Check'!$B$25,"")</f>
        <v/>
      </c>
      <c r="J115" s="110" t="str">
        <f>IF(AND($Z$11,COUNT($BE$24:$BE$123)&gt;91),INDEX($BF$24:$BF$123,(COUNT($BE$24:$BE$123)-91)),"")</f>
        <v/>
      </c>
      <c r="K115" s="110" t="str">
        <f>IF(AND($Z$11,COUNT($BE$24:$BE$123)&gt;91),$B$8,"")</f>
        <v/>
      </c>
      <c r="L115" s="110" t="str">
        <f>IF(AND($Z$11,COUNT($BE$24:$BE$123)&gt;91),INDEX($BI$24:$BI$123,(COUNT($BE$24:$BE$123)-91)),"")</f>
        <v/>
      </c>
      <c r="M115" s="110" t="str">
        <f>IF(AND($Z$11,COUNT($BE$24:$BE$123)&gt;91),INDEX($BJ$24:$BJ$123,(COUNT($BE$24:$BE$123)-91)),"")</f>
        <v/>
      </c>
      <c r="N115" s="110" t="str">
        <f>IF(AND($Z$11,COUNT($BE$24:$BE$123)&gt;91),$B$27,"")</f>
        <v/>
      </c>
      <c r="O115" s="110" t="str">
        <f>IF(AND($Z$11,COUNT($BE$24:$BE$123)&gt;91),$B$26,"")</f>
        <v/>
      </c>
      <c r="P115" s="110" t="str">
        <f>IF(AND($Z$11,COUNT($BE$24:$BE$123)&gt;91),INDEX($BJ$24:$BJ$123,(COUNT($BE$24:$BE$123)-91))*$B$27*$B$26,"")</f>
        <v/>
      </c>
      <c r="Q115" s="110" t="str">
        <f>IF(AND($Z$11,COUNT($BE$24:$BE$123)&gt;91),$B$35,"")</f>
        <v/>
      </c>
      <c r="R115" s="110" t="str">
        <f>IF(AND($Z$11,COUNT($BE$24:$BE$123)&gt;91),INDEX($BL$24:$BL$123,(COUNT($BE$24:$BE$123)-91)),"")</f>
        <v/>
      </c>
      <c r="S115" s="110" t="str">
        <f>IF(AND($Z$11,COUNT($BE$24:$BE$123)&gt;91),INDEX($BM$24:$BM$123,(COUNT($BE$24:$BE$123)-91)),"")</f>
        <v/>
      </c>
      <c r="T115" s="110" t="str">
        <f>IF(AND($Z$11,COUNT($BE$24:$BE$123)&gt;91),INDEX($BN$24:$BN$123,(COUNT($BE$24:$BE$123)-91)),"")</f>
        <v/>
      </c>
      <c r="W115" s="12"/>
      <c r="X115" s="12"/>
      <c r="Y115" s="12"/>
      <c r="Z115" s="12"/>
      <c r="AA115" s="12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D115" s="12">
        <f>92</f>
        <v>92</v>
      </c>
      <c r="BE115" s="32"/>
      <c r="BF115" s="32"/>
      <c r="BG115" s="32" t="str">
        <f>IF(BO115="OK",SUM($BE$24:BE115)-BE115,"")</f>
        <v/>
      </c>
      <c r="BH115" s="32" t="str">
        <f t="shared" si="23"/>
        <v/>
      </c>
      <c r="BI115" s="32" t="str">
        <f>IF(AND(BO115="OK",$Z$7),MAX('Wind Load Check'!$B$29,1.1+0.055*('Wind Load Check'!$B$23/'Wind Load Check'!$B$8)/EXP(ABS(LN((0.6*BF115/'Wind Load Check'!$B$8)*(1-0.011*'Wind Load Check'!$B$23/'Wind Load Check'!$B$8)))^(1.7-0.0013*('Wind Load Check'!$B$23/BF115)^2))),"")</f>
        <v/>
      </c>
      <c r="BJ115" s="32" t="str">
        <f t="shared" si="24"/>
        <v/>
      </c>
      <c r="BK115" s="32" t="str">
        <f>IF(AND(BO115="OK",$Z$7),BJ115*'Wind Load Check'!$B$26*'Wind Load Check'!$B$27*BI115*'Wind Load Check'!$B$35,"")</f>
        <v/>
      </c>
      <c r="BL115" s="32" t="str">
        <f t="shared" si="25"/>
        <v/>
      </c>
      <c r="BM115" s="32" t="str">
        <f>IF(AND(BO115="OK",ISNUMBER('Uplift Check'!$B$38)),(BG115+BH115)/2+'Uplift Check'!$B$38,"")</f>
        <v/>
      </c>
      <c r="BN115" s="32" t="str">
        <f t="shared" si="26"/>
        <v/>
      </c>
      <c r="BO115" s="32" t="str">
        <f t="shared" si="30"/>
        <v/>
      </c>
      <c r="BP115" s="32" t="str">
        <f t="shared" si="27"/>
        <v/>
      </c>
      <c r="BQ115" s="32" t="str">
        <f t="shared" si="28"/>
        <v/>
      </c>
      <c r="BR115" s="32" t="str">
        <f t="shared" si="29"/>
        <v/>
      </c>
    </row>
    <row r="116" spans="1:70" ht="22.05" customHeight="1">
      <c r="A116" s="12"/>
      <c r="B116" s="12"/>
      <c r="C116" s="12"/>
      <c r="D116" s="12"/>
      <c r="E116" s="12"/>
      <c r="F116" s="12"/>
      <c r="G116" s="12"/>
      <c r="H116" s="109" t="str">
        <f>IF(AND($Z$11,COUNT($BE$24:$BE$123)&gt;92),INDEX($BD$24:$BD$123,(COUNT($BE$24:$BE$123)-92)),"")</f>
        <v/>
      </c>
      <c r="I116" s="110" t="str">
        <f>IF(AND($Z$11,COUNT($BE$24:$BE$123)&gt;92),INDEX($BH$24:$BH$123,(COUNT($BE$24:$BE$123)-92))+'Uplift Check'!$B$25,"")</f>
        <v/>
      </c>
      <c r="J116" s="110" t="str">
        <f>IF(AND($Z$11,COUNT($BE$24:$BE$123)&gt;92),INDEX($BF$24:$BF$123,(COUNT($BE$24:$BE$123)-92)),"")</f>
        <v/>
      </c>
      <c r="K116" s="110" t="str">
        <f>IF(AND($Z$11,COUNT($BE$24:$BE$123)&gt;92),$B$8,"")</f>
        <v/>
      </c>
      <c r="L116" s="110" t="str">
        <f>IF(AND($Z$11,COUNT($BE$24:$BE$123)&gt;92),INDEX($BI$24:$BI$123,(COUNT($BE$24:$BE$123)-92)),"")</f>
        <v/>
      </c>
      <c r="M116" s="110" t="str">
        <f>IF(AND($Z$11,COUNT($BE$24:$BE$123)&gt;92),INDEX($BJ$24:$BJ$123,(COUNT($BE$24:$BE$123)-92)),"")</f>
        <v/>
      </c>
      <c r="N116" s="110" t="str">
        <f>IF(AND($Z$11,COUNT($BE$24:$BE$123)&gt;92),$B$27,"")</f>
        <v/>
      </c>
      <c r="O116" s="110" t="str">
        <f>IF(AND($Z$11,COUNT($BE$24:$BE$123)&gt;92),$B$26,"")</f>
        <v/>
      </c>
      <c r="P116" s="110" t="str">
        <f>IF(AND($Z$11,COUNT($BE$24:$BE$123)&gt;92),INDEX($BJ$24:$BJ$123,(COUNT($BE$24:$BE$123)-92))*$B$27*$B$26,"")</f>
        <v/>
      </c>
      <c r="Q116" s="110" t="str">
        <f>IF(AND($Z$11,COUNT($BE$24:$BE$123)&gt;92),$B$35,"")</f>
        <v/>
      </c>
      <c r="R116" s="110" t="str">
        <f>IF(AND($Z$11,COUNT($BE$24:$BE$123)&gt;92),INDEX($BL$24:$BL$123,(COUNT($BE$24:$BE$123)-92)),"")</f>
        <v/>
      </c>
      <c r="S116" s="110" t="str">
        <f>IF(AND($Z$11,COUNT($BE$24:$BE$123)&gt;92),INDEX($BM$24:$BM$123,(COUNT($BE$24:$BE$123)-92)),"")</f>
        <v/>
      </c>
      <c r="T116" s="110" t="str">
        <f>IF(AND($Z$11,COUNT($BE$24:$BE$123)&gt;92),INDEX($BN$24:$BN$123,(COUNT($BE$24:$BE$123)-92)),"")</f>
        <v/>
      </c>
      <c r="W116" s="12"/>
      <c r="X116" s="12"/>
      <c r="Y116" s="12"/>
      <c r="Z116" s="12"/>
      <c r="AA116" s="12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D116" s="12">
        <f>93</f>
        <v>93</v>
      </c>
      <c r="BE116" s="32"/>
      <c r="BF116" s="32"/>
      <c r="BG116" s="32" t="str">
        <f>IF(BO116="OK",SUM($BE$24:BE116)-BE116,"")</f>
        <v/>
      </c>
      <c r="BH116" s="32" t="str">
        <f t="shared" si="23"/>
        <v/>
      </c>
      <c r="BI116" s="32" t="str">
        <f>IF(AND(BO116="OK",$Z$7),MAX('Wind Load Check'!$B$29,1.1+0.055*('Wind Load Check'!$B$23/'Wind Load Check'!$B$8)/EXP(ABS(LN((0.6*BF116/'Wind Load Check'!$B$8)*(1-0.011*'Wind Load Check'!$B$23/'Wind Load Check'!$B$8)))^(1.7-0.0013*('Wind Load Check'!$B$23/BF116)^2))),"")</f>
        <v/>
      </c>
      <c r="BJ116" s="32" t="str">
        <f t="shared" si="24"/>
        <v/>
      </c>
      <c r="BK116" s="32" t="str">
        <f>IF(AND(BO116="OK",$Z$7),BJ116*'Wind Load Check'!$B$26*'Wind Load Check'!$B$27*BI116*'Wind Load Check'!$B$35,"")</f>
        <v/>
      </c>
      <c r="BL116" s="32" t="str">
        <f t="shared" si="25"/>
        <v/>
      </c>
      <c r="BM116" s="32" t="str">
        <f>IF(AND(BO116="OK",ISNUMBER('Uplift Check'!$B$38)),(BG116+BH116)/2+'Uplift Check'!$B$38,"")</f>
        <v/>
      </c>
      <c r="BN116" s="32" t="str">
        <f t="shared" si="26"/>
        <v/>
      </c>
      <c r="BO116" s="32" t="str">
        <f t="shared" si="30"/>
        <v/>
      </c>
      <c r="BP116" s="32" t="str">
        <f t="shared" si="27"/>
        <v/>
      </c>
      <c r="BQ116" s="32" t="str">
        <f t="shared" si="28"/>
        <v/>
      </c>
      <c r="BR116" s="32" t="str">
        <f t="shared" si="29"/>
        <v/>
      </c>
    </row>
    <row r="117" spans="1:70" ht="22.05" customHeight="1">
      <c r="A117" s="12"/>
      <c r="B117" s="12"/>
      <c r="C117" s="12"/>
      <c r="D117" s="12"/>
      <c r="E117" s="12"/>
      <c r="F117" s="12"/>
      <c r="G117" s="12"/>
      <c r="H117" s="109" t="str">
        <f>IF(AND($Z$11,COUNT($BE$24:$BE$123)&gt;93),INDEX($BD$24:$BD$123,(COUNT($BE$24:$BE$123)-93)),"")</f>
        <v/>
      </c>
      <c r="I117" s="110" t="str">
        <f>IF(AND($Z$11,COUNT($BE$24:$BE$123)&gt;93),INDEX($BH$24:$BH$123,(COUNT($BE$24:$BE$123)-93))+'Uplift Check'!$B$25,"")</f>
        <v/>
      </c>
      <c r="J117" s="110" t="str">
        <f>IF(AND($Z$11,COUNT($BE$24:$BE$123)&gt;93),INDEX($BF$24:$BF$123,(COUNT($BE$24:$BE$123)-93)),"")</f>
        <v/>
      </c>
      <c r="K117" s="110" t="str">
        <f>IF(AND($Z$11,COUNT($BE$24:$BE$123)&gt;93),$B$8,"")</f>
        <v/>
      </c>
      <c r="L117" s="110" t="str">
        <f>IF(AND($Z$11,COUNT($BE$24:$BE$123)&gt;93),INDEX($BI$24:$BI$123,(COUNT($BE$24:$BE$123)-93)),"")</f>
        <v/>
      </c>
      <c r="M117" s="110" t="str">
        <f>IF(AND($Z$11,COUNT($BE$24:$BE$123)&gt;93),INDEX($BJ$24:$BJ$123,(COUNT($BE$24:$BE$123)-93)),"")</f>
        <v/>
      </c>
      <c r="N117" s="110" t="str">
        <f>IF(AND($Z$11,COUNT($BE$24:$BE$123)&gt;93),$B$27,"")</f>
        <v/>
      </c>
      <c r="O117" s="110" t="str">
        <f>IF(AND($Z$11,COUNT($BE$24:$BE$123)&gt;93),$B$26,"")</f>
        <v/>
      </c>
      <c r="P117" s="110" t="str">
        <f>IF(AND($Z$11,COUNT($BE$24:$BE$123)&gt;93),INDEX($BJ$24:$BJ$123,(COUNT($BE$24:$BE$123)-93))*$B$27*$B$26,"")</f>
        <v/>
      </c>
      <c r="Q117" s="110" t="str">
        <f>IF(AND($Z$11,COUNT($BE$24:$BE$123)&gt;93),$B$35,"")</f>
        <v/>
      </c>
      <c r="R117" s="110" t="str">
        <f>IF(AND($Z$11,COUNT($BE$24:$BE$123)&gt;93),INDEX($BL$24:$BL$123,(COUNT($BE$24:$BE$123)-93)),"")</f>
        <v/>
      </c>
      <c r="S117" s="110" t="str">
        <f>IF(AND($Z$11,COUNT($BE$24:$BE$123)&gt;93),INDEX($BM$24:$BM$123,(COUNT($BE$24:$BE$123)-93)),"")</f>
        <v/>
      </c>
      <c r="T117" s="110" t="str">
        <f>IF(AND($Z$11,COUNT($BE$24:$BE$123)&gt;93),INDEX($BN$24:$BN$123,(COUNT($BE$24:$BE$123)-93)),"")</f>
        <v/>
      </c>
      <c r="W117" s="12"/>
      <c r="X117" s="12"/>
      <c r="Y117" s="12"/>
      <c r="Z117" s="12"/>
      <c r="AA117" s="12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D117" s="12">
        <f>94</f>
        <v>94</v>
      </c>
      <c r="BE117" s="32"/>
      <c r="BF117" s="32"/>
      <c r="BG117" s="32" t="str">
        <f>IF(BO117="OK",SUM($BE$24:BE117)-BE117,"")</f>
        <v/>
      </c>
      <c r="BH117" s="32" t="str">
        <f t="shared" si="23"/>
        <v/>
      </c>
      <c r="BI117" s="32" t="str">
        <f>IF(AND(BO117="OK",$Z$7),MAX('Wind Load Check'!$B$29,1.1+0.055*('Wind Load Check'!$B$23/'Wind Load Check'!$B$8)/EXP(ABS(LN((0.6*BF117/'Wind Load Check'!$B$8)*(1-0.011*'Wind Load Check'!$B$23/'Wind Load Check'!$B$8)))^(1.7-0.0013*('Wind Load Check'!$B$23/BF117)^2))),"")</f>
        <v/>
      </c>
      <c r="BJ117" s="32" t="str">
        <f t="shared" si="24"/>
        <v/>
      </c>
      <c r="BK117" s="32" t="str">
        <f>IF(AND(BO117="OK",$Z$7),BJ117*'Wind Load Check'!$B$26*'Wind Load Check'!$B$27*BI117*'Wind Load Check'!$B$35,"")</f>
        <v/>
      </c>
      <c r="BL117" s="32" t="str">
        <f t="shared" si="25"/>
        <v/>
      </c>
      <c r="BM117" s="32" t="str">
        <f>IF(AND(BO117="OK",ISNUMBER('Uplift Check'!$B$38)),(BG117+BH117)/2+'Uplift Check'!$B$38,"")</f>
        <v/>
      </c>
      <c r="BN117" s="32" t="str">
        <f t="shared" si="26"/>
        <v/>
      </c>
      <c r="BO117" s="32" t="str">
        <f t="shared" si="30"/>
        <v/>
      </c>
      <c r="BP117" s="32" t="str">
        <f t="shared" si="27"/>
        <v/>
      </c>
      <c r="BQ117" s="32" t="str">
        <f t="shared" si="28"/>
        <v/>
      </c>
      <c r="BR117" s="32" t="str">
        <f t="shared" si="29"/>
        <v/>
      </c>
    </row>
    <row r="118" spans="1:70" ht="22.05" customHeight="1">
      <c r="A118" s="12"/>
      <c r="B118" s="12"/>
      <c r="C118" s="12"/>
      <c r="D118" s="12"/>
      <c r="E118" s="12"/>
      <c r="F118" s="12"/>
      <c r="G118" s="12"/>
      <c r="H118" s="109" t="str">
        <f>IF(AND($Z$11,COUNT($BE$24:$BE$123)&gt;94),INDEX($BD$24:$BD$123,(COUNT($BE$24:$BE$123)-94)),"")</f>
        <v/>
      </c>
      <c r="I118" s="110" t="str">
        <f>IF(AND($Z$11,COUNT($BE$24:$BE$123)&gt;94),INDEX($BH$24:$BH$123,(COUNT($BE$24:$BE$123)-94))+'Uplift Check'!$B$25,"")</f>
        <v/>
      </c>
      <c r="J118" s="110" t="str">
        <f>IF(AND($Z$11,COUNT($BE$24:$BE$123)&gt;94),INDEX($BF$24:$BF$123,(COUNT($BE$24:$BE$123)-94)),"")</f>
        <v/>
      </c>
      <c r="K118" s="110" t="str">
        <f>IF(AND($Z$11,COUNT($BE$24:$BE$123)&gt;94),$B$8,"")</f>
        <v/>
      </c>
      <c r="L118" s="110" t="str">
        <f>IF(AND($Z$11,COUNT($BE$24:$BE$123)&gt;94),INDEX($BI$24:$BI$123,(COUNT($BE$24:$BE$123)-94)),"")</f>
        <v/>
      </c>
      <c r="M118" s="110" t="str">
        <f>IF(AND($Z$11,COUNT($BE$24:$BE$123)&gt;94),INDEX($BJ$24:$BJ$123,(COUNT($BE$24:$BE$123)-94)),"")</f>
        <v/>
      </c>
      <c r="N118" s="110" t="str">
        <f>IF(AND($Z$11,COUNT($BE$24:$BE$123)&gt;94),$B$27,"")</f>
        <v/>
      </c>
      <c r="O118" s="110" t="str">
        <f>IF(AND($Z$11,COUNT($BE$24:$BE$123)&gt;94),$B$26,"")</f>
        <v/>
      </c>
      <c r="P118" s="110" t="str">
        <f>IF(AND($Z$11,COUNT($BE$24:$BE$123)&gt;94),INDEX($BJ$24:$BJ$123,(COUNT($BE$24:$BE$123)-94))*$B$27*$B$26,"")</f>
        <v/>
      </c>
      <c r="Q118" s="110" t="str">
        <f>IF(AND($Z$11,COUNT($BE$24:$BE$123)&gt;94),$B$35,"")</f>
        <v/>
      </c>
      <c r="R118" s="110" t="str">
        <f>IF(AND($Z$11,COUNT($BE$24:$BE$123)&gt;94),INDEX($BL$24:$BL$123,(COUNT($BE$24:$BE$123)-94)),"")</f>
        <v/>
      </c>
      <c r="S118" s="110" t="str">
        <f>IF(AND($Z$11,COUNT($BE$24:$BE$123)&gt;94),INDEX($BM$24:$BM$123,(COUNT($BE$24:$BE$123)-94)),"")</f>
        <v/>
      </c>
      <c r="T118" s="110" t="str">
        <f>IF(AND($Z$11,COUNT($BE$24:$BE$123)&gt;94),INDEX($BN$24:$BN$123,(COUNT($BE$24:$BE$123)-94)),"")</f>
        <v/>
      </c>
      <c r="W118" s="12"/>
      <c r="X118" s="12"/>
      <c r="Y118" s="12"/>
      <c r="Z118" s="12"/>
      <c r="AA118" s="12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D118" s="12">
        <f>95</f>
        <v>95</v>
      </c>
      <c r="BE118" s="32"/>
      <c r="BF118" s="32"/>
      <c r="BG118" s="32" t="str">
        <f>IF(BO118="OK",SUM($BE$24:BE118)-BE118,"")</f>
        <v/>
      </c>
      <c r="BH118" s="32" t="str">
        <f t="shared" si="23"/>
        <v/>
      </c>
      <c r="BI118" s="32" t="str">
        <f>IF(AND(BO118="OK",$Z$7),MAX('Wind Load Check'!$B$29,1.1+0.055*('Wind Load Check'!$B$23/'Wind Load Check'!$B$8)/EXP(ABS(LN((0.6*BF118/'Wind Load Check'!$B$8)*(1-0.011*'Wind Load Check'!$B$23/'Wind Load Check'!$B$8)))^(1.7-0.0013*('Wind Load Check'!$B$23/BF118)^2))),"")</f>
        <v/>
      </c>
      <c r="BJ118" s="32" t="str">
        <f t="shared" si="24"/>
        <v/>
      </c>
      <c r="BK118" s="32" t="str">
        <f>IF(AND(BO118="OK",$Z$7),BJ118*'Wind Load Check'!$B$26*'Wind Load Check'!$B$27*BI118*'Wind Load Check'!$B$35,"")</f>
        <v/>
      </c>
      <c r="BL118" s="32" t="str">
        <f t="shared" si="25"/>
        <v/>
      </c>
      <c r="BM118" s="32" t="str">
        <f>IF(AND(BO118="OK",ISNUMBER('Uplift Check'!$B$38)),(BG118+BH118)/2+'Uplift Check'!$B$38,"")</f>
        <v/>
      </c>
      <c r="BN118" s="32" t="str">
        <f t="shared" si="26"/>
        <v/>
      </c>
      <c r="BO118" s="32" t="str">
        <f t="shared" si="30"/>
        <v/>
      </c>
      <c r="BP118" s="32" t="str">
        <f t="shared" si="27"/>
        <v/>
      </c>
      <c r="BQ118" s="32" t="str">
        <f t="shared" si="28"/>
        <v/>
      </c>
      <c r="BR118" s="32" t="str">
        <f t="shared" si="29"/>
        <v/>
      </c>
    </row>
    <row r="119" spans="1:70" ht="22.05" customHeight="1">
      <c r="A119" s="12"/>
      <c r="B119" s="12"/>
      <c r="C119" s="12"/>
      <c r="D119" s="12"/>
      <c r="E119" s="12"/>
      <c r="F119" s="12"/>
      <c r="G119" s="12"/>
      <c r="H119" s="109" t="str">
        <f>IF(AND($Z$11,COUNT($BE$24:$BE$123)&gt;95),INDEX($BD$24:$BD$123,(COUNT($BE$24:$BE$123)-95)),"")</f>
        <v/>
      </c>
      <c r="I119" s="110" t="str">
        <f>IF(AND($Z$11,COUNT($BE$24:$BE$123)&gt;95),INDEX($BH$24:$BH$123,(COUNT($BE$24:$BE$123)-95))+'Uplift Check'!$B$25,"")</f>
        <v/>
      </c>
      <c r="J119" s="110" t="str">
        <f>IF(AND($Z$11,COUNT($BE$24:$BE$123)&gt;95),INDEX($BF$24:$BF$123,(COUNT($BE$24:$BE$123)-95)),"")</f>
        <v/>
      </c>
      <c r="K119" s="110" t="str">
        <f>IF(AND($Z$11,COUNT($BE$24:$BE$123)&gt;95),$B$8,"")</f>
        <v/>
      </c>
      <c r="L119" s="110" t="str">
        <f>IF(AND($Z$11,COUNT($BE$24:$BE$123)&gt;95),INDEX($BI$24:$BI$123,(COUNT($BE$24:$BE$123)-95)),"")</f>
        <v/>
      </c>
      <c r="M119" s="110" t="str">
        <f>IF(AND($Z$11,COUNT($BE$24:$BE$123)&gt;95),INDEX($BJ$24:$BJ$123,(COUNT($BE$24:$BE$123)-95)),"")</f>
        <v/>
      </c>
      <c r="N119" s="110" t="str">
        <f>IF(AND($Z$11,COUNT($BE$24:$BE$123)&gt;95),$B$27,"")</f>
        <v/>
      </c>
      <c r="O119" s="110" t="str">
        <f>IF(AND($Z$11,COUNT($BE$24:$BE$123)&gt;95),$B$26,"")</f>
        <v/>
      </c>
      <c r="P119" s="110" t="str">
        <f>IF(AND($Z$11,COUNT($BE$24:$BE$123)&gt;95),INDEX($BJ$24:$BJ$123,(COUNT($BE$24:$BE$123)-95))*$B$27*$B$26,"")</f>
        <v/>
      </c>
      <c r="Q119" s="110" t="str">
        <f>IF(AND($Z$11,COUNT($BE$24:$BE$123)&gt;95),$B$35,"")</f>
        <v/>
      </c>
      <c r="R119" s="110" t="str">
        <f>IF(AND($Z$11,COUNT($BE$24:$BE$123)&gt;95),INDEX($BL$24:$BL$123,(COUNT($BE$24:$BE$123)-95)),"")</f>
        <v/>
      </c>
      <c r="S119" s="110" t="str">
        <f>IF(AND($Z$11,COUNT($BE$24:$BE$123)&gt;95),INDEX($BM$24:$BM$123,(COUNT($BE$24:$BE$123)-95)),"")</f>
        <v/>
      </c>
      <c r="T119" s="110" t="str">
        <f>IF(AND($Z$11,COUNT($BE$24:$BE$123)&gt;95),INDEX($BN$24:$BN$123,(COUNT($BE$24:$BE$123)-95)),"")</f>
        <v/>
      </c>
      <c r="W119" s="12"/>
      <c r="X119" s="12"/>
      <c r="Y119" s="12"/>
      <c r="Z119" s="12"/>
      <c r="AA119" s="12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D119" s="12">
        <f>96</f>
        <v>96</v>
      </c>
      <c r="BE119" s="32"/>
      <c r="BF119" s="32"/>
      <c r="BG119" s="32" t="str">
        <f>IF(BO119="OK",SUM($BE$24:BE119)-BE119,"")</f>
        <v/>
      </c>
      <c r="BH119" s="32" t="str">
        <f t="shared" si="23"/>
        <v/>
      </c>
      <c r="BI119" s="32" t="str">
        <f>IF(AND(BO119="OK",$Z$7),MAX('Wind Load Check'!$B$29,1.1+0.055*('Wind Load Check'!$B$23/'Wind Load Check'!$B$8)/EXP(ABS(LN((0.6*BF119/'Wind Load Check'!$B$8)*(1-0.011*'Wind Load Check'!$B$23/'Wind Load Check'!$B$8)))^(1.7-0.0013*('Wind Load Check'!$B$23/BF119)^2))),"")</f>
        <v/>
      </c>
      <c r="BJ119" s="32" t="str">
        <f t="shared" si="24"/>
        <v/>
      </c>
      <c r="BK119" s="32" t="str">
        <f>IF(AND(BO119="OK",$Z$7),BJ119*'Wind Load Check'!$B$26*'Wind Load Check'!$B$27*BI119*'Wind Load Check'!$B$35,"")</f>
        <v/>
      </c>
      <c r="BL119" s="32" t="str">
        <f t="shared" si="25"/>
        <v/>
      </c>
      <c r="BM119" s="32" t="str">
        <f>IF(AND(BO119="OK",ISNUMBER('Uplift Check'!$B$38)),(BG119+BH119)/2+'Uplift Check'!$B$38,"")</f>
        <v/>
      </c>
      <c r="BN119" s="32" t="str">
        <f t="shared" si="26"/>
        <v/>
      </c>
      <c r="BO119" s="32" t="str">
        <f t="shared" si="30"/>
        <v/>
      </c>
      <c r="BP119" s="32" t="str">
        <f t="shared" si="27"/>
        <v/>
      </c>
      <c r="BQ119" s="32" t="str">
        <f t="shared" si="28"/>
        <v/>
      </c>
      <c r="BR119" s="32" t="str">
        <f t="shared" si="29"/>
        <v/>
      </c>
    </row>
    <row r="120" spans="1:70" ht="22.05" customHeight="1">
      <c r="A120" s="38"/>
      <c r="B120" s="38"/>
      <c r="C120" s="38"/>
      <c r="D120" s="38"/>
      <c r="E120" s="38"/>
      <c r="F120" s="38"/>
      <c r="G120" s="12"/>
      <c r="H120" s="109" t="str">
        <f>IF(AND($Z$11,COUNT($BE$24:$BE$123)&gt;96),INDEX($BD$24:$BD$123,(COUNT($BE$24:$BE$123)-96)),"")</f>
        <v/>
      </c>
      <c r="I120" s="110" t="str">
        <f>IF(AND($Z$11,COUNT($BE$24:$BE$123)&gt;96),INDEX($BH$24:$BH$123,(COUNT($BE$24:$BE$123)-96))+'Uplift Check'!$B$25,"")</f>
        <v/>
      </c>
      <c r="J120" s="110" t="str">
        <f>IF(AND($Z$11,COUNT($BE$24:$BE$123)&gt;96),INDEX($BF$24:$BF$123,(COUNT($BE$24:$BE$123)-96)),"")</f>
        <v/>
      </c>
      <c r="K120" s="110" t="str">
        <f>IF(AND($Z$11,COUNT($BE$24:$BE$123)&gt;96),$B$8,"")</f>
        <v/>
      </c>
      <c r="L120" s="110" t="str">
        <f>IF(AND($Z$11,COUNT($BE$24:$BE$123)&gt;96),INDEX($BI$24:$BI$123,(COUNT($BE$24:$BE$123)-96)),"")</f>
        <v/>
      </c>
      <c r="M120" s="110" t="str">
        <f>IF(AND($Z$11,COUNT($BE$24:$BE$123)&gt;96),INDEX($BJ$24:$BJ$123,(COUNT($BE$24:$BE$123)-96)),"")</f>
        <v/>
      </c>
      <c r="N120" s="110" t="str">
        <f>IF(AND($Z$11,COUNT($BE$24:$BE$123)&gt;96),$B$27,"")</f>
        <v/>
      </c>
      <c r="O120" s="110" t="str">
        <f>IF(AND($Z$11,COUNT($BE$24:$BE$123)&gt;96),$B$26,"")</f>
        <v/>
      </c>
      <c r="P120" s="110" t="str">
        <f>IF(AND($Z$11,COUNT($BE$24:$BE$123)&gt;96),INDEX($BJ$24:$BJ$123,(COUNT($BE$24:$BE$123)-96))*$B$27*$B$26,"")</f>
        <v/>
      </c>
      <c r="Q120" s="110" t="str">
        <f>IF(AND($Z$11,COUNT($BE$24:$BE$123)&gt;96),$B$35,"")</f>
        <v/>
      </c>
      <c r="R120" s="110" t="str">
        <f>IF(AND($Z$11,COUNT($BE$24:$BE$123)&gt;96),INDEX($BL$24:$BL$123,(COUNT($BE$24:$BE$123)-96)),"")</f>
        <v/>
      </c>
      <c r="S120" s="110" t="str">
        <f>IF(AND($Z$11,COUNT($BE$24:$BE$123)&gt;96),INDEX($BM$24:$BM$123,(COUNT($BE$24:$BE$123)-96)),"")</f>
        <v/>
      </c>
      <c r="T120" s="110" t="str">
        <f>IF(AND($Z$11,COUNT($BE$24:$BE$123)&gt;96),INDEX($BN$24:$BN$123,(COUNT($BE$24:$BE$123)-96)),"")</f>
        <v/>
      </c>
      <c r="W120" s="12"/>
      <c r="X120" s="12"/>
      <c r="Y120" s="12"/>
      <c r="Z120" s="12"/>
      <c r="AA120" s="12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D120" s="12">
        <f>97</f>
        <v>97</v>
      </c>
      <c r="BE120" s="32"/>
      <c r="BF120" s="32"/>
      <c r="BG120" s="32" t="str">
        <f>IF(BO120="OK",SUM($BE$24:BE120)-BE120,"")</f>
        <v/>
      </c>
      <c r="BH120" s="32" t="str">
        <f t="shared" ref="BH120:BH123" si="31">IF(BO120="OK",BG120+BE120,"")</f>
        <v/>
      </c>
      <c r="BI120" s="32" t="str">
        <f>IF(AND(BO120="OK",$Z$7),MAX('Wind Load Check'!$B$29,1.1+0.055*('Wind Load Check'!$B$23/'Wind Load Check'!$B$8)/EXP(ABS(LN((0.6*BF120/'Wind Load Check'!$B$8)*(1-0.011*'Wind Load Check'!$B$23/'Wind Load Check'!$B$8)))^(1.7-0.0013*('Wind Load Check'!$B$23/BF120)^2))),"")</f>
        <v/>
      </c>
      <c r="BJ120" s="32" t="str">
        <f t="shared" si="24"/>
        <v/>
      </c>
      <c r="BK120" s="32" t="str">
        <f>IF(AND(BO120="OK",$Z$7),BJ120*'Wind Load Check'!$B$26*'Wind Load Check'!$B$27*BI120*'Wind Load Check'!$B$35,"")</f>
        <v/>
      </c>
      <c r="BL120" s="32" t="str">
        <f t="shared" ref="BL120:BL123" si="32">IF(AND(BO120="OK",$Z$7),BK120*BF120*BE120,"")</f>
        <v/>
      </c>
      <c r="BM120" s="32" t="str">
        <f>IF(AND(BO120="OK",ISNUMBER('Uplift Check'!$B$38)),(BG120+BH120)/2+'Uplift Check'!$B$38,"")</f>
        <v/>
      </c>
      <c r="BN120" s="32" t="str">
        <f t="shared" ref="BN120:BN123" si="33">IF(COUNT(BL120:BM120)=2,BL120*BM120,"")</f>
        <v/>
      </c>
      <c r="BO120" s="32" t="str">
        <f t="shared" si="30"/>
        <v/>
      </c>
      <c r="BP120" s="32" t="str">
        <f t="shared" si="27"/>
        <v/>
      </c>
      <c r="BQ120" s="32" t="str">
        <f t="shared" si="28"/>
        <v/>
      </c>
      <c r="BR120" s="32" t="str">
        <f t="shared" ref="BR120:BR123" si="34">IF(AND(BO120="OK",ISNUMBER($B$23)),1.59*(MIN((BH120+$B$23-$B$9),2.5)^2-MIN((BG120+$B$23-$B$9),2.5)^2)/2+3.7/500^0.16*(MAX((BH120+$B$23-$B$9),2.5)^2.16-MAX((BG120+$B$23-$B$9),2.5)^2.16)/2.16-($B$23-$B$9)*BQ120,"")</f>
        <v/>
      </c>
    </row>
    <row r="121" spans="1:70" ht="22.05" customHeight="1">
      <c r="A121" s="38"/>
      <c r="B121" s="38"/>
      <c r="C121" s="38"/>
      <c r="D121" s="38"/>
      <c r="E121" s="38"/>
      <c r="F121" s="38"/>
      <c r="G121" s="12"/>
      <c r="H121" s="109" t="str">
        <f>IF(AND($Z$11,COUNT($BE$24:$BE$123)&gt;97),INDEX($BD$24:$BD$123,(COUNT($BE$24:$BE$123)-97)),"")</f>
        <v/>
      </c>
      <c r="I121" s="110" t="str">
        <f>IF(AND($Z$11,COUNT($BE$24:$BE$123)&gt;97),INDEX($BH$24:$BH$123,(COUNT($BE$24:$BE$123)-97))+'Uplift Check'!$B$25,"")</f>
        <v/>
      </c>
      <c r="J121" s="110" t="str">
        <f>IF(AND($Z$11,COUNT($BE$24:$BE$123)&gt;97),INDEX($BF$24:$BF$123,(COUNT($BE$24:$BE$123)-97)),"")</f>
        <v/>
      </c>
      <c r="K121" s="110" t="str">
        <f>IF(AND($Z$11,COUNT($BE$24:$BE$123)&gt;97),$B$8,"")</f>
        <v/>
      </c>
      <c r="L121" s="110" t="str">
        <f>IF(AND($Z$11,COUNT($BE$24:$BE$123)&gt;97),INDEX($BI$24:$BI$123,(COUNT($BE$24:$BE$123)-97)),"")</f>
        <v/>
      </c>
      <c r="M121" s="110" t="str">
        <f>IF(AND($Z$11,COUNT($BE$24:$BE$123)&gt;97),INDEX($BJ$24:$BJ$123,(COUNT($BE$24:$BE$123)-97)),"")</f>
        <v/>
      </c>
      <c r="N121" s="110" t="str">
        <f>IF(AND($Z$11,COUNT($BE$24:$BE$123)&gt;97),$B$27,"")</f>
        <v/>
      </c>
      <c r="O121" s="110" t="str">
        <f>IF(AND($Z$11,COUNT($BE$24:$BE$123)&gt;97),$B$26,"")</f>
        <v/>
      </c>
      <c r="P121" s="110" t="str">
        <f>IF(AND($Z$11,COUNT($BE$24:$BE$123)&gt;97),INDEX($BJ$24:$BJ$123,(COUNT($BE$24:$BE$123)-97))*$B$27*$B$26,"")</f>
        <v/>
      </c>
      <c r="Q121" s="110" t="str">
        <f>IF(AND($Z$11,COUNT($BE$24:$BE$123)&gt;97),$B$35,"")</f>
        <v/>
      </c>
      <c r="R121" s="110" t="str">
        <f>IF(AND($Z$11,COUNT($BE$24:$BE$123)&gt;97),INDEX($BL$24:$BL$123,(COUNT($BE$24:$BE$123)-97)),"")</f>
        <v/>
      </c>
      <c r="S121" s="110" t="str">
        <f>IF(AND($Z$11,COUNT($BE$24:$BE$123)&gt;97),INDEX($BM$24:$BM$123,(COUNT($BE$24:$BE$123)-97)),"")</f>
        <v/>
      </c>
      <c r="T121" s="110" t="str">
        <f>IF(AND($Z$11,COUNT($BE$24:$BE$123)&gt;97),INDEX($BN$24:$BN$123,(COUNT($BE$24:$BE$123)-97)),"")</f>
        <v/>
      </c>
      <c r="W121" s="12"/>
      <c r="X121" s="12"/>
      <c r="Y121" s="12"/>
      <c r="Z121" s="12"/>
      <c r="AA121" s="12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D121" s="12">
        <f>98</f>
        <v>98</v>
      </c>
      <c r="BE121" s="32"/>
      <c r="BF121" s="32"/>
      <c r="BG121" s="32" t="str">
        <f>IF(BO121="OK",SUM($BE$24:BE121)-BE121,"")</f>
        <v/>
      </c>
      <c r="BH121" s="32" t="str">
        <f t="shared" si="31"/>
        <v/>
      </c>
      <c r="BI121" s="32" t="str">
        <f>IF(AND(BO121="OK",$Z$7),MAX('Wind Load Check'!$B$29,1.1+0.055*('Wind Load Check'!$B$23/'Wind Load Check'!$B$8)/EXP(ABS(LN((0.6*BF121/'Wind Load Check'!$B$8)*(1-0.011*'Wind Load Check'!$B$23/'Wind Load Check'!$B$8)))^(1.7-0.0013*('Wind Load Check'!$B$23/BF121)^2))),"")</f>
        <v/>
      </c>
      <c r="BJ121" s="32" t="str">
        <f t="shared" si="24"/>
        <v/>
      </c>
      <c r="BK121" s="32" t="str">
        <f>IF(AND(BO121="OK",$Z$7),BJ121*'Wind Load Check'!$B$26*'Wind Load Check'!$B$27*BI121*'Wind Load Check'!$B$35,"")</f>
        <v/>
      </c>
      <c r="BL121" s="32" t="str">
        <f t="shared" si="32"/>
        <v/>
      </c>
      <c r="BM121" s="32" t="str">
        <f>IF(AND(BO121="OK",ISNUMBER('Uplift Check'!$B$38)),(BG121+BH121)/2+'Uplift Check'!$B$38,"")</f>
        <v/>
      </c>
      <c r="BN121" s="32" t="str">
        <f t="shared" si="33"/>
        <v/>
      </c>
      <c r="BO121" s="32" t="str">
        <f t="shared" si="30"/>
        <v/>
      </c>
      <c r="BP121" s="32" t="str">
        <f t="shared" si="27"/>
        <v/>
      </c>
      <c r="BQ121" s="32" t="str">
        <f t="shared" si="28"/>
        <v/>
      </c>
      <c r="BR121" s="32" t="str">
        <f t="shared" si="34"/>
        <v/>
      </c>
    </row>
    <row r="122" spans="1:70" ht="22.05" customHeight="1">
      <c r="A122" s="38"/>
      <c r="B122" s="38"/>
      <c r="C122" s="38"/>
      <c r="D122" s="38"/>
      <c r="E122" s="38"/>
      <c r="F122" s="38"/>
      <c r="G122" s="12"/>
      <c r="H122" s="109" t="str">
        <f>IF(AND($Z$11,COUNT($BE$24:$BE$123)&gt;98),INDEX($BD$24:$BD$123,(COUNT($BE$24:$BE$123)-98)),"")</f>
        <v/>
      </c>
      <c r="I122" s="110" t="str">
        <f>IF(AND($Z$11,COUNT($BE$24:$BE$123)&gt;98),INDEX($BH$24:$BH$123,(COUNT($BE$24:$BE$123)-98))+'Uplift Check'!$B$25,"")</f>
        <v/>
      </c>
      <c r="J122" s="110" t="str">
        <f>IF(AND($Z$11,COUNT($BE$24:$BE$123)&gt;98),INDEX($BF$24:$BF$123,(COUNT($BE$24:$BE$123)-98)),"")</f>
        <v/>
      </c>
      <c r="K122" s="110" t="str">
        <f>IF(AND($Z$11,COUNT($BE$24:$BE$123)&gt;98),$B$8,"")</f>
        <v/>
      </c>
      <c r="L122" s="110" t="str">
        <f>IF(AND($Z$11,COUNT($BE$24:$BE$123)&gt;98),INDEX($BI$24:$BI$123,(COUNT($BE$24:$BE$123)-98)),"")</f>
        <v/>
      </c>
      <c r="M122" s="110" t="str">
        <f>IF(AND($Z$11,COUNT($BE$24:$BE$123)&gt;98),INDEX($BJ$24:$BJ$123,(COUNT($BE$24:$BE$123)-98)),"")</f>
        <v/>
      </c>
      <c r="N122" s="110" t="str">
        <f>IF(AND($Z$11,COUNT($BE$24:$BE$123)&gt;98),$B$27,"")</f>
        <v/>
      </c>
      <c r="O122" s="110" t="str">
        <f>IF(AND($Z$11,COUNT($BE$24:$BE$123)&gt;98),$B$26,"")</f>
        <v/>
      </c>
      <c r="P122" s="110" t="str">
        <f>IF(AND($Z$11,COUNT($BE$24:$BE$123)&gt;98),INDEX($BJ$24:$BJ$123,(COUNT($BE$24:$BE$123)-98))*$B$27*$B$26,"")</f>
        <v/>
      </c>
      <c r="Q122" s="110" t="str">
        <f>IF(AND($Z$11,COUNT($BE$24:$BE$123)&gt;98),$B$35,"")</f>
        <v/>
      </c>
      <c r="R122" s="110" t="str">
        <f>IF(AND($Z$11,COUNT($BE$24:$BE$123)&gt;98),INDEX($BL$24:$BL$123,(COUNT($BE$24:$BE$123)-98)),"")</f>
        <v/>
      </c>
      <c r="S122" s="110" t="str">
        <f>IF(AND($Z$11,COUNT($BE$24:$BE$123)&gt;98),INDEX($BM$24:$BM$123,(COUNT($BE$24:$BE$123)-98)),"")</f>
        <v/>
      </c>
      <c r="T122" s="110" t="str">
        <f>IF(AND($Z$11,COUNT($BE$24:$BE$123)&gt;98),INDEX($BN$24:$BN$123,(COUNT($BE$24:$BE$123)-98)),"")</f>
        <v/>
      </c>
      <c r="W122" s="12"/>
      <c r="X122" s="12"/>
      <c r="Y122" s="12"/>
      <c r="Z122" s="12"/>
      <c r="AA122" s="12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D122" s="12">
        <f>99</f>
        <v>99</v>
      </c>
      <c r="BE122" s="32"/>
      <c r="BF122" s="32"/>
      <c r="BG122" s="32" t="str">
        <f>IF(BO122="OK",SUM($BE$24:BE122)-BE122,"")</f>
        <v/>
      </c>
      <c r="BH122" s="32" t="str">
        <f t="shared" si="31"/>
        <v/>
      </c>
      <c r="BI122" s="32" t="str">
        <f>IF(AND(BO122="OK",$Z$7),MAX('Wind Load Check'!$B$29,1.1+0.055*('Wind Load Check'!$B$23/'Wind Load Check'!$B$8)/EXP(ABS(LN((0.6*BF122/'Wind Load Check'!$B$8)*(1-0.011*'Wind Load Check'!$B$23/'Wind Load Check'!$B$8)))^(1.7-0.0013*('Wind Load Check'!$B$23/BF122)^2))),"")</f>
        <v/>
      </c>
      <c r="BJ122" s="32" t="str">
        <f t="shared" si="24"/>
        <v/>
      </c>
      <c r="BK122" s="32" t="str">
        <f>IF(AND(BO122="OK",$Z$7),BJ122*'Wind Load Check'!$B$26*'Wind Load Check'!$B$27*BI122*'Wind Load Check'!$B$35,"")</f>
        <v/>
      </c>
      <c r="BL122" s="32" t="str">
        <f t="shared" si="32"/>
        <v/>
      </c>
      <c r="BM122" s="32" t="str">
        <f>IF(AND(BO122="OK",ISNUMBER('Uplift Check'!$B$38)),(BG122+BH122)/2+'Uplift Check'!$B$38,"")</f>
        <v/>
      </c>
      <c r="BN122" s="32" t="str">
        <f t="shared" si="33"/>
        <v/>
      </c>
      <c r="BO122" s="32" t="str">
        <f t="shared" si="30"/>
        <v/>
      </c>
      <c r="BP122" s="32" t="str">
        <f t="shared" si="27"/>
        <v/>
      </c>
      <c r="BQ122" s="32" t="str">
        <f t="shared" si="28"/>
        <v/>
      </c>
      <c r="BR122" s="32" t="str">
        <f t="shared" si="34"/>
        <v/>
      </c>
    </row>
    <row r="123" spans="1:70" ht="22.05" customHeight="1">
      <c r="A123" s="38"/>
      <c r="B123" s="38"/>
      <c r="C123" s="38"/>
      <c r="D123" s="38"/>
      <c r="E123" s="38"/>
      <c r="F123" s="38"/>
      <c r="G123" s="12"/>
      <c r="H123" s="109" t="str">
        <f>IF(AND($Z$11,COUNT($BE$24:$BE$123)&gt;99),INDEX($BD$24:$BD$123,(COUNT($BE$24:$BE$123)-99)),"")</f>
        <v/>
      </c>
      <c r="I123" s="110" t="str">
        <f>IF(AND($Z$11,COUNT($BE$24:$BE$123)&gt;99),INDEX($BH$24:$BH$123,(COUNT($BE$24:$BE$123)-99))+'Uplift Check'!$B$25,"")</f>
        <v/>
      </c>
      <c r="J123" s="110" t="str">
        <f>IF(AND($Z$11,COUNT($BE$24:$BE$123)&gt;99),INDEX($BF$24:$BF$123,(COUNT($BE$24:$BE$123)-99)),"")</f>
        <v/>
      </c>
      <c r="K123" s="110" t="str">
        <f>IF(AND($Z$11,COUNT($BE$24:$BE$123)&gt;99),$B$8,"")</f>
        <v/>
      </c>
      <c r="L123" s="110" t="str">
        <f>IF(AND($Z$11,COUNT($BE$24:$BE$123)&gt;99),INDEX($BI$24:$BI$123,(COUNT($BE$24:$BE$123)-99)),"")</f>
        <v/>
      </c>
      <c r="M123" s="110" t="str">
        <f>IF(AND($Z$11,COUNT($BE$24:$BE$123)&gt;99),INDEX($BJ$24:$BJ$123,(COUNT($BE$24:$BE$123)-99)),"")</f>
        <v/>
      </c>
      <c r="N123" s="110" t="str">
        <f>IF(AND($Z$11,COUNT($BE$24:$BE$123)&gt;99),$B$27,"")</f>
        <v/>
      </c>
      <c r="O123" s="110" t="str">
        <f>IF(AND($Z$11,COUNT($BE$24:$BE$123)&gt;99),$B$26,"")</f>
        <v/>
      </c>
      <c r="P123" s="110" t="str">
        <f>IF(AND($Z$11,COUNT($BE$24:$BE$123)&gt;99),INDEX($BJ$24:$BJ$123,(COUNT($BE$24:$BE$123)-99))*$B$27*$B$26,"")</f>
        <v/>
      </c>
      <c r="Q123" s="110" t="str">
        <f>IF(AND($Z$11,COUNT($BE$24:$BE$123)&gt;99),$B$35,"")</f>
        <v/>
      </c>
      <c r="R123" s="110" t="str">
        <f>IF(AND($Z$11,COUNT($BE$24:$BE$123)&gt;99),INDEX($BL$24:$BL$123,(COUNT($BE$24:$BE$123)-99)),"")</f>
        <v/>
      </c>
      <c r="S123" s="110" t="str">
        <f>IF(AND($Z$11,COUNT($BE$24:$BE$123)&gt;99),INDEX($BM$24:$BM$123,(COUNT($BE$24:$BE$123)-99)),"")</f>
        <v/>
      </c>
      <c r="T123" s="110" t="str">
        <f>IF(AND($Z$11,COUNT($BE$24:$BE$123)&gt;99),INDEX($BN$24:$BN$123,(COUNT($BE$24:$BE$123)-99)),"")</f>
        <v/>
      </c>
      <c r="W123" s="12"/>
      <c r="X123" s="12"/>
      <c r="Y123" s="12"/>
      <c r="Z123" s="12"/>
      <c r="AA123" s="12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D123" s="12">
        <f>100</f>
        <v>100</v>
      </c>
      <c r="BE123" s="32"/>
      <c r="BF123" s="32"/>
      <c r="BG123" s="32" t="str">
        <f>IF(BO123="OK",SUM($BE$24:BE123)-BE123,"")</f>
        <v/>
      </c>
      <c r="BH123" s="32" t="str">
        <f t="shared" si="31"/>
        <v/>
      </c>
      <c r="BI123" s="32" t="str">
        <f>IF(AND(BO123="OK",$Z$7),MAX('Wind Load Check'!$B$29,1.1+0.055*('Wind Load Check'!$B$23/'Wind Load Check'!$B$8)/EXP(ABS(LN((0.6*BF123/'Wind Load Check'!$B$8)*(1-0.011*'Wind Load Check'!$B$23/'Wind Load Check'!$B$8)))^(1.7-0.0013*('Wind Load Check'!$B$23/BF123)^2))),"")</f>
        <v/>
      </c>
      <c r="BJ123" s="32" t="str">
        <f t="shared" si="24"/>
        <v/>
      </c>
      <c r="BK123" s="32" t="str">
        <f>IF(AND(BO123="OK",$Z$7),BJ123*'Wind Load Check'!$B$26*'Wind Load Check'!$B$27*BI123*'Wind Load Check'!$B$35,"")</f>
        <v/>
      </c>
      <c r="BL123" s="32" t="str">
        <f t="shared" si="32"/>
        <v/>
      </c>
      <c r="BM123" s="32" t="str">
        <f>IF(AND(BO123="OK",ISNUMBER('Uplift Check'!$B$38)),(BG123+BH123)/2+'Uplift Check'!$B$38,"")</f>
        <v/>
      </c>
      <c r="BN123" s="32" t="str">
        <f t="shared" si="33"/>
        <v/>
      </c>
      <c r="BO123" s="32" t="str">
        <f t="shared" si="30"/>
        <v/>
      </c>
      <c r="BP123" s="32" t="str">
        <f t="shared" si="27"/>
        <v/>
      </c>
      <c r="BQ123" s="32" t="str">
        <f t="shared" si="28"/>
        <v/>
      </c>
      <c r="BR123" s="32" t="str">
        <f t="shared" si="34"/>
        <v/>
      </c>
    </row>
    <row r="124" spans="1:70" ht="23.1" customHeight="1">
      <c r="A124" s="5"/>
      <c r="B124" s="5"/>
      <c r="C124" s="5"/>
      <c r="D124" s="5"/>
      <c r="E124" s="5"/>
      <c r="F124" s="5"/>
      <c r="G124" s="13"/>
      <c r="H124" s="146" t="s">
        <v>601</v>
      </c>
      <c r="I124" s="146"/>
      <c r="J124" s="146"/>
      <c r="K124" s="146"/>
      <c r="L124" s="146"/>
      <c r="M124" s="146"/>
      <c r="N124" s="146"/>
      <c r="O124" s="146"/>
      <c r="P124" s="146"/>
      <c r="Q124" s="146"/>
      <c r="R124" s="107" t="str">
        <f>IF($Z$11,SUM(R24:R123),"")</f>
        <v/>
      </c>
      <c r="S124" s="107"/>
      <c r="T124" s="107" t="str">
        <f>IF($Z$11,SUM(T24:T123),"")</f>
        <v/>
      </c>
      <c r="U124" s="12"/>
      <c r="V124" s="12"/>
      <c r="W124" s="12"/>
      <c r="X124" s="12"/>
      <c r="Y124" s="12"/>
      <c r="Z124" s="12"/>
      <c r="AA124" s="12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</row>
    <row r="125" spans="1:70" ht="23.1" customHeight="1">
      <c r="A125" s="5"/>
      <c r="B125" s="5"/>
      <c r="C125" s="5"/>
      <c r="D125" s="5"/>
      <c r="E125" s="5"/>
      <c r="F125" s="5"/>
      <c r="G125" s="13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</row>
    <row r="126" spans="1:70" ht="34.049999999999997" customHeight="1">
      <c r="A126" s="5"/>
      <c r="B126" s="5"/>
      <c r="C126" s="5"/>
      <c r="D126" s="5"/>
      <c r="E126" s="5"/>
      <c r="F126" s="5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2"/>
      <c r="X126" s="12"/>
      <c r="Y126" s="12"/>
      <c r="Z126" s="12"/>
      <c r="AA126" s="12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</row>
    <row r="127" spans="1:70" ht="34.049999999999997" customHeight="1">
      <c r="A127" s="5"/>
      <c r="B127" s="5"/>
      <c r="C127" s="5"/>
      <c r="D127" s="5"/>
      <c r="E127" s="5"/>
      <c r="F127" s="5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2"/>
      <c r="X127" s="12"/>
      <c r="Y127" s="12"/>
      <c r="Z127" s="12"/>
      <c r="AA127" s="12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</row>
    <row r="128" spans="1:70" ht="23.1" customHeight="1">
      <c r="A128" s="5"/>
      <c r="B128" s="5"/>
      <c r="C128" s="5"/>
      <c r="D128" s="5"/>
      <c r="E128" s="5"/>
      <c r="F128" s="5"/>
      <c r="G128" s="13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12"/>
      <c r="X128" s="12"/>
      <c r="Y128" s="12"/>
      <c r="Z128" s="12"/>
      <c r="AA128" s="12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</row>
    <row r="129" spans="1:52" ht="24" customHeight="1">
      <c r="A129" s="5"/>
      <c r="B129" s="5"/>
      <c r="C129" s="5"/>
      <c r="D129" s="5"/>
      <c r="E129" s="5"/>
      <c r="F129" s="5"/>
      <c r="G129" s="13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</row>
    <row r="130" spans="1:52" ht="24" customHeight="1">
      <c r="A130" s="5"/>
      <c r="B130" s="5"/>
      <c r="C130" s="5"/>
      <c r="D130" s="5"/>
      <c r="E130" s="5"/>
      <c r="F130" s="5"/>
      <c r="G130" s="13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</row>
    <row r="131" spans="1:52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tr">
        <f>IF(ISNUMBER(B30),IF(B23&lt;50,"Eq. 5-3: Hp &lt; 50 m; L0.5p = Hp/1.5 + 2B","Eq. 5-1: Hp &gt;= 50 m; L0.5p = B"),"Enter positive B, D and Hp")</f>
        <v>Enter positive B, D and Hp</v>
      </c>
    </row>
    <row r="132" spans="1:5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 t="str">
        <f>IF(OR(COUNT(B7:B8,B23)&lt;&gt;3,MIN(B7:B8,B23)&lt;=0),"Enter positive B, D and Hp",IF(OR(B23&lt;2.5,B23&gt;500,B23/B8&gt;12),"Review geometry / code scope",IF(B23&gt;=100,"PRELIMINARY: 46/Hp estimate; modal analysis required","Simplified calculation: verify structural Hp/D applicability")))</f>
        <v>Enter positive B, D and Hp</v>
      </c>
    </row>
  </sheetData>
  <mergeCells count="45">
    <mergeCell ref="H124:Q124"/>
    <mergeCell ref="H22:V22"/>
    <mergeCell ref="H14:J14"/>
    <mergeCell ref="K14:O14"/>
    <mergeCell ref="H15:J15"/>
    <mergeCell ref="K15:O15"/>
    <mergeCell ref="H16:J16"/>
    <mergeCell ref="K16:O16"/>
    <mergeCell ref="H17:V17"/>
    <mergeCell ref="H18:V18"/>
    <mergeCell ref="H19:V19"/>
    <mergeCell ref="H20:V20"/>
    <mergeCell ref="H21:V21"/>
    <mergeCell ref="H11:J11"/>
    <mergeCell ref="K11:O11"/>
    <mergeCell ref="H12:J12"/>
    <mergeCell ref="K12:O12"/>
    <mergeCell ref="H13:J13"/>
    <mergeCell ref="K13:O13"/>
    <mergeCell ref="H8:J8"/>
    <mergeCell ref="K8:O8"/>
    <mergeCell ref="H9:J9"/>
    <mergeCell ref="K9:O9"/>
    <mergeCell ref="H10:J10"/>
    <mergeCell ref="K10:O10"/>
    <mergeCell ref="H5:J5"/>
    <mergeCell ref="K5:O5"/>
    <mergeCell ref="H6:J6"/>
    <mergeCell ref="K6:O6"/>
    <mergeCell ref="H7:J7"/>
    <mergeCell ref="K7:O7"/>
    <mergeCell ref="H1:V1"/>
    <mergeCell ref="H2:V2"/>
    <mergeCell ref="H3:J3"/>
    <mergeCell ref="K3:O3"/>
    <mergeCell ref="H4:J4"/>
    <mergeCell ref="K4:O4"/>
    <mergeCell ref="A48:F48"/>
    <mergeCell ref="A47:F47"/>
    <mergeCell ref="A46:E46"/>
    <mergeCell ref="A1:E1"/>
    <mergeCell ref="A2:E2"/>
    <mergeCell ref="A3:E3"/>
    <mergeCell ref="A17:E17"/>
    <mergeCell ref="A45:E45"/>
  </mergeCells>
  <phoneticPr fontId="6" type="noConversion"/>
  <dataValidations count="2">
    <dataValidation type="list" allowBlank="1" showInputMessage="1" showErrorMessage="1" sqref="K3" xr:uid="{4EA32F89-A03B-42F6-A5C5-5492472A09AF}">
      <formula1>"UNIFORM,LAYERED"</formula1>
    </dataValidation>
    <dataValidation type="decimal" operator="greaterThan" sqref="BE24:BF123" xr:uid="{A6FA9D67-3FA5-4031-9D87-284C231BB6E5}">
      <formula1>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Uplift">
    <tabColor rgb="FF548235"/>
  </sheetPr>
  <dimension ref="A1:L54"/>
  <sheetViews>
    <sheetView showGridLines="0" zoomScale="85" zoomScaleNormal="85" workbookViewId="0">
      <selection sqref="A1:F1"/>
    </sheetView>
  </sheetViews>
  <sheetFormatPr defaultRowHeight="13.8"/>
  <cols>
    <col min="1" max="1" width="38" style="2" customWidth="1"/>
    <col min="2" max="2" width="27" style="2" customWidth="1"/>
    <col min="3" max="3" width="18" style="2" customWidth="1"/>
    <col min="4" max="4" width="48" style="2" customWidth="1"/>
    <col min="5" max="5" width="12" style="2" customWidth="1"/>
    <col min="6" max="6" width="27" style="2" customWidth="1"/>
    <col min="7" max="11" width="18.69921875" style="2" customWidth="1"/>
    <col min="12" max="12" width="9.69921875" style="2" customWidth="1"/>
    <col min="13" max="16384" width="8.796875" style="2"/>
  </cols>
  <sheetData>
    <row r="1" spans="1:12" ht="46.05" customHeight="1">
      <c r="A1" s="152" t="s">
        <v>541</v>
      </c>
      <c r="B1" s="153"/>
      <c r="C1" s="153"/>
      <c r="D1" s="153"/>
      <c r="E1" s="153"/>
      <c r="F1" s="153"/>
      <c r="G1" s="5"/>
      <c r="H1" s="5"/>
      <c r="I1" s="5"/>
      <c r="J1" s="5"/>
      <c r="K1" s="5"/>
      <c r="L1" s="5"/>
    </row>
    <row r="2" spans="1:12" ht="24" customHeight="1">
      <c r="A2" s="154" t="s">
        <v>67</v>
      </c>
      <c r="B2" s="154"/>
      <c r="C2" s="154"/>
      <c r="D2" s="154"/>
      <c r="E2" s="154"/>
      <c r="F2" s="154"/>
      <c r="G2" s="5"/>
      <c r="H2" s="5"/>
      <c r="I2" s="5"/>
      <c r="J2" s="5"/>
      <c r="K2" s="5"/>
      <c r="L2" s="5"/>
    </row>
    <row r="3" spans="1:12" ht="30" customHeight="1">
      <c r="A3" s="154" t="s">
        <v>366</v>
      </c>
      <c r="B3" s="154"/>
      <c r="C3" s="154"/>
      <c r="D3" s="154"/>
      <c r="E3" s="154"/>
      <c r="F3" s="154"/>
      <c r="G3" s="5"/>
      <c r="H3" s="5"/>
      <c r="I3" s="5"/>
      <c r="J3" s="5"/>
      <c r="K3" s="5"/>
      <c r="L3" s="5"/>
    </row>
    <row r="4" spans="1:12" ht="30" customHeight="1">
      <c r="A4" s="39" t="s">
        <v>367</v>
      </c>
      <c r="B4" s="40"/>
      <c r="C4" s="40"/>
      <c r="D4" s="40"/>
      <c r="E4" s="40"/>
      <c r="F4" s="41"/>
      <c r="G4" s="5"/>
      <c r="H4" s="5"/>
      <c r="I4" s="5"/>
      <c r="J4" s="5"/>
      <c r="K4" s="5"/>
      <c r="L4" s="5"/>
    </row>
    <row r="5" spans="1:12">
      <c r="A5" s="42" t="s">
        <v>69</v>
      </c>
      <c r="B5" s="42"/>
      <c r="C5" s="42"/>
      <c r="D5" s="42"/>
      <c r="E5" s="42"/>
      <c r="F5" s="43"/>
      <c r="G5" s="5"/>
      <c r="H5" s="5"/>
      <c r="I5" s="5"/>
      <c r="J5" s="5"/>
      <c r="K5" s="5"/>
      <c r="L5" s="5"/>
    </row>
    <row r="6" spans="1:12" ht="31.95" customHeight="1">
      <c r="A6" s="44" t="s">
        <v>70</v>
      </c>
      <c r="B6" s="45" t="s">
        <v>355</v>
      </c>
      <c r="C6" s="44" t="s">
        <v>71</v>
      </c>
      <c r="D6" s="44" t="s">
        <v>72</v>
      </c>
      <c r="E6" s="44"/>
      <c r="F6" s="41"/>
      <c r="G6" s="5"/>
      <c r="H6" s="5"/>
      <c r="I6" s="5"/>
      <c r="J6" s="5"/>
      <c r="K6" s="5"/>
      <c r="L6" s="5"/>
    </row>
    <row r="7" spans="1:12" ht="43.95" customHeight="1">
      <c r="A7" s="44" t="s">
        <v>368</v>
      </c>
      <c r="B7" s="46" t="str">
        <f>IF(B6="No","",IF(COUNT(B32:C32)=2,AVERAGE(B32:C32),""))</f>
        <v/>
      </c>
      <c r="C7" s="44" t="s">
        <v>6</v>
      </c>
      <c r="D7" s="44" t="s">
        <v>369</v>
      </c>
      <c r="E7" s="44"/>
      <c r="F7" s="41"/>
      <c r="G7" s="5"/>
      <c r="H7" s="5"/>
      <c r="I7" s="5"/>
      <c r="J7" s="5"/>
      <c r="K7" s="5"/>
      <c r="L7" s="5"/>
    </row>
    <row r="8" spans="1:12" ht="31.95" customHeight="1">
      <c r="A8" s="44" t="s">
        <v>206</v>
      </c>
      <c r="B8" s="47">
        <v>37</v>
      </c>
      <c r="C8" s="44" t="s">
        <v>6</v>
      </c>
      <c r="D8" s="44" t="s">
        <v>208</v>
      </c>
      <c r="E8" s="44"/>
      <c r="F8" s="41"/>
      <c r="G8" s="5"/>
      <c r="H8" s="5"/>
      <c r="I8" s="5"/>
      <c r="J8" s="5"/>
      <c r="K8" s="5"/>
      <c r="L8" s="5"/>
    </row>
    <row r="9" spans="1:12" ht="31.95" customHeight="1">
      <c r="A9" s="44" t="s">
        <v>207</v>
      </c>
      <c r="B9" s="47">
        <v>37</v>
      </c>
      <c r="C9" s="44" t="s">
        <v>6</v>
      </c>
      <c r="D9" s="44" t="s">
        <v>209</v>
      </c>
      <c r="E9" s="44"/>
      <c r="F9" s="41"/>
      <c r="G9" s="5"/>
      <c r="H9" s="5"/>
      <c r="I9" s="5"/>
      <c r="J9" s="5"/>
      <c r="K9" s="5"/>
      <c r="L9" s="5"/>
    </row>
    <row r="10" spans="1:12" ht="31.95" customHeight="1">
      <c r="A10" s="44" t="s">
        <v>74</v>
      </c>
      <c r="B10" s="47">
        <f>'Overturning Check'!$F$9</f>
        <v>1.1000000000000001</v>
      </c>
      <c r="C10" s="44" t="s">
        <v>11</v>
      </c>
      <c r="D10" s="44" t="s">
        <v>75</v>
      </c>
      <c r="E10" s="44"/>
      <c r="F10" s="41"/>
      <c r="G10" s="5"/>
      <c r="H10" s="5"/>
      <c r="I10" s="5"/>
      <c r="J10" s="5"/>
      <c r="K10" s="5"/>
      <c r="L10" s="5"/>
    </row>
    <row r="11" spans="1:12" ht="31.95" customHeight="1">
      <c r="A11" s="44" t="s">
        <v>214</v>
      </c>
      <c r="B11" s="47">
        <f>IF(COUNT(G30:H30)=2,SUM(G30:H30),"")</f>
        <v>0</v>
      </c>
      <c r="C11" s="44" t="s">
        <v>50</v>
      </c>
      <c r="D11" s="44" t="s">
        <v>77</v>
      </c>
      <c r="E11" s="44"/>
      <c r="F11" s="41"/>
      <c r="G11" s="5"/>
      <c r="H11" s="5"/>
      <c r="I11" s="5"/>
      <c r="J11" s="5"/>
      <c r="K11" s="5"/>
      <c r="L11" s="5"/>
    </row>
    <row r="12" spans="1:12" ht="31.95" customHeight="1">
      <c r="A12" s="44" t="s">
        <v>215</v>
      </c>
      <c r="B12" s="47">
        <f>IF(COUNT(I30:J30)=2,SUM(I30:J30),"")</f>
        <v>0</v>
      </c>
      <c r="C12" s="44" t="s">
        <v>50</v>
      </c>
      <c r="D12" s="44" t="s">
        <v>77</v>
      </c>
      <c r="E12" s="44"/>
      <c r="F12" s="41"/>
      <c r="G12" s="5"/>
      <c r="H12" s="5"/>
      <c r="I12" s="5"/>
      <c r="J12" s="5"/>
      <c r="K12" s="5"/>
      <c r="L12" s="5"/>
    </row>
    <row r="13" spans="1:12" ht="31.95" customHeight="1">
      <c r="A13" s="44" t="s">
        <v>478</v>
      </c>
      <c r="B13" s="47">
        <v>9.81</v>
      </c>
      <c r="C13" s="44" t="s">
        <v>79</v>
      </c>
      <c r="D13" s="44" t="s">
        <v>80</v>
      </c>
      <c r="E13" s="44"/>
      <c r="F13" s="41"/>
      <c r="G13" s="5"/>
      <c r="H13" s="5"/>
      <c r="I13" s="5"/>
      <c r="J13" s="5"/>
      <c r="K13" s="5"/>
      <c r="L13" s="5"/>
    </row>
    <row r="14" spans="1:12" ht="22.05" customHeight="1">
      <c r="A14" s="44"/>
      <c r="B14" s="48"/>
      <c r="C14" s="44"/>
      <c r="D14" s="44"/>
      <c r="E14" s="41"/>
      <c r="F14" s="41"/>
      <c r="G14" s="5"/>
      <c r="H14" s="5"/>
      <c r="I14" s="5"/>
      <c r="J14" s="5"/>
      <c r="K14" s="5"/>
      <c r="L14" s="5"/>
    </row>
    <row r="15" spans="1:12" ht="22.05" customHeight="1">
      <c r="A15" s="49" t="s">
        <v>81</v>
      </c>
      <c r="B15" s="50"/>
      <c r="C15" s="49"/>
      <c r="D15" s="49"/>
      <c r="E15" s="42"/>
      <c r="F15" s="41"/>
      <c r="G15" s="5"/>
      <c r="H15" s="5"/>
      <c r="I15" s="5"/>
      <c r="J15" s="5"/>
      <c r="K15" s="5"/>
      <c r="L15" s="5"/>
    </row>
    <row r="16" spans="1:12" ht="22.05" customHeight="1">
      <c r="A16" s="19" t="s">
        <v>21</v>
      </c>
      <c r="B16" s="51" t="s">
        <v>22</v>
      </c>
      <c r="C16" s="20" t="s">
        <v>2</v>
      </c>
      <c r="D16" s="21" t="s">
        <v>82</v>
      </c>
      <c r="E16" s="52"/>
      <c r="F16" s="43"/>
      <c r="G16" s="5"/>
      <c r="H16" s="5"/>
      <c r="I16" s="5"/>
      <c r="J16" s="5"/>
      <c r="K16" s="5"/>
      <c r="L16" s="5"/>
    </row>
    <row r="17" spans="1:12" ht="30" customHeight="1">
      <c r="A17" s="44" t="s">
        <v>83</v>
      </c>
      <c r="B17" s="53" t="str">
        <f>IF(B6="No","",IF(AND(COUNT(B51,B10)=2,B10&gt;0),B51*B10,""))</f>
        <v/>
      </c>
      <c r="C17" s="44" t="s">
        <v>50</v>
      </c>
      <c r="D17" s="44" t="s">
        <v>370</v>
      </c>
      <c r="E17" s="44"/>
      <c r="F17" s="41"/>
      <c r="G17" s="5"/>
      <c r="H17" s="5"/>
      <c r="I17" s="5"/>
      <c r="J17" s="5"/>
      <c r="K17" s="5"/>
      <c r="L17" s="5"/>
    </row>
    <row r="18" spans="1:12" ht="30" customHeight="1">
      <c r="A18" s="44" t="s">
        <v>84</v>
      </c>
      <c r="B18" s="53" t="str">
        <f>IF(ISNUMBER(K30),K30,"")</f>
        <v/>
      </c>
      <c r="C18" s="44" t="s">
        <v>50</v>
      </c>
      <c r="D18" s="44" t="s">
        <v>85</v>
      </c>
      <c r="E18" s="44"/>
      <c r="F18" s="41"/>
      <c r="G18" s="5"/>
      <c r="H18" s="5"/>
      <c r="I18" s="5"/>
      <c r="J18" s="5"/>
      <c r="K18" s="5"/>
      <c r="L18" s="5"/>
    </row>
    <row r="19" spans="1:12" ht="30" customHeight="1">
      <c r="A19" s="44" t="s">
        <v>86</v>
      </c>
      <c r="B19" s="53" t="str">
        <f>IF(B6="No","",IF(AND(COUNT(B17:B18)=2,B17&gt;0),B18/B17,""))</f>
        <v/>
      </c>
      <c r="C19" s="44" t="s">
        <v>11</v>
      </c>
      <c r="D19" s="44" t="s">
        <v>87</v>
      </c>
      <c r="E19" s="44"/>
      <c r="F19" s="41"/>
      <c r="G19" s="5"/>
      <c r="H19" s="5"/>
      <c r="I19" s="5"/>
      <c r="J19" s="5"/>
      <c r="K19" s="5"/>
      <c r="L19" s="5"/>
    </row>
    <row r="20" spans="1:12" ht="43.95" customHeight="1">
      <c r="A20" s="44" t="s">
        <v>89</v>
      </c>
      <c r="B20" s="45" t="str">
        <f>IF(B6="No","NO BASEMENT - UPLIFT CHECK NOT REQUIRED",IF(NOT(ISNUMBER(B17)),"CHECK WATER LEVELS / BASE / DIMENSIONS",IF(B17=0,"NO POSITIVE UPLIFT IN ADOPTED CASE",IF(NOT(ISNUMBER(B18)),"ENTER SELF-WEIGHT INPUTS",IF(B19&gt;='Overturning Check'!$B$17,"OK","NOT OK")))))</f>
        <v>CHECK WATER LEVELS / BASE / DIMENSIONS</v>
      </c>
      <c r="C20" s="44"/>
      <c r="D20" s="44" t="s">
        <v>90</v>
      </c>
      <c r="E20" s="44"/>
      <c r="F20" s="41"/>
      <c r="G20" s="5"/>
      <c r="H20" s="5"/>
      <c r="I20" s="5"/>
      <c r="J20" s="5"/>
      <c r="K20" s="5"/>
      <c r="L20" s="5"/>
    </row>
    <row r="21" spans="1:12" ht="18" customHeight="1">
      <c r="A21" s="44"/>
      <c r="B21" s="44"/>
      <c r="C21" s="44"/>
      <c r="D21" s="44"/>
      <c r="E21" s="41"/>
      <c r="F21" s="41"/>
      <c r="G21" s="5"/>
      <c r="H21" s="5"/>
      <c r="I21" s="5"/>
      <c r="J21" s="5"/>
      <c r="K21" s="5"/>
      <c r="L21" s="5"/>
    </row>
    <row r="22" spans="1:12" ht="22.05" customHeight="1">
      <c r="A22" s="5"/>
      <c r="B22" s="5"/>
      <c r="C22" s="5"/>
      <c r="D22" s="5"/>
      <c r="E22" s="5"/>
      <c r="F22" s="41"/>
      <c r="G22" s="5"/>
      <c r="H22" s="5"/>
      <c r="I22" s="5"/>
      <c r="J22" s="5"/>
      <c r="K22" s="5"/>
      <c r="L22" s="5"/>
    </row>
    <row r="23" spans="1:12" ht="25.05" customHeight="1">
      <c r="A23" s="157" t="s">
        <v>229</v>
      </c>
      <c r="B23" s="157"/>
      <c r="C23" s="157"/>
      <c r="D23" s="157"/>
      <c r="E23" s="157"/>
      <c r="F23" s="41"/>
      <c r="G23" s="5"/>
      <c r="H23" s="5"/>
      <c r="I23" s="5"/>
      <c r="J23" s="5"/>
      <c r="K23" s="5"/>
      <c r="L23" s="5"/>
    </row>
    <row r="24" spans="1:12" ht="25.05" customHeight="1">
      <c r="A24" s="31" t="s">
        <v>0</v>
      </c>
      <c r="B24" s="31" t="s">
        <v>230</v>
      </c>
      <c r="C24" s="31" t="s">
        <v>231</v>
      </c>
      <c r="D24" s="31" t="s">
        <v>259</v>
      </c>
      <c r="E24" s="31" t="s">
        <v>260</v>
      </c>
      <c r="F24" s="155" t="s">
        <v>91</v>
      </c>
      <c r="G24" s="156"/>
      <c r="H24" s="156"/>
      <c r="I24" s="156"/>
      <c r="J24" s="156"/>
      <c r="K24" s="156"/>
      <c r="L24" s="156"/>
    </row>
    <row r="25" spans="1:12" ht="36" customHeight="1">
      <c r="A25" s="36" t="s">
        <v>232</v>
      </c>
      <c r="B25" s="54"/>
      <c r="C25" s="54"/>
      <c r="D25" s="55" t="s">
        <v>261</v>
      </c>
      <c r="E25" s="36" t="s">
        <v>477</v>
      </c>
      <c r="F25" s="56" t="s">
        <v>92</v>
      </c>
      <c r="G25" s="56" t="s">
        <v>468</v>
      </c>
      <c r="H25" s="56" t="s">
        <v>470</v>
      </c>
      <c r="I25" s="56" t="s">
        <v>472</v>
      </c>
      <c r="J25" s="56" t="s">
        <v>474</v>
      </c>
      <c r="K25" s="56" t="s">
        <v>210</v>
      </c>
      <c r="L25" s="56" t="s">
        <v>211</v>
      </c>
    </row>
    <row r="26" spans="1:12" ht="28.05" customHeight="1">
      <c r="A26" s="36" t="s">
        <v>233</v>
      </c>
      <c r="B26" s="54"/>
      <c r="C26" s="54"/>
      <c r="D26" s="55" t="s">
        <v>263</v>
      </c>
      <c r="E26" s="36" t="s">
        <v>477</v>
      </c>
      <c r="F26" s="44" t="s">
        <v>488</v>
      </c>
      <c r="G26" s="47"/>
      <c r="H26" s="47"/>
      <c r="I26" s="47"/>
      <c r="J26" s="47"/>
      <c r="K26" s="48"/>
      <c r="L26" s="44" t="s">
        <v>6</v>
      </c>
    </row>
    <row r="27" spans="1:12" ht="28.05" customHeight="1">
      <c r="A27" s="36" t="s">
        <v>234</v>
      </c>
      <c r="B27" s="54">
        <v>70</v>
      </c>
      <c r="C27" s="54">
        <v>5</v>
      </c>
      <c r="D27" s="55" t="s">
        <v>264</v>
      </c>
      <c r="E27" s="36" t="s">
        <v>265</v>
      </c>
      <c r="F27" s="44" t="s">
        <v>489</v>
      </c>
      <c r="G27" s="47"/>
      <c r="H27" s="47"/>
      <c r="I27" s="47"/>
      <c r="J27" s="47"/>
      <c r="K27" s="48"/>
      <c r="L27" s="44" t="s">
        <v>6</v>
      </c>
    </row>
    <row r="28" spans="1:12" ht="28.05" customHeight="1">
      <c r="A28" s="36" t="s">
        <v>371</v>
      </c>
      <c r="B28" s="54"/>
      <c r="C28" s="54" t="s">
        <v>235</v>
      </c>
      <c r="D28" s="55" t="s">
        <v>266</v>
      </c>
      <c r="E28" s="36" t="s">
        <v>477</v>
      </c>
      <c r="F28" s="44" t="s">
        <v>462</v>
      </c>
      <c r="G28" s="57"/>
      <c r="H28" s="57"/>
      <c r="I28" s="57"/>
      <c r="J28" s="57"/>
      <c r="K28" s="48"/>
      <c r="L28" s="44" t="s">
        <v>93</v>
      </c>
    </row>
    <row r="29" spans="1:12" ht="30" customHeight="1">
      <c r="A29" s="36" t="s">
        <v>236</v>
      </c>
      <c r="B29" s="54">
        <v>19</v>
      </c>
      <c r="C29" s="54">
        <v>19</v>
      </c>
      <c r="D29" s="55" t="s">
        <v>267</v>
      </c>
      <c r="E29" s="36" t="s">
        <v>268</v>
      </c>
      <c r="F29" s="44" t="s">
        <v>94</v>
      </c>
      <c r="G29" s="47">
        <v>15</v>
      </c>
      <c r="H29" s="47">
        <v>15</v>
      </c>
      <c r="I29" s="47">
        <v>15</v>
      </c>
      <c r="J29" s="47">
        <v>15</v>
      </c>
      <c r="K29" s="48"/>
      <c r="L29" s="44" t="s">
        <v>35</v>
      </c>
    </row>
    <row r="30" spans="1:12" ht="30" customHeight="1">
      <c r="A30" s="39" t="s">
        <v>348</v>
      </c>
      <c r="B30" s="58">
        <v>9.19</v>
      </c>
      <c r="C30" s="58">
        <v>9.19</v>
      </c>
      <c r="D30" s="59" t="s">
        <v>349</v>
      </c>
      <c r="E30" s="39" t="s">
        <v>268</v>
      </c>
      <c r="F30" s="44" t="s">
        <v>95</v>
      </c>
      <c r="G30" s="53">
        <f>IF(OR(COUNTA(G26:G28)=0,AND(COUNT(G26:G28)=3,SUM(G26:G28)=0),AND(ISNUMBER(G28),G28=0)),0,IF(COUNT(G26:G29)&lt;4,"",IF(MIN(G26:G29)&gt;0,PRODUCT(G26:G29),"")))</f>
        <v>0</v>
      </c>
      <c r="H30" s="53">
        <f>IF(OR(COUNTA(H26:H28)=0,AND(COUNT(H26:H28)=3,SUM(H26:H28)=0),AND(ISNUMBER(H28),H28=0)),0,IF(COUNT(H26:H29)&lt;4,"",IF(MIN(H26:H29)&gt;0,PRODUCT(H26:H29),"")))</f>
        <v>0</v>
      </c>
      <c r="I30" s="53">
        <f>IF(OR(COUNTA(I26:I28)=0,AND(COUNT(I26:I28)=3,SUM(I26:I28)=0),AND(ISNUMBER(I28),I28=0)),0,IF(COUNT(I26:I29)&lt;4,"",IF(MIN(I26:I29)&gt;0,PRODUCT(I26:I29),"")))</f>
        <v>0</v>
      </c>
      <c r="J30" s="53">
        <f>IF(OR(COUNTA(J26:J28)=0,AND(COUNT(J26:J28)=3,SUM(J26:J28)=0),AND(ISNUMBER(J28),J28=0)),0,IF(COUNT(J26:J29)&lt;4,"",IF(MIN(J26:J29)&gt;0,PRODUCT(J26:J29),"")))</f>
        <v>0</v>
      </c>
      <c r="K30" s="60" t="str">
        <f>IF(AND(COUNT(G30:J30)=4,SUM(G30:J30)&gt;0),SUM(G30:J30),"")</f>
        <v/>
      </c>
      <c r="L30" s="44" t="s">
        <v>50</v>
      </c>
    </row>
    <row r="31" spans="1:12" ht="30" customHeight="1">
      <c r="A31" s="36" t="s">
        <v>237</v>
      </c>
      <c r="B31" s="54" t="str">
        <f>IF(AND(COUNT(B25,$B$28)=2,B25&gt;=$B$28),B25-$B$28,"")</f>
        <v/>
      </c>
      <c r="C31" s="54" t="str">
        <f>IF(AND(COUNT(C25,$B$28)=2,C25&gt;=$B$28),C25-$B$28,"")</f>
        <v/>
      </c>
      <c r="D31" s="55" t="s">
        <v>269</v>
      </c>
      <c r="E31" s="36" t="s">
        <v>262</v>
      </c>
      <c r="F31" s="39" t="s">
        <v>212</v>
      </c>
      <c r="G31" s="61"/>
      <c r="H31" s="61"/>
      <c r="I31" s="61"/>
      <c r="J31" s="61"/>
      <c r="K31" s="38"/>
      <c r="L31" s="38" t="s">
        <v>6</v>
      </c>
    </row>
    <row r="32" spans="1:12" ht="43.95" customHeight="1">
      <c r="A32" s="36" t="s">
        <v>238</v>
      </c>
      <c r="B32" s="54" t="str">
        <f>IF(COUNT(B26,$B$28)=2,MAX(B26-$B$28,0),"")</f>
        <v/>
      </c>
      <c r="C32" s="54" t="str">
        <f>IF(COUNT(C26,$B$28)=2,MAX(C26-$B$28,0),"")</f>
        <v/>
      </c>
      <c r="D32" s="55" t="s">
        <v>270</v>
      </c>
      <c r="E32" s="36" t="s">
        <v>262</v>
      </c>
      <c r="F32" s="154" t="s">
        <v>213</v>
      </c>
      <c r="G32" s="154"/>
      <c r="H32" s="154"/>
      <c r="I32" s="154"/>
      <c r="J32" s="154"/>
      <c r="K32" s="154"/>
      <c r="L32" s="154"/>
    </row>
    <row r="33" spans="1:12" ht="36" customHeight="1">
      <c r="A33" s="36" t="s">
        <v>239</v>
      </c>
      <c r="B33" s="54" t="str">
        <f>IF(COUNT(B31,B34)=2,B31-B34,"")</f>
        <v/>
      </c>
      <c r="C33" s="54" t="str">
        <f>IF(COUNT(C31,C34)=2,C31-C34,"")</f>
        <v/>
      </c>
      <c r="D33" s="55" t="s">
        <v>271</v>
      </c>
      <c r="E33" s="36" t="s">
        <v>262</v>
      </c>
      <c r="F33" s="147" t="s">
        <v>218</v>
      </c>
      <c r="G33" s="147"/>
      <c r="H33" s="147"/>
      <c r="I33" s="147"/>
      <c r="J33" s="147"/>
      <c r="K33" s="147"/>
      <c r="L33" s="147"/>
    </row>
    <row r="34" spans="1:12" ht="28.05" customHeight="1">
      <c r="A34" s="36" t="s">
        <v>240</v>
      </c>
      <c r="B34" s="54" t="str">
        <f>IF(COUNT(B31:B32)=2,MIN(B31:B32),"")</f>
        <v/>
      </c>
      <c r="C34" s="54" t="str">
        <f>IF(COUNT(C31:C32)=2,MIN(C31:C32),"")</f>
        <v/>
      </c>
      <c r="D34" s="55" t="s">
        <v>272</v>
      </c>
      <c r="E34" s="36" t="s">
        <v>262</v>
      </c>
      <c r="F34" s="5"/>
      <c r="G34" s="5"/>
      <c r="H34" s="5"/>
      <c r="I34" s="5"/>
      <c r="J34" s="5"/>
      <c r="K34" s="5"/>
      <c r="L34" s="5"/>
    </row>
    <row r="35" spans="1:12" ht="55.95" customHeight="1">
      <c r="A35" s="36" t="s">
        <v>241</v>
      </c>
      <c r="B35" s="37" t="str">
        <f>IF($B$6="No","NOT APPLICABLE",IF(COUNT(B25:B27,$B$28)&lt;4,"ENTER EL / GWL / q / RL0",IF(B25&lt;$B$28,"EL BELOW BASE: REVIEW",IF(B26&gt;B25,"GWL ABOVE EL: REVIEW",IF(B27&lt;0,"q MUST BE &gt;= 0",IF(OR(NOT(ISNUMBER(B30)),B30&lt;=0),"CHECK SUBMERGED WEIGHT",IF(AND(B33&gt;0,OR(NOT(ISNUMBER(B29)),B29&lt;=0)),"ENTER SOIL WEIGHT ABOVE GWL","READY")))))))</f>
        <v>ENTER EL / GWL / q / RL0</v>
      </c>
      <c r="C35" s="37" t="str">
        <f>IF($B$6="No","NOT APPLICABLE",IF(COUNT(C25:C27,$B$28)&lt;4,"ENTER EL / GWL / q / RL0",IF(C25&lt;$B$28,"EL BELOW BASE: REVIEW",IF(C26&gt;C25,"GWL ABOVE EL: REVIEW",IF(C27&lt;0,"q MUST BE &gt;= 0",IF(OR(NOT(ISNUMBER(C30)),C30&lt;=0),"CHECK SUBMERGED WEIGHT",IF(AND(C33&gt;0,OR(NOT(ISNUMBER(C29)),C29&lt;=0)),"ENTER SOIL WEIGHT ABOVE GWL","READY")))))))</f>
        <v>ENTER EL / GWL / q / RL0</v>
      </c>
      <c r="D35" s="55"/>
      <c r="E35" s="36"/>
      <c r="F35" s="5"/>
      <c r="G35" s="5"/>
      <c r="H35" s="5"/>
      <c r="I35" s="5"/>
      <c r="J35" s="5"/>
      <c r="K35" s="5"/>
      <c r="L35" s="5"/>
    </row>
    <row r="36" spans="1:12" ht="28.05" customHeight="1">
      <c r="A36" s="36" t="s">
        <v>242</v>
      </c>
      <c r="B36" s="150" t="str">
        <f>IF(B6="No","NOT APPLICABLE",IF(AND(B35="READY",C35="READY",COUNT(B8:B9)=2,MIN(B8:B9)&gt;0),"READY","CHECK SIDE INPUTS / BASEMENT DIMENSIONS"))</f>
        <v>CHECK SIDE INPUTS / BASEMENT DIMENSIONS</v>
      </c>
      <c r="C36" s="150"/>
      <c r="D36" s="151"/>
      <c r="E36" s="147"/>
      <c r="F36" s="5"/>
      <c r="G36" s="5"/>
      <c r="H36" s="5"/>
      <c r="I36" s="5"/>
      <c r="J36" s="5"/>
      <c r="K36" s="5"/>
      <c r="L36" s="5"/>
    </row>
    <row r="37" spans="1:12" ht="30" customHeight="1">
      <c r="A37" s="36" t="s">
        <v>360</v>
      </c>
      <c r="B37" s="54" t="str">
        <f>IF(ISNUMBER(B25),B25,"")</f>
        <v/>
      </c>
      <c r="C37" s="37"/>
      <c r="D37" s="55" t="s">
        <v>363</v>
      </c>
      <c r="E37" s="36" t="s">
        <v>477</v>
      </c>
      <c r="F37" s="5"/>
      <c r="G37" s="5"/>
      <c r="H37" s="5"/>
      <c r="I37" s="5"/>
      <c r="J37" s="5"/>
      <c r="K37" s="5"/>
      <c r="L37" s="5"/>
    </row>
    <row r="38" spans="1:12" ht="30" customHeight="1">
      <c r="A38" s="36" t="s">
        <v>361</v>
      </c>
      <c r="B38" s="54" t="str">
        <f>IF(AND(COUNT(B37,B28)=2,B37&gt;=B28),B37-B28,"")</f>
        <v/>
      </c>
      <c r="C38" s="37"/>
      <c r="D38" s="55" t="s">
        <v>362</v>
      </c>
      <c r="E38" s="36" t="s">
        <v>262</v>
      </c>
      <c r="F38" s="5"/>
      <c r="G38" s="5"/>
      <c r="H38" s="5"/>
      <c r="I38" s="5"/>
      <c r="J38" s="5"/>
      <c r="K38" s="5"/>
      <c r="L38" s="5"/>
    </row>
    <row r="39" spans="1:12" ht="37.950000000000003" customHeight="1">
      <c r="A39" s="36" t="s">
        <v>372</v>
      </c>
      <c r="B39" s="147" t="str">
        <f>IF(B6="No","NOT APPLICABLE",IF(COUNT(B49:B50)=2,"LINEAR - REVIEW SEEPAGE / DRAINAGE","ENTER BOTH GWLs AND O"))</f>
        <v>ENTER BOTH GWLs AND O</v>
      </c>
      <c r="C39" s="147"/>
      <c r="D39" s="147"/>
      <c r="E39" s="147"/>
      <c r="F39" s="5"/>
      <c r="G39" s="5"/>
      <c r="H39" s="5"/>
      <c r="I39" s="5"/>
      <c r="J39" s="5"/>
      <c r="K39" s="5"/>
      <c r="L39" s="5"/>
    </row>
    <row r="40" spans="1:12" ht="28.05" customHeight="1">
      <c r="A40" s="149" t="s">
        <v>243</v>
      </c>
      <c r="B40" s="149"/>
      <c r="C40" s="149"/>
      <c r="D40" s="149"/>
      <c r="E40" s="149"/>
      <c r="F40" s="5"/>
      <c r="G40" s="5"/>
      <c r="H40" s="5"/>
      <c r="I40" s="5"/>
      <c r="J40" s="5"/>
      <c r="K40" s="5"/>
      <c r="L40" s="5"/>
    </row>
    <row r="41" spans="1:12" ht="28.05" customHeight="1">
      <c r="A41" s="149" t="s">
        <v>244</v>
      </c>
      <c r="B41" s="149"/>
      <c r="C41" s="149"/>
      <c r="D41" s="149"/>
      <c r="E41" s="149"/>
      <c r="F41" s="5"/>
      <c r="G41" s="5"/>
      <c r="H41" s="5"/>
      <c r="I41" s="5"/>
      <c r="J41" s="5"/>
      <c r="K41" s="5"/>
      <c r="L41" s="5"/>
    </row>
    <row r="42" spans="1:12" ht="30" customHeight="1">
      <c r="A42" s="149" t="s">
        <v>373</v>
      </c>
      <c r="B42" s="149"/>
      <c r="C42" s="149"/>
      <c r="D42" s="149"/>
      <c r="E42" s="149"/>
      <c r="F42" s="5"/>
      <c r="G42" s="5"/>
      <c r="H42" s="5"/>
      <c r="I42" s="5"/>
      <c r="J42" s="5"/>
      <c r="K42" s="5"/>
      <c r="L42" s="5"/>
    </row>
    <row r="43" spans="1:12" ht="28.05" customHeight="1">
      <c r="A43" s="149" t="s">
        <v>520</v>
      </c>
      <c r="B43" s="149"/>
      <c r="C43" s="149"/>
      <c r="D43" s="149"/>
      <c r="E43" s="149"/>
      <c r="F43" s="5"/>
      <c r="G43" s="5"/>
      <c r="H43" s="5"/>
      <c r="I43" s="5"/>
      <c r="J43" s="5"/>
      <c r="K43" s="5"/>
      <c r="L43" s="5"/>
    </row>
    <row r="44" spans="1:12" ht="28.05" customHeight="1">
      <c r="A44" s="149" t="s">
        <v>245</v>
      </c>
      <c r="B44" s="149"/>
      <c r="C44" s="149"/>
      <c r="D44" s="149"/>
      <c r="E44" s="149"/>
      <c r="F44" s="5"/>
      <c r="G44" s="5"/>
      <c r="H44" s="5"/>
      <c r="I44" s="5"/>
      <c r="J44" s="5"/>
      <c r="K44" s="5"/>
      <c r="L44" s="5"/>
    </row>
    <row r="45" spans="1:12" ht="30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ht="28.05" customHeight="1">
      <c r="A46" s="148" t="s">
        <v>374</v>
      </c>
      <c r="B46" s="148"/>
      <c r="C46" s="148"/>
      <c r="D46" s="148"/>
      <c r="E46" s="148"/>
      <c r="F46" s="36"/>
      <c r="G46" s="36"/>
      <c r="H46" s="36"/>
      <c r="I46" s="36"/>
      <c r="J46" s="36"/>
      <c r="K46" s="36"/>
      <c r="L46" s="36"/>
    </row>
    <row r="47" spans="1:12" ht="28.05" customHeight="1">
      <c r="A47" s="36" t="s">
        <v>375</v>
      </c>
      <c r="B47" s="62" t="str">
        <f>IF(B6="No","",IF(ISNUMBER(B32),B32,""))</f>
        <v/>
      </c>
      <c r="C47" s="36" t="s">
        <v>6</v>
      </c>
      <c r="D47" s="147" t="s">
        <v>376</v>
      </c>
      <c r="E47" s="147"/>
      <c r="F47" s="36"/>
      <c r="G47" s="36"/>
      <c r="H47" s="36"/>
      <c r="I47" s="36"/>
      <c r="J47" s="36"/>
      <c r="K47" s="36"/>
      <c r="L47" s="36"/>
    </row>
    <row r="48" spans="1:12" ht="28.05" customHeight="1">
      <c r="A48" s="36" t="s">
        <v>377</v>
      </c>
      <c r="B48" s="62" t="str">
        <f>IF(B6="No","",IF(ISNUMBER(C32),C32,""))</f>
        <v/>
      </c>
      <c r="C48" s="36" t="s">
        <v>6</v>
      </c>
      <c r="D48" s="147" t="s">
        <v>378</v>
      </c>
      <c r="E48" s="147"/>
      <c r="F48" s="36"/>
      <c r="G48" s="36"/>
      <c r="H48" s="36"/>
      <c r="I48" s="36"/>
      <c r="J48" s="36"/>
      <c r="K48" s="36"/>
      <c r="L48" s="36"/>
    </row>
    <row r="49" spans="1:12" ht="28.05" customHeight="1">
      <c r="A49" s="36" t="s">
        <v>379</v>
      </c>
      <c r="B49" s="62" t="str">
        <f>IF(AND(COUNT(B47,B13)=2,B13&gt;0),B47*B13,"")</f>
        <v/>
      </c>
      <c r="C49" s="36" t="s">
        <v>35</v>
      </c>
      <c r="D49" s="147" t="s">
        <v>380</v>
      </c>
      <c r="E49" s="147"/>
      <c r="F49" s="36"/>
      <c r="G49" s="36"/>
      <c r="H49" s="36"/>
      <c r="I49" s="36"/>
      <c r="J49" s="36"/>
      <c r="K49" s="36"/>
      <c r="L49" s="36"/>
    </row>
    <row r="50" spans="1:12" ht="28.05" customHeight="1">
      <c r="A50" s="36" t="s">
        <v>381</v>
      </c>
      <c r="B50" s="62" t="str">
        <f>IF(AND(COUNT(B48,B13)=2,B13&gt;0),B48*B13,"")</f>
        <v/>
      </c>
      <c r="C50" s="36" t="s">
        <v>35</v>
      </c>
      <c r="D50" s="147" t="s">
        <v>382</v>
      </c>
      <c r="E50" s="147"/>
      <c r="F50" s="36"/>
      <c r="G50" s="36"/>
      <c r="H50" s="36"/>
      <c r="I50" s="36"/>
      <c r="J50" s="36"/>
      <c r="K50" s="36"/>
      <c r="L50" s="36"/>
    </row>
    <row r="51" spans="1:12" ht="28.05" customHeight="1">
      <c r="A51" s="36" t="s">
        <v>383</v>
      </c>
      <c r="B51" s="62" t="str">
        <f>IF(B6="No",0,IF(AND(COUNT(B49:B50,B8:B9)=4,MIN(B8:B9)&gt;0),(B49+B50)*B8*B9/2,""))</f>
        <v/>
      </c>
      <c r="C51" s="36" t="s">
        <v>50</v>
      </c>
      <c r="D51" s="147" t="s">
        <v>384</v>
      </c>
      <c r="E51" s="147"/>
      <c r="F51" s="36"/>
      <c r="G51" s="36"/>
      <c r="H51" s="36"/>
      <c r="I51" s="36"/>
      <c r="J51" s="36"/>
      <c r="K51" s="36"/>
      <c r="L51" s="36"/>
    </row>
    <row r="52" spans="1:12" ht="37.950000000000003" customHeight="1">
      <c r="A52" s="36" t="s">
        <v>385</v>
      </c>
      <c r="B52" s="37" t="str">
        <f>IF(B6="No",0,IF(COUNT(B51,B49:B50,B9)=4,IF(B51=0,0,B9*(2*B49+B50)/(3*(B49+B50))),""))</f>
        <v/>
      </c>
      <c r="C52" s="36" t="s">
        <v>6</v>
      </c>
      <c r="D52" s="147" t="s">
        <v>386</v>
      </c>
      <c r="E52" s="147"/>
      <c r="F52" s="36"/>
      <c r="G52" s="36"/>
      <c r="H52" s="36"/>
      <c r="I52" s="36"/>
      <c r="J52" s="36"/>
      <c r="K52" s="36"/>
      <c r="L52" s="36"/>
    </row>
    <row r="53" spans="1:12" ht="28.05" customHeight="1">
      <c r="A53" s="36" t="s">
        <v>387</v>
      </c>
      <c r="B53" s="62" t="str">
        <f>IF(COUNT(B51:B52)=2,B51*B52,"")</f>
        <v/>
      </c>
      <c r="C53" s="36" t="s">
        <v>410</v>
      </c>
      <c r="D53" s="147" t="s">
        <v>388</v>
      </c>
      <c r="E53" s="147"/>
      <c r="F53" s="36"/>
      <c r="G53" s="36"/>
      <c r="H53" s="36"/>
      <c r="I53" s="36"/>
      <c r="J53" s="36"/>
      <c r="K53" s="36"/>
      <c r="L53" s="36"/>
    </row>
    <row r="54" spans="1:12" ht="28.05" customHeight="1">
      <c r="A54" s="147" t="s">
        <v>389</v>
      </c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</row>
  </sheetData>
  <mergeCells count="23">
    <mergeCell ref="F33:L33"/>
    <mergeCell ref="A1:F1"/>
    <mergeCell ref="A2:F2"/>
    <mergeCell ref="A3:F3"/>
    <mergeCell ref="F24:L24"/>
    <mergeCell ref="F32:L32"/>
    <mergeCell ref="A23:E23"/>
    <mergeCell ref="A43:E43"/>
    <mergeCell ref="A44:E44"/>
    <mergeCell ref="B36:E36"/>
    <mergeCell ref="B39:E39"/>
    <mergeCell ref="A40:E40"/>
    <mergeCell ref="A41:E41"/>
    <mergeCell ref="A42:E42"/>
    <mergeCell ref="D51:E51"/>
    <mergeCell ref="D52:E52"/>
    <mergeCell ref="D53:E53"/>
    <mergeCell ref="A54:L54"/>
    <mergeCell ref="A46:E46"/>
    <mergeCell ref="D47:E47"/>
    <mergeCell ref="D48:E48"/>
    <mergeCell ref="D49:E49"/>
    <mergeCell ref="D50:E50"/>
  </mergeCells>
  <phoneticPr fontId="6" type="noConversion"/>
  <conditionalFormatting sqref="B20">
    <cfRule type="containsText" dxfId="9" priority="1" operator="containsText" text="NOT OK"/>
    <cfRule type="containsText" dxfId="8" priority="2" operator="containsText" text="OK"/>
    <cfRule type="containsText" dxfId="7" priority="3" operator="containsText" text="NOT REQUIRED"/>
    <cfRule type="containsText" dxfId="6" priority="4" operator="containsText" text="NOT OK"/>
    <cfRule type="containsText" dxfId="5" priority="5" operator="containsText" text="OK"/>
    <cfRule type="containsText" dxfId="4" priority="6" operator="containsText" text="NOT REQUIRED"/>
    <cfRule type="containsText" dxfId="3" priority="7" operator="containsText" text="NOT OK"/>
    <cfRule type="containsText" dxfId="2" priority="8" operator="containsText" text="OK"/>
    <cfRule type="containsText" dxfId="1" priority="9" operator="containsText" text="NOT REQUIRED"/>
  </conditionalFormatting>
  <conditionalFormatting sqref="B35:C35">
    <cfRule type="expression" dxfId="0" priority="10" stopIfTrue="1">
      <formula>AND($B$6="Yes",B35&lt;&gt;"READY")</formula>
    </cfRule>
  </conditionalFormatting>
  <dataValidations count="3">
    <dataValidation type="list" sqref="B6" xr:uid="{00000000-0002-0000-0100-000000000000}">
      <formula1>"Yes,No"</formula1>
    </dataValidation>
    <dataValidation type="decimal" operator="greaterThanOrEqual" allowBlank="1" showInputMessage="1" showErrorMessage="1" sqref="G26:J28 G31:J31 B27:C27 B29:C29 B7" xr:uid="{FFB99E8C-0896-401A-94C9-9191BA968694}">
      <formula1>0</formula1>
    </dataValidation>
    <dataValidation type="decimal" allowBlank="1" showInputMessage="1" showErrorMessage="1" sqref="B25:C26 B28 B37" xr:uid="{E47AD962-B840-4B95-B49F-0761D351E80B}">
      <formula1>-100000</formula1>
      <formula2>100000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Sliding">
    <tabColor rgb="FF7030A0"/>
  </sheetPr>
  <dimension ref="A1:I68"/>
  <sheetViews>
    <sheetView showGridLines="0" workbookViewId="0">
      <selection activeCell="A27" sqref="A27:I29"/>
    </sheetView>
  </sheetViews>
  <sheetFormatPr defaultRowHeight="13.8"/>
  <cols>
    <col min="1" max="1" width="25.69921875" style="2" customWidth="1"/>
    <col min="2" max="2" width="16.69921875" style="2" customWidth="1"/>
    <col min="3" max="3" width="20.69921875" style="2" customWidth="1"/>
    <col min="4" max="4" width="19.69921875" style="2" customWidth="1"/>
    <col min="5" max="5" width="3.69921875" style="2" customWidth="1"/>
    <col min="6" max="6" width="25.69921875" style="2" customWidth="1"/>
    <col min="7" max="7" width="16.69921875" style="2" customWidth="1"/>
    <col min="8" max="8" width="20.69921875" style="2" customWidth="1"/>
    <col min="9" max="9" width="19.69921875" style="2" customWidth="1"/>
    <col min="10" max="16384" width="8.796875" style="2"/>
  </cols>
  <sheetData>
    <row r="1" spans="1:9" ht="46.05" customHeight="1">
      <c r="A1" s="137" t="s">
        <v>542</v>
      </c>
      <c r="B1" s="138"/>
      <c r="C1" s="138"/>
      <c r="D1" s="138"/>
      <c r="E1" s="138"/>
      <c r="F1" s="138"/>
      <c r="G1" s="16"/>
      <c r="H1" s="16"/>
      <c r="I1" s="16"/>
    </row>
    <row r="2" spans="1:9" ht="28.05" customHeight="1">
      <c r="A2" s="139" t="s">
        <v>246</v>
      </c>
      <c r="B2" s="139"/>
      <c r="C2" s="139"/>
      <c r="D2" s="139"/>
      <c r="E2" s="139"/>
      <c r="F2" s="139"/>
      <c r="G2" s="16"/>
      <c r="H2" s="16"/>
      <c r="I2" s="16"/>
    </row>
    <row r="3" spans="1:9" ht="28.05" customHeight="1">
      <c r="A3" s="139" t="s">
        <v>391</v>
      </c>
      <c r="B3" s="139"/>
      <c r="C3" s="139"/>
      <c r="D3" s="139"/>
      <c r="E3" s="139"/>
      <c r="F3" s="139"/>
      <c r="G3" s="16"/>
      <c r="H3" s="16"/>
      <c r="I3" s="16"/>
    </row>
    <row r="4" spans="1:9" ht="28.05" customHeight="1">
      <c r="A4" s="15" t="s">
        <v>392</v>
      </c>
      <c r="B4" s="15"/>
      <c r="C4" s="15"/>
      <c r="D4" s="15"/>
      <c r="E4" s="24"/>
      <c r="F4" s="24"/>
      <c r="G4" s="16"/>
      <c r="H4" s="16"/>
      <c r="I4" s="16"/>
    </row>
    <row r="5" spans="1:9" ht="26.4">
      <c r="A5" s="63" t="s">
        <v>69</v>
      </c>
      <c r="B5" s="63"/>
      <c r="C5" s="63"/>
      <c r="D5" s="63"/>
      <c r="E5" s="63"/>
      <c r="F5" s="166" t="s">
        <v>350</v>
      </c>
      <c r="G5" s="166"/>
      <c r="H5" s="166"/>
      <c r="I5" s="166"/>
    </row>
    <row r="6" spans="1:9" ht="30" customHeight="1">
      <c r="A6" s="24" t="s">
        <v>70</v>
      </c>
      <c r="B6" s="24" t="str">
        <f>'Uplift Check'!$B$6</f>
        <v>Yes</v>
      </c>
      <c r="C6" s="24"/>
      <c r="D6" s="24"/>
      <c r="E6" s="24"/>
      <c r="F6" s="16"/>
      <c r="G6" s="16"/>
      <c r="H6" s="16"/>
      <c r="I6" s="16"/>
    </row>
    <row r="7" spans="1:9" ht="30" customHeight="1">
      <c r="A7" s="24" t="s">
        <v>247</v>
      </c>
      <c r="B7" s="64" t="str">
        <f>IF(ISNUMBER('Uplift Check'!B31),'Uplift Check'!B31,"")</f>
        <v/>
      </c>
      <c r="C7" s="24" t="s">
        <v>6</v>
      </c>
      <c r="D7" s="24"/>
      <c r="E7" s="24"/>
      <c r="F7" s="16"/>
      <c r="G7" s="16"/>
      <c r="H7" s="16"/>
      <c r="I7" s="16"/>
    </row>
    <row r="8" spans="1:9" ht="30" customHeight="1">
      <c r="A8" s="24" t="s">
        <v>248</v>
      </c>
      <c r="B8" s="64">
        <f>IF(B6="No",'Wind Load Check'!B19,IF(ISNUMBER('Uplift Check'!B8),'Uplift Check'!B8,""))</f>
        <v>37</v>
      </c>
      <c r="C8" s="24" t="s">
        <v>6</v>
      </c>
      <c r="D8" s="24"/>
      <c r="E8" s="24"/>
      <c r="F8" s="16"/>
      <c r="G8" s="16"/>
      <c r="H8" s="16"/>
      <c r="I8" s="16"/>
    </row>
    <row r="9" spans="1:9" ht="30" customHeight="1">
      <c r="A9" s="24" t="s">
        <v>249</v>
      </c>
      <c r="B9" s="64">
        <v>9.81</v>
      </c>
      <c r="C9" s="24" t="s">
        <v>79</v>
      </c>
      <c r="D9" s="24"/>
      <c r="E9" s="24"/>
      <c r="F9" s="16"/>
      <c r="G9" s="16"/>
      <c r="H9" s="16"/>
      <c r="I9" s="16"/>
    </row>
    <row r="10" spans="1:9" ht="30" customHeight="1">
      <c r="A10" s="24" t="s">
        <v>351</v>
      </c>
      <c r="B10" s="64">
        <v>9.19</v>
      </c>
      <c r="C10" s="24" t="s">
        <v>79</v>
      </c>
      <c r="D10" s="24"/>
      <c r="E10" s="24"/>
      <c r="F10" s="16" t="s">
        <v>492</v>
      </c>
      <c r="G10" s="65">
        <v>30</v>
      </c>
      <c r="H10" s="16" t="s">
        <v>108</v>
      </c>
      <c r="I10" s="16" t="s">
        <v>493</v>
      </c>
    </row>
    <row r="11" spans="1:9" ht="30" customHeight="1">
      <c r="A11" s="24" t="s">
        <v>97</v>
      </c>
      <c r="B11" s="64">
        <v>0.3</v>
      </c>
      <c r="C11" s="24" t="s">
        <v>11</v>
      </c>
      <c r="D11" s="24"/>
      <c r="E11" s="24"/>
      <c r="F11" s="16" t="s">
        <v>538</v>
      </c>
      <c r="G11" s="65">
        <v>1.5</v>
      </c>
      <c r="H11" s="16" t="s">
        <v>11</v>
      </c>
      <c r="I11" s="16" t="s">
        <v>109</v>
      </c>
    </row>
    <row r="12" spans="1:9" ht="30" customHeight="1">
      <c r="A12" s="24" t="s">
        <v>98</v>
      </c>
      <c r="B12" s="64">
        <v>1.5</v>
      </c>
      <c r="C12" s="24" t="s">
        <v>11</v>
      </c>
      <c r="D12" s="24"/>
      <c r="E12" s="24"/>
      <c r="F12" s="24"/>
      <c r="G12" s="16"/>
      <c r="H12" s="16"/>
      <c r="I12" s="16"/>
    </row>
    <row r="13" spans="1:9" ht="30" customHeight="1">
      <c r="A13" s="24" t="s">
        <v>99</v>
      </c>
      <c r="B13" s="64" t="str">
        <f>'Wind Load Check'!$B$38</f>
        <v/>
      </c>
      <c r="C13" s="24" t="s">
        <v>50</v>
      </c>
      <c r="D13" s="24"/>
      <c r="E13" s="24"/>
      <c r="F13" s="24" t="s">
        <v>250</v>
      </c>
      <c r="G13" s="16">
        <f>IF(ISNUMBER('Uplift Check'!B27),'Uplift Check'!B27,"")</f>
        <v>70</v>
      </c>
      <c r="H13" s="16" t="s">
        <v>35</v>
      </c>
      <c r="I13" s="16"/>
    </row>
    <row r="14" spans="1:9" ht="31.95" customHeight="1">
      <c r="A14" s="24" t="s">
        <v>539</v>
      </c>
      <c r="B14" s="64">
        <f>'Wind Load Check'!$B$15</f>
        <v>1.4</v>
      </c>
      <c r="C14" s="24" t="s">
        <v>11</v>
      </c>
      <c r="D14" s="24"/>
      <c r="E14" s="24"/>
      <c r="F14" s="24" t="s">
        <v>251</v>
      </c>
      <c r="G14" s="16">
        <f>IF(ISNUMBER('Uplift Check'!C27),'Uplift Check'!C27,"")</f>
        <v>5</v>
      </c>
      <c r="H14" s="16" t="s">
        <v>35</v>
      </c>
      <c r="I14" s="16"/>
    </row>
    <row r="15" spans="1:9" ht="30" customHeight="1">
      <c r="A15" s="24" t="s">
        <v>100</v>
      </c>
      <c r="B15" s="64">
        <v>1.1000000000000001</v>
      </c>
      <c r="C15" s="24" t="s">
        <v>11</v>
      </c>
      <c r="D15" s="24"/>
      <c r="E15" s="24"/>
      <c r="F15" s="24" t="s">
        <v>241</v>
      </c>
      <c r="G15" s="16" t="str">
        <f>'Uplift Check'!B36</f>
        <v>CHECK SIDE INPUTS / BASEMENT DIMENSIONS</v>
      </c>
      <c r="H15" s="16"/>
      <c r="I15" s="16"/>
    </row>
    <row r="16" spans="1:9" ht="30" customHeight="1">
      <c r="A16" s="24" t="s">
        <v>101</v>
      </c>
      <c r="B16" s="64">
        <v>1.5</v>
      </c>
      <c r="C16" s="24" t="s">
        <v>11</v>
      </c>
      <c r="D16" s="24"/>
      <c r="E16" s="24"/>
      <c r="F16" s="24"/>
      <c r="G16" s="16"/>
      <c r="H16" s="16"/>
      <c r="I16" s="16"/>
    </row>
    <row r="17" spans="1:9" ht="30" customHeight="1">
      <c r="A17" s="24" t="s">
        <v>102</v>
      </c>
      <c r="B17" s="64">
        <v>1</v>
      </c>
      <c r="C17" s="24" t="s">
        <v>11</v>
      </c>
      <c r="D17" s="24"/>
      <c r="E17" s="24"/>
      <c r="F17" s="24"/>
      <c r="G17" s="16"/>
      <c r="H17" s="16"/>
      <c r="I17" s="16"/>
    </row>
    <row r="18" spans="1:9" ht="30" customHeight="1">
      <c r="A18" s="24" t="s">
        <v>103</v>
      </c>
      <c r="B18" s="64">
        <v>1</v>
      </c>
      <c r="C18" s="24" t="s">
        <v>11</v>
      </c>
      <c r="D18" s="24"/>
      <c r="E18" s="24"/>
      <c r="F18" s="24" t="s">
        <v>292</v>
      </c>
      <c r="G18" s="16">
        <v>1.5</v>
      </c>
      <c r="H18" s="16"/>
      <c r="I18" s="16"/>
    </row>
    <row r="19" spans="1:9" ht="22.05" customHeight="1">
      <c r="A19" s="24"/>
      <c r="B19" s="24"/>
      <c r="C19" s="24"/>
      <c r="D19" s="24"/>
      <c r="E19" s="24"/>
      <c r="F19" s="24"/>
      <c r="G19" s="16"/>
      <c r="H19" s="16"/>
      <c r="I19" s="16"/>
    </row>
    <row r="20" spans="1:9" ht="22.05" customHeight="1">
      <c r="A20" s="160" t="s">
        <v>415</v>
      </c>
      <c r="B20" s="160"/>
      <c r="C20" s="160"/>
      <c r="D20" s="160"/>
      <c r="E20" s="160"/>
      <c r="F20" s="160"/>
      <c r="G20" s="160"/>
      <c r="H20" s="160"/>
      <c r="I20" s="160"/>
    </row>
    <row r="21" spans="1:9" ht="22.05" customHeight="1">
      <c r="A21" s="66" t="s">
        <v>21</v>
      </c>
      <c r="B21" s="66" t="s">
        <v>22</v>
      </c>
      <c r="C21" s="162" t="s">
        <v>194</v>
      </c>
      <c r="D21" s="162"/>
      <c r="E21" s="67"/>
      <c r="F21" s="67"/>
      <c r="G21" s="67"/>
      <c r="H21" s="163"/>
      <c r="I21" s="163"/>
    </row>
    <row r="22" spans="1:9" ht="22.05" customHeight="1">
      <c r="A22" s="16" t="s">
        <v>127</v>
      </c>
      <c r="B22" s="68" t="str">
        <f>IF(ISNUMBER('Wind Load Check'!K5),'Wind Load Check'!K5,"")</f>
        <v/>
      </c>
      <c r="C22" s="158" t="str">
        <f>IF('Wind Load Check'!K3="UNIFORM","p(H) x Bwind x H","SUM(layer mean p x width x height)")</f>
        <v>p(H) x Bwind x H</v>
      </c>
      <c r="D22" s="158"/>
      <c r="E22" s="16"/>
      <c r="F22" s="16"/>
      <c r="G22" s="68"/>
      <c r="H22" s="158"/>
      <c r="I22" s="158"/>
    </row>
    <row r="23" spans="1:9" ht="22.05" customHeight="1">
      <c r="A23" s="16" t="s">
        <v>393</v>
      </c>
      <c r="B23" s="69" t="str">
        <f>IF(COUNT('Wind Load Check'!B9,'Uplift Check'!B38)=2,'Wind Load Check'!B9/2+'Uplift Check'!B38,"")</f>
        <v/>
      </c>
      <c r="C23" s="158" t="s">
        <v>522</v>
      </c>
      <c r="D23" s="158"/>
      <c r="E23" s="16"/>
      <c r="F23" s="16"/>
      <c r="G23" s="68"/>
      <c r="H23" s="158"/>
      <c r="I23" s="158"/>
    </row>
    <row r="24" spans="1:9" ht="22.05" customHeight="1">
      <c r="A24" s="16" t="s">
        <v>425</v>
      </c>
      <c r="B24" s="68" t="str">
        <f>IF(COUNT(B22,B23)=2,B22*B23,"")</f>
        <v/>
      </c>
      <c r="C24" s="158" t="s">
        <v>426</v>
      </c>
      <c r="D24" s="158"/>
      <c r="E24" s="16"/>
      <c r="F24" s="16"/>
      <c r="G24" s="68"/>
      <c r="H24" s="158"/>
      <c r="I24" s="158"/>
    </row>
    <row r="25" spans="1:9" ht="22.05" customHeight="1">
      <c r="A25" s="160" t="s">
        <v>419</v>
      </c>
      <c r="B25" s="161"/>
      <c r="C25" s="160"/>
      <c r="D25" s="160"/>
      <c r="E25" s="70"/>
      <c r="F25" s="160" t="s">
        <v>420</v>
      </c>
      <c r="G25" s="161"/>
      <c r="H25" s="160"/>
      <c r="I25" s="160"/>
    </row>
    <row r="26" spans="1:9" ht="22.05" customHeight="1">
      <c r="A26" s="66" t="s">
        <v>21</v>
      </c>
      <c r="B26" s="71" t="s">
        <v>22</v>
      </c>
      <c r="C26" s="162" t="s">
        <v>194</v>
      </c>
      <c r="D26" s="162"/>
      <c r="E26" s="67"/>
      <c r="F26" s="66" t="s">
        <v>21</v>
      </c>
      <c r="G26" s="71" t="s">
        <v>22</v>
      </c>
      <c r="H26" s="162" t="s">
        <v>194</v>
      </c>
      <c r="I26" s="162"/>
    </row>
    <row r="27" spans="1:9" ht="22.05" customHeight="1">
      <c r="A27" s="164" t="s">
        <v>157</v>
      </c>
      <c r="B27" s="165"/>
      <c r="C27" s="164"/>
      <c r="D27" s="164"/>
      <c r="E27" s="16"/>
      <c r="F27" s="164" t="s">
        <v>157</v>
      </c>
      <c r="G27" s="165"/>
      <c r="H27" s="164"/>
      <c r="I27" s="164"/>
    </row>
    <row r="28" spans="1:9" ht="31.95" customHeight="1">
      <c r="A28" s="16" t="s">
        <v>127</v>
      </c>
      <c r="B28" s="68" t="str">
        <f>IF(B6="No","",IF(AND('Uplift Check'!B35="READY",ISNUMBER($B$8),$B$8&gt;0),$B$8*$B$11*(IF('Uplift Check'!B33=0,0,'Uplift Check'!B29)*('Uplift Check'!B33^2/2+'Uplift Check'!B33*'Uplift Check'!B34)+'Uplift Check'!B30*'Uplift Check'!B34^2/2),""))</f>
        <v/>
      </c>
      <c r="C28" s="158" t="s">
        <v>480</v>
      </c>
      <c r="D28" s="158"/>
      <c r="E28" s="16"/>
      <c r="F28" s="16" t="s">
        <v>127</v>
      </c>
      <c r="G28" s="68" t="str">
        <f>IF(B6="No","",IF(AND('Uplift Check'!C35="READY",ISNUMBER($B$8),$B$8&gt;0),$B$8*$B$12*(IF('Uplift Check'!C33=0,0,'Uplift Check'!C29)*('Uplift Check'!C33^2/2+'Uplift Check'!C33*'Uplift Check'!C34)+'Uplift Check'!C30*'Uplift Check'!C34^2/2),""))</f>
        <v/>
      </c>
      <c r="H28" s="158" t="s">
        <v>481</v>
      </c>
      <c r="I28" s="158"/>
    </row>
    <row r="29" spans="1:9" ht="22.05" customHeight="1">
      <c r="A29" s="16" t="s">
        <v>393</v>
      </c>
      <c r="B29" s="69" t="str">
        <f>IF(COUNT(B28,B50)=2,IF(B28=0,0,B50/B28),"")</f>
        <v/>
      </c>
      <c r="C29" s="158" t="s">
        <v>427</v>
      </c>
      <c r="D29" s="158"/>
      <c r="E29" s="16"/>
      <c r="F29" s="16" t="s">
        <v>393</v>
      </c>
      <c r="G29" s="69" t="str">
        <f>IF(COUNT(G28,G50)=2,IF(G28=0,0,G50/G28),"")</f>
        <v/>
      </c>
      <c r="H29" s="158" t="s">
        <v>427</v>
      </c>
      <c r="I29" s="158"/>
    </row>
    <row r="30" spans="1:9" ht="22.05" customHeight="1">
      <c r="A30" s="16" t="s">
        <v>425</v>
      </c>
      <c r="B30" s="68" t="str">
        <f>IF(COUNT(B28,B29)=2,B28*B29,"")</f>
        <v/>
      </c>
      <c r="C30" s="158" t="s">
        <v>428</v>
      </c>
      <c r="D30" s="158"/>
      <c r="E30" s="16"/>
      <c r="F30" s="16" t="s">
        <v>425</v>
      </c>
      <c r="G30" s="68" t="str">
        <f>IF(COUNT(G28,G29)=2,G28*G29,"")</f>
        <v/>
      </c>
      <c r="H30" s="158" t="s">
        <v>428</v>
      </c>
      <c r="I30" s="158"/>
    </row>
    <row r="31" spans="1:9" ht="22.05" customHeight="1">
      <c r="A31" s="164" t="s">
        <v>421</v>
      </c>
      <c r="B31" s="165"/>
      <c r="C31" s="164"/>
      <c r="D31" s="164"/>
      <c r="E31" s="16"/>
      <c r="F31" s="164" t="s">
        <v>421</v>
      </c>
      <c r="G31" s="165"/>
      <c r="H31" s="164"/>
      <c r="I31" s="164"/>
    </row>
    <row r="32" spans="1:9" ht="22.05" customHeight="1">
      <c r="A32" s="16" t="s">
        <v>127</v>
      </c>
      <c r="B32" s="68" t="str">
        <f>IF(B6="No","",IF(AND('Uplift Check'!B35="READY",ISNUMBER($B$8),$B$8&gt;0),$B$9*'Uplift Check'!B32^2*$B$8/2,""))</f>
        <v/>
      </c>
      <c r="C32" s="158" t="s">
        <v>429</v>
      </c>
      <c r="D32" s="158"/>
      <c r="E32" s="16"/>
      <c r="F32" s="16" t="s">
        <v>127</v>
      </c>
      <c r="G32" s="68" t="str">
        <f>IF(B6="No","",IF(AND('Uplift Check'!C35="READY",ISNUMBER($B$8),$B$8&gt;0),$B$9*'Uplift Check'!C32^2*$B$8/2,""))</f>
        <v/>
      </c>
      <c r="H32" s="158" t="s">
        <v>430</v>
      </c>
      <c r="I32" s="158"/>
    </row>
    <row r="33" spans="1:9" ht="22.05" customHeight="1">
      <c r="A33" s="16" t="s">
        <v>393</v>
      </c>
      <c r="B33" s="69" t="str">
        <f>IF(B6="No","",IF(AND('Uplift Check'!B35="READY",ISNUMBER($B$8),$B$8&gt;0),'Uplift Check'!B32/3,""))</f>
        <v/>
      </c>
      <c r="C33" s="158" t="s">
        <v>394</v>
      </c>
      <c r="D33" s="158"/>
      <c r="E33" s="16"/>
      <c r="F33" s="16" t="s">
        <v>393</v>
      </c>
      <c r="G33" s="69" t="str">
        <f>IF(B6="No","",IF(AND('Uplift Check'!C35="READY",ISNUMBER($B$8),$B$8&gt;0),'Uplift Check'!C32/3,""))</f>
        <v/>
      </c>
      <c r="H33" s="158" t="s">
        <v>395</v>
      </c>
      <c r="I33" s="158"/>
    </row>
    <row r="34" spans="1:9" ht="22.05" customHeight="1">
      <c r="A34" s="16" t="s">
        <v>425</v>
      </c>
      <c r="B34" s="68" t="str">
        <f>IF(COUNT(B32,B33)=2,B32*B33,"")</f>
        <v/>
      </c>
      <c r="C34" s="158" t="s">
        <v>431</v>
      </c>
      <c r="D34" s="158"/>
      <c r="E34" s="16"/>
      <c r="F34" s="16" t="s">
        <v>425</v>
      </c>
      <c r="G34" s="68" t="str">
        <f>IF(COUNT(G32,G33)=2,G32*G33,"")</f>
        <v/>
      </c>
      <c r="H34" s="158" t="s">
        <v>431</v>
      </c>
      <c r="I34" s="158"/>
    </row>
    <row r="35" spans="1:9" ht="22.05" customHeight="1">
      <c r="A35" s="164" t="s">
        <v>158</v>
      </c>
      <c r="B35" s="165"/>
      <c r="C35" s="164"/>
      <c r="D35" s="164"/>
      <c r="E35" s="16"/>
      <c r="F35" s="164" t="s">
        <v>422</v>
      </c>
      <c r="G35" s="165"/>
      <c r="H35" s="164"/>
      <c r="I35" s="164"/>
    </row>
    <row r="36" spans="1:9" ht="22.05" customHeight="1">
      <c r="A36" s="16" t="s">
        <v>127</v>
      </c>
      <c r="B36" s="68" t="str">
        <f>IF(B6="No",0,IF(COUNT(B49,'Uplift Check'!B31,B8)=3,B49*'Uplift Check'!B31*B8,""))</f>
        <v/>
      </c>
      <c r="C36" s="158" t="s">
        <v>432</v>
      </c>
      <c r="D36" s="158"/>
      <c r="E36" s="16"/>
      <c r="F36" s="16" t="s">
        <v>127</v>
      </c>
      <c r="G36" s="68" t="str">
        <f>IF(B6="No",0,IF(COUNT(G49,'Uplift Check'!C31,B8)=3,G49*'Uplift Check'!C31*B8,""))</f>
        <v/>
      </c>
      <c r="H36" s="158" t="s">
        <v>433</v>
      </c>
      <c r="I36" s="158"/>
    </row>
    <row r="37" spans="1:9" ht="22.05" customHeight="1">
      <c r="A37" s="16" t="s">
        <v>393</v>
      </c>
      <c r="B37" s="69" t="str">
        <f>IF(B6="No",0,IF(ISNUMBER('Uplift Check'!B31),'Uplift Check'!B31/2,""))</f>
        <v/>
      </c>
      <c r="C37" s="158" t="s">
        <v>396</v>
      </c>
      <c r="D37" s="158"/>
      <c r="E37" s="16"/>
      <c r="F37" s="16" t="s">
        <v>393</v>
      </c>
      <c r="G37" s="69" t="str">
        <f>IF(B6="No",0,IF(ISNUMBER('Uplift Check'!C31),'Uplift Check'!C31/2,""))</f>
        <v/>
      </c>
      <c r="H37" s="158" t="s">
        <v>434</v>
      </c>
      <c r="I37" s="158"/>
    </row>
    <row r="38" spans="1:9" ht="22.05" customHeight="1">
      <c r="A38" s="16" t="s">
        <v>425</v>
      </c>
      <c r="B38" s="68" t="str">
        <f>IF(COUNT(B36,B37)=2,B36*B37,"")</f>
        <v/>
      </c>
      <c r="C38" s="158" t="s">
        <v>435</v>
      </c>
      <c r="D38" s="158"/>
      <c r="E38" s="16"/>
      <c r="F38" s="16" t="s">
        <v>425</v>
      </c>
      <c r="G38" s="68" t="str">
        <f>IF(COUNT(G36,G37)=2,G36*G37,"")</f>
        <v/>
      </c>
      <c r="H38" s="158" t="s">
        <v>435</v>
      </c>
      <c r="I38" s="158"/>
    </row>
    <row r="39" spans="1:9" ht="31.95" customHeight="1">
      <c r="A39" s="135" t="s">
        <v>442</v>
      </c>
      <c r="B39" s="159"/>
      <c r="C39" s="135"/>
      <c r="D39" s="135"/>
      <c r="E39" s="135"/>
      <c r="F39" s="135"/>
      <c r="G39" s="159"/>
      <c r="H39" s="135"/>
      <c r="I39" s="135"/>
    </row>
    <row r="40" spans="1:9" ht="22.05" customHeight="1">
      <c r="A40" s="160" t="s">
        <v>423</v>
      </c>
      <c r="B40" s="161"/>
      <c r="C40" s="160"/>
      <c r="D40" s="160"/>
      <c r="E40" s="70"/>
      <c r="F40" s="160" t="s">
        <v>424</v>
      </c>
      <c r="G40" s="161"/>
      <c r="H40" s="160"/>
      <c r="I40" s="160"/>
    </row>
    <row r="41" spans="1:9" ht="22.05" customHeight="1">
      <c r="A41" s="66" t="s">
        <v>21</v>
      </c>
      <c r="B41" s="71" t="s">
        <v>22</v>
      </c>
      <c r="C41" s="162" t="s">
        <v>194</v>
      </c>
      <c r="D41" s="162"/>
      <c r="E41" s="67"/>
      <c r="F41" s="66" t="s">
        <v>21</v>
      </c>
      <c r="G41" s="71" t="s">
        <v>22</v>
      </c>
      <c r="H41" s="162" t="s">
        <v>194</v>
      </c>
      <c r="I41" s="162"/>
    </row>
    <row r="42" spans="1:9" ht="22.05" customHeight="1">
      <c r="A42" s="16" t="s">
        <v>127</v>
      </c>
      <c r="B42" s="68" t="str">
        <f>IF(B6="No",0,IF(ISNUMBER('Uplift Check'!B51),'Uplift Check'!B51,""))</f>
        <v/>
      </c>
      <c r="C42" s="158" t="s">
        <v>436</v>
      </c>
      <c r="D42" s="158"/>
      <c r="E42" s="16"/>
      <c r="F42" s="16" t="s">
        <v>127</v>
      </c>
      <c r="G42" s="68" t="str">
        <f>IF(ISNUMBER('Uplift Check'!$K$30),'Uplift Check'!$K$30,"")</f>
        <v/>
      </c>
      <c r="H42" s="158" t="s">
        <v>437</v>
      </c>
      <c r="I42" s="158"/>
    </row>
    <row r="43" spans="1:9" ht="22.05" customHeight="1">
      <c r="A43" s="16" t="s">
        <v>393</v>
      </c>
      <c r="B43" s="69" t="str">
        <f>IF(B6="No",0,IF(ISNUMBER('Uplift Check'!B52),'Uplift Check'!B52,""))</f>
        <v/>
      </c>
      <c r="C43" s="158" t="s">
        <v>438</v>
      </c>
      <c r="D43" s="158"/>
      <c r="E43" s="16"/>
      <c r="F43" s="16" t="s">
        <v>393</v>
      </c>
      <c r="G43" s="69" t="str">
        <f>IF(ISNUMBER(G42),IF(G42=0,0,IF(COUNT('Overturning Check'!B33:C36)=8,SUMPRODUCT('Overturning Check'!B33:B36,'Overturning Check'!C33:C36)/G42,"")),"")</f>
        <v/>
      </c>
      <c r="H43" s="158" t="s">
        <v>439</v>
      </c>
      <c r="I43" s="158"/>
    </row>
    <row r="44" spans="1:9" ht="22.05" customHeight="1">
      <c r="A44" s="16" t="s">
        <v>425</v>
      </c>
      <c r="B44" s="68" t="str">
        <f>IF(COUNT(B42,B43)=2,B42*B43,"")</f>
        <v/>
      </c>
      <c r="C44" s="158" t="s">
        <v>440</v>
      </c>
      <c r="D44" s="158"/>
      <c r="E44" s="16"/>
      <c r="F44" s="16" t="s">
        <v>425</v>
      </c>
      <c r="G44" s="68" t="str">
        <f>IF(COUNT(G42,G43)=2,G42*G43,"")</f>
        <v/>
      </c>
      <c r="H44" s="158" t="s">
        <v>441</v>
      </c>
      <c r="I44" s="158"/>
    </row>
    <row r="45" spans="1:9" ht="31.95" customHeight="1">
      <c r="A45" s="135" t="s">
        <v>443</v>
      </c>
      <c r="B45" s="159"/>
      <c r="C45" s="135"/>
      <c r="D45" s="135"/>
      <c r="E45" s="135"/>
      <c r="F45" s="135"/>
      <c r="G45" s="159"/>
      <c r="H45" s="135"/>
      <c r="I45" s="135"/>
    </row>
    <row r="46" spans="1:9" ht="22.05" customHeight="1">
      <c r="A46" s="160" t="s">
        <v>416</v>
      </c>
      <c r="B46" s="161"/>
      <c r="C46" s="160"/>
      <c r="D46" s="160"/>
      <c r="E46" s="160"/>
      <c r="F46" s="160"/>
      <c r="G46" s="161"/>
      <c r="H46" s="160"/>
      <c r="I46" s="160"/>
    </row>
    <row r="47" spans="1:9" ht="22.05" customHeight="1">
      <c r="A47" s="16" t="s">
        <v>446</v>
      </c>
      <c r="B47" s="68" t="str">
        <f>IF(B6="No","",IF(AND('Uplift Check'!B35="READY",ISNUMBER($B$8),$B$8&gt;0),$B$9*'Uplift Check'!B32,""))</f>
        <v/>
      </c>
      <c r="C47" s="158" t="s">
        <v>397</v>
      </c>
      <c r="D47" s="158"/>
      <c r="E47" s="16"/>
      <c r="F47" s="16" t="s">
        <v>446</v>
      </c>
      <c r="G47" s="68" t="str">
        <f>IF(B6="No","",IF(AND('Uplift Check'!C35="READY",ISNUMBER($B$8),$B$8&gt;0),$B$9*'Uplift Check'!C32,""))</f>
        <v/>
      </c>
      <c r="H47" s="158" t="s">
        <v>398</v>
      </c>
      <c r="I47" s="158"/>
    </row>
    <row r="48" spans="1:9" ht="22.05" customHeight="1">
      <c r="A48" s="16" t="s">
        <v>447</v>
      </c>
      <c r="B48" s="68" t="str">
        <f>IF(B6="No","",IF(AND('Uplift Check'!B35="READY",ISNUMBER($B$8),$B$8&gt;0),$B$11*(IF('Uplift Check'!B33=0,0,'Uplift Check'!B29)*'Uplift Check'!B33+'Uplift Check'!B30*'Uplift Check'!B34),""))</f>
        <v/>
      </c>
      <c r="C48" s="158" t="s">
        <v>399</v>
      </c>
      <c r="D48" s="158"/>
      <c r="E48" s="16"/>
      <c r="F48" s="16" t="s">
        <v>447</v>
      </c>
      <c r="G48" s="68" t="str">
        <f>IF(B6="No","",IF(AND('Uplift Check'!C35="READY",ISNUMBER($B$8),$B$8&gt;0),$B$12*(IF('Uplift Check'!C33=0,0,'Uplift Check'!C29)*'Uplift Check'!C33+'Uplift Check'!C30*'Uplift Check'!C34),""))</f>
        <v/>
      </c>
      <c r="H48" s="158" t="s">
        <v>400</v>
      </c>
      <c r="I48" s="158"/>
    </row>
    <row r="49" spans="1:9" ht="22.05" customHeight="1">
      <c r="A49" s="16" t="s">
        <v>448</v>
      </c>
      <c r="B49" s="68" t="str">
        <f>IF(B6="No",0,IF(AND('Uplift Check'!B35="READY",ISNUMBER($B$8),$B$8&gt;0),'Uplift Check'!B27*$B$11,""))</f>
        <v/>
      </c>
      <c r="C49" s="158" t="s">
        <v>401</v>
      </c>
      <c r="D49" s="158"/>
      <c r="E49" s="16"/>
      <c r="F49" s="16" t="s">
        <v>448</v>
      </c>
      <c r="G49" s="68" t="str">
        <f>IF(B6="No",0,IF(AND('Uplift Check'!C35="READY",ISNUMBER($B$8),$B$8&gt;0),'Uplift Check'!C27*$B$12,""))</f>
        <v/>
      </c>
      <c r="H49" s="158" t="s">
        <v>402</v>
      </c>
      <c r="I49" s="158"/>
    </row>
    <row r="50" spans="1:9" ht="31.95" customHeight="1">
      <c r="A50" s="16" t="s">
        <v>449</v>
      </c>
      <c r="B50" s="68" t="str">
        <f>IF(B6="No","",IF(AND('Uplift Check'!B35="READY",ISNUMBER($B$8),$B$8&gt;0),$B$8*$B$11*(IF('Uplift Check'!B33=0,0,'Uplift Check'!B29)*('Uplift Check'!B33^3/6+'Uplift Check'!B33^2*'Uplift Check'!B34/2+'Uplift Check'!B33*'Uplift Check'!B34^2/2)+'Uplift Check'!B30*'Uplift Check'!B34^3/6),""))</f>
        <v/>
      </c>
      <c r="C50" s="158" t="s">
        <v>403</v>
      </c>
      <c r="D50" s="158"/>
      <c r="E50" s="16"/>
      <c r="F50" s="16" t="s">
        <v>449</v>
      </c>
      <c r="G50" s="68" t="str">
        <f>IF(B6="No","",IF(AND('Uplift Check'!C35="READY",ISNUMBER($B$8),$B$8&gt;0),$B$8*$B$12*(IF('Uplift Check'!C33=0,0,'Uplift Check'!C29)*('Uplift Check'!C33^3/6+'Uplift Check'!C33^2*'Uplift Check'!C34/2+'Uplift Check'!C33*'Uplift Check'!C34^2/2)+'Uplift Check'!C30*'Uplift Check'!C34^3/6),""))</f>
        <v/>
      </c>
      <c r="H50" s="158" t="s">
        <v>404</v>
      </c>
      <c r="I50" s="158"/>
    </row>
    <row r="51" spans="1:9" ht="31.95" customHeight="1">
      <c r="A51" s="135" t="s">
        <v>482</v>
      </c>
      <c r="B51" s="159"/>
      <c r="C51" s="135"/>
      <c r="D51" s="135"/>
      <c r="E51" s="135"/>
      <c r="F51" s="135"/>
      <c r="G51" s="135"/>
      <c r="H51" s="135"/>
      <c r="I51" s="135"/>
    </row>
    <row r="52" spans="1:9" ht="22.05" customHeight="1">
      <c r="A52" s="160" t="s">
        <v>417</v>
      </c>
      <c r="B52" s="161"/>
      <c r="C52" s="160"/>
      <c r="D52" s="160"/>
      <c r="E52" s="160"/>
      <c r="F52" s="160"/>
      <c r="G52" s="160"/>
      <c r="H52" s="160"/>
      <c r="I52" s="160"/>
    </row>
    <row r="53" spans="1:9" ht="22.05" customHeight="1">
      <c r="A53" s="66" t="s">
        <v>21</v>
      </c>
      <c r="B53" s="71" t="s">
        <v>22</v>
      </c>
      <c r="C53" s="66" t="s">
        <v>2</v>
      </c>
      <c r="D53" s="162" t="s">
        <v>450</v>
      </c>
      <c r="E53" s="163"/>
      <c r="F53" s="163"/>
      <c r="G53" s="163"/>
      <c r="H53" s="163"/>
      <c r="I53" s="163"/>
    </row>
    <row r="54" spans="1:9" ht="22.05" customHeight="1">
      <c r="A54" s="16" t="str">
        <f>IF($B$6="No","Characteristic wind driving force","Factored wind driving force")</f>
        <v>Factored wind driving force</v>
      </c>
      <c r="B54" s="68" t="str">
        <f>IF(ISNUMBER(B22),IF(B6="No",B22,B22*G11),"")</f>
        <v/>
      </c>
      <c r="C54" s="16" t="s">
        <v>50</v>
      </c>
      <c r="D54" s="135" t="str">
        <f>IF(B6="No","Adopted characteristic wind force","Adopted wind force × wind load factor")</f>
        <v>Adopted wind force × wind load factor</v>
      </c>
      <c r="E54" s="135"/>
      <c r="F54" s="135"/>
      <c r="G54" s="135"/>
      <c r="H54" s="135"/>
      <c r="I54" s="135"/>
    </row>
    <row r="55" spans="1:9" ht="22.05" customHeight="1">
      <c r="A55" s="16" t="str">
        <f>IF($B$6="No","Total building dead load","Factored active hydrostatic force")</f>
        <v>Factored active hydrostatic force</v>
      </c>
      <c r="B55" s="68" t="str">
        <f>IF(B6="No",IF(ISNUMBER(G42),G42,""),IF(ISNUMBER(B32),B32*B15,""))</f>
        <v/>
      </c>
      <c r="C55" s="16" t="s">
        <v>50</v>
      </c>
      <c r="D55" s="135" t="str">
        <f>IF($B$6="No","tower S/W1 + podium S/W2","active hydro force x hydro factor")</f>
        <v>active hydro force x hydro factor</v>
      </c>
      <c r="E55" s="135"/>
      <c r="F55" s="135"/>
      <c r="G55" s="135"/>
      <c r="H55" s="135"/>
      <c r="I55" s="135"/>
    </row>
    <row r="56" spans="1:9" ht="22.05" customHeight="1">
      <c r="A56" s="16" t="str">
        <f>IF(B6="No","Base-friction resistance","Factored active soil + surcharge")</f>
        <v>Factored active soil + surcharge</v>
      </c>
      <c r="B56" s="68" t="str">
        <f>IF(B6="No",IF(ISNUMBER(B55),B55*TAN(G10*PI()/180),""),IF(COUNT(B28,B36)=2,(B28+B36)*B16,""))</f>
        <v/>
      </c>
      <c r="C56" s="16" t="s">
        <v>50</v>
      </c>
      <c r="D56" s="135" t="s">
        <v>324</v>
      </c>
      <c r="E56" s="135"/>
      <c r="F56" s="135"/>
      <c r="G56" s="135"/>
      <c r="H56" s="135"/>
      <c r="I56" s="135"/>
    </row>
    <row r="57" spans="1:9" ht="22.05" customHeight="1">
      <c r="A57" s="16" t="s">
        <v>104</v>
      </c>
      <c r="B57" s="68" t="str">
        <f>IF(B6="No",IF(ISNUMBER(B54),B54,""),IF(COUNT(B54,B55,B56)=3,SUM(B54,B55,B56),""))</f>
        <v/>
      </c>
      <c r="C57" s="16" t="s">
        <v>50</v>
      </c>
      <c r="D57" s="135" t="str">
        <f>IF(B6="No","characteristic wind force","factored wind + water + soil + surcharge")</f>
        <v>factored wind + water + soil + surcharge</v>
      </c>
      <c r="E57" s="135"/>
      <c r="F57" s="135"/>
      <c r="G57" s="135"/>
      <c r="H57" s="135"/>
      <c r="I57" s="135"/>
    </row>
    <row r="58" spans="1:9" ht="22.05" customHeight="1">
      <c r="A58" s="16" t="s">
        <v>105</v>
      </c>
      <c r="B58" s="68" t="str">
        <f>IF(B6="No",IF(ISNUMBER(B56),B56,""),IF(COUNT(G32,G28,B64)=3,(G32+G28)*B17+B64,""))</f>
        <v/>
      </c>
      <c r="C58" s="16" t="s">
        <v>50</v>
      </c>
      <c r="D58" s="135" t="str">
        <f>IF(B6="No","self-weight x tan(phi)","passive water + passive soil + max(S/W - uplift,0) x tan(phi)")</f>
        <v>passive water + passive soil + max(S/W - uplift,0) x tan(phi)</v>
      </c>
      <c r="E58" s="135"/>
      <c r="F58" s="135"/>
      <c r="G58" s="135"/>
      <c r="H58" s="135"/>
      <c r="I58" s="135"/>
    </row>
    <row r="59" spans="1:9" ht="22.05" customHeight="1">
      <c r="A59" s="16" t="s">
        <v>106</v>
      </c>
      <c r="B59" s="68" t="str">
        <f>IF(OR(NOT(ISNUMBER($B$57)),NOT(ISNUMBER($B$58)),$B$57&lt;=0),"CHECK INPUTS",$B$58/$B$57)</f>
        <v>CHECK INPUTS</v>
      </c>
      <c r="C59" s="16" t="s">
        <v>193</v>
      </c>
      <c r="D59" s="135" t="str">
        <f>"Fr / Fs"</f>
        <v>Fr / Fs</v>
      </c>
      <c r="E59" s="135"/>
      <c r="F59" s="135"/>
      <c r="G59" s="135"/>
      <c r="H59" s="135"/>
      <c r="I59" s="135"/>
    </row>
    <row r="60" spans="1:9" ht="22.05" customHeight="1">
      <c r="A60" s="16" t="s">
        <v>88</v>
      </c>
      <c r="B60" s="68">
        <f>IF(B6="No",G18,B18)</f>
        <v>1</v>
      </c>
      <c r="C60" s="16" t="s">
        <v>193</v>
      </c>
      <c r="D60" s="135" t="str">
        <f>IF(B6="No",TEXT(G18,"0.000")&amp;" for no basement",TEXT(B18,"0.000")&amp;" for basement")</f>
        <v>1.000 for basement</v>
      </c>
      <c r="E60" s="135"/>
      <c r="F60" s="135"/>
      <c r="G60" s="135"/>
      <c r="H60" s="135"/>
      <c r="I60" s="135"/>
    </row>
    <row r="61" spans="1:9" ht="31.95" customHeight="1">
      <c r="A61" s="16" t="s">
        <v>89</v>
      </c>
      <c r="B61" s="68" t="str">
        <f>IF(OR(NOT(ISNUMBER(B57)),NOT(ISNUMBER(B58)),NOT(ISNUMBER(B59))),"CHECK LEVELS / WIND / SELF-WEIGHT / UPLIFT",IF(B59&gt;=B60,"OK","NOT OK"))</f>
        <v>CHECK LEVELS / WIND / SELF-WEIGHT / UPLIFT</v>
      </c>
      <c r="C61" s="16"/>
      <c r="D61" s="135" t="s">
        <v>107</v>
      </c>
      <c r="E61" s="135"/>
      <c r="F61" s="135"/>
      <c r="G61" s="135"/>
      <c r="H61" s="135"/>
      <c r="I61" s="135"/>
    </row>
    <row r="62" spans="1:9" ht="22.05" customHeight="1">
      <c r="A62" s="160" t="s">
        <v>418</v>
      </c>
      <c r="B62" s="161"/>
      <c r="C62" s="160"/>
      <c r="D62" s="160"/>
      <c r="E62" s="160"/>
      <c r="F62" s="160"/>
      <c r="G62" s="160"/>
      <c r="H62" s="160"/>
      <c r="I62" s="160"/>
    </row>
    <row r="63" spans="1:9" ht="22.05" customHeight="1">
      <c r="A63" s="16" t="s">
        <v>110</v>
      </c>
      <c r="B63" s="68" t="str">
        <f>IF(COUNT(G42,B42)=2,MAX(G42-B42,0),"")</f>
        <v/>
      </c>
      <c r="C63" s="16" t="s">
        <v>50</v>
      </c>
      <c r="D63" s="135" t="s">
        <v>405</v>
      </c>
      <c r="E63" s="135"/>
      <c r="F63" s="135"/>
      <c r="G63" s="135"/>
      <c r="H63" s="135"/>
      <c r="I63" s="135"/>
    </row>
    <row r="64" spans="1:9" ht="22.05" customHeight="1">
      <c r="A64" s="16" t="s">
        <v>111</v>
      </c>
      <c r="B64" s="68" t="str">
        <f>IF(ISNUMBER(B63),B63*TAN((2/3)*G10*PI()/180),"")</f>
        <v/>
      </c>
      <c r="C64" s="16" t="s">
        <v>50</v>
      </c>
      <c r="D64" s="135" t="s">
        <v>494</v>
      </c>
      <c r="E64" s="135"/>
      <c r="F64" s="135"/>
      <c r="G64" s="135"/>
      <c r="H64" s="135"/>
      <c r="I64" s="135"/>
    </row>
    <row r="65" spans="1:9" ht="22.05" customHeight="1">
      <c r="A65" s="16" t="s">
        <v>406</v>
      </c>
      <c r="B65" s="68" t="str">
        <f>'Wind Load Check'!B36</f>
        <v/>
      </c>
      <c r="C65" s="16" t="s">
        <v>35</v>
      </c>
      <c r="D65" s="135" t="s">
        <v>537</v>
      </c>
      <c r="E65" s="135"/>
      <c r="F65" s="135"/>
      <c r="G65" s="135"/>
      <c r="H65" s="135"/>
      <c r="I65" s="135"/>
    </row>
    <row r="66" spans="1:9" ht="22.05" customHeight="1">
      <c r="A66" s="16" t="s">
        <v>521</v>
      </c>
      <c r="B66" s="68">
        <f>'Wind Load Check'!B9</f>
        <v>0</v>
      </c>
      <c r="C66" s="16" t="s">
        <v>6</v>
      </c>
      <c r="D66" s="135" t="s">
        <v>407</v>
      </c>
      <c r="E66" s="135"/>
      <c r="F66" s="135"/>
      <c r="G66" s="135"/>
      <c r="H66" s="135"/>
      <c r="I66" s="135"/>
    </row>
    <row r="67" spans="1:9" ht="31.95" customHeight="1">
      <c r="A67" s="135" t="s">
        <v>444</v>
      </c>
      <c r="B67" s="135"/>
      <c r="C67" s="135"/>
      <c r="D67" s="135"/>
      <c r="E67" s="135"/>
      <c r="F67" s="135"/>
      <c r="G67" s="135"/>
      <c r="H67" s="135"/>
      <c r="I67" s="135"/>
    </row>
    <row r="68" spans="1:9" ht="31.95" customHeight="1">
      <c r="A68" s="135" t="s">
        <v>445</v>
      </c>
      <c r="B68" s="135"/>
      <c r="C68" s="135"/>
      <c r="D68" s="135"/>
      <c r="E68" s="135"/>
      <c r="F68" s="135"/>
      <c r="G68" s="135"/>
      <c r="H68" s="135"/>
      <c r="I68" s="135"/>
    </row>
  </sheetData>
  <mergeCells count="80">
    <mergeCell ref="A67:I67"/>
    <mergeCell ref="A68:I68"/>
    <mergeCell ref="D58:I58"/>
    <mergeCell ref="D59:I59"/>
    <mergeCell ref="D60:I60"/>
    <mergeCell ref="D61:I61"/>
    <mergeCell ref="D63:I63"/>
    <mergeCell ref="D64:I64"/>
    <mergeCell ref="D65:I65"/>
    <mergeCell ref="D66:I66"/>
    <mergeCell ref="A62:I62"/>
    <mergeCell ref="A31:D31"/>
    <mergeCell ref="F31:I31"/>
    <mergeCell ref="C29:D29"/>
    <mergeCell ref="H29:I29"/>
    <mergeCell ref="C30:D30"/>
    <mergeCell ref="H30:I30"/>
    <mergeCell ref="A35:D35"/>
    <mergeCell ref="F35:I35"/>
    <mergeCell ref="A40:D40"/>
    <mergeCell ref="F40:I40"/>
    <mergeCell ref="C32:D32"/>
    <mergeCell ref="H32:I32"/>
    <mergeCell ref="C33:D33"/>
    <mergeCell ref="H33:I33"/>
    <mergeCell ref="C34:D34"/>
    <mergeCell ref="H34:I34"/>
    <mergeCell ref="C36:D36"/>
    <mergeCell ref="H36:I36"/>
    <mergeCell ref="C37:D37"/>
    <mergeCell ref="H37:I37"/>
    <mergeCell ref="A39:I39"/>
    <mergeCell ref="C38:D38"/>
    <mergeCell ref="C22:D22"/>
    <mergeCell ref="H22:I22"/>
    <mergeCell ref="C23:D23"/>
    <mergeCell ref="H23:I23"/>
    <mergeCell ref="C21:D21"/>
    <mergeCell ref="H21:I21"/>
    <mergeCell ref="A1:F1"/>
    <mergeCell ref="A2:F2"/>
    <mergeCell ref="A3:F3"/>
    <mergeCell ref="A20:I20"/>
    <mergeCell ref="F5:I5"/>
    <mergeCell ref="H24:I24"/>
    <mergeCell ref="C24:D24"/>
    <mergeCell ref="C26:D26"/>
    <mergeCell ref="H26:I26"/>
    <mergeCell ref="C28:D28"/>
    <mergeCell ref="H28:I28"/>
    <mergeCell ref="A25:D25"/>
    <mergeCell ref="F25:I25"/>
    <mergeCell ref="A27:D27"/>
    <mergeCell ref="F27:I27"/>
    <mergeCell ref="C43:D43"/>
    <mergeCell ref="H43:I43"/>
    <mergeCell ref="C44:D44"/>
    <mergeCell ref="H44:I44"/>
    <mergeCell ref="H38:I38"/>
    <mergeCell ref="C41:D41"/>
    <mergeCell ref="H41:I41"/>
    <mergeCell ref="C42:D42"/>
    <mergeCell ref="H42:I42"/>
    <mergeCell ref="A45:I45"/>
    <mergeCell ref="A52:I52"/>
    <mergeCell ref="D54:I54"/>
    <mergeCell ref="C48:D48"/>
    <mergeCell ref="H48:I48"/>
    <mergeCell ref="C49:D49"/>
    <mergeCell ref="H49:I49"/>
    <mergeCell ref="C50:D50"/>
    <mergeCell ref="H50:I50"/>
    <mergeCell ref="A51:I51"/>
    <mergeCell ref="D53:I53"/>
    <mergeCell ref="A46:I46"/>
    <mergeCell ref="D55:I55"/>
    <mergeCell ref="D56:I56"/>
    <mergeCell ref="D57:I57"/>
    <mergeCell ref="C47:D47"/>
    <mergeCell ref="H47:I47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Overturning">
    <tabColor rgb="FFC55A11"/>
  </sheetPr>
  <dimension ref="A1:G75"/>
  <sheetViews>
    <sheetView showGridLines="0" workbookViewId="0">
      <selection sqref="A1:F1"/>
    </sheetView>
  </sheetViews>
  <sheetFormatPr defaultRowHeight="13.8"/>
  <cols>
    <col min="1" max="1" width="30.69921875" style="2" customWidth="1"/>
    <col min="2" max="2" width="17.69921875" style="2" customWidth="1"/>
    <col min="3" max="3" width="16.69921875" style="2" customWidth="1"/>
    <col min="4" max="4" width="11.69921875" style="2" customWidth="1"/>
    <col min="5" max="5" width="22.69921875" style="2" customWidth="1"/>
    <col min="6" max="6" width="32.69921875" style="2" customWidth="1"/>
    <col min="7" max="7" width="13.69921875" style="2" customWidth="1"/>
    <col min="8" max="8" width="8.796875" style="2"/>
    <col min="9" max="9" width="14" style="2" customWidth="1"/>
    <col min="10" max="15" width="10" style="2" customWidth="1"/>
    <col min="16" max="16" width="9" style="2" customWidth="1"/>
    <col min="17" max="16384" width="8.796875" style="2"/>
  </cols>
  <sheetData>
    <row r="1" spans="1:7" ht="46.05" customHeight="1">
      <c r="A1" s="152" t="s">
        <v>543</v>
      </c>
      <c r="B1" s="153"/>
      <c r="C1" s="153"/>
      <c r="D1" s="153"/>
      <c r="E1" s="153"/>
      <c r="F1" s="153"/>
      <c r="G1" s="72"/>
    </row>
    <row r="2" spans="1:7" ht="24" customHeight="1">
      <c r="A2" s="154" t="s">
        <v>112</v>
      </c>
      <c r="B2" s="154"/>
      <c r="C2" s="154"/>
      <c r="D2" s="154"/>
      <c r="E2" s="154"/>
      <c r="F2" s="154"/>
      <c r="G2" s="73"/>
    </row>
    <row r="3" spans="1:7" ht="40.049999999999997" customHeight="1">
      <c r="A3" s="154" t="s">
        <v>337</v>
      </c>
      <c r="B3" s="154"/>
      <c r="C3" s="154"/>
      <c r="D3" s="154"/>
      <c r="E3" s="154"/>
      <c r="F3" s="154"/>
      <c r="G3" s="74"/>
    </row>
    <row r="4" spans="1:7" ht="24" customHeight="1">
      <c r="A4" s="154" t="s">
        <v>68</v>
      </c>
      <c r="B4" s="154"/>
      <c r="C4" s="154"/>
      <c r="D4" s="154"/>
      <c r="E4" s="154"/>
      <c r="F4" s="154"/>
      <c r="G4" s="73"/>
    </row>
    <row r="5" spans="1:7" ht="21" customHeight="1">
      <c r="A5" s="75" t="s">
        <v>113</v>
      </c>
      <c r="B5" s="76"/>
      <c r="C5" s="76"/>
      <c r="D5" s="77"/>
      <c r="E5" s="75" t="s">
        <v>114</v>
      </c>
      <c r="F5" s="76"/>
      <c r="G5" s="78"/>
    </row>
    <row r="6" spans="1:7" ht="24" customHeight="1">
      <c r="A6" s="44" t="s">
        <v>70</v>
      </c>
      <c r="B6" s="44" t="str">
        <f>'Uplift Check'!$B$6</f>
        <v>Yes</v>
      </c>
      <c r="C6" s="44"/>
      <c r="D6" s="44" t="s">
        <v>96</v>
      </c>
      <c r="E6" s="44" t="s">
        <v>115</v>
      </c>
      <c r="F6" s="79">
        <v>1.5</v>
      </c>
      <c r="G6" s="5" t="s">
        <v>11</v>
      </c>
    </row>
    <row r="7" spans="1:7" ht="24" customHeight="1">
      <c r="A7" s="44" t="s">
        <v>247</v>
      </c>
      <c r="B7" s="79" t="str">
        <f>IF(ISNUMBER('Uplift Check'!B31),'Uplift Check'!B31,"")</f>
        <v/>
      </c>
      <c r="C7" s="44" t="s">
        <v>6</v>
      </c>
      <c r="D7" s="44" t="s">
        <v>252</v>
      </c>
      <c r="E7" s="44" t="s">
        <v>116</v>
      </c>
      <c r="F7" s="79">
        <v>1.1000000000000001</v>
      </c>
      <c r="G7" s="5" t="s">
        <v>11</v>
      </c>
    </row>
    <row r="8" spans="1:7" ht="24" customHeight="1">
      <c r="A8" s="44" t="s">
        <v>253</v>
      </c>
      <c r="B8" s="79">
        <f>IF(B6="No",'Wind Load Check'!B20,IF(ISNUMBER('Uplift Check'!B9),'Uplift Check'!B9,""))</f>
        <v>37</v>
      </c>
      <c r="C8" s="44" t="s">
        <v>6</v>
      </c>
      <c r="D8" s="44" t="s">
        <v>254</v>
      </c>
      <c r="E8" s="44" t="s">
        <v>117</v>
      </c>
      <c r="F8" s="79">
        <v>2</v>
      </c>
      <c r="G8" s="5" t="s">
        <v>11</v>
      </c>
    </row>
    <row r="9" spans="1:7" ht="24" customHeight="1">
      <c r="A9" s="44" t="s">
        <v>118</v>
      </c>
      <c r="B9" s="44" t="s">
        <v>325</v>
      </c>
      <c r="C9" s="44"/>
      <c r="D9" s="44" t="s">
        <v>119</v>
      </c>
      <c r="E9" s="44" t="s">
        <v>120</v>
      </c>
      <c r="F9" s="79">
        <v>1.1000000000000001</v>
      </c>
      <c r="G9" s="5" t="s">
        <v>11</v>
      </c>
    </row>
    <row r="10" spans="1:7" ht="24" customHeight="1">
      <c r="A10" s="44" t="s">
        <v>490</v>
      </c>
      <c r="B10" s="80" t="str">
        <f>'Wind Load Check'!$B$38</f>
        <v/>
      </c>
      <c r="C10" s="44" t="s">
        <v>50</v>
      </c>
      <c r="D10" s="44" t="s">
        <v>73</v>
      </c>
      <c r="E10" s="44" t="s">
        <v>121</v>
      </c>
      <c r="F10" s="79">
        <v>1</v>
      </c>
      <c r="G10" s="5" t="s">
        <v>11</v>
      </c>
    </row>
    <row r="11" spans="1:7" ht="24" hidden="1" customHeight="1">
      <c r="A11" s="44"/>
      <c r="B11" s="80"/>
      <c r="C11" s="44"/>
      <c r="D11" s="44"/>
      <c r="E11" s="44"/>
      <c r="F11" s="44"/>
      <c r="G11" s="5"/>
    </row>
    <row r="12" spans="1:7" ht="24" hidden="1" customHeight="1">
      <c r="A12" s="44"/>
      <c r="B12" s="79"/>
      <c r="C12" s="44"/>
      <c r="D12" s="44"/>
      <c r="E12" s="44"/>
      <c r="F12" s="44"/>
      <c r="G12" s="5"/>
    </row>
    <row r="13" spans="1:7" ht="21" customHeight="1">
      <c r="A13" s="44"/>
      <c r="B13" s="44"/>
      <c r="C13" s="44"/>
      <c r="D13" s="44"/>
      <c r="E13" s="44"/>
      <c r="F13" s="44"/>
      <c r="G13" s="5"/>
    </row>
    <row r="14" spans="1:7" ht="21" customHeight="1">
      <c r="A14" s="75" t="s">
        <v>122</v>
      </c>
      <c r="B14" s="76"/>
      <c r="C14" s="76"/>
      <c r="D14" s="77"/>
      <c r="E14" s="44"/>
      <c r="F14" s="44"/>
      <c r="G14" s="5"/>
    </row>
    <row r="15" spans="1:7" ht="24" customHeight="1">
      <c r="A15" s="44" t="s">
        <v>76</v>
      </c>
      <c r="B15" s="80">
        <f>IF(ISNUMBER('Uplift Check'!B11),'Uplift Check'!B11,"")</f>
        <v>0</v>
      </c>
      <c r="C15" s="44" t="s">
        <v>50</v>
      </c>
      <c r="D15" s="44" t="s">
        <v>216</v>
      </c>
      <c r="E15" s="44"/>
      <c r="F15" s="44"/>
      <c r="G15" s="5"/>
    </row>
    <row r="16" spans="1:7" ht="24" customHeight="1">
      <c r="A16" s="44" t="s">
        <v>78</v>
      </c>
      <c r="B16" s="80">
        <f>IF(ISNUMBER('Uplift Check'!B12),'Uplift Check'!B12,"")</f>
        <v>0</v>
      </c>
      <c r="C16" s="44" t="s">
        <v>50</v>
      </c>
      <c r="D16" s="44" t="s">
        <v>217</v>
      </c>
      <c r="E16" s="44"/>
      <c r="F16" s="44"/>
      <c r="G16" s="5"/>
    </row>
    <row r="17" spans="1:7" ht="24" customHeight="1">
      <c r="A17" s="44" t="s">
        <v>123</v>
      </c>
      <c r="B17" s="79">
        <v>1</v>
      </c>
      <c r="C17" s="44" t="s">
        <v>11</v>
      </c>
      <c r="D17" s="44" t="s">
        <v>124</v>
      </c>
      <c r="E17" s="44"/>
      <c r="F17" s="44"/>
      <c r="G17" s="5"/>
    </row>
    <row r="18" spans="1:7" ht="36" customHeight="1">
      <c r="A18" s="44"/>
      <c r="B18" s="44"/>
      <c r="C18" s="44"/>
      <c r="D18" s="44"/>
      <c r="E18" s="44"/>
      <c r="F18" s="44"/>
      <c r="G18" s="5"/>
    </row>
    <row r="19" spans="1:7" ht="36" customHeight="1">
      <c r="A19" s="44"/>
      <c r="B19" s="44"/>
      <c r="C19" s="44"/>
      <c r="D19" s="44"/>
      <c r="E19" s="44"/>
      <c r="F19" s="44"/>
      <c r="G19" s="5"/>
    </row>
    <row r="20" spans="1:7" ht="21" customHeight="1">
      <c r="A20" s="75" t="s">
        <v>125</v>
      </c>
      <c r="B20" s="76"/>
      <c r="C20" s="76"/>
      <c r="D20" s="76"/>
      <c r="E20" s="76"/>
      <c r="F20" s="77"/>
      <c r="G20" s="5"/>
    </row>
    <row r="21" spans="1:7" ht="27" customHeight="1">
      <c r="A21" s="81" t="s">
        <v>126</v>
      </c>
      <c r="B21" s="81" t="s">
        <v>127</v>
      </c>
      <c r="C21" s="81" t="s">
        <v>128</v>
      </c>
      <c r="D21" s="81" t="s">
        <v>129</v>
      </c>
      <c r="E21" s="81" t="s">
        <v>411</v>
      </c>
      <c r="F21" s="168" t="s">
        <v>130</v>
      </c>
      <c r="G21" s="169"/>
    </row>
    <row r="22" spans="1:7" ht="27" customHeight="1">
      <c r="A22" s="44" t="s">
        <v>115</v>
      </c>
      <c r="B22" s="82" t="str">
        <f>'Sliding Check'!B22</f>
        <v/>
      </c>
      <c r="C22" s="83" t="str">
        <f>IF(ISNUMBER('Wind Load Check'!B40),'Wind Load Check'!B40,"")</f>
        <v/>
      </c>
      <c r="D22" s="82">
        <f>$F$6</f>
        <v>1.5</v>
      </c>
      <c r="E22" s="82" t="str">
        <f>IF(COUNT(B22:D22)=3,PRODUCT(B22:D22),"")</f>
        <v/>
      </c>
      <c r="F22" s="84" t="str">
        <f>IF('Wind Load Check'!K3="LAYERED","SUM(Fi x ei) / SUM(Fi); ei to O","He/2 + (left ground mPD - O mPD)")</f>
        <v>He/2 + (left ground mPD - O mPD)</v>
      </c>
      <c r="G22" s="55"/>
    </row>
    <row r="23" spans="1:7" ht="27" customHeight="1">
      <c r="A23" s="44" t="s">
        <v>116</v>
      </c>
      <c r="B23" s="82" t="str">
        <f>IF($B$6="No","",'Sliding Check'!$B$32)</f>
        <v/>
      </c>
      <c r="C23" s="83" t="str">
        <f>IF(B6="No","",IF(ISNUMBER('Sliding Check'!B33),'Sliding Check'!B33,""))</f>
        <v/>
      </c>
      <c r="D23" s="82">
        <f>$F$7</f>
        <v>1.1000000000000001</v>
      </c>
      <c r="E23" s="82" t="str">
        <f>IF(COUNT(B23:D23)=3,PRODUCT(B23:D23),"")</f>
        <v/>
      </c>
      <c r="F23" s="84" t="s">
        <v>255</v>
      </c>
      <c r="G23" s="55"/>
    </row>
    <row r="24" spans="1:7" ht="27" customHeight="1">
      <c r="A24" s="44" t="s">
        <v>117</v>
      </c>
      <c r="B24" s="82" t="str">
        <f>IF($B$6="No","",'Sliding Check'!$B$28)</f>
        <v/>
      </c>
      <c r="C24" s="83" t="str">
        <f>IF(B6="No","",IF(ISNUMBER('Sliding Check'!B29),'Sliding Check'!B29,""))</f>
        <v/>
      </c>
      <c r="D24" s="82">
        <f>$F$8</f>
        <v>2</v>
      </c>
      <c r="E24" s="82" t="str">
        <f>IF(COUNT(B24:D24)=3,PRODUCT(B24:D24),"")</f>
        <v/>
      </c>
      <c r="F24" s="84" t="s">
        <v>256</v>
      </c>
      <c r="G24" s="55"/>
    </row>
    <row r="25" spans="1:7" ht="27" customHeight="1">
      <c r="A25" s="44" t="s">
        <v>120</v>
      </c>
      <c r="B25" s="82" t="str">
        <f>IF(B6="No","",IF(ISNUMBER('Uplift Check'!B51),'Uplift Check'!B51,""))</f>
        <v/>
      </c>
      <c r="C25" s="83" t="str">
        <f>IF(B6="No","",IF(ISNUMBER('Uplift Check'!B52),'Uplift Check'!B52,""))</f>
        <v/>
      </c>
      <c r="D25" s="82">
        <f>$F$9</f>
        <v>1.1000000000000001</v>
      </c>
      <c r="E25" s="82" t="str">
        <f>IF(COUNT(B25:D25)=3,PRODUCT(B25:D25),"")</f>
        <v/>
      </c>
      <c r="F25" s="84" t="s">
        <v>390</v>
      </c>
      <c r="G25" s="55"/>
    </row>
    <row r="26" spans="1:7" ht="27" customHeight="1">
      <c r="A26" s="36" t="s">
        <v>133</v>
      </c>
      <c r="B26" s="85" t="str">
        <f>IF(B6="No",0,'Sliding Check'!B36)</f>
        <v/>
      </c>
      <c r="C26" s="86" t="str">
        <f>IF(B6="No",0,IF(ISNUMBER(B7),B7/2,""))</f>
        <v/>
      </c>
      <c r="D26" s="85">
        <f>F8</f>
        <v>2</v>
      </c>
      <c r="E26" s="85" t="str">
        <f>IF(COUNT(B26:D26)=3,PRODUCT(B26:D26),"")</f>
        <v/>
      </c>
      <c r="F26" s="151" t="s">
        <v>412</v>
      </c>
      <c r="G26" s="151"/>
    </row>
    <row r="27" spans="1:7" ht="36" customHeight="1">
      <c r="A27" s="87" t="s">
        <v>131</v>
      </c>
      <c r="B27" s="88"/>
      <c r="C27" s="89"/>
      <c r="D27" s="88"/>
      <c r="E27" s="88" t="str">
        <f>IF(B6="No",IF(ISNUMBER(E22),E22,""),IF(COUNT(E22:E25,E26)=5,SUM(E22:E25,E26),""))</f>
        <v/>
      </c>
      <c r="F27" s="170" t="s">
        <v>132</v>
      </c>
      <c r="G27" s="170"/>
    </row>
    <row r="28" spans="1:7" ht="7.05" customHeight="1">
      <c r="A28" s="44"/>
      <c r="B28" s="82"/>
      <c r="C28" s="83"/>
      <c r="D28" s="82"/>
      <c r="E28" s="82"/>
      <c r="F28" s="84"/>
      <c r="G28" s="55"/>
    </row>
    <row r="29" spans="1:7" ht="27" customHeight="1">
      <c r="A29" s="75" t="s">
        <v>134</v>
      </c>
      <c r="B29" s="90"/>
      <c r="C29" s="91"/>
      <c r="D29" s="90"/>
      <c r="E29" s="90"/>
      <c r="F29" s="92"/>
      <c r="G29" s="55"/>
    </row>
    <row r="30" spans="1:7" ht="27" customHeight="1">
      <c r="A30" s="81" t="s">
        <v>126</v>
      </c>
      <c r="B30" s="93" t="s">
        <v>127</v>
      </c>
      <c r="C30" s="94" t="s">
        <v>128</v>
      </c>
      <c r="D30" s="93" t="s">
        <v>129</v>
      </c>
      <c r="E30" s="93" t="s">
        <v>411</v>
      </c>
      <c r="F30" s="168" t="s">
        <v>130</v>
      </c>
      <c r="G30" s="169"/>
    </row>
    <row r="31" spans="1:7" ht="27" customHeight="1">
      <c r="A31" s="44" t="s">
        <v>135</v>
      </c>
      <c r="B31" s="82" t="str">
        <f>IF($B$6="No","",'Sliding Check'!$G$28)</f>
        <v/>
      </c>
      <c r="C31" s="83" t="str">
        <f>IF(B6="No","",IF(ISNUMBER('Sliding Check'!G29),'Sliding Check'!G29,""))</f>
        <v/>
      </c>
      <c r="D31" s="82">
        <f t="shared" ref="D31:D36" si="0">$F$10</f>
        <v>1</v>
      </c>
      <c r="E31" s="82" t="str">
        <f t="shared" ref="E31:E36" si="1">IF(COUNT(B31:D31)=3,PRODUCT(B31:D31),"")</f>
        <v/>
      </c>
      <c r="F31" s="84" t="s">
        <v>257</v>
      </c>
      <c r="G31" s="55"/>
    </row>
    <row r="32" spans="1:7" ht="27" customHeight="1">
      <c r="A32" s="44" t="s">
        <v>136</v>
      </c>
      <c r="B32" s="82" t="str">
        <f>IF($B$6="No","",'Sliding Check'!$G$32)</f>
        <v/>
      </c>
      <c r="C32" s="83" t="str">
        <f>IF(B6="No","",IF(ISNUMBER('Sliding Check'!G33),'Sliding Check'!G33,""))</f>
        <v/>
      </c>
      <c r="D32" s="82">
        <f t="shared" si="0"/>
        <v>1</v>
      </c>
      <c r="E32" s="82" t="str">
        <f t="shared" si="1"/>
        <v/>
      </c>
      <c r="F32" s="84" t="s">
        <v>258</v>
      </c>
      <c r="G32" s="55"/>
    </row>
    <row r="33" spans="1:7" ht="27" customHeight="1">
      <c r="A33" s="36" t="s">
        <v>451</v>
      </c>
      <c r="B33" s="85">
        <f>IF(ISNUMBER('Uplift Check'!G30),'Uplift Check'!G30,"")</f>
        <v>0</v>
      </c>
      <c r="C33" s="86">
        <f>IF(ISNUMBER(B33),IF(B33=0,0,IF(ISNUMBER('Uplift Check'!G31),'Uplift Check'!G31,"")),"")</f>
        <v>0</v>
      </c>
      <c r="D33" s="85">
        <f t="shared" si="0"/>
        <v>1</v>
      </c>
      <c r="E33" s="85">
        <f t="shared" si="1"/>
        <v>0</v>
      </c>
      <c r="F33" s="151" t="s">
        <v>452</v>
      </c>
      <c r="G33" s="151"/>
    </row>
    <row r="34" spans="1:7" ht="27" customHeight="1">
      <c r="A34" s="36" t="s">
        <v>453</v>
      </c>
      <c r="B34" s="85">
        <f>IF(ISNUMBER('Uplift Check'!H30),'Uplift Check'!H30,"")</f>
        <v>0</v>
      </c>
      <c r="C34" s="86">
        <f>IF(ISNUMBER(B34),IF(B34=0,0,IF(ISNUMBER('Uplift Check'!H31),'Uplift Check'!H31,"")),"")</f>
        <v>0</v>
      </c>
      <c r="D34" s="85">
        <f t="shared" si="0"/>
        <v>1</v>
      </c>
      <c r="E34" s="85">
        <f t="shared" si="1"/>
        <v>0</v>
      </c>
      <c r="F34" s="151" t="s">
        <v>454</v>
      </c>
      <c r="G34" s="151"/>
    </row>
    <row r="35" spans="1:7" ht="27" customHeight="1">
      <c r="A35" s="36" t="s">
        <v>455</v>
      </c>
      <c r="B35" s="85">
        <f>IF(ISNUMBER('Uplift Check'!I30),'Uplift Check'!I30,"")</f>
        <v>0</v>
      </c>
      <c r="C35" s="86">
        <f>IF(ISNUMBER(B35),IF(B35=0,0,IF(ISNUMBER('Uplift Check'!I31),'Uplift Check'!I31,"")),"")</f>
        <v>0</v>
      </c>
      <c r="D35" s="85">
        <f t="shared" si="0"/>
        <v>1</v>
      </c>
      <c r="E35" s="85">
        <f t="shared" si="1"/>
        <v>0</v>
      </c>
      <c r="F35" s="151" t="s">
        <v>456</v>
      </c>
      <c r="G35" s="151"/>
    </row>
    <row r="36" spans="1:7" ht="27" customHeight="1">
      <c r="A36" s="36" t="s">
        <v>457</v>
      </c>
      <c r="B36" s="85">
        <f>IF(ISNUMBER('Uplift Check'!J30),'Uplift Check'!J30,"")</f>
        <v>0</v>
      </c>
      <c r="C36" s="86">
        <f>IF(ISNUMBER(B36),IF(B36=0,0,IF(ISNUMBER('Uplift Check'!J31),'Uplift Check'!J31,"")),"")</f>
        <v>0</v>
      </c>
      <c r="D36" s="85">
        <f t="shared" si="0"/>
        <v>1</v>
      </c>
      <c r="E36" s="85">
        <f t="shared" si="1"/>
        <v>0</v>
      </c>
      <c r="F36" s="151" t="s">
        <v>458</v>
      </c>
      <c r="G36" s="151"/>
    </row>
    <row r="37" spans="1:7" ht="27" customHeight="1">
      <c r="A37" s="95" t="s">
        <v>137</v>
      </c>
      <c r="B37" s="96"/>
      <c r="C37" s="96"/>
      <c r="D37" s="96"/>
      <c r="E37" s="96" t="str">
        <f>IF(OR(NOT(ISNUMBER('Uplift Check'!K30)),COUNT(E33:E36)&lt;4,AND(B6="Yes",COUNT(E31:E32)&lt;2)),"",SUM(E31:E36))</f>
        <v/>
      </c>
      <c r="F37" s="167" t="s">
        <v>138</v>
      </c>
      <c r="G37" s="167"/>
    </row>
    <row r="38" spans="1:7" ht="7.05" customHeight="1">
      <c r="A38" s="36"/>
      <c r="B38" s="36"/>
      <c r="C38" s="36"/>
      <c r="D38" s="36"/>
      <c r="E38" s="36"/>
      <c r="F38" s="36"/>
      <c r="G38" s="36"/>
    </row>
    <row r="39" spans="1:7" ht="7.05" customHeight="1">
      <c r="A39" s="36"/>
      <c r="B39" s="36"/>
      <c r="C39" s="36"/>
      <c r="D39" s="36"/>
      <c r="E39" s="36"/>
      <c r="F39" s="36"/>
      <c r="G39" s="36"/>
    </row>
    <row r="40" spans="1:7" ht="27" customHeight="1">
      <c r="A40" s="160" t="s">
        <v>139</v>
      </c>
      <c r="B40" s="160"/>
      <c r="C40" s="160"/>
      <c r="D40" s="160"/>
      <c r="E40" s="160"/>
      <c r="F40" s="160"/>
      <c r="G40" s="160"/>
    </row>
    <row r="41" spans="1:7" ht="27" customHeight="1">
      <c r="A41" s="36" t="s">
        <v>140</v>
      </c>
      <c r="B41" s="62" t="str">
        <f>IF(ISNUMBER($E$27),$E$27,"")</f>
        <v/>
      </c>
      <c r="C41" s="36" t="s">
        <v>409</v>
      </c>
      <c r="D41" s="147" t="s">
        <v>141</v>
      </c>
      <c r="E41" s="147"/>
      <c r="F41" s="147"/>
      <c r="G41" s="147"/>
    </row>
    <row r="42" spans="1:7" ht="27" customHeight="1">
      <c r="A42" s="36" t="s">
        <v>142</v>
      </c>
      <c r="B42" s="62" t="str">
        <f>IF(ISNUMBER($E$37),$E$37,"")</f>
        <v/>
      </c>
      <c r="C42" s="36" t="s">
        <v>409</v>
      </c>
      <c r="D42" s="147" t="s">
        <v>143</v>
      </c>
      <c r="E42" s="147"/>
      <c r="F42" s="147"/>
      <c r="G42" s="147"/>
    </row>
    <row r="43" spans="1:7" ht="27" customHeight="1">
      <c r="A43" s="36" t="s">
        <v>144</v>
      </c>
      <c r="B43" s="62" t="str">
        <f>IF(OR(NOT(ISNUMBER($B$41)),NOT(ISNUMBER($B$42)),$B$41&lt;=0),"",$B$42/$B$41)</f>
        <v/>
      </c>
      <c r="C43" s="36" t="s">
        <v>193</v>
      </c>
      <c r="D43" s="147" t="s">
        <v>145</v>
      </c>
      <c r="E43" s="147"/>
      <c r="F43" s="147"/>
      <c r="G43" s="147"/>
    </row>
    <row r="44" spans="1:7" ht="27" customHeight="1">
      <c r="A44" s="36" t="s">
        <v>88</v>
      </c>
      <c r="B44" s="62">
        <f>$B$17</f>
        <v>1</v>
      </c>
      <c r="C44" s="36" t="s">
        <v>193</v>
      </c>
      <c r="D44" s="147" t="s">
        <v>124</v>
      </c>
      <c r="E44" s="147"/>
      <c r="F44" s="147"/>
      <c r="G44" s="147"/>
    </row>
    <row r="45" spans="1:7" ht="42" customHeight="1">
      <c r="A45" s="36" t="s">
        <v>89</v>
      </c>
      <c r="B45" s="62" t="str">
        <f>IF(NOT(ISNUMBER(B43)),"CHECK LEVELS / WIND DATUM / WEIGHT / UPLIFT",IF(B43&gt;=B44,"OK","NOT OK"))</f>
        <v>CHECK LEVELS / WIND DATUM / WEIGHT / UPLIFT</v>
      </c>
      <c r="C45" s="36"/>
      <c r="D45" s="147" t="s">
        <v>479</v>
      </c>
      <c r="E45" s="147"/>
      <c r="F45" s="147"/>
      <c r="G45" s="147"/>
    </row>
    <row r="46" spans="1:7" ht="27" customHeight="1">
      <c r="A46" s="36" t="s">
        <v>146</v>
      </c>
      <c r="B46" s="62" t="str">
        <f>IF(OR(NOT(ISNUMBER($B$41)),NOT(ISNUMBER($B$42))),"",$B$41-$B$42)</f>
        <v/>
      </c>
      <c r="C46" s="36" t="s">
        <v>409</v>
      </c>
      <c r="D46" s="147" t="s">
        <v>147</v>
      </c>
      <c r="E46" s="147"/>
      <c r="F46" s="147"/>
      <c r="G46" s="147"/>
    </row>
    <row r="47" spans="1:7" ht="21" customHeight="1">
      <c r="A47" s="5"/>
      <c r="B47" s="5"/>
      <c r="C47" s="5"/>
      <c r="D47" s="5"/>
      <c r="E47" s="5"/>
      <c r="F47" s="5"/>
      <c r="G47" s="5"/>
    </row>
    <row r="48" spans="1:7" ht="25.95" customHeight="1">
      <c r="A48" s="5"/>
      <c r="B48" s="5"/>
      <c r="C48" s="5"/>
      <c r="D48" s="5"/>
      <c r="E48" s="5"/>
      <c r="F48" s="5"/>
      <c r="G48" s="5"/>
    </row>
    <row r="49" spans="1:7" ht="21" customHeight="1">
      <c r="A49" s="5"/>
      <c r="B49" s="5"/>
      <c r="C49" s="5"/>
      <c r="D49" s="5"/>
      <c r="E49" s="5"/>
      <c r="F49" s="5"/>
      <c r="G49" s="5"/>
    </row>
    <row r="50" spans="1:7" ht="21" customHeight="1">
      <c r="A50" s="5"/>
      <c r="B50" s="5"/>
      <c r="C50" s="5"/>
      <c r="D50" s="5"/>
      <c r="E50" s="5"/>
      <c r="F50" s="5"/>
      <c r="G50" s="5"/>
    </row>
    <row r="51" spans="1:7" ht="21" customHeight="1">
      <c r="A51" s="5"/>
      <c r="B51" s="5"/>
      <c r="C51" s="5"/>
      <c r="D51" s="5"/>
      <c r="E51" s="5"/>
      <c r="F51" s="5"/>
      <c r="G51" s="5"/>
    </row>
    <row r="52" spans="1:7" ht="21" customHeight="1">
      <c r="A52" s="5"/>
      <c r="B52" s="5"/>
      <c r="C52" s="5"/>
      <c r="D52" s="5"/>
      <c r="E52" s="5"/>
      <c r="F52" s="5"/>
      <c r="G52" s="5"/>
    </row>
    <row r="53" spans="1:7" ht="21" customHeight="1">
      <c r="A53" s="5"/>
      <c r="B53" s="5"/>
      <c r="C53" s="5"/>
      <c r="D53" s="5"/>
      <c r="E53" s="5"/>
      <c r="F53" s="5"/>
      <c r="G53" s="5"/>
    </row>
    <row r="54" spans="1:7" ht="21" customHeight="1">
      <c r="A54" s="5"/>
      <c r="B54" s="5"/>
      <c r="C54" s="5"/>
      <c r="D54" s="5"/>
      <c r="E54" s="5"/>
      <c r="F54" s="5"/>
      <c r="G54" s="5"/>
    </row>
    <row r="55" spans="1:7" ht="21" customHeight="1">
      <c r="A55" s="5"/>
      <c r="B55" s="5"/>
      <c r="C55" s="5"/>
      <c r="D55" s="5"/>
      <c r="E55" s="5"/>
      <c r="F55" s="5"/>
      <c r="G55" s="5"/>
    </row>
    <row r="56" spans="1:7" ht="21" customHeight="1">
      <c r="A56" s="5"/>
      <c r="B56" s="5"/>
      <c r="C56" s="5"/>
      <c r="D56" s="5"/>
      <c r="E56" s="5"/>
      <c r="F56" s="5"/>
      <c r="G56" s="5"/>
    </row>
    <row r="57" spans="1:7" ht="21" customHeight="1">
      <c r="A57" s="5"/>
      <c r="B57" s="5"/>
      <c r="C57" s="5"/>
      <c r="D57" s="5"/>
      <c r="E57" s="5"/>
      <c r="F57" s="5"/>
      <c r="G57" s="5"/>
    </row>
    <row r="58" spans="1:7" ht="21" customHeight="1">
      <c r="A58" s="5"/>
      <c r="B58" s="5"/>
      <c r="C58" s="5"/>
      <c r="D58" s="5"/>
      <c r="E58" s="5"/>
      <c r="F58" s="5"/>
      <c r="G58" s="5"/>
    </row>
    <row r="59" spans="1:7" ht="21" customHeight="1">
      <c r="A59" s="5"/>
      <c r="B59" s="5"/>
      <c r="C59" s="5"/>
      <c r="D59" s="5"/>
      <c r="E59" s="5"/>
      <c r="F59" s="5"/>
      <c r="G59" s="5"/>
    </row>
    <row r="60" spans="1:7" ht="38.1" customHeight="1">
      <c r="A60" s="5"/>
      <c r="B60" s="5"/>
      <c r="C60" s="5"/>
      <c r="D60" s="5"/>
      <c r="E60" s="5"/>
      <c r="F60" s="5"/>
      <c r="G60" s="5"/>
    </row>
    <row r="61" spans="1:7" ht="38.1" customHeight="1">
      <c r="A61" s="5"/>
      <c r="B61" s="5"/>
      <c r="C61" s="5"/>
      <c r="D61" s="5"/>
      <c r="E61" s="5"/>
      <c r="F61" s="5"/>
      <c r="G61" s="5"/>
    </row>
    <row r="62" spans="1:7" ht="38.1" customHeight="1">
      <c r="A62" s="5" t="s">
        <v>413</v>
      </c>
      <c r="B62" s="5"/>
      <c r="C62" s="5"/>
      <c r="D62" s="5"/>
      <c r="E62" s="5"/>
      <c r="F62" s="5"/>
      <c r="G62" s="5"/>
    </row>
    <row r="63" spans="1:7" ht="38.1" customHeight="1">
      <c r="A63" s="5" t="s">
        <v>148</v>
      </c>
      <c r="B63" s="5" t="str">
        <f>IF(COUNT(B8,'Uplift Check'!G27)=2,B8-'Uplift Check'!G27/2,"")</f>
        <v/>
      </c>
      <c r="C63" s="5" t="s">
        <v>6</v>
      </c>
      <c r="D63" s="5" t="s">
        <v>149</v>
      </c>
      <c r="E63" s="5"/>
      <c r="F63" s="5"/>
      <c r="G63" s="5"/>
    </row>
    <row r="64" spans="1:7" ht="31.95" customHeight="1">
      <c r="A64" s="5" t="s">
        <v>150</v>
      </c>
      <c r="B64" s="5">
        <f>IF(ISNUMBER(B8),B8/2,"")</f>
        <v>18.5</v>
      </c>
      <c r="C64" s="5" t="s">
        <v>6</v>
      </c>
      <c r="D64" s="5" t="s">
        <v>151</v>
      </c>
      <c r="E64" s="5"/>
      <c r="F64" s="5"/>
      <c r="G64" s="5"/>
    </row>
    <row r="65" spans="1:7" ht="48" customHeight="1">
      <c r="A65" s="5" t="s">
        <v>152</v>
      </c>
      <c r="B65" s="97" t="str">
        <f>C22</f>
        <v/>
      </c>
      <c r="C65" s="5" t="s">
        <v>6</v>
      </c>
      <c r="D65" s="5" t="s">
        <v>414</v>
      </c>
      <c r="E65" s="5"/>
      <c r="F65" s="5"/>
      <c r="G65" s="5"/>
    </row>
    <row r="66" spans="1:7" ht="31.95" customHeight="1">
      <c r="A66" s="5"/>
      <c r="B66" s="5"/>
      <c r="C66" s="5"/>
      <c r="D66" s="5"/>
      <c r="E66" s="5"/>
      <c r="F66" s="5"/>
      <c r="G66" s="5"/>
    </row>
    <row r="67" spans="1:7" ht="28.05" customHeight="1">
      <c r="A67" s="5" t="str">
        <f>"Wind method: "&amp;'Wind Load Check'!K3&amp;" — "&amp;'Wind Load Check'!K4</f>
        <v>Wind method: UNIFORM — Enter positive B, D and Hp; UNIFORM; Enter positive B, D and Hp</v>
      </c>
      <c r="B67" s="5"/>
      <c r="C67" s="5"/>
      <c r="D67" s="5"/>
      <c r="E67" s="5"/>
      <c r="F67" s="5"/>
      <c r="G67" s="5"/>
    </row>
    <row r="68" spans="1:7" ht="28.05" customHeight="1">
      <c r="A68" s="5"/>
      <c r="B68" s="5"/>
      <c r="C68" s="5"/>
      <c r="D68" s="5"/>
      <c r="E68" s="5"/>
      <c r="F68" s="5"/>
      <c r="G68" s="5"/>
    </row>
    <row r="69" spans="1:7">
      <c r="A69" s="5"/>
      <c r="B69" s="5"/>
      <c r="C69" s="5"/>
      <c r="D69" s="5"/>
      <c r="E69" s="5"/>
      <c r="F69" s="5"/>
      <c r="G69" s="5"/>
    </row>
    <row r="70" spans="1:7">
      <c r="A70" s="5"/>
      <c r="B70" s="5"/>
      <c r="C70" s="5"/>
      <c r="D70" s="5"/>
      <c r="E70" s="5"/>
      <c r="F70" s="5"/>
      <c r="G70" s="5"/>
    </row>
    <row r="71" spans="1:7">
      <c r="A71" s="5"/>
      <c r="B71" s="5"/>
      <c r="C71" s="5"/>
      <c r="D71" s="5"/>
      <c r="E71" s="5"/>
      <c r="F71" s="5"/>
      <c r="G71" s="5"/>
    </row>
    <row r="72" spans="1:7" ht="34.049999999999997" customHeight="1">
      <c r="A72" s="5"/>
      <c r="B72" s="5"/>
      <c r="C72" s="5"/>
      <c r="D72" s="5"/>
      <c r="E72" s="5"/>
      <c r="F72" s="5"/>
      <c r="G72" s="5"/>
    </row>
    <row r="73" spans="1:7" ht="34.049999999999997" customHeight="1">
      <c r="A73" s="5"/>
      <c r="B73" s="5"/>
      <c r="C73" s="5"/>
      <c r="D73" s="5"/>
      <c r="E73" s="5"/>
      <c r="F73" s="5"/>
      <c r="G73" s="5"/>
    </row>
    <row r="74" spans="1:7" ht="24" customHeight="1">
      <c r="A74" s="5"/>
      <c r="B74" s="5"/>
      <c r="C74" s="5"/>
      <c r="D74" s="5"/>
      <c r="E74" s="5"/>
      <c r="F74" s="5"/>
      <c r="G74" s="5"/>
    </row>
    <row r="75" spans="1:7" ht="30" customHeight="1">
      <c r="A75" s="5"/>
      <c r="B75" s="5"/>
      <c r="C75" s="5"/>
      <c r="D75" s="5"/>
      <c r="E75" s="5"/>
      <c r="F75" s="5"/>
      <c r="G75" s="5"/>
    </row>
  </sheetData>
  <mergeCells count="20">
    <mergeCell ref="D45:G45"/>
    <mergeCell ref="D46:G46"/>
    <mergeCell ref="F37:G37"/>
    <mergeCell ref="A40:G40"/>
    <mergeCell ref="F21:G21"/>
    <mergeCell ref="F30:G30"/>
    <mergeCell ref="F27:G27"/>
    <mergeCell ref="F33:G33"/>
    <mergeCell ref="F34:G34"/>
    <mergeCell ref="F35:G35"/>
    <mergeCell ref="F36:G36"/>
    <mergeCell ref="D41:G41"/>
    <mergeCell ref="D42:G42"/>
    <mergeCell ref="D43:G43"/>
    <mergeCell ref="D44:G44"/>
    <mergeCell ref="A1:F1"/>
    <mergeCell ref="A2:F2"/>
    <mergeCell ref="A3:F3"/>
    <mergeCell ref="A4:F4"/>
    <mergeCell ref="F26:G26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Copy">
    <tabColor rgb="FF7F7F7F"/>
  </sheetPr>
  <dimension ref="A1:O164"/>
  <sheetViews>
    <sheetView showGridLines="0" tabSelected="1" workbookViewId="0">
      <selection sqref="A1:F1"/>
    </sheetView>
  </sheetViews>
  <sheetFormatPr defaultRowHeight="13.8"/>
  <cols>
    <col min="1" max="1" width="20.69921875" style="2" customWidth="1"/>
    <col min="2" max="2" width="9.69921875" style="2" customWidth="1"/>
    <col min="3" max="4" width="20.69921875" style="2" customWidth="1"/>
    <col min="5" max="5" width="9.69921875" style="2" customWidth="1"/>
    <col min="6" max="6" width="22.69921875" style="2" customWidth="1"/>
    <col min="7" max="16384" width="8.796875" style="2"/>
  </cols>
  <sheetData>
    <row r="1" spans="1:15" ht="46.05" customHeight="1">
      <c r="A1" s="174" t="s">
        <v>544</v>
      </c>
      <c r="B1" s="175"/>
      <c r="C1" s="175"/>
      <c r="D1" s="175"/>
      <c r="E1" s="175"/>
      <c r="F1" s="175"/>
      <c r="G1" s="5"/>
      <c r="H1" s="5"/>
      <c r="I1" s="5"/>
      <c r="J1" s="5"/>
      <c r="K1" s="5"/>
      <c r="L1" s="5"/>
      <c r="M1" s="5"/>
      <c r="N1" s="5"/>
      <c r="O1" s="5"/>
    </row>
    <row r="2" spans="1:15" ht="22.05" customHeight="1">
      <c r="A2" s="176"/>
      <c r="B2" s="176"/>
      <c r="C2" s="176"/>
      <c r="D2" s="176"/>
      <c r="E2" s="176"/>
      <c r="F2" s="176"/>
      <c r="G2" s="171"/>
      <c r="H2" s="171"/>
      <c r="I2" s="171"/>
      <c r="J2" s="171"/>
      <c r="K2" s="171"/>
      <c r="L2" s="171"/>
      <c r="M2" s="171"/>
      <c r="N2" s="171"/>
      <c r="O2" s="171"/>
    </row>
    <row r="3" spans="1:15" ht="30" customHeight="1">
      <c r="A3" s="98"/>
      <c r="B3" s="98"/>
      <c r="C3" s="98"/>
      <c r="D3" s="185" t="s">
        <v>578</v>
      </c>
      <c r="E3" s="186"/>
      <c r="F3" s="186"/>
      <c r="G3" s="5"/>
      <c r="H3" s="5"/>
      <c r="I3" s="5"/>
      <c r="J3" s="5"/>
      <c r="K3" s="5"/>
      <c r="L3" s="5"/>
      <c r="M3" s="5"/>
      <c r="N3" s="5"/>
      <c r="O3" s="5"/>
    </row>
    <row r="4" spans="1:15" ht="22.05" customHeight="1">
      <c r="A4" s="98"/>
      <c r="B4" s="98"/>
      <c r="C4" s="98"/>
      <c r="D4" s="98"/>
      <c r="E4" s="98"/>
      <c r="F4" s="98"/>
      <c r="G4" s="5"/>
      <c r="H4" s="5"/>
      <c r="I4" s="5"/>
      <c r="J4" s="5"/>
      <c r="K4" s="5"/>
      <c r="L4" s="5"/>
      <c r="M4" s="5"/>
      <c r="N4" s="5"/>
      <c r="O4" s="5"/>
    </row>
    <row r="5" spans="1:15" ht="18" customHeight="1">
      <c r="A5" s="177" t="s">
        <v>545</v>
      </c>
      <c r="B5" s="173"/>
      <c r="C5" s="173"/>
      <c r="D5" s="173"/>
      <c r="E5" s="173"/>
      <c r="F5" s="173"/>
      <c r="G5" s="5"/>
      <c r="H5" s="5"/>
      <c r="I5" s="5"/>
      <c r="J5" s="5"/>
      <c r="K5" s="5"/>
      <c r="L5" s="5"/>
      <c r="M5" s="5"/>
      <c r="N5" s="5"/>
      <c r="O5" s="5"/>
    </row>
    <row r="6" spans="1:15" ht="18" customHeight="1">
      <c r="A6" s="177" t="s">
        <v>546</v>
      </c>
      <c r="B6" s="173"/>
      <c r="C6" s="173"/>
      <c r="D6" s="173"/>
      <c r="E6" s="173"/>
      <c r="F6" s="173"/>
      <c r="G6" s="5"/>
      <c r="H6" s="5"/>
      <c r="I6" s="5"/>
      <c r="J6" s="5"/>
      <c r="K6" s="5"/>
      <c r="L6" s="5"/>
      <c r="M6" s="5"/>
      <c r="N6" s="5"/>
      <c r="O6" s="5"/>
    </row>
    <row r="7" spans="1:15" ht="18" customHeight="1">
      <c r="A7" s="173" t="str">
        <f>"H = Ze = "&amp;IF(ISNUMBER('Wind Load Check'!B23),TEXT('Wind Load Check'!B23,"0.000"),"—")&amp;" m,   B = "&amp;IF(ISNUMBER('Wind Load Check'!B7),TEXT('Wind Load Check'!B7,"0.000"),"—")&amp;" m,   D = "&amp;IF(ISNUMBER('Wind Load Check'!B8),TEXT('Wind Load Check'!B8,"0.000"),"—")&amp;" m"</f>
        <v>H = Ze = — m,   B = 37.000 m,   D = 37.000 m</v>
      </c>
      <c r="B7" s="173"/>
      <c r="C7" s="173"/>
      <c r="D7" s="173"/>
      <c r="E7" s="173"/>
      <c r="F7" s="173"/>
      <c r="G7" s="5"/>
      <c r="H7" s="5"/>
      <c r="I7" s="5"/>
      <c r="J7" s="5"/>
      <c r="K7" s="5"/>
      <c r="L7" s="5"/>
      <c r="M7" s="5"/>
      <c r="N7" s="5"/>
      <c r="O7" s="5"/>
    </row>
    <row r="8" spans="1:15" ht="18" customHeight="1">
      <c r="A8" s="99"/>
      <c r="B8" s="99"/>
      <c r="C8" s="99"/>
      <c r="D8" s="99"/>
      <c r="E8" s="99"/>
      <c r="F8" s="99"/>
      <c r="G8" s="5"/>
      <c r="H8" s="5"/>
      <c r="I8" s="5"/>
      <c r="J8" s="5"/>
      <c r="K8" s="5"/>
      <c r="L8" s="5"/>
      <c r="M8" s="5"/>
      <c r="N8" s="5"/>
      <c r="O8" s="5"/>
    </row>
    <row r="9" spans="1:15" ht="18" customHeight="1">
      <c r="A9" s="173" t="str">
        <f>"H / D = "&amp;IF(ISNUMBER('Wind Load Check'!B21),TEXT('Wind Load Check'!B21,"0.00"),"—")&amp;",     B / D = "&amp;IF(ISNUMBER('Wind Load Check'!B22),TEXT('Wind Load Check'!B22,"0.00"),"—")</f>
        <v>H / D = —,     B / D = —</v>
      </c>
      <c r="B9" s="173"/>
      <c r="C9" s="173"/>
      <c r="D9" s="173"/>
      <c r="E9" s="173"/>
      <c r="F9" s="173"/>
      <c r="G9" s="5"/>
      <c r="H9" s="5"/>
      <c r="I9" s="5"/>
      <c r="J9" s="5"/>
      <c r="K9" s="5"/>
      <c r="L9" s="5"/>
      <c r="M9" s="5"/>
      <c r="N9" s="5"/>
      <c r="O9" s="5"/>
    </row>
    <row r="10" spans="1:15" ht="18" customHeight="1">
      <c r="A10" s="99"/>
      <c r="B10" s="99"/>
      <c r="C10" s="99"/>
      <c r="D10" s="99"/>
      <c r="E10" s="99"/>
      <c r="F10" s="99"/>
      <c r="G10" s="5"/>
      <c r="H10" s="5"/>
      <c r="I10" s="5"/>
      <c r="J10" s="5"/>
      <c r="K10" s="5"/>
      <c r="L10" s="5"/>
      <c r="M10" s="5"/>
      <c r="N10" s="5"/>
      <c r="O10" s="5"/>
    </row>
    <row r="11" spans="1:15" ht="18" customHeight="1">
      <c r="A11" s="99"/>
      <c r="B11" s="99"/>
      <c r="C11" s="99"/>
      <c r="D11" s="99"/>
      <c r="E11" s="99"/>
      <c r="F11" s="99"/>
      <c r="G11" s="5"/>
      <c r="H11" s="5"/>
      <c r="I11" s="5"/>
      <c r="J11" s="5"/>
      <c r="K11" s="5"/>
      <c r="L11" s="5"/>
      <c r="M11" s="5"/>
      <c r="N11" s="5"/>
      <c r="O11" s="5"/>
    </row>
    <row r="12" spans="1:15" ht="18" customHeight="1">
      <c r="A12" s="173" t="s">
        <v>577</v>
      </c>
      <c r="B12" s="173"/>
      <c r="C12" s="173"/>
      <c r="D12" s="173"/>
      <c r="E12" s="173"/>
      <c r="F12" s="173"/>
      <c r="G12" s="5"/>
      <c r="H12" s="5"/>
      <c r="I12" s="5"/>
      <c r="J12" s="5"/>
      <c r="K12" s="5"/>
      <c r="L12" s="5"/>
      <c r="M12" s="5"/>
      <c r="N12" s="5"/>
      <c r="O12" s="5"/>
    </row>
    <row r="13" spans="1:15" ht="18" customHeight="1">
      <c r="A13" s="173"/>
      <c r="B13" s="173"/>
      <c r="C13" s="173"/>
      <c r="D13" s="173"/>
      <c r="E13" s="173"/>
      <c r="F13" s="173"/>
      <c r="G13" s="5"/>
      <c r="H13" s="5"/>
      <c r="I13" s="5"/>
      <c r="J13" s="5"/>
      <c r="K13" s="5"/>
      <c r="L13" s="5"/>
      <c r="M13" s="5"/>
      <c r="N13" s="5"/>
      <c r="O13" s="5"/>
    </row>
    <row r="14" spans="1:15" ht="18" customHeight="1">
      <c r="A14" s="173"/>
      <c r="B14" s="173"/>
      <c r="C14" s="173"/>
      <c r="D14" s="173"/>
      <c r="E14" s="173"/>
      <c r="F14" s="173"/>
      <c r="G14" s="5"/>
      <c r="H14" s="5"/>
      <c r="I14" s="5"/>
      <c r="J14" s="5"/>
      <c r="K14" s="5"/>
      <c r="L14" s="5"/>
      <c r="M14" s="5"/>
      <c r="N14" s="5"/>
      <c r="O14" s="5"/>
    </row>
    <row r="15" spans="1:15" ht="18" customHeight="1">
      <c r="A15" s="99"/>
      <c r="B15" s="99"/>
      <c r="C15" s="99"/>
      <c r="D15" s="99"/>
      <c r="E15" s="99"/>
      <c r="F15" s="99"/>
      <c r="G15" s="5"/>
      <c r="H15" s="5"/>
      <c r="I15" s="5"/>
      <c r="J15" s="5"/>
      <c r="K15" s="5"/>
      <c r="L15" s="5"/>
      <c r="M15" s="5"/>
      <c r="N15" s="5"/>
      <c r="O15" s="5"/>
    </row>
    <row r="16" spans="1:15" ht="18" customHeight="1">
      <c r="A16" s="173" t="str">
        <f>"∴ Assume Nx = 46/H = "&amp;IF(ISNUMBER('Wind Load Check'!B24),TEXT('Wind Load Check'!B24,"0.00"),"—")&amp;" Hz"</f>
        <v>∴ Assume Nx = 46/H = — Hz</v>
      </c>
      <c r="B16" s="173"/>
      <c r="C16" s="173"/>
      <c r="D16" s="173"/>
      <c r="E16" s="173"/>
      <c r="F16" s="173"/>
      <c r="G16" s="5"/>
      <c r="H16" s="5"/>
      <c r="I16" s="5"/>
      <c r="J16" s="5"/>
      <c r="K16" s="5"/>
      <c r="L16" s="5"/>
      <c r="M16" s="5"/>
      <c r="N16" s="5"/>
      <c r="O16" s="5"/>
    </row>
    <row r="17" spans="1:15" ht="18" customHeight="1">
      <c r="A17" s="173" t="str">
        <f>"Q₀,z = 3.7(Ze / 500)^0.16 = "&amp;IF(ISNUMBER('Wind Load Check'!B25),TEXT('Wind Load Check'!B25,"0.00"),"—")&amp;" kPa"</f>
        <v>Q₀,z = 3.7(Ze / 500)^0.16 = — kPa</v>
      </c>
      <c r="B17" s="173"/>
      <c r="C17" s="173"/>
      <c r="D17" s="173"/>
      <c r="E17" s="173"/>
      <c r="F17" s="173"/>
      <c r="G17" s="5"/>
      <c r="H17" s="5"/>
      <c r="I17" s="5"/>
      <c r="J17" s="5"/>
      <c r="K17" s="5"/>
      <c r="L17" s="5"/>
      <c r="M17" s="5"/>
      <c r="N17" s="5"/>
      <c r="O17" s="5"/>
    </row>
    <row r="18" spans="1:15" ht="18" customHeight="1">
      <c r="A18" s="173" t="str">
        <f>"St = "&amp;IF(ISNUMBER('Wind Load Check'!B26),TEXT('Wind Load Check'!B26,"0.00"),"—")</f>
        <v>St = —</v>
      </c>
      <c r="B18" s="173"/>
      <c r="C18" s="173"/>
      <c r="D18" s="173" t="s">
        <v>547</v>
      </c>
      <c r="E18" s="173"/>
      <c r="F18" s="173"/>
      <c r="G18" s="5"/>
      <c r="H18" s="5"/>
      <c r="I18" s="5"/>
      <c r="J18" s="5"/>
      <c r="K18" s="5"/>
      <c r="L18" s="5"/>
      <c r="M18" s="5"/>
      <c r="N18" s="5"/>
      <c r="O18" s="5"/>
    </row>
    <row r="19" spans="1:15" ht="18" customHeight="1">
      <c r="A19" s="173" t="str">
        <f>"Sθ = "&amp;IF(ISNUMBER('Wind Load Check'!B27),TEXT('Wind Load Check'!B27,"0.00"),"—")</f>
        <v>Sθ = —</v>
      </c>
      <c r="B19" s="173"/>
      <c r="C19" s="173"/>
      <c r="D19" s="173" t="s">
        <v>548</v>
      </c>
      <c r="E19" s="173"/>
      <c r="F19" s="173"/>
      <c r="G19" s="5"/>
      <c r="H19" s="5"/>
      <c r="I19" s="5"/>
      <c r="J19" s="5"/>
      <c r="K19" s="5"/>
      <c r="L19" s="5"/>
      <c r="M19" s="5"/>
      <c r="N19" s="5"/>
      <c r="O19" s="5"/>
    </row>
    <row r="20" spans="1:15" ht="18" customHeight="1">
      <c r="A20" s="173" t="str">
        <f>"Qz = Q₀,z St Sθ = "&amp;IF(ISNUMBER('Wind Load Check'!B28),TEXT('Wind Load Check'!B28,"0.00"),"—")&amp;" kPa"</f>
        <v>Qz = Q₀,z St Sθ = — kPa</v>
      </c>
      <c r="B20" s="173"/>
      <c r="C20" s="173"/>
      <c r="D20" s="173"/>
      <c r="E20" s="173"/>
      <c r="F20" s="173"/>
      <c r="G20" s="5"/>
      <c r="H20" s="5"/>
      <c r="I20" s="5"/>
      <c r="J20" s="5"/>
      <c r="K20" s="5"/>
      <c r="L20" s="5"/>
      <c r="M20" s="5"/>
      <c r="N20" s="5"/>
      <c r="O20" s="5"/>
    </row>
    <row r="21" spans="1:15" ht="18" customHeight="1">
      <c r="A21" s="99"/>
      <c r="B21" s="99"/>
      <c r="C21" s="99"/>
      <c r="D21" s="99"/>
      <c r="E21" s="99"/>
      <c r="F21" s="99"/>
      <c r="G21" s="5"/>
      <c r="H21" s="5"/>
      <c r="I21" s="5"/>
      <c r="J21" s="5"/>
      <c r="K21" s="5"/>
      <c r="L21" s="5"/>
      <c r="M21" s="5"/>
      <c r="N21" s="5"/>
      <c r="O21" s="5"/>
    </row>
    <row r="22" spans="1:15" ht="18" customHeight="1">
      <c r="A22" s="99"/>
      <c r="B22" s="99"/>
      <c r="C22" s="99"/>
      <c r="D22" s="99"/>
      <c r="E22" s="99"/>
      <c r="F22" s="99"/>
      <c r="G22" s="5"/>
      <c r="H22" s="5"/>
      <c r="I22" s="5"/>
      <c r="J22" s="5"/>
      <c r="K22" s="5"/>
      <c r="L22" s="5"/>
      <c r="M22" s="5"/>
      <c r="N22" s="5"/>
      <c r="O22" s="5"/>
    </row>
    <row r="23" spans="1:15" ht="18" customHeight="1">
      <c r="A23" s="173" t="str">
        <f>"Cf = "&amp;IF(ISNUMBER('Wind Load Check'!B29),TEXT('Wind Load Check'!B29,"0.00"),"—")</f>
        <v>Cf = —</v>
      </c>
      <c r="B23" s="173"/>
      <c r="C23" s="173"/>
      <c r="D23" s="173" t="s">
        <v>549</v>
      </c>
      <c r="E23" s="173"/>
      <c r="F23" s="173"/>
      <c r="G23" s="5"/>
      <c r="H23" s="5"/>
      <c r="I23" s="5"/>
      <c r="J23" s="5"/>
      <c r="K23" s="5"/>
      <c r="L23" s="5"/>
      <c r="M23" s="5"/>
      <c r="N23" s="5"/>
      <c r="O23" s="5"/>
    </row>
    <row r="24" spans="1:15" ht="18" customHeight="1">
      <c r="A24" s="173" t="str">
        <f>IF(ISNUMBER('Wind Load Check'!B30),IF('Wind Load Check'!B23&lt;50,"L₀.₅p = H/1.5 + 2B = ","L₀.₅p = B = ")&amp;IF(ISNUMBER('Wind Load Check'!B30),TEXT('Wind Load Check'!B30,"0.000"),"—")&amp;" m","")</f>
        <v/>
      </c>
      <c r="B24" s="173"/>
      <c r="C24" s="173"/>
      <c r="D24" s="173"/>
      <c r="E24" s="173"/>
      <c r="F24" s="173"/>
      <c r="G24" s="5"/>
      <c r="H24" s="5"/>
      <c r="I24" s="5"/>
      <c r="J24" s="5"/>
      <c r="K24" s="5"/>
      <c r="L24" s="5"/>
      <c r="M24" s="5"/>
      <c r="N24" s="5"/>
      <c r="O24" s="5"/>
    </row>
    <row r="25" spans="1:15" ht="18" customHeight="1">
      <c r="A25" s="173" t="str">
        <f>"Ss = exp(0.17 − 0.07 L₀.₅p^0.32) = "&amp;IF(ISNUMBER('Wind Load Check'!B31),TEXT('Wind Load Check'!B31,"0.00"),"—")</f>
        <v>Ss = exp(0.17 − 0.07 L₀.₅p^0.32) = —</v>
      </c>
      <c r="B25" s="173"/>
      <c r="C25" s="173"/>
      <c r="D25" s="173"/>
      <c r="E25" s="173"/>
      <c r="F25" s="173"/>
      <c r="G25" s="5"/>
      <c r="H25" s="5"/>
      <c r="I25" s="5"/>
      <c r="J25" s="5"/>
      <c r="K25" s="5"/>
      <c r="L25" s="5"/>
      <c r="M25" s="5"/>
      <c r="N25" s="5"/>
      <c r="O25" s="5"/>
    </row>
    <row r="26" spans="1:15" ht="18" customHeight="1">
      <c r="A26" s="173" t="str">
        <f>"Aspect ratio = H/D = "&amp;IF(ISNUMBER('Wind Load Check'!B32),TEXT('Wind Load Check'!B32,"0.00"),"—")</f>
        <v>Aspect ratio = H/D = —</v>
      </c>
      <c r="B26" s="173"/>
      <c r="C26" s="173"/>
      <c r="D26" s="173"/>
      <c r="E26" s="173"/>
      <c r="F26" s="173"/>
      <c r="G26" s="5"/>
      <c r="H26" s="5"/>
      <c r="I26" s="5"/>
      <c r="J26" s="5"/>
      <c r="K26" s="5"/>
      <c r="L26" s="5"/>
      <c r="M26" s="5"/>
      <c r="N26" s="5"/>
      <c r="O26" s="5"/>
    </row>
    <row r="27" spans="1:15" ht="18" customHeight="1">
      <c r="A27" s="173" t="str">
        <f>"Damping ratio (ξx) = "&amp;IF(ISNUMBER('Wind Load Check'!B33),TEXT('Wind Load Check'!B33,"0.000"),"—")</f>
        <v>Damping ratio (ξx) = —</v>
      </c>
      <c r="B27" s="173"/>
      <c r="C27" s="173"/>
      <c r="D27" s="173" t="s">
        <v>550</v>
      </c>
      <c r="E27" s="173"/>
      <c r="F27" s="173"/>
      <c r="G27" s="5"/>
      <c r="H27" s="5"/>
      <c r="I27" s="5"/>
      <c r="J27" s="5"/>
      <c r="K27" s="5"/>
      <c r="L27" s="5"/>
      <c r="M27" s="5"/>
      <c r="N27" s="5"/>
      <c r="O27" s="5"/>
    </row>
    <row r="28" spans="1:15" ht="18" customHeight="1">
      <c r="A28" s="173" t="str">
        <f>IF(ISNUMBER('Wind Load Check'!B23),IF('Wind Load Check'!B23&lt;50,"Sq = 1.1 Ss","Sq,h = 0.5 + √[(Ss − 0.5)² + 0.25/(B^0.5 H Nx² ξx)]"),"")</f>
        <v/>
      </c>
      <c r="B28" s="173"/>
      <c r="C28" s="173"/>
      <c r="D28" s="173"/>
      <c r="E28" s="173"/>
      <c r="F28" s="173"/>
      <c r="G28" s="5"/>
      <c r="H28" s="5"/>
      <c r="I28" s="5"/>
      <c r="J28" s="5"/>
      <c r="K28" s="5"/>
      <c r="L28" s="5"/>
      <c r="M28" s="5"/>
      <c r="N28" s="5"/>
      <c r="O28" s="5"/>
    </row>
    <row r="29" spans="1:15" ht="18" customHeight="1">
      <c r="A29" s="173" t="str">
        <f>"       = "&amp;IF(ISNUMBER('Wind Load Check'!B34),TEXT('Wind Load Check'!B34,"0.00"),"—")</f>
        <v xml:space="preserve">       = —</v>
      </c>
      <c r="B29" s="173"/>
      <c r="C29" s="173"/>
      <c r="D29" s="173"/>
      <c r="E29" s="173"/>
      <c r="F29" s="173"/>
      <c r="G29" s="5"/>
      <c r="H29" s="5"/>
      <c r="I29" s="5"/>
      <c r="J29" s="5"/>
      <c r="K29" s="5"/>
      <c r="L29" s="5"/>
      <c r="M29" s="5"/>
      <c r="N29" s="5"/>
      <c r="O29" s="5"/>
    </row>
    <row r="30" spans="1:15" ht="18" customHeight="1">
      <c r="A30" s="173" t="str">
        <f>"∵ H = Ze,   ∴ Sq,z = Sq,h = "&amp;IF(ISNUMBER('Wind Load Check'!B35),TEXT('Wind Load Check'!B35,"0.00"),"—")</f>
        <v>∵ H = Ze,   ∴ Sq,z = Sq,h = —</v>
      </c>
      <c r="B30" s="173"/>
      <c r="C30" s="173"/>
      <c r="D30" s="173"/>
      <c r="E30" s="173"/>
      <c r="F30" s="173"/>
      <c r="G30" s="5"/>
      <c r="H30" s="5"/>
      <c r="I30" s="5"/>
      <c r="J30" s="5"/>
      <c r="K30" s="5"/>
      <c r="L30" s="5"/>
      <c r="M30" s="5"/>
      <c r="N30" s="5"/>
      <c r="O30" s="5"/>
    </row>
    <row r="31" spans="1:15" ht="18" customHeight="1">
      <c r="A31" s="99"/>
      <c r="B31" s="99"/>
      <c r="C31" s="99"/>
      <c r="D31" s="99"/>
      <c r="E31" s="99"/>
      <c r="F31" s="99"/>
      <c r="G31" s="5"/>
      <c r="H31" s="5"/>
      <c r="I31" s="5"/>
      <c r="J31" s="5"/>
      <c r="K31" s="5"/>
      <c r="L31" s="5"/>
      <c r="M31" s="5"/>
      <c r="N31" s="5"/>
      <c r="O31" s="5"/>
    </row>
    <row r="32" spans="1:15" ht="18" customHeight="1">
      <c r="A32" s="99"/>
      <c r="B32" s="99"/>
      <c r="C32" s="99"/>
      <c r="D32" s="99"/>
      <c r="E32" s="99"/>
      <c r="F32" s="99"/>
      <c r="G32" s="5"/>
      <c r="H32" s="5"/>
      <c r="I32" s="5"/>
      <c r="J32" s="5"/>
      <c r="K32" s="5"/>
      <c r="L32" s="5"/>
      <c r="M32" s="5"/>
      <c r="N32" s="5"/>
      <c r="O32" s="5"/>
    </row>
    <row r="33" spans="1:15" ht="18" customHeight="1">
      <c r="A33" s="173" t="str">
        <f>"Along Wind Pressure = Qz Cf Sq,z = "&amp;IF(ISNUMBER('Wind Load Check'!B36),TEXT('Wind Load Check'!B36,"0.00"),"—")&amp;" kPa"</f>
        <v>Along Wind Pressure = Qz Cf Sq,z = — kPa</v>
      </c>
      <c r="B33" s="173"/>
      <c r="C33" s="173"/>
      <c r="D33" s="173"/>
      <c r="E33" s="173"/>
      <c r="F33" s="173"/>
      <c r="G33" s="5"/>
      <c r="H33" s="5"/>
      <c r="I33" s="5"/>
      <c r="J33" s="5"/>
      <c r="K33" s="5"/>
      <c r="L33" s="5"/>
      <c r="M33" s="5"/>
      <c r="N33" s="5"/>
      <c r="O33" s="5"/>
    </row>
    <row r="34" spans="1:15" ht="18" customHeight="1">
      <c r="A34" s="99"/>
      <c r="B34" s="99"/>
      <c r="C34" s="99"/>
      <c r="D34" s="99"/>
      <c r="E34" s="99"/>
      <c r="F34" s="99"/>
      <c r="G34" s="5"/>
      <c r="H34" s="5"/>
      <c r="I34" s="5"/>
      <c r="J34" s="5"/>
      <c r="K34" s="5"/>
      <c r="L34" s="5"/>
      <c r="M34" s="5"/>
      <c r="N34" s="5"/>
      <c r="O34" s="5"/>
    </row>
    <row r="35" spans="1:15" ht="18" customHeight="1">
      <c r="A35" s="99"/>
      <c r="B35" s="99"/>
      <c r="C35" s="99"/>
      <c r="D35" s="99"/>
      <c r="E35" s="99"/>
      <c r="F35" s="99"/>
      <c r="G35" s="5"/>
      <c r="H35" s="5"/>
      <c r="I35" s="5"/>
      <c r="J35" s="5"/>
      <c r="K35" s="5"/>
      <c r="L35" s="5"/>
      <c r="M35" s="5"/>
      <c r="N35" s="5"/>
      <c r="O35" s="5"/>
    </row>
    <row r="36" spans="1:15" ht="18" customHeight="1">
      <c r="A36" s="99"/>
      <c r="B36" s="99"/>
      <c r="C36" s="99"/>
      <c r="D36" s="99"/>
      <c r="E36" s="99"/>
      <c r="F36" s="99"/>
      <c r="G36" s="5"/>
      <c r="H36" s="5"/>
      <c r="I36" s="5"/>
      <c r="J36" s="5"/>
      <c r="K36" s="5"/>
      <c r="L36" s="5"/>
      <c r="M36" s="5"/>
      <c r="N36" s="5"/>
      <c r="O36" s="5"/>
    </row>
    <row r="37" spans="1:15" ht="18" customHeight="1">
      <c r="A37" s="99"/>
      <c r="B37" s="99"/>
      <c r="C37" s="99"/>
      <c r="D37" s="99"/>
      <c r="E37" s="99"/>
      <c r="F37" s="99"/>
      <c r="G37" s="5"/>
      <c r="H37" s="5"/>
      <c r="I37" s="5"/>
      <c r="J37" s="5"/>
      <c r="K37" s="5"/>
      <c r="L37" s="5"/>
      <c r="M37" s="5"/>
      <c r="N37" s="5"/>
      <c r="O37" s="5"/>
    </row>
    <row r="38" spans="1:15" ht="18" customHeight="1">
      <c r="A38" s="99"/>
      <c r="B38" s="99"/>
      <c r="C38" s="99"/>
      <c r="D38" s="99"/>
      <c r="E38" s="99"/>
      <c r="F38" s="99"/>
      <c r="G38" s="5"/>
      <c r="H38" s="5"/>
      <c r="I38" s="5"/>
      <c r="J38" s="5"/>
      <c r="K38" s="5"/>
      <c r="L38" s="5"/>
      <c r="M38" s="5"/>
      <c r="N38" s="5"/>
      <c r="O38" s="5"/>
    </row>
    <row r="39" spans="1:15" ht="18" customHeight="1">
      <c r="A39" s="99"/>
      <c r="B39" s="99"/>
      <c r="C39" s="99"/>
      <c r="D39" s="99"/>
      <c r="E39" s="99"/>
      <c r="F39" s="99"/>
      <c r="G39" s="5"/>
      <c r="H39" s="5"/>
      <c r="I39" s="5"/>
      <c r="J39" s="5"/>
      <c r="K39" s="5"/>
      <c r="L39" s="5"/>
      <c r="M39" s="5"/>
      <c r="N39" s="5"/>
      <c r="O39" s="5"/>
    </row>
    <row r="40" spans="1:15" ht="18" customHeight="1">
      <c r="A40" s="99"/>
      <c r="B40" s="99"/>
      <c r="C40" s="99"/>
      <c r="D40" s="99"/>
      <c r="E40" s="99"/>
      <c r="F40" s="99"/>
      <c r="G40" s="5"/>
      <c r="H40" s="5"/>
      <c r="I40" s="5"/>
      <c r="J40" s="5"/>
      <c r="K40" s="5"/>
      <c r="L40" s="5"/>
      <c r="M40" s="5"/>
      <c r="N40" s="5"/>
      <c r="O40" s="5"/>
    </row>
    <row r="41" spans="1:15" ht="18" customHeight="1">
      <c r="A41" s="99"/>
      <c r="B41" s="99"/>
      <c r="C41" s="99"/>
      <c r="D41" s="99"/>
      <c r="E41" s="99"/>
      <c r="F41" s="99"/>
      <c r="G41" s="5"/>
      <c r="H41" s="5"/>
      <c r="I41" s="5"/>
      <c r="J41" s="5"/>
      <c r="K41" s="5"/>
      <c r="L41" s="5"/>
      <c r="M41" s="5"/>
      <c r="N41" s="5"/>
      <c r="O41" s="5"/>
    </row>
    <row r="42" spans="1:15" ht="18" customHeight="1">
      <c r="A42" s="99"/>
      <c r="B42" s="99"/>
      <c r="C42" s="99"/>
      <c r="D42" s="99"/>
      <c r="E42" s="99"/>
      <c r="F42" s="99"/>
      <c r="G42" s="5"/>
      <c r="H42" s="5"/>
      <c r="I42" s="5"/>
      <c r="J42" s="5"/>
      <c r="K42" s="5"/>
      <c r="L42" s="5"/>
      <c r="M42" s="5"/>
      <c r="N42" s="5"/>
      <c r="O42" s="5"/>
    </row>
    <row r="43" spans="1:15" ht="18" customHeight="1">
      <c r="A43" s="178" t="s">
        <v>573</v>
      </c>
      <c r="B43" s="179"/>
      <c r="C43" s="179"/>
      <c r="D43" s="179"/>
      <c r="E43" s="179"/>
      <c r="F43" s="179"/>
      <c r="G43" s="5"/>
      <c r="H43" s="5"/>
      <c r="I43" s="5"/>
      <c r="J43" s="5"/>
      <c r="K43" s="5"/>
      <c r="L43" s="5"/>
      <c r="M43" s="5"/>
      <c r="N43" s="5"/>
      <c r="O43" s="5"/>
    </row>
    <row r="44" spans="1:15" ht="18" customHeight="1">
      <c r="A44" s="99"/>
      <c r="B44" s="99"/>
      <c r="C44" s="99"/>
      <c r="D44" s="99"/>
      <c r="E44" s="99"/>
      <c r="F44" s="99"/>
      <c r="G44" s="5"/>
      <c r="H44" s="5"/>
      <c r="I44" s="5"/>
      <c r="J44" s="5"/>
      <c r="K44" s="5"/>
      <c r="L44" s="5"/>
      <c r="M44" s="5"/>
      <c r="N44" s="5"/>
      <c r="O44" s="5"/>
    </row>
    <row r="45" spans="1:15" ht="18" customHeight="1">
      <c r="A45" s="177" t="s">
        <v>551</v>
      </c>
      <c r="B45" s="173"/>
      <c r="C45" s="173"/>
      <c r="D45" s="173"/>
      <c r="E45" s="173"/>
      <c r="F45" s="173"/>
      <c r="G45" s="5"/>
      <c r="H45" s="5"/>
      <c r="I45" s="5"/>
      <c r="J45" s="5"/>
      <c r="K45" s="5"/>
      <c r="L45" s="5"/>
      <c r="M45" s="5"/>
      <c r="N45" s="5"/>
      <c r="O45" s="5"/>
    </row>
    <row r="46" spans="1:15" ht="18" customHeight="1">
      <c r="A46" s="188" t="s">
        <v>602</v>
      </c>
      <c r="B46" s="188"/>
      <c r="C46" s="188"/>
      <c r="D46" s="99"/>
      <c r="E46" s="99"/>
      <c r="F46" s="99"/>
      <c r="G46" s="5"/>
      <c r="H46" s="5"/>
      <c r="I46" s="5"/>
      <c r="J46" s="5"/>
      <c r="K46" s="5"/>
      <c r="L46" s="5"/>
      <c r="M46" s="5"/>
      <c r="N46" s="5"/>
      <c r="O46" s="5"/>
    </row>
    <row r="47" spans="1:15" ht="18" customHeight="1">
      <c r="A47" s="189" t="s">
        <v>552</v>
      </c>
      <c r="B47" s="189"/>
      <c r="C47" s="189"/>
      <c r="D47" s="99"/>
      <c r="E47" s="99"/>
      <c r="F47" s="99"/>
      <c r="G47" s="5"/>
      <c r="H47" s="5"/>
      <c r="I47" s="5"/>
      <c r="J47" s="5"/>
      <c r="K47" s="5"/>
      <c r="L47" s="5"/>
      <c r="M47" s="5"/>
      <c r="N47" s="5"/>
      <c r="O47" s="5"/>
    </row>
    <row r="48" spans="1:15" ht="18" customHeight="1">
      <c r="A48" s="189"/>
      <c r="B48" s="189"/>
      <c r="C48" s="189"/>
      <c r="D48" s="99"/>
      <c r="E48" s="99"/>
      <c r="F48" s="99"/>
      <c r="G48" s="5"/>
      <c r="H48" s="5"/>
      <c r="I48" s="5"/>
      <c r="J48" s="5"/>
      <c r="K48" s="5"/>
      <c r="L48" s="5"/>
      <c r="M48" s="5"/>
      <c r="N48" s="5"/>
      <c r="O48" s="5"/>
    </row>
    <row r="49" spans="1:15" ht="18" customHeight="1">
      <c r="A49" s="189"/>
      <c r="B49" s="189"/>
      <c r="C49" s="189"/>
      <c r="D49" s="99"/>
      <c r="E49" s="99"/>
      <c r="F49" s="99"/>
      <c r="G49" s="5"/>
      <c r="H49" s="5"/>
      <c r="I49" s="5"/>
      <c r="J49" s="5"/>
      <c r="K49" s="5"/>
      <c r="L49" s="5"/>
      <c r="M49" s="5"/>
      <c r="N49" s="5"/>
      <c r="O49" s="5"/>
    </row>
    <row r="50" spans="1:15" ht="18" customHeight="1">
      <c r="A50" s="189"/>
      <c r="B50" s="189"/>
      <c r="C50" s="189"/>
      <c r="D50" s="99"/>
      <c r="E50" s="99"/>
      <c r="F50" s="99"/>
      <c r="G50" s="5"/>
      <c r="H50" s="5"/>
      <c r="I50" s="5"/>
      <c r="J50" s="5"/>
      <c r="K50" s="5"/>
      <c r="L50" s="5"/>
      <c r="M50" s="5"/>
      <c r="N50" s="5"/>
      <c r="O50" s="5"/>
    </row>
    <row r="51" spans="1:15" ht="18" customHeight="1">
      <c r="A51" s="189"/>
      <c r="B51" s="189"/>
      <c r="C51" s="189"/>
      <c r="D51" s="99"/>
      <c r="E51" s="99"/>
      <c r="F51" s="99"/>
      <c r="G51" s="5"/>
      <c r="H51" s="5"/>
      <c r="I51" s="5"/>
      <c r="J51" s="5"/>
      <c r="K51" s="5"/>
      <c r="L51" s="5"/>
      <c r="M51" s="5"/>
      <c r="N51" s="5"/>
      <c r="O51" s="5"/>
    </row>
    <row r="52" spans="1:15" ht="18" customHeight="1">
      <c r="A52" s="189"/>
      <c r="B52" s="189"/>
      <c r="C52" s="189"/>
      <c r="D52" s="99"/>
      <c r="E52" s="99"/>
      <c r="F52" s="99"/>
      <c r="G52" s="5"/>
      <c r="H52" s="5"/>
      <c r="I52" s="5"/>
      <c r="J52" s="5"/>
      <c r="K52" s="5"/>
      <c r="L52" s="5"/>
      <c r="M52" s="5"/>
      <c r="N52" s="5"/>
      <c r="O52" s="5"/>
    </row>
    <row r="53" spans="1:15" ht="18" customHeight="1">
      <c r="A53" s="189"/>
      <c r="B53" s="189"/>
      <c r="C53" s="189"/>
      <c r="D53" s="99"/>
      <c r="E53" s="99"/>
      <c r="F53" s="99"/>
      <c r="G53" s="5"/>
      <c r="H53" s="5"/>
      <c r="I53" s="5"/>
      <c r="J53" s="5"/>
      <c r="K53" s="5"/>
      <c r="L53" s="5"/>
      <c r="M53" s="5"/>
      <c r="N53" s="5"/>
      <c r="O53" s="5"/>
    </row>
    <row r="54" spans="1:15" ht="18" customHeight="1">
      <c r="A54" s="99"/>
      <c r="B54" s="99"/>
      <c r="C54" s="99"/>
      <c r="D54" s="99"/>
      <c r="E54" s="99"/>
      <c r="F54" s="99"/>
      <c r="G54" s="5"/>
      <c r="H54" s="5"/>
      <c r="I54" s="5"/>
      <c r="J54" s="5"/>
      <c r="K54" s="5"/>
      <c r="L54" s="5"/>
      <c r="M54" s="5"/>
      <c r="N54" s="5"/>
      <c r="O54" s="5"/>
    </row>
    <row r="55" spans="1:15" ht="18" customHeight="1">
      <c r="A55" s="189" t="s">
        <v>553</v>
      </c>
      <c r="B55" s="189"/>
      <c r="C55" s="189"/>
      <c r="D55" s="99"/>
      <c r="E55" s="99"/>
      <c r="F55" s="99"/>
      <c r="G55" s="5"/>
      <c r="H55" s="5"/>
      <c r="I55" s="5"/>
      <c r="J55" s="5"/>
      <c r="K55" s="5"/>
      <c r="L55" s="5"/>
      <c r="M55" s="5"/>
      <c r="N55" s="5"/>
      <c r="O55" s="5"/>
    </row>
    <row r="56" spans="1:15" ht="18" customHeight="1">
      <c r="A56" s="189"/>
      <c r="B56" s="189"/>
      <c r="C56" s="189"/>
      <c r="D56" s="99"/>
      <c r="E56" s="99"/>
      <c r="F56" s="99"/>
      <c r="G56" s="5"/>
      <c r="H56" s="5"/>
      <c r="I56" s="5"/>
      <c r="J56" s="5"/>
      <c r="K56" s="5"/>
      <c r="L56" s="5"/>
      <c r="M56" s="5"/>
      <c r="N56" s="5"/>
      <c r="O56" s="5"/>
    </row>
    <row r="57" spans="1:15" ht="18" customHeight="1">
      <c r="A57" s="189"/>
      <c r="B57" s="189"/>
      <c r="C57" s="189"/>
      <c r="D57" s="99"/>
      <c r="E57" s="99"/>
      <c r="F57" s="99"/>
      <c r="G57" s="5"/>
      <c r="H57" s="5"/>
      <c r="I57" s="5"/>
      <c r="J57" s="5"/>
      <c r="K57" s="5"/>
      <c r="L57" s="5"/>
      <c r="M57" s="5"/>
      <c r="N57" s="5"/>
      <c r="O57" s="5"/>
    </row>
    <row r="58" spans="1:15" ht="18" customHeight="1">
      <c r="A58" s="189"/>
      <c r="B58" s="189"/>
      <c r="C58" s="189"/>
      <c r="D58" s="99"/>
      <c r="E58" s="99"/>
      <c r="F58" s="99"/>
      <c r="G58" s="5"/>
      <c r="H58" s="5"/>
      <c r="I58" s="5"/>
      <c r="J58" s="5"/>
      <c r="K58" s="5"/>
      <c r="L58" s="5"/>
      <c r="M58" s="5"/>
      <c r="N58" s="5"/>
      <c r="O58" s="5"/>
    </row>
    <row r="59" spans="1:15" ht="18" customHeight="1">
      <c r="A59" s="99"/>
      <c r="B59" s="99"/>
      <c r="C59" s="99"/>
      <c r="D59" s="99"/>
      <c r="E59" s="99"/>
      <c r="F59" s="99"/>
      <c r="G59" s="5"/>
      <c r="H59" s="5"/>
      <c r="I59" s="5"/>
      <c r="J59" s="5"/>
      <c r="K59" s="5"/>
      <c r="L59" s="5"/>
      <c r="M59" s="5"/>
      <c r="N59" s="5"/>
      <c r="O59" s="5"/>
    </row>
    <row r="60" spans="1:15" ht="18" customHeight="1">
      <c r="A60" s="177" t="s">
        <v>554</v>
      </c>
      <c r="B60" s="173"/>
      <c r="C60" s="173"/>
      <c r="D60" s="173"/>
      <c r="E60" s="173"/>
      <c r="F60" s="173"/>
      <c r="G60" s="5"/>
      <c r="H60" s="5"/>
      <c r="I60" s="5"/>
      <c r="J60" s="5"/>
      <c r="K60" s="5"/>
      <c r="L60" s="5"/>
      <c r="M60" s="5"/>
      <c r="N60" s="5"/>
      <c r="O60" s="5"/>
    </row>
    <row r="61" spans="1:15" ht="18" customHeight="1">
      <c r="A61" s="99"/>
      <c r="B61" s="99"/>
      <c r="C61" s="99"/>
      <c r="D61" s="99"/>
      <c r="E61" s="99"/>
      <c r="F61" s="99"/>
      <c r="G61" s="5"/>
      <c r="H61" s="5"/>
      <c r="I61" s="5"/>
      <c r="J61" s="5"/>
      <c r="K61" s="5"/>
      <c r="L61" s="5"/>
      <c r="M61" s="5"/>
      <c r="N61" s="5"/>
      <c r="O61" s="5"/>
    </row>
    <row r="62" spans="1:15" ht="18" customHeight="1">
      <c r="A62" s="99"/>
      <c r="B62" s="99"/>
      <c r="C62" s="99"/>
      <c r="D62" s="99"/>
      <c r="E62" s="99"/>
      <c r="F62" s="99"/>
      <c r="G62" s="5"/>
      <c r="H62" s="5"/>
      <c r="I62" s="5"/>
      <c r="J62" s="5"/>
      <c r="K62" s="5"/>
      <c r="L62" s="5"/>
      <c r="M62" s="5"/>
      <c r="N62" s="5"/>
      <c r="O62" s="5"/>
    </row>
    <row r="63" spans="1:15" ht="18" customHeight="1">
      <c r="A63" s="173" t="str">
        <f>"Uplift = ("&amp;IF(ISNUMBER('Uplift Check'!B49),TEXT('Uplift Check'!B49,"0.000"),"—")&amp;" + "&amp;IF(ISNUMBER('Uplift Check'!B50),TEXT('Uplift Check'!B50,"0.000"),"—")&amp;") × "&amp;IF(ISNUMBER('Uplift Check'!B8),TEXT('Uplift Check'!B8,"0.000"),"—")&amp;" × "&amp;IF(ISNUMBER('Uplift Check'!B9),TEXT('Uplift Check'!B9,"0.000"),"—")&amp;" / 2"</f>
        <v>Uplift = (— + —) × 37.000 × 37.000 / 2</v>
      </c>
      <c r="B63" s="173"/>
      <c r="C63" s="173"/>
      <c r="D63" s="173"/>
      <c r="E63" s="173"/>
      <c r="F63" s="173"/>
      <c r="G63" s="5"/>
      <c r="H63" s="5"/>
      <c r="I63" s="5"/>
      <c r="J63" s="5"/>
      <c r="K63" s="5"/>
      <c r="L63" s="5"/>
      <c r="M63" s="5"/>
      <c r="N63" s="5"/>
      <c r="O63" s="5"/>
    </row>
    <row r="64" spans="1:15" ht="18" customHeight="1">
      <c r="A64" s="99"/>
      <c r="B64" s="99"/>
      <c r="C64" s="99"/>
      <c r="D64" s="99"/>
      <c r="E64" s="99"/>
      <c r="F64" s="99"/>
      <c r="G64" s="5"/>
      <c r="H64" s="5"/>
      <c r="I64" s="5"/>
      <c r="J64" s="5"/>
      <c r="K64" s="5"/>
      <c r="L64" s="5"/>
      <c r="M64" s="5"/>
      <c r="N64" s="5"/>
      <c r="O64" s="5"/>
    </row>
    <row r="65" spans="1:15" ht="18" customHeight="1">
      <c r="A65" s="173" t="str">
        <f>"          = "&amp;IF(ISNUMBER('Uplift Check'!B51),TEXT('Uplift Check'!B51,"#,##0.000"),"—")&amp;" kN"</f>
        <v xml:space="preserve">          = — kN</v>
      </c>
      <c r="B65" s="173"/>
      <c r="C65" s="173"/>
      <c r="D65" s="173"/>
      <c r="E65" s="173"/>
      <c r="F65" s="173"/>
      <c r="G65" s="5"/>
      <c r="H65" s="5"/>
      <c r="I65" s="5"/>
      <c r="J65" s="5"/>
      <c r="K65" s="5"/>
      <c r="L65" s="5"/>
      <c r="M65" s="5"/>
      <c r="N65" s="5"/>
      <c r="O65" s="5"/>
    </row>
    <row r="66" spans="1:15" ht="18" customHeight="1">
      <c r="A66" s="99"/>
      <c r="B66" s="99"/>
      <c r="C66" s="99"/>
      <c r="D66" s="99"/>
      <c r="E66" s="99"/>
      <c r="F66" s="99"/>
      <c r="G66" s="5"/>
      <c r="H66" s="5"/>
      <c r="I66" s="5"/>
      <c r="J66" s="5"/>
      <c r="K66" s="5"/>
      <c r="L66" s="5"/>
      <c r="M66" s="5"/>
      <c r="N66" s="5"/>
      <c r="O66" s="5"/>
    </row>
    <row r="67" spans="1:15" ht="18" customHeight="1">
      <c r="A67" s="99"/>
      <c r="B67" s="99"/>
      <c r="C67" s="99"/>
      <c r="D67" s="99"/>
      <c r="E67" s="99"/>
      <c r="F67" s="99"/>
      <c r="G67" s="5"/>
      <c r="H67" s="5"/>
      <c r="I67" s="5"/>
      <c r="J67" s="5"/>
      <c r="K67" s="5"/>
      <c r="L67" s="5"/>
      <c r="M67" s="5"/>
      <c r="N67" s="5"/>
      <c r="O67" s="5"/>
    </row>
    <row r="68" spans="1:15" ht="18" customHeight="1">
      <c r="A68" s="173" t="s">
        <v>603</v>
      </c>
      <c r="B68" s="173"/>
      <c r="C68" s="173"/>
      <c r="D68" s="173"/>
      <c r="E68" s="173"/>
      <c r="F68" s="173"/>
      <c r="G68" s="5"/>
      <c r="H68" s="5"/>
      <c r="I68" s="5"/>
      <c r="J68" s="5"/>
      <c r="K68" s="5"/>
      <c r="L68" s="5"/>
      <c r="M68" s="5"/>
      <c r="N68" s="5"/>
      <c r="O68" s="5"/>
    </row>
    <row r="69" spans="1:15" ht="18" hidden="1" customHeight="1">
      <c r="A69" s="172" t="str">
        <f>"SW Tower1 = "&amp;IF(ISNUMBER('Uplift Check'!G28),IF(MOD('Uplift Check'!G28,1)=0,TEXT('Uplift Check'!G28,"0"),TEXT('Uplift Check'!G28,"0.###")),"—")&amp;" storeys × "&amp;IF(ISNUMBER('Uplift Check'!G27),TEXT('Uplift Check'!G27,"0.000"),"—")&amp;" × "&amp;IF(ISNUMBER('Uplift Check'!G26),TEXT('Uplift Check'!G26,"0.000"),"—")&amp;" × "&amp;IF(ISNUMBER('Uplift Check'!G29),TEXT('Uplift Check'!G29,"0.000"),"—")&amp;" = "&amp;IF(ISNUMBER('Uplift Check'!G30),TEXT('Uplift Check'!G30,"#,##0.000"),"—")&amp;" kN"</f>
        <v>SW Tower1 = — storeys × — × — × 15.000 = 0.000 kN</v>
      </c>
      <c r="B69" s="172"/>
      <c r="C69" s="172"/>
      <c r="D69" s="172"/>
      <c r="E69" s="172"/>
      <c r="F69" s="172"/>
      <c r="G69" s="5"/>
      <c r="H69" s="5"/>
      <c r="I69" s="5"/>
      <c r="J69" s="5"/>
      <c r="K69" s="5"/>
      <c r="L69" s="5"/>
      <c r="M69" s="5"/>
      <c r="N69" s="5"/>
      <c r="O69" s="5"/>
    </row>
    <row r="70" spans="1:15" ht="18" hidden="1" customHeight="1">
      <c r="A70" s="172" t="str">
        <f>"SW Tower2 = "&amp;IF(ISNUMBER('Uplift Check'!H28),IF(MOD('Uplift Check'!H28,1)=0,TEXT('Uplift Check'!H28,"0"),TEXT('Uplift Check'!H28,"0.###")),"—")&amp;" storeys × "&amp;IF(ISNUMBER('Uplift Check'!H27),TEXT('Uplift Check'!H27,"0.000"),"—")&amp;" × "&amp;IF(ISNUMBER('Uplift Check'!H26),TEXT('Uplift Check'!H26,"0.000"),"—")&amp;" × "&amp;IF(ISNUMBER('Uplift Check'!H29),TEXT('Uplift Check'!H29,"0.000"),"—")&amp;" = "&amp;IF(ISNUMBER('Uplift Check'!H30),TEXT('Uplift Check'!H30,"#,##0.000"),"—")&amp;" kN"</f>
        <v>SW Tower2 = — storeys × — × — × 15.000 = 0.000 kN</v>
      </c>
      <c r="B70" s="172"/>
      <c r="C70" s="172"/>
      <c r="D70" s="172"/>
      <c r="E70" s="172"/>
      <c r="F70" s="172"/>
      <c r="G70" s="5"/>
      <c r="H70" s="5"/>
      <c r="I70" s="5"/>
      <c r="J70" s="5"/>
      <c r="K70" s="5"/>
      <c r="L70" s="5"/>
      <c r="M70" s="5"/>
      <c r="N70" s="5"/>
      <c r="O70" s="5"/>
    </row>
    <row r="71" spans="1:15" ht="18" hidden="1" customHeight="1">
      <c r="A71" s="172" t="str">
        <f>"SW Podium1 = "&amp;IF(ISNUMBER('Uplift Check'!I28),IF(MOD('Uplift Check'!I28,1)=0,TEXT('Uplift Check'!I28,"0"),TEXT('Uplift Check'!I28,"0.###")),"—")&amp;" storeys × "&amp;IF(ISNUMBER('Uplift Check'!I27),TEXT('Uplift Check'!I27,"0.000"),"—")&amp;" × "&amp;IF(ISNUMBER('Uplift Check'!I26),TEXT('Uplift Check'!I26,"0.000"),"—")&amp;" × "&amp;IF(ISNUMBER('Uplift Check'!I29),TEXT('Uplift Check'!I29,"0.000"),"—")&amp;" = "&amp;IF(ISNUMBER('Uplift Check'!I30),TEXT('Uplift Check'!I30,"#,##0.000"),"—")&amp;" kN"</f>
        <v>SW Podium1 = — storeys × — × — × 15.000 = 0.000 kN</v>
      </c>
      <c r="B71" s="172"/>
      <c r="C71" s="172"/>
      <c r="D71" s="172"/>
      <c r="E71" s="172"/>
      <c r="F71" s="172"/>
      <c r="G71" s="5"/>
      <c r="H71" s="5"/>
      <c r="I71" s="5"/>
      <c r="J71" s="5"/>
      <c r="K71" s="5"/>
      <c r="L71" s="5"/>
      <c r="M71" s="5"/>
      <c r="N71" s="5"/>
      <c r="O71" s="5"/>
    </row>
    <row r="72" spans="1:15" ht="18" hidden="1" customHeight="1">
      <c r="A72" s="172" t="str">
        <f>"SW Podium2 = "&amp;IF(ISNUMBER('Uplift Check'!J28),IF(MOD('Uplift Check'!J28,1)=0,TEXT('Uplift Check'!J28,"0"),TEXT('Uplift Check'!J28,"0.###")),"—")&amp;" storeys × "&amp;IF(ISNUMBER('Uplift Check'!J27),TEXT('Uplift Check'!J27,"0.000"),"—")&amp;" × "&amp;IF(ISNUMBER('Uplift Check'!J26),TEXT('Uplift Check'!J26,"0.000"),"—")&amp;" × "&amp;IF(ISNUMBER('Uplift Check'!J29),TEXT('Uplift Check'!J29,"0.000"),"—")&amp;" = "&amp;IF(ISNUMBER('Uplift Check'!J30),TEXT('Uplift Check'!J30,"#,##0.000"),"—")&amp;" kN"</f>
        <v>SW Podium2 = — storeys × — × — × 15.000 = 0.000 kN</v>
      </c>
      <c r="B72" s="172"/>
      <c r="C72" s="172"/>
      <c r="D72" s="172"/>
      <c r="E72" s="172"/>
      <c r="F72" s="172"/>
      <c r="G72" s="5"/>
      <c r="H72" s="5"/>
      <c r="I72" s="5"/>
      <c r="J72" s="5"/>
      <c r="K72" s="5"/>
      <c r="L72" s="5"/>
      <c r="M72" s="5"/>
      <c r="N72" s="5"/>
      <c r="O72" s="5"/>
    </row>
    <row r="73" spans="1:15" ht="18" customHeight="1">
      <c r="A73" s="173" t="str">
        <f>"S/W = "&amp;IF(ISNUMBER('Uplift Check'!K30),TEXT('Uplift Check'!K30,"#,##0.000"),"—")&amp;" kN"</f>
        <v>S/W = — kN</v>
      </c>
      <c r="B73" s="173"/>
      <c r="C73" s="173"/>
      <c r="D73" s="173"/>
      <c r="E73" s="173"/>
      <c r="F73" s="173"/>
      <c r="G73" s="5"/>
      <c r="H73" s="5"/>
      <c r="I73" s="5"/>
      <c r="J73" s="5"/>
      <c r="K73" s="5"/>
      <c r="L73" s="5"/>
      <c r="M73" s="5"/>
      <c r="N73" s="5"/>
      <c r="O73" s="5"/>
    </row>
    <row r="74" spans="1:15" ht="18" customHeight="1">
      <c r="A74" s="99"/>
      <c r="B74" s="99"/>
      <c r="C74" s="99"/>
      <c r="D74" s="99"/>
      <c r="E74" s="99"/>
      <c r="F74" s="99"/>
      <c r="G74" s="5"/>
      <c r="H74" s="5"/>
      <c r="I74" s="5"/>
      <c r="J74" s="5"/>
      <c r="K74" s="5"/>
      <c r="L74" s="5"/>
      <c r="M74" s="5"/>
      <c r="N74" s="5"/>
      <c r="O74" s="5"/>
    </row>
    <row r="75" spans="1:15" ht="18" customHeight="1">
      <c r="A75" s="173" t="str">
        <f>IF(AND(ISNUMBER('Uplift Check'!B19),ISNUMBER('Overturning Check'!B17)),"FOS = "&amp;IF(ISNUMBER('Uplift Check'!B18),TEXT('Uplift Check'!B18,"#,##0.000"),"—")&amp;" / ("&amp;IF(ISNUMBER('Uplift Check'!B51),TEXT('Uplift Check'!B51,"#,##0.000"),"—")&amp;" × "&amp;IF(ISNUMBER('Uplift Check'!B10),TEXT('Uplift Check'!B10,"0.000"),"—")&amp;") = "&amp;IF(ISNUMBER('Uplift Check'!B19),TEXT('Uplift Check'!B19,"0.00"),"—")&amp;IF('Uplift Check'!B19&gt;='Overturning Check'!B17," ≥ "," &lt; ")&amp;IF(ISNUMBER('Overturning Check'!B17),TEXT('Overturning Check'!B17,"0.00"),"—")&amp;"   ∴ "&amp;IF('Uplift Check'!B20="OK","OKAY","NOT OKAY"),"")</f>
        <v/>
      </c>
      <c r="B75" s="173"/>
      <c r="C75" s="173"/>
      <c r="D75" s="173"/>
      <c r="E75" s="173"/>
      <c r="F75" s="173"/>
      <c r="G75" s="5"/>
      <c r="H75" s="5"/>
      <c r="I75" s="5"/>
      <c r="J75" s="5"/>
      <c r="K75" s="5"/>
      <c r="L75" s="5"/>
      <c r="M75" s="5"/>
      <c r="N75" s="5"/>
      <c r="O75" s="5"/>
    </row>
    <row r="76" spans="1:15" ht="18" customHeight="1">
      <c r="A76" s="173"/>
      <c r="B76" s="173"/>
      <c r="C76" s="173"/>
      <c r="D76" s="173"/>
      <c r="E76" s="173"/>
      <c r="F76" s="173"/>
      <c r="G76" s="5"/>
      <c r="H76" s="5"/>
      <c r="I76" s="5"/>
      <c r="J76" s="5"/>
      <c r="K76" s="5"/>
      <c r="L76" s="5"/>
      <c r="M76" s="5"/>
      <c r="N76" s="5"/>
      <c r="O76" s="5"/>
    </row>
    <row r="77" spans="1:15" ht="18" customHeight="1">
      <c r="A77" s="99"/>
      <c r="B77" s="99"/>
      <c r="C77" s="99"/>
      <c r="D77" s="99"/>
      <c r="E77" s="99"/>
      <c r="F77" s="99"/>
      <c r="G77" s="5"/>
      <c r="H77" s="5"/>
      <c r="I77" s="5"/>
      <c r="J77" s="5"/>
      <c r="K77" s="5"/>
      <c r="L77" s="5"/>
      <c r="M77" s="5"/>
      <c r="N77" s="5"/>
      <c r="O77" s="5"/>
    </row>
    <row r="78" spans="1:15" ht="18" customHeight="1">
      <c r="A78" s="99"/>
      <c r="B78" s="99"/>
      <c r="C78" s="99"/>
      <c r="D78" s="99"/>
      <c r="E78" s="99"/>
      <c r="F78" s="99"/>
      <c r="G78" s="5"/>
      <c r="H78" s="5"/>
      <c r="I78" s="5"/>
      <c r="J78" s="5"/>
      <c r="K78" s="5"/>
      <c r="L78" s="5"/>
      <c r="M78" s="5"/>
      <c r="N78" s="5"/>
      <c r="O78" s="5"/>
    </row>
    <row r="79" spans="1:15" ht="18" customHeight="1">
      <c r="A79" s="99"/>
      <c r="B79" s="99"/>
      <c r="C79" s="99"/>
      <c r="D79" s="99"/>
      <c r="E79" s="99"/>
      <c r="F79" s="99"/>
      <c r="G79" s="5"/>
      <c r="H79" s="5"/>
      <c r="I79" s="5"/>
      <c r="J79" s="5"/>
      <c r="K79" s="5"/>
      <c r="L79" s="5"/>
      <c r="M79" s="5"/>
      <c r="N79" s="5"/>
      <c r="O79" s="5"/>
    </row>
    <row r="80" spans="1:15" ht="18" customHeight="1">
      <c r="A80" s="99"/>
      <c r="B80" s="99"/>
      <c r="C80" s="99"/>
      <c r="D80" s="99"/>
      <c r="E80" s="99"/>
      <c r="F80" s="99"/>
      <c r="G80" s="5"/>
      <c r="H80" s="5"/>
      <c r="I80" s="5"/>
      <c r="J80" s="5"/>
      <c r="K80" s="5"/>
      <c r="L80" s="5"/>
      <c r="M80" s="5"/>
      <c r="N80" s="5"/>
      <c r="O80" s="5"/>
    </row>
    <row r="81" spans="1:15" ht="18" customHeight="1">
      <c r="A81" s="99"/>
      <c r="B81" s="99"/>
      <c r="C81" s="99"/>
      <c r="D81" s="99"/>
      <c r="E81" s="99"/>
      <c r="F81" s="99"/>
      <c r="G81" s="5"/>
      <c r="H81" s="5"/>
      <c r="I81" s="5"/>
      <c r="J81" s="5"/>
      <c r="K81" s="5"/>
      <c r="L81" s="5"/>
      <c r="M81" s="5"/>
      <c r="N81" s="5"/>
      <c r="O81" s="5"/>
    </row>
    <row r="82" spans="1:15" ht="18" customHeight="1">
      <c r="A82" s="99"/>
      <c r="B82" s="99"/>
      <c r="C82" s="99"/>
      <c r="D82" s="99"/>
      <c r="E82" s="99"/>
      <c r="F82" s="99"/>
      <c r="G82" s="5"/>
      <c r="H82" s="5"/>
      <c r="I82" s="5"/>
      <c r="J82" s="5"/>
      <c r="K82" s="5"/>
      <c r="L82" s="5"/>
      <c r="M82" s="5"/>
      <c r="N82" s="5"/>
      <c r="O82" s="5"/>
    </row>
    <row r="83" spans="1:15" ht="18" customHeight="1">
      <c r="A83" s="178" t="s">
        <v>574</v>
      </c>
      <c r="B83" s="179"/>
      <c r="C83" s="179"/>
      <c r="D83" s="179"/>
      <c r="E83" s="179"/>
      <c r="F83" s="179"/>
      <c r="G83" s="5"/>
      <c r="H83" s="5"/>
      <c r="I83" s="5"/>
      <c r="J83" s="5"/>
      <c r="K83" s="5"/>
      <c r="L83" s="5"/>
      <c r="M83" s="5"/>
      <c r="N83" s="5"/>
      <c r="O83" s="5"/>
    </row>
    <row r="84" spans="1:15" ht="18" customHeight="1">
      <c r="A84" s="99"/>
      <c r="B84" s="99"/>
      <c r="C84" s="99"/>
      <c r="D84" s="99"/>
      <c r="E84" s="99"/>
      <c r="F84" s="99"/>
      <c r="G84" s="5"/>
      <c r="H84" s="5"/>
      <c r="I84" s="5"/>
      <c r="J84" s="5"/>
      <c r="K84" s="5"/>
      <c r="L84" s="5"/>
      <c r="M84" s="5"/>
      <c r="N84" s="5"/>
      <c r="O84" s="5"/>
    </row>
    <row r="85" spans="1:15" ht="18" customHeight="1">
      <c r="A85" s="177" t="s">
        <v>555</v>
      </c>
      <c r="B85" s="173"/>
      <c r="C85" s="173"/>
      <c r="D85" s="173"/>
      <c r="E85" s="173"/>
      <c r="F85" s="173"/>
      <c r="G85" s="5"/>
      <c r="H85" s="5"/>
      <c r="I85" s="5"/>
      <c r="J85" s="5"/>
      <c r="K85" s="5"/>
      <c r="L85" s="5"/>
      <c r="M85" s="5"/>
      <c r="N85" s="5"/>
      <c r="O85" s="5"/>
    </row>
    <row r="86" spans="1:15" ht="18" customHeight="1">
      <c r="A86" s="173" t="str">
        <f>"Assume φ = "&amp;IF(ISNUMBER('Sliding Check'!G10),IF(MOD('Sliding Check'!G10,1)=0,TEXT('Sliding Check'!G10,"0"),TEXT('Sliding Check'!G10,"0.##")),"—")&amp;"°       Ka = "&amp;IF(ISNUMBER('Sliding Check'!B11),TEXT('Sliding Check'!B11,"0.000"),"—")&amp;" ; Kp = "&amp;IF(ISNUMBER('Sliding Check'!B12),TEXT('Sliding Check'!B12,"0.000"),"—")&amp;"  (H.P.G.W.T.)"</f>
        <v>Assume φ = 30°       Ka = 0.300 ; Kp = 1.500  (H.P.G.W.T.)</v>
      </c>
      <c r="B86" s="173"/>
      <c r="C86" s="173"/>
      <c r="D86" s="173"/>
      <c r="E86" s="173"/>
      <c r="F86" s="173"/>
      <c r="G86" s="5"/>
      <c r="H86" s="5"/>
      <c r="I86" s="5"/>
      <c r="J86" s="5"/>
      <c r="K86" s="5"/>
      <c r="L86" s="5"/>
      <c r="M86" s="5"/>
      <c r="N86" s="5"/>
      <c r="O86" s="5"/>
    </row>
    <row r="87" spans="1:15" ht="18" customHeight="1">
      <c r="A87" s="172" t="s">
        <v>556</v>
      </c>
      <c r="B87" s="172"/>
      <c r="C87" s="172"/>
      <c r="D87" s="172"/>
      <c r="E87" s="172"/>
      <c r="F87" s="172"/>
      <c r="G87" s="5"/>
      <c r="H87" s="5"/>
      <c r="I87" s="5"/>
      <c r="J87" s="5"/>
      <c r="K87" s="5"/>
      <c r="L87" s="5"/>
      <c r="M87" s="5"/>
      <c r="N87" s="5"/>
      <c r="O87" s="5"/>
    </row>
    <row r="88" spans="1:15" ht="18" customHeight="1">
      <c r="A88" s="99"/>
      <c r="B88" s="99"/>
      <c r="C88" s="99"/>
      <c r="D88" s="99"/>
      <c r="E88" s="99"/>
      <c r="F88" s="99"/>
      <c r="G88" s="5"/>
      <c r="H88" s="5"/>
      <c r="I88" s="5"/>
      <c r="J88" s="5"/>
      <c r="K88" s="5"/>
      <c r="L88" s="5"/>
      <c r="M88" s="5"/>
      <c r="N88" s="5"/>
      <c r="O88" s="5"/>
    </row>
    <row r="89" spans="1:15" ht="18" customHeight="1">
      <c r="A89" s="101" t="s">
        <v>557</v>
      </c>
      <c r="B89" s="101"/>
      <c r="C89" s="180" t="s">
        <v>153</v>
      </c>
      <c r="D89" s="180"/>
      <c r="E89" s="180" t="s">
        <v>154</v>
      </c>
      <c r="F89" s="180"/>
      <c r="G89" s="5"/>
      <c r="H89" s="5"/>
      <c r="I89" s="5"/>
      <c r="J89" s="5"/>
      <c r="K89" s="5"/>
      <c r="L89" s="5"/>
      <c r="M89" s="5"/>
      <c r="N89" s="5"/>
      <c r="O89" s="5"/>
    </row>
    <row r="90" spans="1:15" ht="18" customHeight="1">
      <c r="A90" s="180" t="s">
        <v>156</v>
      </c>
      <c r="B90" s="180" t="s">
        <v>558</v>
      </c>
      <c r="C90" s="181" t="str">
        <f>"= "&amp;IF(ISNUMBER('Sliding Check'!B9),IF(MOD('Sliding Check'!B9,1)=0,TEXT('Sliding Check'!B9,"0"),TEXT('Sliding Check'!B9,"0.###")),"—")&amp;" × "&amp;IF(ISNUMBER('Uplift Check'!B32),IF(MOD('Uplift Check'!B32,1)=0,TEXT('Uplift Check'!B32,"0"),TEXT('Uplift Check'!B32,"0.###")),"—")&amp;CHAR(10)&amp;"= "&amp;IF(ISNUMBER('Sliding Check'!B47),TEXT('Sliding Check'!B47,"0.000"),"—")&amp;" kPa"</f>
        <v>= 9.81 × —
= — kPa</v>
      </c>
      <c r="D90" s="181"/>
      <c r="E90" s="181" t="str">
        <f>"= "&amp;IF(ISNUMBER('Sliding Check'!B9),IF(MOD('Sliding Check'!B9,1)=0,TEXT('Sliding Check'!B9,"0"),TEXT('Sliding Check'!B9,"0.###")),"—")&amp;" × "&amp;IF(ISNUMBER('Uplift Check'!C32),IF(MOD('Uplift Check'!C32,1)=0,TEXT('Uplift Check'!C32,"0"),TEXT('Uplift Check'!C32,"0.###")),"—")&amp;CHAR(10)&amp;"= "&amp;IF(ISNUMBER('Sliding Check'!G47),TEXT('Sliding Check'!G47,"0.000"),"—")&amp;" kPa"</f>
        <v>= 9.81 × —
= — kPa</v>
      </c>
      <c r="F90" s="181"/>
      <c r="G90" s="5"/>
      <c r="H90" s="5"/>
      <c r="I90" s="5"/>
      <c r="J90" s="5"/>
      <c r="K90" s="5"/>
      <c r="L90" s="5"/>
      <c r="M90" s="5"/>
      <c r="N90" s="5"/>
      <c r="O90" s="5"/>
    </row>
    <row r="91" spans="1:15" ht="18" customHeight="1">
      <c r="A91" s="180"/>
      <c r="B91" s="180"/>
      <c r="C91" s="181"/>
      <c r="D91" s="181"/>
      <c r="E91" s="181"/>
      <c r="F91" s="181"/>
      <c r="G91" s="5"/>
      <c r="H91" s="5"/>
      <c r="I91" s="5"/>
      <c r="J91" s="5"/>
      <c r="K91" s="5"/>
      <c r="L91" s="5"/>
      <c r="M91" s="5"/>
      <c r="N91" s="5"/>
      <c r="O91" s="5"/>
    </row>
    <row r="92" spans="1:15" ht="18" customHeight="1">
      <c r="A92" s="180"/>
      <c r="B92" s="180"/>
      <c r="C92" s="181"/>
      <c r="D92" s="181"/>
      <c r="E92" s="181"/>
      <c r="F92" s="181"/>
      <c r="G92" s="5"/>
      <c r="H92" s="5"/>
      <c r="I92" s="5"/>
      <c r="J92" s="5"/>
      <c r="K92" s="5"/>
      <c r="L92" s="5"/>
      <c r="M92" s="5"/>
      <c r="N92" s="5"/>
      <c r="O92" s="5"/>
    </row>
    <row r="93" spans="1:15" ht="18" customHeight="1">
      <c r="A93" s="180"/>
      <c r="B93" s="180" t="s">
        <v>559</v>
      </c>
      <c r="C93" s="181" t="str">
        <f>"= Ww × "&amp;IF(ISNUMBER('Uplift Check'!B32),IF(MOD('Uplift Check'!B32,1)=0,TEXT('Uplift Check'!B32,"0"),TEXT('Uplift Check'!B32,"0.###")),"—")&amp;" × "&amp;IF(ISNUMBER('Sliding Check'!B8),IF(MOD('Sliding Check'!B8,1)=0,TEXT('Sliding Check'!B8,"0"),TEXT('Sliding Check'!B8,"0.###")),"—")&amp;" / 2"&amp;CHAR(10)&amp;"= "&amp;IF(ISNUMBER('Sliding Check'!B32),TEXT('Sliding Check'!B32,"#,##0.000"),"—")&amp;" kN"</f>
        <v>= Ww × — × 37 / 2
= — kN</v>
      </c>
      <c r="D93" s="181"/>
      <c r="E93" s="181" t="str">
        <f>"= Ww × "&amp;IF(ISNUMBER('Uplift Check'!C32),IF(MOD('Uplift Check'!C32,1)=0,TEXT('Uplift Check'!C32,"0"),TEXT('Uplift Check'!C32,"0.###")),"—")&amp;" × "&amp;IF(ISNUMBER('Sliding Check'!B8),IF(MOD('Sliding Check'!B8,1)=0,TEXT('Sliding Check'!B8,"0"),TEXT('Sliding Check'!B8,"0.###")),"—")&amp;" / 2"&amp;CHAR(10)&amp;"= "&amp;IF(ISNUMBER('Sliding Check'!G32),TEXT('Sliding Check'!G32,"#,##0.000"),"—")&amp;" kN"</f>
        <v>= Ww × — × 37 / 2
= — kN</v>
      </c>
      <c r="F93" s="181"/>
      <c r="G93" s="5"/>
      <c r="H93" s="5"/>
      <c r="I93" s="5"/>
      <c r="J93" s="5"/>
      <c r="K93" s="5"/>
      <c r="L93" s="5"/>
      <c r="M93" s="5"/>
      <c r="N93" s="5"/>
      <c r="O93" s="5"/>
    </row>
    <row r="94" spans="1:15" ht="18" customHeight="1">
      <c r="A94" s="180"/>
      <c r="B94" s="180"/>
      <c r="C94" s="181"/>
      <c r="D94" s="181"/>
      <c r="E94" s="181"/>
      <c r="F94" s="181"/>
      <c r="G94" s="5"/>
      <c r="H94" s="5"/>
      <c r="I94" s="5"/>
      <c r="J94" s="5"/>
      <c r="K94" s="5"/>
      <c r="L94" s="5"/>
      <c r="M94" s="5"/>
      <c r="N94" s="5"/>
      <c r="O94" s="5"/>
    </row>
    <row r="95" spans="1:15" ht="18" customHeight="1">
      <c r="A95" s="180"/>
      <c r="B95" s="180"/>
      <c r="C95" s="181"/>
      <c r="D95" s="181"/>
      <c r="E95" s="181"/>
      <c r="F95" s="181"/>
      <c r="G95" s="5"/>
      <c r="H95" s="5"/>
      <c r="I95" s="5"/>
      <c r="J95" s="5"/>
      <c r="K95" s="5"/>
      <c r="L95" s="5"/>
      <c r="M95" s="5"/>
      <c r="N95" s="5"/>
      <c r="O95" s="5"/>
    </row>
    <row r="96" spans="1:15" ht="18" customHeight="1">
      <c r="A96" s="180" t="s">
        <v>157</v>
      </c>
      <c r="B96" s="180" t="s">
        <v>560</v>
      </c>
      <c r="C96" s="181" t="str">
        <f>IF('Uplift Check'!B33=0,"= "&amp;IF(ISNUMBER('Uplift Check'!B30),IF(MOD('Uplift Check'!B30,1)=0,TEXT('Uplift Check'!B30,"0"),TEXT('Uplift Check'!B30,"0.###")),"—")&amp;" × "&amp;IF(ISNUMBER('Uplift Check'!B34),IF(MOD('Uplift Check'!B34,1)=0,TEXT('Uplift Check'!B34,"0"),TEXT('Uplift Check'!B34,"0.###")),"—")&amp;" × "&amp;IF(ISNUMBER('Sliding Check'!B11),IF(MOD('Sliding Check'!B11,1)=0,TEXT('Sliding Check'!B11,"0"),TEXT('Sliding Check'!B11,"0.###")),"—"),IF('Uplift Check'!B34=0,"= "&amp;IF(ISNUMBER('Uplift Check'!B29),IF(MOD('Uplift Check'!B29,1)=0,TEXT('Uplift Check'!B29,"0"),TEXT('Uplift Check'!B29,"0.###")),"—")&amp;" × "&amp;IF(ISNUMBER('Uplift Check'!B33),IF(MOD('Uplift Check'!B33,1)=0,TEXT('Uplift Check'!B33,"0"),TEXT('Uplift Check'!B33,"0.###")),"—")&amp;" × "&amp;IF(ISNUMBER('Sliding Check'!B11),IF(MOD('Sliding Check'!B11,1)=0,TEXT('Sliding Check'!B11,"0"),TEXT('Sliding Check'!B11,"0.###")),"—"),"= "&amp;IF(ISNUMBER('Sliding Check'!B11),IF(MOD('Sliding Check'!B11,1)=0,TEXT('Sliding Check'!B11,"0"),TEXT('Sliding Check'!B11,"0.###")),"—")&amp;" × ("&amp;IF(ISNUMBER('Uplift Check'!B29),IF(MOD('Uplift Check'!B29,1)=0,TEXT('Uplift Check'!B29,"0"),TEXT('Uplift Check'!B29,"0.###")),"—")&amp;" × "&amp;IF(ISNUMBER('Uplift Check'!B33),IF(MOD('Uplift Check'!B33,1)=0,TEXT('Uplift Check'!B33,"0"),TEXT('Uplift Check'!B33,"0.###")),"—")&amp;" + "&amp;IF(ISNUMBER('Uplift Check'!B30),IF(MOD('Uplift Check'!B30,1)=0,TEXT('Uplift Check'!B30,"0"),TEXT('Uplift Check'!B30,"0.###")),"—")&amp;" × "&amp;IF(ISNUMBER('Uplift Check'!B34),IF(MOD('Uplift Check'!B34,1)=0,TEXT('Uplift Check'!B34,"0"),TEXT('Uplift Check'!B34,"0.###")),"—")&amp;")"))&amp;CHAR(10)&amp;"= "&amp;IF(ISNUMBER('Sliding Check'!B48),TEXT('Sliding Check'!B48,"0.000"),"—")&amp;" kPa"</f>
        <v>= 0.3 × (19 × — + 9.19 × —)
= — kPa</v>
      </c>
      <c r="D96" s="181"/>
      <c r="E96" s="181" t="str">
        <f>IF('Uplift Check'!C33=0,"= "&amp;IF(ISNUMBER('Uplift Check'!C30),IF(MOD('Uplift Check'!C30,1)=0,TEXT('Uplift Check'!C30,"0"),TEXT('Uplift Check'!C30,"0.###")),"—")&amp;" × "&amp;IF(ISNUMBER('Uplift Check'!C34),IF(MOD('Uplift Check'!C34,1)=0,TEXT('Uplift Check'!C34,"0"),TEXT('Uplift Check'!C34,"0.###")),"—")&amp;" × "&amp;IF(ISNUMBER('Sliding Check'!B12),IF(MOD('Sliding Check'!B12,1)=0,TEXT('Sliding Check'!B12,"0"),TEXT('Sliding Check'!B12,"0.###")),"—"),IF('Uplift Check'!C34=0,"= "&amp;IF(ISNUMBER('Uplift Check'!C29),IF(MOD('Uplift Check'!C29,1)=0,TEXT('Uplift Check'!C29,"0"),TEXT('Uplift Check'!C29,"0.###")),"—")&amp;" × "&amp;IF(ISNUMBER('Uplift Check'!C33),IF(MOD('Uplift Check'!C33,1)=0,TEXT('Uplift Check'!C33,"0"),TEXT('Uplift Check'!C33,"0.###")),"—")&amp;" × "&amp;IF(ISNUMBER('Sliding Check'!B12),IF(MOD('Sliding Check'!B12,1)=0,TEXT('Sliding Check'!B12,"0"),TEXT('Sliding Check'!B12,"0.###")),"—"),"= "&amp;IF(ISNUMBER('Sliding Check'!B12),IF(MOD('Sliding Check'!B12,1)=0,TEXT('Sliding Check'!B12,"0"),TEXT('Sliding Check'!B12,"0.###")),"—")&amp;" × ("&amp;IF(ISNUMBER('Uplift Check'!C29),IF(MOD('Uplift Check'!C29,1)=0,TEXT('Uplift Check'!C29,"0"),TEXT('Uplift Check'!C29,"0.###")),"—")&amp;" × "&amp;IF(ISNUMBER('Uplift Check'!C33),IF(MOD('Uplift Check'!C33,1)=0,TEXT('Uplift Check'!C33,"0"),TEXT('Uplift Check'!C33,"0.###")),"—")&amp;" + "&amp;IF(ISNUMBER('Uplift Check'!C30),IF(MOD('Uplift Check'!C30,1)=0,TEXT('Uplift Check'!C30,"0"),TEXT('Uplift Check'!C30,"0.###")),"—")&amp;" × "&amp;IF(ISNUMBER('Uplift Check'!C34),IF(MOD('Uplift Check'!C34,1)=0,TEXT('Uplift Check'!C34,"0"),TEXT('Uplift Check'!C34,"0.###")),"—")&amp;")"))&amp;CHAR(10)&amp;"= "&amp;IF(ISNUMBER('Sliding Check'!G48),TEXT('Sliding Check'!G48,"0.000"),"—")&amp;" kPa"</f>
        <v>= 1.5 × (19 × — + 9.19 × —)
= — kPa</v>
      </c>
      <c r="F96" s="181"/>
      <c r="G96" s="5"/>
      <c r="H96" s="5"/>
      <c r="I96" s="5"/>
      <c r="J96" s="5"/>
      <c r="K96" s="5"/>
      <c r="L96" s="5"/>
      <c r="M96" s="5"/>
      <c r="N96" s="5"/>
      <c r="O96" s="5"/>
    </row>
    <row r="97" spans="1:15" ht="18" customHeight="1">
      <c r="A97" s="180"/>
      <c r="B97" s="180"/>
      <c r="C97" s="181"/>
      <c r="D97" s="181"/>
      <c r="E97" s="181"/>
      <c r="F97" s="181"/>
      <c r="G97" s="5"/>
      <c r="H97" s="5"/>
      <c r="I97" s="5"/>
      <c r="J97" s="5"/>
      <c r="K97" s="5"/>
      <c r="L97" s="5"/>
      <c r="M97" s="5"/>
      <c r="N97" s="5"/>
      <c r="O97" s="5"/>
    </row>
    <row r="98" spans="1:15" ht="18" customHeight="1">
      <c r="A98" s="180"/>
      <c r="B98" s="180"/>
      <c r="C98" s="181"/>
      <c r="D98" s="181"/>
      <c r="E98" s="181"/>
      <c r="F98" s="181"/>
      <c r="G98" s="5"/>
      <c r="H98" s="5"/>
      <c r="I98" s="5"/>
      <c r="J98" s="5"/>
      <c r="K98" s="5"/>
      <c r="L98" s="5"/>
      <c r="M98" s="5"/>
      <c r="N98" s="5"/>
      <c r="O98" s="5"/>
    </row>
    <row r="99" spans="1:15" ht="18" customHeight="1">
      <c r="A99" s="180"/>
      <c r="B99" s="180" t="s">
        <v>561</v>
      </c>
      <c r="C99" s="181" t="str">
        <f>IF(OR('Uplift Check'!B33=0,'Uplift Check'!B34=0),"= Ws × "&amp;IF(ISNUMBER('Uplift Check'!B31),IF(MOD('Uplift Check'!B31,1)=0,TEXT('Uplift Check'!B31,"0"),TEXT('Uplift Check'!B31,"0.###")),"—")&amp;" × "&amp;IF(ISNUMBER('Sliding Check'!B8),IF(MOD('Sliding Check'!B8,1)=0,TEXT('Sliding Check'!B8,"0"),TEXT('Sliding Check'!B8,"0.###")),"—")&amp;" / 2","= "&amp;IF(ISNUMBER('Sliding Check'!B8),IF(MOD('Sliding Check'!B8,1)=0,TEXT('Sliding Check'!B8,"0"),TEXT('Sliding Check'!B8,"0.###")),"—")&amp;" × "&amp;IF(ISNUMBER('Sliding Check'!B11),IF(MOD('Sliding Check'!B11,1)=0,TEXT('Sliding Check'!B11,"0"),TEXT('Sliding Check'!B11,"0.###")),"—")&amp;" × ["&amp;IF(ISNUMBER('Uplift Check'!B29),IF(MOD('Uplift Check'!B29,1)=0,TEXT('Uplift Check'!B29,"0"),TEXT('Uplift Check'!B29,"0.###")),"—")&amp;" × ("&amp;IF(ISNUMBER('Uplift Check'!B33),IF(MOD('Uplift Check'!B33,1)=0,TEXT('Uplift Check'!B33,"0"),TEXT('Uplift Check'!B33,"0.###")),"—")&amp;"^2/2 + "&amp;IF(ISNUMBER('Uplift Check'!B33),IF(MOD('Uplift Check'!B33,1)=0,TEXT('Uplift Check'!B33,"0"),TEXT('Uplift Check'!B33,"0.###")),"—")&amp;" × "&amp;IF(ISNUMBER('Uplift Check'!B34),IF(MOD('Uplift Check'!B34,1)=0,TEXT('Uplift Check'!B34,"0"),TEXT('Uplift Check'!B34,"0.###")),"—")&amp;")"&amp;CHAR(10)&amp;" + "&amp;IF(ISNUMBER('Uplift Check'!B30),IF(MOD('Uplift Check'!B30,1)=0,TEXT('Uplift Check'!B30,"0"),TEXT('Uplift Check'!B30,"0.###")),"—")&amp;" × "&amp;IF(ISNUMBER('Uplift Check'!B34),IF(MOD('Uplift Check'!B34,1)=0,TEXT('Uplift Check'!B34,"0"),TEXT('Uplift Check'!B34,"0.###")),"—")&amp;"^2/2]")&amp;CHAR(10)&amp;"= "&amp;IF(ISNUMBER('Sliding Check'!B28),TEXT('Sliding Check'!B28,"#,##0.000"),"—")&amp;" kN"</f>
        <v>= 37 × 0.3 × [19 × (—^2/2 + — × —)
 + 9.19 × —^2/2]
= — kN</v>
      </c>
      <c r="D99" s="181"/>
      <c r="E99" s="181" t="str">
        <f>IF(OR('Uplift Check'!C33=0,'Uplift Check'!C34=0),"= Ws × "&amp;IF(ISNUMBER('Uplift Check'!C31),IF(MOD('Uplift Check'!C31,1)=0,TEXT('Uplift Check'!C31,"0"),TEXT('Uplift Check'!C31,"0.###")),"—")&amp;" × "&amp;IF(ISNUMBER('Sliding Check'!B8),IF(MOD('Sliding Check'!B8,1)=0,TEXT('Sliding Check'!B8,"0"),TEXT('Sliding Check'!B8,"0.###")),"—")&amp;" / 2","= "&amp;IF(ISNUMBER('Sliding Check'!B8),IF(MOD('Sliding Check'!B8,1)=0,TEXT('Sliding Check'!B8,"0"),TEXT('Sliding Check'!B8,"0.###")),"—")&amp;" × "&amp;IF(ISNUMBER('Sliding Check'!B12),IF(MOD('Sliding Check'!B12,1)=0,TEXT('Sliding Check'!B12,"0"),TEXT('Sliding Check'!B12,"0.###")),"—")&amp;" × ["&amp;IF(ISNUMBER('Uplift Check'!C29),IF(MOD('Uplift Check'!C29,1)=0,TEXT('Uplift Check'!C29,"0"),TEXT('Uplift Check'!C29,"0.###")),"—")&amp;" × ("&amp;IF(ISNUMBER('Uplift Check'!C33),IF(MOD('Uplift Check'!C33,1)=0,TEXT('Uplift Check'!C33,"0"),TEXT('Uplift Check'!C33,"0.###")),"—")&amp;"^2/2 + "&amp;IF(ISNUMBER('Uplift Check'!C33),IF(MOD('Uplift Check'!C33,1)=0,TEXT('Uplift Check'!C33,"0"),TEXT('Uplift Check'!C33,"0.###")),"—")&amp;" × "&amp;IF(ISNUMBER('Uplift Check'!C34),IF(MOD('Uplift Check'!C34,1)=0,TEXT('Uplift Check'!C34,"0"),TEXT('Uplift Check'!C34,"0.###")),"—")&amp;")"&amp;CHAR(10)&amp;" + "&amp;IF(ISNUMBER('Uplift Check'!C30),IF(MOD('Uplift Check'!C30,1)=0,TEXT('Uplift Check'!C30,"0"),TEXT('Uplift Check'!C30,"0.###")),"—")&amp;" × "&amp;IF(ISNUMBER('Uplift Check'!C34),IF(MOD('Uplift Check'!C34,1)=0,TEXT('Uplift Check'!C34,"0"),TEXT('Uplift Check'!C34,"0.###")),"—")&amp;"^2/2]")&amp;CHAR(10)&amp;"= "&amp;IF(ISNUMBER('Sliding Check'!G28),TEXT('Sliding Check'!G28,"#,##0.000"),"—")&amp;" kN"</f>
        <v>= 37 × 1.5 × [19 × (—^2/2 + — × —)
 + 9.19 × —^2/2]
= — kN</v>
      </c>
      <c r="F99" s="181"/>
      <c r="G99" s="5"/>
      <c r="H99" s="5"/>
      <c r="I99" s="5"/>
      <c r="J99" s="5"/>
      <c r="K99" s="5"/>
      <c r="L99" s="5"/>
      <c r="M99" s="5"/>
      <c r="N99" s="5"/>
      <c r="O99" s="5"/>
    </row>
    <row r="100" spans="1:15" ht="18" customHeight="1">
      <c r="A100" s="180"/>
      <c r="B100" s="180"/>
      <c r="C100" s="181"/>
      <c r="D100" s="181"/>
      <c r="E100" s="181"/>
      <c r="F100" s="181"/>
      <c r="G100" s="5"/>
      <c r="H100" s="5"/>
      <c r="I100" s="5"/>
      <c r="J100" s="5"/>
      <c r="K100" s="5"/>
      <c r="L100" s="5"/>
      <c r="M100" s="5"/>
      <c r="N100" s="5"/>
      <c r="O100" s="5"/>
    </row>
    <row r="101" spans="1:15" ht="18" customHeight="1">
      <c r="A101" s="180"/>
      <c r="B101" s="180"/>
      <c r="C101" s="181"/>
      <c r="D101" s="181"/>
      <c r="E101" s="181"/>
      <c r="F101" s="181"/>
      <c r="G101" s="5"/>
      <c r="H101" s="5"/>
      <c r="I101" s="5"/>
      <c r="J101" s="5"/>
      <c r="K101" s="5"/>
      <c r="L101" s="5"/>
      <c r="M101" s="5"/>
      <c r="N101" s="5"/>
      <c r="O101" s="5"/>
    </row>
    <row r="102" spans="1:15" ht="18" customHeight="1">
      <c r="A102" s="180" t="s">
        <v>158</v>
      </c>
      <c r="B102" s="180" t="s">
        <v>562</v>
      </c>
      <c r="C102" s="181" t="str">
        <f>"= "&amp;IF(ISNUMBER('Uplift Check'!B27),IF(MOD('Uplift Check'!B27,1)=0,TEXT('Uplift Check'!B27,"0"),TEXT('Uplift Check'!B27,"0.###")),"—")&amp;" × "&amp;IF(ISNUMBER('Sliding Check'!B11),IF(MOD('Sliding Check'!B11,1)=0,TEXT('Sliding Check'!B11,"0"),TEXT('Sliding Check'!B11,"0.###")),"—")&amp;CHAR(10)&amp;"= "&amp;IF(ISNUMBER('Sliding Check'!B49),TEXT('Sliding Check'!B49,"0.000"),"—")&amp;" kPa"</f>
        <v>= 70 × 0.3
= — kPa</v>
      </c>
      <c r="D102" s="181"/>
      <c r="E102" s="181" t="str">
        <f>"= "&amp;IF(ISNUMBER('Uplift Check'!C27),IF(MOD('Uplift Check'!C27,1)=0,TEXT('Uplift Check'!C27,"0"),TEXT('Uplift Check'!C27,"0.###")),"—")&amp;" × "&amp;IF(ISNUMBER('Sliding Check'!B12),IF(MOD('Sliding Check'!B12,1)=0,TEXT('Sliding Check'!B12,"0"),TEXT('Sliding Check'!B12,"0.###")),"—")&amp;CHAR(10)&amp;"= "&amp;IF(ISNUMBER('Sliding Check'!G49),TEXT('Sliding Check'!G49,"0.000"),"—")&amp;" kPa"</f>
        <v>= 5 × 1.5
= — kPa</v>
      </c>
      <c r="F102" s="181"/>
      <c r="G102" s="5"/>
      <c r="H102" s="5"/>
      <c r="I102" s="5"/>
      <c r="J102" s="5"/>
      <c r="K102" s="5"/>
      <c r="L102" s="5"/>
      <c r="M102" s="5"/>
      <c r="N102" s="5"/>
      <c r="O102" s="5"/>
    </row>
    <row r="103" spans="1:15" ht="18" customHeight="1">
      <c r="A103" s="180"/>
      <c r="B103" s="180"/>
      <c r="C103" s="181"/>
      <c r="D103" s="181"/>
      <c r="E103" s="181"/>
      <c r="F103" s="181"/>
      <c r="G103" s="5"/>
      <c r="H103" s="5"/>
      <c r="I103" s="5"/>
      <c r="J103" s="5"/>
      <c r="K103" s="5"/>
      <c r="L103" s="5"/>
      <c r="M103" s="5"/>
      <c r="N103" s="5"/>
      <c r="O103" s="5"/>
    </row>
    <row r="104" spans="1:15" ht="18" customHeight="1">
      <c r="A104" s="180"/>
      <c r="B104" s="180"/>
      <c r="C104" s="181"/>
      <c r="D104" s="181"/>
      <c r="E104" s="181"/>
      <c r="F104" s="181"/>
      <c r="G104" s="5"/>
      <c r="H104" s="5"/>
      <c r="I104" s="5"/>
      <c r="J104" s="5"/>
      <c r="K104" s="5"/>
      <c r="L104" s="5"/>
      <c r="M104" s="5"/>
      <c r="N104" s="5"/>
      <c r="O104" s="5"/>
    </row>
    <row r="105" spans="1:15" ht="18" customHeight="1">
      <c r="A105" s="180"/>
      <c r="B105" s="180" t="s">
        <v>563</v>
      </c>
      <c r="C105" s="181" t="str">
        <f>"= Wsur × "&amp;IF(ISNUMBER('Uplift Check'!B31),IF(MOD('Uplift Check'!B31,1)=0,TEXT('Uplift Check'!B31,"0"),TEXT('Uplift Check'!B31,"0.###")),"—")&amp;" × "&amp;IF(ISNUMBER('Sliding Check'!B8),IF(MOD('Sliding Check'!B8,1)=0,TEXT('Sliding Check'!B8,"0"),TEXT('Sliding Check'!B8,"0.###")),"—")&amp;CHAR(10)&amp;"= "&amp;IF(ISNUMBER('Sliding Check'!B36),TEXT('Sliding Check'!B36,"#,##0.000"),"—")&amp;" kN"</f>
        <v>= Wsur × — × 37
= — kN</v>
      </c>
      <c r="D105" s="181"/>
      <c r="E105" s="181" t="str">
        <f>"= Wsur × "&amp;IF(ISNUMBER('Uplift Check'!C31),IF(MOD('Uplift Check'!C31,1)=0,TEXT('Uplift Check'!C31,"0"),TEXT('Uplift Check'!C31,"0.###")),"—")&amp;" × "&amp;IF(ISNUMBER('Sliding Check'!B8),IF(MOD('Sliding Check'!B8,1)=0,TEXT('Sliding Check'!B8,"0"),TEXT('Sliding Check'!B8,"0.###")),"—")&amp;CHAR(10)&amp;"= "&amp;IF(ISNUMBER('Sliding Check'!G36),TEXT('Sliding Check'!G36,"#,##0.000"),"—")&amp;" kN"</f>
        <v>= Wsur × — × 37
= — kN</v>
      </c>
      <c r="F105" s="181"/>
      <c r="G105" s="5"/>
      <c r="H105" s="5"/>
      <c r="I105" s="5"/>
      <c r="J105" s="5"/>
      <c r="K105" s="5"/>
      <c r="L105" s="5"/>
      <c r="M105" s="5"/>
      <c r="N105" s="5"/>
      <c r="O105" s="5"/>
    </row>
    <row r="106" spans="1:15" ht="18" customHeight="1">
      <c r="A106" s="180"/>
      <c r="B106" s="180"/>
      <c r="C106" s="181"/>
      <c r="D106" s="181"/>
      <c r="E106" s="181"/>
      <c r="F106" s="181"/>
      <c r="G106" s="5"/>
      <c r="H106" s="5"/>
      <c r="I106" s="5"/>
      <c r="J106" s="5"/>
      <c r="K106" s="5"/>
      <c r="L106" s="5"/>
      <c r="M106" s="5"/>
      <c r="N106" s="5"/>
      <c r="O106" s="5"/>
    </row>
    <row r="107" spans="1:15" ht="18" customHeight="1">
      <c r="A107" s="180"/>
      <c r="B107" s="180"/>
      <c r="C107" s="181"/>
      <c r="D107" s="181"/>
      <c r="E107" s="181"/>
      <c r="F107" s="181"/>
      <c r="G107" s="5"/>
      <c r="H107" s="5"/>
      <c r="I107" s="5"/>
      <c r="J107" s="5"/>
      <c r="K107" s="5"/>
      <c r="L107" s="5"/>
      <c r="M107" s="5"/>
      <c r="N107" s="5"/>
      <c r="O107" s="5"/>
    </row>
    <row r="108" spans="1:15" ht="18" customHeight="1">
      <c r="A108" s="99"/>
      <c r="B108" s="99"/>
      <c r="C108" s="99"/>
      <c r="D108" s="99"/>
      <c r="E108" s="99"/>
      <c r="F108" s="99"/>
      <c r="G108" s="5"/>
      <c r="H108" s="5"/>
      <c r="I108" s="5"/>
      <c r="J108" s="5"/>
      <c r="K108" s="5"/>
      <c r="L108" s="5"/>
      <c r="M108" s="5"/>
      <c r="N108" s="5"/>
      <c r="O108" s="5"/>
    </row>
    <row r="109" spans="1:15" ht="18" customHeight="1">
      <c r="A109" s="173" t="str">
        <f>IF('Wind Load Check'!K3="UNIFORM","Wind load = "&amp;IF(ISNUMBER('Wind Load Check'!B36),TEXT('Wind Load Check'!B36,"0.00"),"—")&amp;" × "&amp;IF(ISNUMBER('Wind Load Check'!B7),TEXT('Wind Load Check'!B7,"0.000"),"—")&amp;" × "&amp;IF(ISNUMBER('Wind Load Check'!B9),TEXT('Wind Load Check'!B9,"0.000"),"—"),"Wind load = Σ Fi")</f>
        <v>Wind load = — × 37.000 × —</v>
      </c>
      <c r="B109" s="173"/>
      <c r="C109" s="173"/>
      <c r="D109" s="173"/>
      <c r="E109" s="173"/>
      <c r="F109" s="173"/>
      <c r="G109" s="5"/>
      <c r="H109" s="5"/>
      <c r="I109" s="5"/>
      <c r="J109" s="5"/>
      <c r="K109" s="5"/>
      <c r="L109" s="5"/>
      <c r="M109" s="5"/>
      <c r="N109" s="5"/>
      <c r="O109" s="5"/>
    </row>
    <row r="110" spans="1:15" ht="18" customHeight="1">
      <c r="A110" s="173" t="str">
        <f>"                  = "&amp;IF(ISNUMBER('Wind Load Check'!K5),TEXT('Wind Load Check'!K5,"#,##0.000"),"—")&amp;" kN"</f>
        <v xml:space="preserve">                  = — kN</v>
      </c>
      <c r="B110" s="173"/>
      <c r="C110" s="173"/>
      <c r="D110" s="173"/>
      <c r="E110" s="173"/>
      <c r="F110" s="173"/>
      <c r="G110" s="5"/>
      <c r="H110" s="5"/>
      <c r="I110" s="5"/>
      <c r="J110" s="5"/>
      <c r="K110" s="5"/>
      <c r="L110" s="5"/>
      <c r="M110" s="5"/>
      <c r="N110" s="5"/>
      <c r="O110" s="5"/>
    </row>
    <row r="111" spans="1:15" ht="18" customHeight="1">
      <c r="A111" s="99"/>
      <c r="B111" s="99"/>
      <c r="C111" s="99"/>
      <c r="D111" s="99"/>
      <c r="E111" s="99"/>
      <c r="F111" s="99"/>
      <c r="G111" s="5"/>
      <c r="H111" s="5"/>
      <c r="I111" s="5"/>
      <c r="J111" s="5"/>
      <c r="K111" s="5"/>
      <c r="L111" s="5"/>
      <c r="M111" s="5"/>
      <c r="N111" s="5"/>
      <c r="O111" s="5"/>
    </row>
    <row r="112" spans="1:15" ht="18" customHeight="1">
      <c r="A112" s="173" t="str">
        <f>IF('Uplift Check'!B6="No","Fsliding → Fs = Wind","Fsliding → Fs = Wind × "&amp;IF(ISNUMBER('Sliding Check'!G11),TEXT('Sliding Check'!G11,"0.000"),"—")&amp;" + Hydrostatic × "&amp;IF(ISNUMBER('Sliding Check'!B15),TEXT('Sliding Check'!B15,"0.000"),"—")&amp;" + (Soil + Surcharge) × "&amp;IF(ISNUMBER('Sliding Check'!B16),TEXT('Sliding Check'!B16,"0.000"),"—"))</f>
        <v>Fsliding → Fs = Wind × 1.500 + Hydrostatic × 1.100 + (Soil + Surcharge) × 1.500</v>
      </c>
      <c r="B112" s="173"/>
      <c r="C112" s="173"/>
      <c r="D112" s="173"/>
      <c r="E112" s="173"/>
      <c r="F112" s="173"/>
      <c r="G112" s="5"/>
      <c r="H112" s="5"/>
      <c r="I112" s="5"/>
      <c r="J112" s="5"/>
      <c r="K112" s="5"/>
      <c r="L112" s="5"/>
      <c r="M112" s="5"/>
      <c r="N112" s="5"/>
      <c r="O112" s="5"/>
    </row>
    <row r="113" spans="1:15" ht="18" customHeight="1">
      <c r="A113" s="173"/>
      <c r="B113" s="173"/>
      <c r="C113" s="173"/>
      <c r="D113" s="173"/>
      <c r="E113" s="173"/>
      <c r="F113" s="173"/>
      <c r="G113" s="5"/>
      <c r="H113" s="5"/>
      <c r="I113" s="5"/>
      <c r="J113" s="5"/>
      <c r="K113" s="5"/>
      <c r="L113" s="5"/>
      <c r="M113" s="5"/>
      <c r="N113" s="5"/>
      <c r="O113" s="5"/>
    </row>
    <row r="114" spans="1:15" ht="18" customHeight="1">
      <c r="A114" s="173" t="str">
        <f>"                      = "&amp;IF(ISNUMBER('Sliding Check'!B57),TEXT('Sliding Check'!B57,"#,##0.000"),"—")&amp;" kN"</f>
        <v xml:space="preserve">                      = — kN</v>
      </c>
      <c r="B114" s="173"/>
      <c r="C114" s="173"/>
      <c r="D114" s="173"/>
      <c r="E114" s="173"/>
      <c r="F114" s="173"/>
      <c r="G114" s="5"/>
      <c r="H114" s="5"/>
      <c r="I114" s="5"/>
      <c r="J114" s="5"/>
      <c r="K114" s="5"/>
      <c r="L114" s="5"/>
      <c r="M114" s="5"/>
      <c r="N114" s="5"/>
      <c r="O114" s="5"/>
    </row>
    <row r="115" spans="1:15" ht="18" customHeight="1">
      <c r="A115" s="99"/>
      <c r="B115" s="99"/>
      <c r="C115" s="99"/>
      <c r="D115" s="99"/>
      <c r="E115" s="99"/>
      <c r="F115" s="99"/>
      <c r="G115" s="5"/>
      <c r="H115" s="5"/>
      <c r="I115" s="5"/>
      <c r="J115" s="5"/>
      <c r="K115" s="5"/>
      <c r="L115" s="5"/>
      <c r="M115" s="5"/>
      <c r="N115" s="5"/>
      <c r="O115" s="5"/>
    </row>
    <row r="116" spans="1:15" ht="18" customHeight="1">
      <c r="A116" s="173" t="str">
        <f>IF('Uplift Check'!B6="No","Fresistance → FR = S/W × tan φ","Fresistance → FR = (Hydrostatic Passive + Soil Passive) × "&amp;IF(ISNUMBER('Sliding Check'!B17),TEXT('Sliding Check'!B17,"0.000"),"—")&amp;" + max(S/W − Uplift, 0) × tan(⅔φ)")</f>
        <v>Fresistance → FR = (Hydrostatic Passive + Soil Passive) × 1.000 + max(S/W − Uplift, 0) × tan(⅔φ)</v>
      </c>
      <c r="B116" s="173"/>
      <c r="C116" s="173"/>
      <c r="D116" s="173"/>
      <c r="E116" s="173"/>
      <c r="F116" s="173"/>
      <c r="G116" s="5"/>
      <c r="H116" s="5"/>
      <c r="I116" s="5"/>
      <c r="J116" s="5"/>
      <c r="K116" s="5"/>
      <c r="L116" s="5"/>
      <c r="M116" s="5"/>
      <c r="N116" s="5"/>
      <c r="O116" s="5"/>
    </row>
    <row r="117" spans="1:15" ht="18" customHeight="1">
      <c r="A117" s="173"/>
      <c r="B117" s="173"/>
      <c r="C117" s="173"/>
      <c r="D117" s="173"/>
      <c r="E117" s="173"/>
      <c r="F117" s="173"/>
      <c r="G117" s="5"/>
      <c r="H117" s="5"/>
      <c r="I117" s="5"/>
      <c r="J117" s="5"/>
      <c r="K117" s="5"/>
      <c r="L117" s="5"/>
      <c r="M117" s="5"/>
      <c r="N117" s="5"/>
      <c r="O117" s="5"/>
    </row>
    <row r="118" spans="1:15" ht="18" customHeight="1">
      <c r="A118" s="172" t="str">
        <f>IF('Uplift Check'!B6="No","    = "&amp;IF(ISNUMBER('Sliding Check'!G42),TEXT('Sliding Check'!G42,"#,##0.000"),"—")&amp;" × tan("&amp;IF(ISNUMBER('Sliding Check'!G10),IF(MOD('Sliding Check'!G10,1)=0,TEXT('Sliding Check'!G10,"0"),TEXT('Sliding Check'!G10,"0.##")),"—")&amp;"°)","    = ("&amp;IF(ISNUMBER('Sliding Check'!G32),TEXT('Sliding Check'!G32,"#,##0.000"),"—")&amp;" + "&amp;IF(ISNUMBER('Sliding Check'!G28),TEXT('Sliding Check'!G28,"#,##0.000"),"—")&amp;") × "&amp;IF(ISNUMBER('Sliding Check'!B17),TEXT('Sliding Check'!B17,"0.000"),"—")&amp;" + "&amp;IF(ISNUMBER('Sliding Check'!B63),TEXT('Sliding Check'!B63,"#,##0.000"),"—")&amp;" × tan(⅔ × "&amp;IF(ISNUMBER('Sliding Check'!G10),IF(MOD('Sliding Check'!G10,1)=0,TEXT('Sliding Check'!G10,"0"),TEXT('Sliding Check'!G10,"0.##")),"—")&amp;"°)")</f>
        <v xml:space="preserve">    = (— + —) × 1.000 + — × tan(⅔ × 30°)</v>
      </c>
      <c r="B118" s="172"/>
      <c r="C118" s="172"/>
      <c r="D118" s="172"/>
      <c r="E118" s="172"/>
      <c r="F118" s="172"/>
      <c r="G118" s="5"/>
      <c r="H118" s="5"/>
      <c r="I118" s="5"/>
      <c r="J118" s="5"/>
      <c r="K118" s="5"/>
      <c r="L118" s="5"/>
      <c r="M118" s="5"/>
      <c r="N118" s="5"/>
      <c r="O118" s="5"/>
    </row>
    <row r="119" spans="1:15" ht="18" customHeight="1">
      <c r="A119" s="99"/>
      <c r="B119" s="99"/>
      <c r="C119" s="99"/>
      <c r="D119" s="99"/>
      <c r="E119" s="99"/>
      <c r="F119" s="99"/>
      <c r="G119" s="5"/>
      <c r="H119" s="5"/>
      <c r="I119" s="5"/>
      <c r="J119" s="5"/>
      <c r="K119" s="5"/>
      <c r="L119" s="5"/>
      <c r="M119" s="5"/>
      <c r="N119" s="5"/>
      <c r="O119" s="5"/>
    </row>
    <row r="120" spans="1:15" ht="18" customHeight="1">
      <c r="A120" s="173" t="str">
        <f>IF(ISNUMBER('Sliding Check'!B59),IF('Uplift Check'!B6="No","FOS = FR / Fs = "&amp;IF(ISNUMBER('Sliding Check'!B59),TEXT('Sliding Check'!B59,"0.00"),"—")&amp;IF('Sliding Check'!B59&gt;='Sliding Check'!B60," ≥ "," &lt; ")&amp;IF(ISNUMBER('Sliding Check'!B60),TEXT('Sliding Check'!B60,"0.00"),"—"),"    = "&amp;IF(ISNUMBER('Sliding Check'!B58),TEXT('Sliding Check'!B58,"#,##0.000"),"—")&amp;" kN   "&amp;IF('Sliding Check'!B58&gt;='Sliding Check'!B57,"≥ ","&lt; ")&amp;IF(ISNUMBER('Sliding Check'!B57),TEXT('Sliding Check'!B57,"#,##0.000"),"—")&amp;" kN")&amp;"       ∴ "&amp;IF('Sliding Check'!B61="OK","OK","NOT OK"),"")</f>
        <v/>
      </c>
      <c r="B120" s="173"/>
      <c r="C120" s="173"/>
      <c r="D120" s="173"/>
      <c r="E120" s="173"/>
      <c r="F120" s="173"/>
      <c r="G120" s="5"/>
      <c r="H120" s="5"/>
      <c r="I120" s="5"/>
      <c r="J120" s="5"/>
      <c r="K120" s="5"/>
      <c r="L120" s="5"/>
      <c r="M120" s="5"/>
      <c r="N120" s="5"/>
      <c r="O120" s="5"/>
    </row>
    <row r="121" spans="1:15" ht="18" customHeight="1">
      <c r="A121" s="99"/>
      <c r="B121" s="99"/>
      <c r="C121" s="99"/>
      <c r="D121" s="99"/>
      <c r="E121" s="99"/>
      <c r="F121" s="99"/>
      <c r="G121" s="5"/>
      <c r="H121" s="5"/>
      <c r="I121" s="5"/>
      <c r="J121" s="5"/>
      <c r="K121" s="5"/>
      <c r="L121" s="5"/>
      <c r="M121" s="5"/>
      <c r="N121" s="5"/>
      <c r="O121" s="5"/>
    </row>
    <row r="122" spans="1:15" ht="18" customHeight="1">
      <c r="A122" s="99"/>
      <c r="B122" s="99"/>
      <c r="C122" s="99"/>
      <c r="D122" s="99"/>
      <c r="E122" s="99"/>
      <c r="F122" s="99"/>
    </row>
    <row r="123" spans="1:15" ht="18" customHeight="1">
      <c r="A123" s="178" t="s">
        <v>575</v>
      </c>
      <c r="B123" s="179"/>
      <c r="C123" s="179"/>
      <c r="D123" s="179"/>
      <c r="E123" s="179"/>
      <c r="F123" s="179"/>
    </row>
    <row r="124" spans="1:15" ht="18" customHeight="1">
      <c r="A124" s="99"/>
      <c r="B124" s="99"/>
      <c r="C124" s="99"/>
      <c r="D124" s="99"/>
      <c r="E124" s="99"/>
      <c r="F124" s="99"/>
    </row>
    <row r="125" spans="1:15" ht="18" customHeight="1">
      <c r="A125" s="177" t="s">
        <v>564</v>
      </c>
      <c r="B125" s="173"/>
      <c r="C125" s="173"/>
      <c r="D125" s="173"/>
      <c r="E125" s="173"/>
      <c r="F125" s="173"/>
    </row>
    <row r="126" spans="1:15" ht="18" customHeight="1">
      <c r="A126" s="99"/>
      <c r="B126" s="99"/>
      <c r="C126" s="99"/>
      <c r="D126" s="99"/>
      <c r="E126" s="99"/>
      <c r="F126" s="99"/>
    </row>
    <row r="127" spans="1:15" ht="18" customHeight="1">
      <c r="A127" s="173" t="s">
        <v>565</v>
      </c>
      <c r="B127" s="173"/>
      <c r="C127" s="173"/>
      <c r="D127" s="173"/>
      <c r="E127" s="173"/>
      <c r="F127" s="173"/>
    </row>
    <row r="128" spans="1:15" ht="18" customHeight="1">
      <c r="A128" s="99"/>
      <c r="B128" s="99"/>
      <c r="C128" s="99"/>
      <c r="D128" s="99"/>
      <c r="E128" s="99"/>
      <c r="F128" s="99"/>
    </row>
    <row r="129" spans="1:6" ht="18" customHeight="1">
      <c r="A129" s="102"/>
      <c r="B129" s="183" t="s">
        <v>127</v>
      </c>
      <c r="C129" s="183"/>
      <c r="D129" s="102" t="s">
        <v>566</v>
      </c>
      <c r="E129" s="102" t="s">
        <v>155</v>
      </c>
      <c r="F129" s="102" t="s">
        <v>567</v>
      </c>
    </row>
    <row r="130" spans="1:6" ht="18" customHeight="1">
      <c r="A130" s="100" t="s">
        <v>115</v>
      </c>
      <c r="B130" s="182" t="str">
        <f>IF(ISNUMBER('Overturning Check'!B22),'Overturning Check'!B22,"")</f>
        <v/>
      </c>
      <c r="C130" s="182"/>
      <c r="D130" s="104" t="str">
        <f>IF(ISNUMBER('Overturning Check'!C22),'Overturning Check'!C22,"")</f>
        <v/>
      </c>
      <c r="E130" s="105">
        <f>IF(ISNUMBER('Overturning Check'!D22),'Overturning Check'!D22,"")</f>
        <v>1.5</v>
      </c>
      <c r="F130" s="104" t="str">
        <f>IF(ISNUMBER('Overturning Check'!E22),'Overturning Check'!E22,"")</f>
        <v/>
      </c>
    </row>
    <row r="131" spans="1:6" ht="18" customHeight="1">
      <c r="A131" s="100" t="s">
        <v>156</v>
      </c>
      <c r="B131" s="182" t="str">
        <f>IF(ISNUMBER('Overturning Check'!B23),'Overturning Check'!B23,"")</f>
        <v/>
      </c>
      <c r="C131" s="182"/>
      <c r="D131" s="104" t="str">
        <f>IF(ISNUMBER('Overturning Check'!C23),'Overturning Check'!C23,"")</f>
        <v/>
      </c>
      <c r="E131" s="105">
        <f>IF(ISNUMBER('Overturning Check'!D23),'Overturning Check'!D23,"")</f>
        <v>1.1000000000000001</v>
      </c>
      <c r="F131" s="104" t="str">
        <f>IF(ISNUMBER('Overturning Check'!E23),'Overturning Check'!E23,"")</f>
        <v/>
      </c>
    </row>
    <row r="132" spans="1:6" ht="18" customHeight="1">
      <c r="A132" s="100" t="s">
        <v>157</v>
      </c>
      <c r="B132" s="182" t="str">
        <f>IF(ISNUMBER('Overturning Check'!B24),'Overturning Check'!B24,"")</f>
        <v/>
      </c>
      <c r="C132" s="182"/>
      <c r="D132" s="104" t="str">
        <f>IF(ISNUMBER('Overturning Check'!C24),'Overturning Check'!C24,"")</f>
        <v/>
      </c>
      <c r="E132" s="105">
        <f>IF(ISNUMBER('Overturning Check'!D24),'Overturning Check'!D24,"")</f>
        <v>2</v>
      </c>
      <c r="F132" s="104" t="str">
        <f>IF(ISNUMBER('Overturning Check'!E24),'Overturning Check'!E24,"")</f>
        <v/>
      </c>
    </row>
    <row r="133" spans="1:6" ht="18" customHeight="1">
      <c r="A133" s="100" t="s">
        <v>158</v>
      </c>
      <c r="B133" s="182" t="str">
        <f>IF(ISNUMBER('Overturning Check'!B26),'Overturning Check'!B26,"")</f>
        <v/>
      </c>
      <c r="C133" s="182"/>
      <c r="D133" s="104" t="str">
        <f>IF(ISNUMBER('Overturning Check'!C26),'Overturning Check'!C26,"")</f>
        <v/>
      </c>
      <c r="E133" s="105">
        <f>IF(ISNUMBER('Overturning Check'!D26),'Overturning Check'!D26,"")</f>
        <v>2</v>
      </c>
      <c r="F133" s="104" t="str">
        <f>IF(ISNUMBER('Overturning Check'!E26),'Overturning Check'!E26,"")</f>
        <v/>
      </c>
    </row>
    <row r="134" spans="1:6" ht="18" customHeight="1">
      <c r="A134" s="100" t="s">
        <v>120</v>
      </c>
      <c r="B134" s="182" t="str">
        <f>IF(ISNUMBER('Overturning Check'!B25),'Overturning Check'!B25,"")</f>
        <v/>
      </c>
      <c r="C134" s="182"/>
      <c r="D134" s="104" t="str">
        <f>IF(ISNUMBER('Overturning Check'!C25),'Overturning Check'!C25,"")</f>
        <v/>
      </c>
      <c r="E134" s="105">
        <f>IF(ISNUMBER('Overturning Check'!D25),'Overturning Check'!D25,"")</f>
        <v>1.1000000000000001</v>
      </c>
      <c r="F134" s="104" t="str">
        <f>IF(ISNUMBER('Overturning Check'!E25),'Overturning Check'!E25,"")</f>
        <v/>
      </c>
    </row>
    <row r="135" spans="1:6" ht="18" customHeight="1">
      <c r="A135" s="100"/>
      <c r="B135" s="104"/>
      <c r="C135" s="104"/>
      <c r="D135" s="182" t="str">
        <f>"Mo Σ "&amp;IF(ISNUMBER('Overturning Check'!B41),TEXT('Overturning Check'!B41,"#,##0.000"),"—")&amp;" kNm"</f>
        <v>Mo Σ — kNm</v>
      </c>
      <c r="E135" s="187"/>
      <c r="F135" s="182"/>
    </row>
    <row r="136" spans="1:6" ht="18" customHeight="1">
      <c r="A136" s="100"/>
      <c r="B136" s="104"/>
      <c r="C136" s="104"/>
      <c r="D136" s="104"/>
      <c r="E136" s="105"/>
      <c r="F136" s="104"/>
    </row>
    <row r="137" spans="1:6" ht="18" customHeight="1">
      <c r="A137" s="100"/>
      <c r="B137" s="104"/>
      <c r="C137" s="104"/>
      <c r="D137" s="104"/>
      <c r="E137" s="105"/>
      <c r="F137" s="104"/>
    </row>
    <row r="138" spans="1:6" ht="18" customHeight="1">
      <c r="A138" s="172" t="s">
        <v>572</v>
      </c>
      <c r="B138" s="182"/>
      <c r="C138" s="182"/>
      <c r="D138" s="182"/>
      <c r="E138" s="187"/>
      <c r="F138" s="182"/>
    </row>
    <row r="139" spans="1:6" ht="18" customHeight="1">
      <c r="A139" s="102"/>
      <c r="B139" s="184" t="s">
        <v>127</v>
      </c>
      <c r="C139" s="184"/>
      <c r="D139" s="103" t="s">
        <v>566</v>
      </c>
      <c r="E139" s="106" t="s">
        <v>155</v>
      </c>
      <c r="F139" s="103" t="s">
        <v>567</v>
      </c>
    </row>
    <row r="140" spans="1:6" ht="18" customHeight="1">
      <c r="A140" s="100" t="s">
        <v>156</v>
      </c>
      <c r="B140" s="182" t="str">
        <f>IF(ISNUMBER('Overturning Check'!B32),'Overturning Check'!B32,"")</f>
        <v/>
      </c>
      <c r="C140" s="182"/>
      <c r="D140" s="104" t="str">
        <f>IF(ISNUMBER('Overturning Check'!C32),'Overturning Check'!C32,"")</f>
        <v/>
      </c>
      <c r="E140" s="105">
        <f>IF(ISNUMBER('Overturning Check'!D32),'Overturning Check'!D32,"")</f>
        <v>1</v>
      </c>
      <c r="F140" s="104" t="str">
        <f>IF(ISNUMBER('Overturning Check'!E32),'Overturning Check'!E32,"")</f>
        <v/>
      </c>
    </row>
    <row r="141" spans="1:6" ht="18" customHeight="1">
      <c r="A141" s="100" t="s">
        <v>157</v>
      </c>
      <c r="B141" s="182" t="str">
        <f>IF(ISNUMBER('Overturning Check'!B31),'Overturning Check'!B31,"")</f>
        <v/>
      </c>
      <c r="C141" s="182"/>
      <c r="D141" s="104" t="str">
        <f>IF(ISNUMBER('Overturning Check'!C31),'Overturning Check'!C31,"")</f>
        <v/>
      </c>
      <c r="E141" s="105">
        <f>IF(ISNUMBER('Overturning Check'!D31),'Overturning Check'!D31,"")</f>
        <v>1</v>
      </c>
      <c r="F141" s="104" t="str">
        <f>IF(ISNUMBER('Overturning Check'!E31),'Overturning Check'!E31,"")</f>
        <v/>
      </c>
    </row>
    <row r="142" spans="1:6" ht="18" hidden="1" customHeight="1">
      <c r="A142" s="100" t="s">
        <v>568</v>
      </c>
      <c r="B142" s="182">
        <f>IF(ISNUMBER('Overturning Check'!B33),'Overturning Check'!B33,"")</f>
        <v>0</v>
      </c>
      <c r="C142" s="182"/>
      <c r="D142" s="104">
        <f>IF(ISNUMBER('Overturning Check'!C33),'Overturning Check'!C33,"")</f>
        <v>0</v>
      </c>
      <c r="E142" s="105">
        <f>IF(ISNUMBER('Overturning Check'!D33),'Overturning Check'!D33,"")</f>
        <v>1</v>
      </c>
      <c r="F142" s="104">
        <f>IF(ISNUMBER('Overturning Check'!E33),'Overturning Check'!E33,"")</f>
        <v>0</v>
      </c>
    </row>
    <row r="143" spans="1:6" ht="18" hidden="1" customHeight="1">
      <c r="A143" s="100" t="s">
        <v>569</v>
      </c>
      <c r="B143" s="182">
        <f>IF(ISNUMBER('Overturning Check'!B34),'Overturning Check'!B34,"")</f>
        <v>0</v>
      </c>
      <c r="C143" s="182"/>
      <c r="D143" s="104">
        <f>IF(ISNUMBER('Overturning Check'!C34),'Overturning Check'!C34,"")</f>
        <v>0</v>
      </c>
      <c r="E143" s="105">
        <f>IF(ISNUMBER('Overturning Check'!D34),'Overturning Check'!D34,"")</f>
        <v>1</v>
      </c>
      <c r="F143" s="104">
        <f>IF(ISNUMBER('Overturning Check'!E34),'Overturning Check'!E34,"")</f>
        <v>0</v>
      </c>
    </row>
    <row r="144" spans="1:6" ht="18" hidden="1" customHeight="1">
      <c r="A144" s="100" t="s">
        <v>570</v>
      </c>
      <c r="B144" s="182">
        <f>IF(ISNUMBER('Overturning Check'!B35),'Overturning Check'!B35,"")</f>
        <v>0</v>
      </c>
      <c r="C144" s="182"/>
      <c r="D144" s="104">
        <f>IF(ISNUMBER('Overturning Check'!C35),'Overturning Check'!C35,"")</f>
        <v>0</v>
      </c>
      <c r="E144" s="105">
        <f>IF(ISNUMBER('Overturning Check'!D35),'Overturning Check'!D35,"")</f>
        <v>1</v>
      </c>
      <c r="F144" s="104">
        <f>IF(ISNUMBER('Overturning Check'!E35),'Overturning Check'!E35,"")</f>
        <v>0</v>
      </c>
    </row>
    <row r="145" spans="1:6" ht="18" hidden="1" customHeight="1">
      <c r="A145" s="100" t="s">
        <v>571</v>
      </c>
      <c r="B145" s="182">
        <f>IF(ISNUMBER('Overturning Check'!B36),'Overturning Check'!B36,"")</f>
        <v>0</v>
      </c>
      <c r="C145" s="182"/>
      <c r="D145" s="104">
        <f>IF(ISNUMBER('Overturning Check'!C36),'Overturning Check'!C36,"")</f>
        <v>0</v>
      </c>
      <c r="E145" s="105">
        <f>IF(ISNUMBER('Overturning Check'!D36),'Overturning Check'!D36,"")</f>
        <v>1</v>
      </c>
      <c r="F145" s="104">
        <f>IF(ISNUMBER('Overturning Check'!E36),'Overturning Check'!E36,"")</f>
        <v>0</v>
      </c>
    </row>
    <row r="146" spans="1:6" ht="18" customHeight="1">
      <c r="A146" s="99"/>
      <c r="B146" s="99"/>
      <c r="C146" s="99"/>
      <c r="D146" s="173" t="str">
        <f>"MR Σ "&amp;IF(ISNUMBER('Overturning Check'!B42),TEXT('Overturning Check'!B42,"#,##0.000"),"—")&amp;" kNm"</f>
        <v>MR Σ — kNm</v>
      </c>
      <c r="E146" s="173"/>
      <c r="F146" s="173"/>
    </row>
    <row r="147" spans="1:6" ht="18" customHeight="1">
      <c r="A147" s="99"/>
      <c r="B147" s="99"/>
      <c r="C147" s="99"/>
      <c r="D147" s="173" t="str">
        <f>IF(COUNT('Overturning Check'!B41:B42)=2,IF('Overturning Check'!B42&gt;='Overturning Check'!B41,"≥ ","&lt; ")&amp;IF(ISNUMBER('Overturning Check'!B41),TEXT('Overturning Check'!B41,"#,##0.000"),"—")&amp;" kNm","")</f>
        <v/>
      </c>
      <c r="E147" s="173"/>
      <c r="F147" s="173"/>
    </row>
    <row r="148" spans="1:6" ht="18" customHeight="1">
      <c r="A148" s="99"/>
      <c r="B148" s="99"/>
      <c r="C148" s="99"/>
      <c r="D148" s="173" t="str">
        <f>IF(ISNUMBER('Overturning Check'!B43),"∴ "&amp;IF('Overturning Check'!B45="OK","Okay","No Okay"),"")</f>
        <v/>
      </c>
      <c r="E148" s="173"/>
      <c r="F148" s="173"/>
    </row>
    <row r="149" spans="1:6" ht="18" customHeight="1">
      <c r="A149" s="99"/>
      <c r="B149" s="99"/>
      <c r="C149" s="99"/>
      <c r="D149" s="99"/>
      <c r="E149" s="99"/>
      <c r="F149" s="99"/>
    </row>
    <row r="150" spans="1:6" ht="18" customHeight="1">
      <c r="A150" s="173" t="str">
        <f>IF(ISNUMBER('Overturning Check'!B43),IF('Overturning Check'!B45="OK","Therefore, the overturning stability is satisfied.","Therefore, the overturning stability relies on the tension anchorage of piles."),"")</f>
        <v/>
      </c>
      <c r="B150" s="173"/>
      <c r="C150" s="173"/>
      <c r="D150" s="173"/>
      <c r="E150" s="173"/>
      <c r="F150" s="173"/>
    </row>
    <row r="151" spans="1:6" ht="18" customHeight="1">
      <c r="A151" s="173"/>
      <c r="B151" s="173"/>
      <c r="C151" s="173"/>
      <c r="D151" s="173"/>
      <c r="E151" s="173"/>
      <c r="F151" s="173"/>
    </row>
    <row r="152" spans="1:6" ht="18" customHeight="1">
      <c r="A152" s="99"/>
      <c r="B152" s="99"/>
      <c r="C152" s="99"/>
      <c r="D152" s="99"/>
      <c r="E152" s="99"/>
      <c r="F152" s="99"/>
    </row>
    <row r="153" spans="1:6" ht="18" customHeight="1">
      <c r="A153" s="173" t="str">
        <f>IF(AND(ISNUMBER('Overturning Check'!B43),'Overturning Check'!B45&lt;&gt;"OK"),"Detail Checking will be demonstrated in Section B","")</f>
        <v/>
      </c>
      <c r="B153" s="173"/>
      <c r="C153" s="173"/>
      <c r="D153" s="173"/>
      <c r="E153" s="173"/>
      <c r="F153" s="173"/>
    </row>
    <row r="154" spans="1:6" ht="18" customHeight="1">
      <c r="A154" s="173"/>
      <c r="B154" s="173"/>
      <c r="C154" s="173"/>
      <c r="D154" s="173"/>
      <c r="E154" s="173"/>
      <c r="F154" s="173"/>
    </row>
    <row r="155" spans="1:6" ht="18" customHeight="1">
      <c r="A155" s="99"/>
      <c r="B155" s="99"/>
      <c r="C155" s="99"/>
      <c r="D155" s="99"/>
      <c r="E155" s="99"/>
      <c r="F155" s="99"/>
    </row>
    <row r="156" spans="1:6" ht="18" customHeight="1">
      <c r="A156" s="99"/>
      <c r="B156" s="99"/>
      <c r="C156" s="99"/>
      <c r="D156" s="99"/>
      <c r="E156" s="99"/>
      <c r="F156" s="99"/>
    </row>
    <row r="157" spans="1:6" ht="18" customHeight="1">
      <c r="A157" s="99"/>
      <c r="B157" s="99"/>
      <c r="C157" s="99"/>
      <c r="D157" s="99"/>
      <c r="E157" s="99"/>
      <c r="F157" s="99"/>
    </row>
    <row r="158" spans="1:6" ht="18" customHeight="1">
      <c r="A158" s="99"/>
      <c r="B158" s="99"/>
      <c r="C158" s="99"/>
      <c r="D158" s="99"/>
      <c r="E158" s="99"/>
      <c r="F158" s="99"/>
    </row>
    <row r="159" spans="1:6" ht="18" customHeight="1">
      <c r="A159" s="99"/>
      <c r="B159" s="99"/>
      <c r="C159" s="99"/>
      <c r="D159" s="99"/>
      <c r="E159" s="99"/>
      <c r="F159" s="99"/>
    </row>
    <row r="160" spans="1:6" ht="18" customHeight="1">
      <c r="A160" s="99"/>
      <c r="B160" s="99"/>
      <c r="C160" s="99"/>
      <c r="D160" s="99"/>
      <c r="E160" s="99"/>
      <c r="F160" s="99"/>
    </row>
    <row r="161" spans="1:6" ht="18" customHeight="1">
      <c r="A161" s="99"/>
      <c r="B161" s="99"/>
      <c r="C161" s="99"/>
      <c r="D161" s="99"/>
      <c r="E161" s="99"/>
      <c r="F161" s="99"/>
    </row>
    <row r="162" spans="1:6" ht="18" customHeight="1">
      <c r="A162" s="99"/>
      <c r="B162" s="99"/>
      <c r="C162" s="99"/>
      <c r="D162" s="99"/>
      <c r="E162" s="99"/>
      <c r="F162" s="99"/>
    </row>
    <row r="163" spans="1:6" ht="18" customHeight="1">
      <c r="A163" s="178" t="s">
        <v>576</v>
      </c>
      <c r="B163" s="179"/>
      <c r="C163" s="179"/>
      <c r="D163" s="179"/>
      <c r="E163" s="179"/>
      <c r="F163" s="179"/>
    </row>
    <row r="164" spans="1:6" ht="18" customHeight="1">
      <c r="A164" s="99"/>
      <c r="B164" s="99"/>
      <c r="C164" s="99"/>
      <c r="D164" s="99"/>
      <c r="E164" s="99"/>
      <c r="F164" s="99"/>
    </row>
  </sheetData>
  <mergeCells count="100">
    <mergeCell ref="A163:F163"/>
    <mergeCell ref="D3:F3"/>
    <mergeCell ref="D148:F148"/>
    <mergeCell ref="A150:F151"/>
    <mergeCell ref="A153:F154"/>
    <mergeCell ref="A43:F43"/>
    <mergeCell ref="A123:F123"/>
    <mergeCell ref="B145:C145"/>
    <mergeCell ref="D135:F135"/>
    <mergeCell ref="A138:F138"/>
    <mergeCell ref="D146:F146"/>
    <mergeCell ref="D147:F147"/>
    <mergeCell ref="B140:C140"/>
    <mergeCell ref="B141:C141"/>
    <mergeCell ref="B142:C142"/>
    <mergeCell ref="B143:C143"/>
    <mergeCell ref="B144:C144"/>
    <mergeCell ref="A125:F125"/>
    <mergeCell ref="A127:F127"/>
    <mergeCell ref="B129:C129"/>
    <mergeCell ref="B139:C139"/>
    <mergeCell ref="B130:C130"/>
    <mergeCell ref="B131:C131"/>
    <mergeCell ref="B132:C132"/>
    <mergeCell ref="B133:C133"/>
    <mergeCell ref="B134:C134"/>
    <mergeCell ref="A112:F113"/>
    <mergeCell ref="A114:F114"/>
    <mergeCell ref="A116:F117"/>
    <mergeCell ref="A118:F118"/>
    <mergeCell ref="A120:F120"/>
    <mergeCell ref="A110:F110"/>
    <mergeCell ref="A102:A107"/>
    <mergeCell ref="B102:B104"/>
    <mergeCell ref="C102:D104"/>
    <mergeCell ref="E102:F104"/>
    <mergeCell ref="E93:F95"/>
    <mergeCell ref="B105:B107"/>
    <mergeCell ref="C105:D107"/>
    <mergeCell ref="E105:F107"/>
    <mergeCell ref="A109:F109"/>
    <mergeCell ref="A87:F87"/>
    <mergeCell ref="C89:D89"/>
    <mergeCell ref="E89:F89"/>
    <mergeCell ref="A90:A95"/>
    <mergeCell ref="A96:A101"/>
    <mergeCell ref="B96:B98"/>
    <mergeCell ref="C96:D98"/>
    <mergeCell ref="E96:F98"/>
    <mergeCell ref="B99:B101"/>
    <mergeCell ref="C99:D101"/>
    <mergeCell ref="E99:F101"/>
    <mergeCell ref="B90:B92"/>
    <mergeCell ref="C90:D92"/>
    <mergeCell ref="E90:F92"/>
    <mergeCell ref="B93:B95"/>
    <mergeCell ref="C93:D95"/>
    <mergeCell ref="A72:F72"/>
    <mergeCell ref="A73:F73"/>
    <mergeCell ref="A75:F76"/>
    <mergeCell ref="A85:F85"/>
    <mergeCell ref="A86:F86"/>
    <mergeCell ref="A83:F83"/>
    <mergeCell ref="A55:C58"/>
    <mergeCell ref="A60:F60"/>
    <mergeCell ref="A18:C18"/>
    <mergeCell ref="D18:F18"/>
    <mergeCell ref="A19:C19"/>
    <mergeCell ref="D19:F19"/>
    <mergeCell ref="A23:C23"/>
    <mergeCell ref="D23:F23"/>
    <mergeCell ref="A20:F20"/>
    <mergeCell ref="A26:F26"/>
    <mergeCell ref="A27:C27"/>
    <mergeCell ref="D27:F27"/>
    <mergeCell ref="A45:F45"/>
    <mergeCell ref="A47:C53"/>
    <mergeCell ref="A28:F28"/>
    <mergeCell ref="A46:C46"/>
    <mergeCell ref="A1:F1"/>
    <mergeCell ref="A2:F2"/>
    <mergeCell ref="A5:F5"/>
    <mergeCell ref="A6:F6"/>
    <mergeCell ref="A7:F7"/>
    <mergeCell ref="G2:O2"/>
    <mergeCell ref="A71:F71"/>
    <mergeCell ref="A70:F70"/>
    <mergeCell ref="A29:F29"/>
    <mergeCell ref="A30:F30"/>
    <mergeCell ref="A33:F33"/>
    <mergeCell ref="A16:F16"/>
    <mergeCell ref="A17:F17"/>
    <mergeCell ref="A12:F14"/>
    <mergeCell ref="A9:F9"/>
    <mergeCell ref="A69:F69"/>
    <mergeCell ref="A63:F63"/>
    <mergeCell ref="A65:F65"/>
    <mergeCell ref="A68:F68"/>
    <mergeCell ref="A24:F24"/>
    <mergeCell ref="A25:F25"/>
  </mergeCells>
  <phoneticPr fontId="6" type="noConversion"/>
  <pageMargins left="0.3888888888888889" right="0.3888888888888889" top="0.83333333333333337" bottom="0.55555555555555558" header="0.27777777777777779" footer="0.27777777777777779"/>
  <pageSetup paperSize="9" scale="80" orientation="portrait" r:id="rId1"/>
  <rowBreaks count="3" manualBreakCount="3">
    <brk id="44" max="5" man="1"/>
    <brk id="84" max="5" man="1"/>
    <brk id="12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tnGenerateCopySummary">
              <controlPr defaultSize="0" print="0" autoFill="0" autoPict="0" macro="[0]!GenerateEricCopy">
                <anchor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457200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7</vt:i4>
      </vt:variant>
    </vt:vector>
  </HeadingPairs>
  <TitlesOfParts>
    <vt:vector size="14" baseType="lpstr">
      <vt:lpstr>图形输入</vt:lpstr>
      <vt:lpstr>B-D 比较</vt:lpstr>
      <vt:lpstr>Wind Load Check</vt:lpstr>
      <vt:lpstr>Uplift Check</vt:lpstr>
      <vt:lpstr>Sliding Check</vt:lpstr>
      <vt:lpstr>Overturning Check</vt:lpstr>
      <vt:lpstr>抄</vt:lpstr>
      <vt:lpstr>'B-D 比较'!Print_Area</vt:lpstr>
      <vt:lpstr>'Overturning Check'!Print_Area</vt:lpstr>
      <vt:lpstr>'Sliding Check'!Print_Area</vt:lpstr>
      <vt:lpstr>'Uplift Check'!Print_Area</vt:lpstr>
      <vt:lpstr>'Wind Load Check'!Print_Area</vt:lpstr>
      <vt:lpstr>抄!Print_Area</vt:lpstr>
      <vt:lpstr>图形输入!Print_Area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huangshengxiang6608@gmail.com</cp:lastModifiedBy>
  <dcterms:created xsi:type="dcterms:W3CDTF">2026-09-07T15:32:28Z</dcterms:created>
  <dcterms:modified xsi:type="dcterms:W3CDTF">2026-09-22T09:22:27Z</dcterms:modified>
</cp:coreProperties>
</file>