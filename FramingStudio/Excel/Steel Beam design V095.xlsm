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 Huang\Documents\ChatGPT\New project\outputs\framing_01a093aa\desktop\FramingStudio_E2.70_Windows\Excel\"/>
    </mc:Choice>
  </mc:AlternateContent>
  <xr:revisionPtr revIDLastSave="0" documentId="13_ncr:1_{966BA1DA-120A-459C-B1E7-0D09BAA30B04}" xr6:coauthVersionLast="47" xr6:coauthVersionMax="47" xr10:uidLastSave="{00000000-0000-0000-0000-000000000000}"/>
  <bookViews>
    <workbookView xWindow="-96" yWindow="-96" windowWidth="18912" windowHeight="11952" firstSheet="1" activeTab="1" xr2:uid="{00000000-000D-0000-FFFF-FFFF00000000}"/>
  </bookViews>
  <sheets>
    <sheet name="Steel Beam Design" sheetId="1" r:id="rId1"/>
    <sheet name="column design" sheetId="7" r:id="rId2"/>
    <sheet name="抄" sheetId="9" r:id="rId3"/>
    <sheet name="1 - Imposed Load" sheetId="8" r:id="rId4"/>
    <sheet name="Section Data" sheetId="5" r:id="rId5"/>
    <sheet name="Auto Selection" sheetId="6" r:id="rId6"/>
  </sheets>
  <definedNames>
    <definedName name="_xlnm._FilterDatabase" localSheetId="5" hidden="1">'Auto Selection'!$A$5:$AE$314</definedName>
    <definedName name="ColumnSteelOptions">'Section Data'!$B$5:$B$107</definedName>
    <definedName name="ColumnUCOptions">'Section Data'!$B$5:$B$35</definedName>
    <definedName name="ColumnUsageOptions">'1 - Imposed Load'!$A$16:$A$51</definedName>
    <definedName name="_xlnm.Print_Area" localSheetId="0">'Steel Beam Design'!$A$1:$S$49,'Steel Beam Design'!$A$53:$Q$85,'Steel Beam Design'!$A$126:$M$186</definedName>
    <definedName name="_xlnm.Print_Area" localSheetId="2">抄!$A$1:$L$172</definedName>
    <definedName name="UB_Sizes">'Section Data'!$AN$5:$AN$77</definedName>
    <definedName name="UC_Sizes">'Section Data'!$AM$5:$AM$36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" i="9" l="1"/>
  <c r="E23" i="7"/>
  <c r="E22" i="7"/>
  <c r="E21" i="7"/>
  <c r="E20" i="7"/>
  <c r="C51" i="8"/>
  <c r="C49" i="8"/>
  <c r="C46" i="8"/>
  <c r="C45" i="8"/>
  <c r="C44" i="8"/>
  <c r="E19" i="7" s="1"/>
  <c r="C43" i="8"/>
  <c r="C42" i="8"/>
  <c r="E16" i="7" s="1"/>
  <c r="C41" i="8"/>
  <c r="C40" i="8"/>
  <c r="C39" i="8"/>
  <c r="C38" i="8"/>
  <c r="C37" i="8"/>
  <c r="E18" i="7" s="1"/>
  <c r="C36" i="8"/>
  <c r="C35" i="8"/>
  <c r="C34" i="8"/>
  <c r="C33" i="8"/>
  <c r="C32" i="8"/>
  <c r="C31" i="8"/>
  <c r="C29" i="8"/>
  <c r="C27" i="8"/>
  <c r="C26" i="8"/>
  <c r="C25" i="8"/>
  <c r="E17" i="7" s="1"/>
  <c r="C24" i="8"/>
  <c r="C23" i="8"/>
  <c r="C22" i="8"/>
  <c r="C20" i="8"/>
  <c r="C19" i="8"/>
  <c r="C18" i="8"/>
  <c r="C17" i="8"/>
  <c r="C16" i="8"/>
  <c r="B7082" i="1"/>
  <c r="B7080" i="1"/>
  <c r="D7075" i="1" s="1"/>
  <c r="J143" i="9"/>
  <c r="H143" i="9"/>
  <c r="G143" i="9"/>
  <c r="F143" i="9"/>
  <c r="E143" i="9"/>
  <c r="C143" i="9"/>
  <c r="A143" i="9"/>
  <c r="J142" i="9"/>
  <c r="H142" i="9"/>
  <c r="G142" i="9"/>
  <c r="F142" i="9"/>
  <c r="E142" i="9"/>
  <c r="C142" i="9"/>
  <c r="A142" i="9"/>
  <c r="F141" i="9"/>
  <c r="E141" i="9"/>
  <c r="C141" i="9"/>
  <c r="A141" i="9"/>
  <c r="F140" i="9"/>
  <c r="E140" i="9"/>
  <c r="C140" i="9"/>
  <c r="A140" i="9"/>
  <c r="F139" i="9"/>
  <c r="E139" i="9"/>
  <c r="C139" i="9"/>
  <c r="A139" i="9"/>
  <c r="F138" i="9"/>
  <c r="E138" i="9"/>
  <c r="C138" i="9"/>
  <c r="A138" i="9"/>
  <c r="F137" i="9"/>
  <c r="E137" i="9"/>
  <c r="C137" i="9"/>
  <c r="A137" i="9"/>
  <c r="F136" i="9"/>
  <c r="E136" i="9"/>
  <c r="C136" i="9"/>
  <c r="A136" i="9"/>
  <c r="A132" i="9"/>
  <c r="A108" i="9"/>
  <c r="A89" i="9"/>
  <c r="A65" i="9"/>
  <c r="A46" i="9"/>
  <c r="C26" i="1"/>
  <c r="A16" i="9"/>
  <c r="D5" i="9"/>
  <c r="D4" i="9"/>
  <c r="B27" i="7"/>
  <c r="A34" i="7" s="1"/>
  <c r="L23" i="7"/>
  <c r="H23" i="7"/>
  <c r="M23" i="7"/>
  <c r="N23" i="7" s="1"/>
  <c r="P23" i="7" s="1"/>
  <c r="L22" i="7"/>
  <c r="H22" i="7"/>
  <c r="M22" i="7"/>
  <c r="H21" i="7"/>
  <c r="H141" i="9" s="1"/>
  <c r="M21" i="7"/>
  <c r="H20" i="7"/>
  <c r="H140" i="9" s="1"/>
  <c r="M20" i="7"/>
  <c r="H19" i="7"/>
  <c r="H139" i="9" s="1"/>
  <c r="M19" i="7"/>
  <c r="O19" i="7" s="1"/>
  <c r="Q19" i="7" s="1"/>
  <c r="H18" i="7"/>
  <c r="H138" i="9" s="1"/>
  <c r="M18" i="7"/>
  <c r="H17" i="7"/>
  <c r="H137" i="9" s="1"/>
  <c r="M17" i="7"/>
  <c r="N17" i="7" s="1"/>
  <c r="H16" i="7"/>
  <c r="H136" i="9" s="1"/>
  <c r="M16" i="7"/>
  <c r="N16" i="7" s="1"/>
  <c r="P16" i="7" s="1"/>
  <c r="L24" i="7"/>
  <c r="K24" i="7"/>
  <c r="K23" i="7"/>
  <c r="K22" i="7"/>
  <c r="K21" i="7"/>
  <c r="K20" i="7"/>
  <c r="K19" i="7"/>
  <c r="K18" i="7"/>
  <c r="K17" i="7"/>
  <c r="K16" i="7"/>
  <c r="H151" i="9" l="1"/>
  <c r="B28" i="7"/>
  <c r="O23" i="7"/>
  <c r="Q23" i="7" s="1"/>
  <c r="I23" i="7"/>
  <c r="P17" i="7"/>
  <c r="O17" i="7"/>
  <c r="Q17" i="7" s="1"/>
  <c r="N20" i="7"/>
  <c r="P20" i="7" s="1"/>
  <c r="N18" i="7"/>
  <c r="I22" i="7"/>
  <c r="N21" i="7"/>
  <c r="P21" i="7" s="1"/>
  <c r="O21" i="7"/>
  <c r="Q21" i="7" s="1"/>
  <c r="N22" i="7"/>
  <c r="P22" i="7" s="1"/>
  <c r="O16" i="7"/>
  <c r="Q16" i="7" s="1"/>
  <c r="I16" i="7" s="1"/>
  <c r="J136" i="9" s="1"/>
  <c r="N19" i="7"/>
  <c r="P19" i="7" s="1"/>
  <c r="I19" i="7" s="1"/>
  <c r="J139" i="9" s="1"/>
  <c r="J23" i="7"/>
  <c r="K143" i="9" s="1"/>
  <c r="G141" i="9"/>
  <c r="G140" i="9"/>
  <c r="G139" i="9"/>
  <c r="G138" i="9"/>
  <c r="G137" i="9"/>
  <c r="G136" i="9"/>
  <c r="B23" i="1"/>
  <c r="B22" i="1"/>
  <c r="B21" i="1"/>
  <c r="A2" i="6"/>
  <c r="B6" i="6"/>
  <c r="H6" i="6" s="1"/>
  <c r="D6" i="6"/>
  <c r="E6" i="6"/>
  <c r="B7" i="6"/>
  <c r="D7" i="6"/>
  <c r="E7" i="6"/>
  <c r="B8" i="6"/>
  <c r="I8" i="6" s="1"/>
  <c r="D8" i="6"/>
  <c r="E8" i="6"/>
  <c r="B9" i="6"/>
  <c r="U9" i="6" s="1"/>
  <c r="D9" i="6"/>
  <c r="E9" i="6"/>
  <c r="B10" i="6"/>
  <c r="V10" i="6" s="1"/>
  <c r="D10" i="6"/>
  <c r="E10" i="6"/>
  <c r="B11" i="6"/>
  <c r="Y11" i="6" s="1"/>
  <c r="D11" i="6"/>
  <c r="E11" i="6"/>
  <c r="B12" i="6"/>
  <c r="Y12" i="6" s="1"/>
  <c r="D12" i="6"/>
  <c r="E12" i="6"/>
  <c r="B13" i="6"/>
  <c r="T13" i="6" s="1"/>
  <c r="D13" i="6"/>
  <c r="E13" i="6"/>
  <c r="B14" i="6"/>
  <c r="X14" i="6" s="1"/>
  <c r="D14" i="6"/>
  <c r="E14" i="6"/>
  <c r="B15" i="6"/>
  <c r="W15" i="6" s="1"/>
  <c r="D15" i="6"/>
  <c r="E15" i="6"/>
  <c r="B16" i="6"/>
  <c r="L16" i="6" s="1"/>
  <c r="D16" i="6"/>
  <c r="E16" i="6"/>
  <c r="B17" i="6"/>
  <c r="D17" i="6"/>
  <c r="E17" i="6"/>
  <c r="B18" i="6"/>
  <c r="T18" i="6" s="1"/>
  <c r="D18" i="6"/>
  <c r="E18" i="6"/>
  <c r="B19" i="6"/>
  <c r="W19" i="6" s="1"/>
  <c r="D19" i="6"/>
  <c r="E19" i="6"/>
  <c r="B20" i="6"/>
  <c r="X20" i="6" s="1"/>
  <c r="D20" i="6"/>
  <c r="E20" i="6"/>
  <c r="B21" i="6"/>
  <c r="I21" i="6" s="1"/>
  <c r="D21" i="6"/>
  <c r="E21" i="6"/>
  <c r="B22" i="6"/>
  <c r="M22" i="6" s="1"/>
  <c r="D22" i="6"/>
  <c r="E22" i="6"/>
  <c r="B23" i="6"/>
  <c r="H23" i="6" s="1"/>
  <c r="D23" i="6"/>
  <c r="E23" i="6"/>
  <c r="B24" i="6"/>
  <c r="Y24" i="6" s="1"/>
  <c r="D24" i="6"/>
  <c r="E24" i="6"/>
  <c r="B25" i="6"/>
  <c r="H25" i="6" s="1"/>
  <c r="D25" i="6"/>
  <c r="E25" i="6"/>
  <c r="B26" i="6"/>
  <c r="D26" i="6"/>
  <c r="E26" i="6"/>
  <c r="B27" i="6"/>
  <c r="D27" i="6"/>
  <c r="E27" i="6"/>
  <c r="B28" i="6"/>
  <c r="T28" i="6" s="1"/>
  <c r="D28" i="6"/>
  <c r="E28" i="6"/>
  <c r="B29" i="6"/>
  <c r="P29" i="6" s="1"/>
  <c r="D29" i="6"/>
  <c r="E29" i="6"/>
  <c r="B30" i="6"/>
  <c r="W30" i="6" s="1"/>
  <c r="D30" i="6"/>
  <c r="E30" i="6"/>
  <c r="B31" i="6"/>
  <c r="T31" i="6" s="1"/>
  <c r="D31" i="6"/>
  <c r="E31" i="6"/>
  <c r="B32" i="6"/>
  <c r="D32" i="6"/>
  <c r="E32" i="6"/>
  <c r="B33" i="6"/>
  <c r="L33" i="6" s="1"/>
  <c r="D33" i="6"/>
  <c r="E33" i="6"/>
  <c r="B34" i="6"/>
  <c r="I34" i="6" s="1"/>
  <c r="D34" i="6"/>
  <c r="E34" i="6"/>
  <c r="B35" i="6"/>
  <c r="D35" i="6"/>
  <c r="E35" i="6"/>
  <c r="B36" i="6"/>
  <c r="T36" i="6" s="1"/>
  <c r="D36" i="6"/>
  <c r="E36" i="6"/>
  <c r="M21" i="1" s="1"/>
  <c r="B37" i="6"/>
  <c r="M37" i="6" s="1"/>
  <c r="D37" i="6"/>
  <c r="E37" i="6"/>
  <c r="B38" i="6"/>
  <c r="U38" i="6" s="1"/>
  <c r="D38" i="6"/>
  <c r="E38" i="6"/>
  <c r="B39" i="6"/>
  <c r="D39" i="6"/>
  <c r="E39" i="6"/>
  <c r="B40" i="6"/>
  <c r="U40" i="6" s="1"/>
  <c r="D40" i="6"/>
  <c r="E40" i="6"/>
  <c r="B41" i="6"/>
  <c r="M41" i="6" s="1"/>
  <c r="D41" i="6"/>
  <c r="E41" i="6"/>
  <c r="B42" i="6"/>
  <c r="H42" i="6" s="1"/>
  <c r="D42" i="6"/>
  <c r="E42" i="6"/>
  <c r="B43" i="6"/>
  <c r="W43" i="6" s="1"/>
  <c r="D43" i="6"/>
  <c r="E43" i="6"/>
  <c r="B44" i="6"/>
  <c r="M44" i="6" s="1"/>
  <c r="D44" i="6"/>
  <c r="E44" i="6"/>
  <c r="B45" i="6"/>
  <c r="T45" i="6" s="1"/>
  <c r="D45" i="6"/>
  <c r="E45" i="6"/>
  <c r="B46" i="6"/>
  <c r="D46" i="6"/>
  <c r="E46" i="6"/>
  <c r="B47" i="6"/>
  <c r="V47" i="6" s="1"/>
  <c r="D47" i="6"/>
  <c r="E47" i="6"/>
  <c r="B48" i="6"/>
  <c r="D48" i="6"/>
  <c r="E48" i="6"/>
  <c r="B49" i="6"/>
  <c r="X49" i="6" s="1"/>
  <c r="D49" i="6"/>
  <c r="E49" i="6"/>
  <c r="B50" i="6"/>
  <c r="M50" i="6" s="1"/>
  <c r="D50" i="6"/>
  <c r="E50" i="6"/>
  <c r="B51" i="6"/>
  <c r="T51" i="6" s="1"/>
  <c r="D51" i="6"/>
  <c r="E51" i="6"/>
  <c r="B52" i="6"/>
  <c r="T52" i="6" s="1"/>
  <c r="D52" i="6"/>
  <c r="E52" i="6"/>
  <c r="B53" i="6"/>
  <c r="D53" i="6"/>
  <c r="E53" i="6"/>
  <c r="B54" i="6"/>
  <c r="X54" i="6" s="1"/>
  <c r="D54" i="6"/>
  <c r="E54" i="6"/>
  <c r="B55" i="6"/>
  <c r="D55" i="6"/>
  <c r="E55" i="6"/>
  <c r="B56" i="6"/>
  <c r="U56" i="6" s="1"/>
  <c r="D56" i="6"/>
  <c r="E56" i="6"/>
  <c r="B57" i="6"/>
  <c r="T57" i="6" s="1"/>
  <c r="D57" i="6"/>
  <c r="E57" i="6"/>
  <c r="B58" i="6"/>
  <c r="T58" i="6" s="1"/>
  <c r="D58" i="6"/>
  <c r="E58" i="6"/>
  <c r="B59" i="6"/>
  <c r="D59" i="6"/>
  <c r="E59" i="6"/>
  <c r="B60" i="6"/>
  <c r="V60" i="6" s="1"/>
  <c r="D60" i="6"/>
  <c r="E60" i="6"/>
  <c r="B61" i="6"/>
  <c r="D61" i="6"/>
  <c r="E61" i="6"/>
  <c r="B62" i="6"/>
  <c r="I62" i="6" s="1"/>
  <c r="D62" i="6"/>
  <c r="E62" i="6"/>
  <c r="B63" i="6"/>
  <c r="Y63" i="6" s="1"/>
  <c r="D63" i="6"/>
  <c r="E63" i="6"/>
  <c r="B64" i="6"/>
  <c r="Y64" i="6" s="1"/>
  <c r="D64" i="6"/>
  <c r="E64" i="6"/>
  <c r="B65" i="6"/>
  <c r="W65" i="6" s="1"/>
  <c r="D65" i="6"/>
  <c r="E65" i="6"/>
  <c r="B66" i="6"/>
  <c r="V66" i="6" s="1"/>
  <c r="D66" i="6"/>
  <c r="E66" i="6"/>
  <c r="B67" i="6"/>
  <c r="Y67" i="6" s="1"/>
  <c r="D67" i="6"/>
  <c r="E67" i="6"/>
  <c r="B68" i="6"/>
  <c r="X68" i="6" s="1"/>
  <c r="D68" i="6"/>
  <c r="E68" i="6"/>
  <c r="B69" i="6"/>
  <c r="D69" i="6"/>
  <c r="E69" i="6"/>
  <c r="B70" i="6"/>
  <c r="V70" i="6" s="1"/>
  <c r="D70" i="6"/>
  <c r="E70" i="6"/>
  <c r="B71" i="6"/>
  <c r="W71" i="6" s="1"/>
  <c r="D71" i="6"/>
  <c r="E71" i="6"/>
  <c r="B72" i="6"/>
  <c r="W72" i="6" s="1"/>
  <c r="D72" i="6"/>
  <c r="E72" i="6"/>
  <c r="B73" i="6"/>
  <c r="P73" i="6" s="1"/>
  <c r="D73" i="6"/>
  <c r="E73" i="6"/>
  <c r="B74" i="6"/>
  <c r="L74" i="6" s="1"/>
  <c r="D74" i="6"/>
  <c r="E74" i="6"/>
  <c r="B75" i="6"/>
  <c r="P75" i="6" s="1"/>
  <c r="D75" i="6"/>
  <c r="E75" i="6"/>
  <c r="B76" i="6"/>
  <c r="H76" i="6" s="1"/>
  <c r="D76" i="6"/>
  <c r="E76" i="6"/>
  <c r="B77" i="6"/>
  <c r="D77" i="6"/>
  <c r="E77" i="6"/>
  <c r="B78" i="6"/>
  <c r="H78" i="6" s="1"/>
  <c r="D78" i="6"/>
  <c r="E78" i="6"/>
  <c r="B79" i="6"/>
  <c r="I79" i="6" s="1"/>
  <c r="D79" i="6"/>
  <c r="E79" i="6"/>
  <c r="B80" i="6"/>
  <c r="D80" i="6"/>
  <c r="E80" i="6"/>
  <c r="B81" i="6"/>
  <c r="T81" i="6" s="1"/>
  <c r="D81" i="6"/>
  <c r="E81" i="6"/>
  <c r="B82" i="6"/>
  <c r="X82" i="6" s="1"/>
  <c r="D82" i="6"/>
  <c r="E82" i="6"/>
  <c r="B83" i="6"/>
  <c r="D83" i="6"/>
  <c r="E83" i="6"/>
  <c r="B84" i="6"/>
  <c r="I84" i="6" s="1"/>
  <c r="D84" i="6"/>
  <c r="E84" i="6"/>
  <c r="B85" i="6"/>
  <c r="X85" i="6" s="1"/>
  <c r="D85" i="6"/>
  <c r="E85" i="6"/>
  <c r="B86" i="6"/>
  <c r="T86" i="6" s="1"/>
  <c r="D86" i="6"/>
  <c r="E86" i="6"/>
  <c r="B87" i="6"/>
  <c r="Y87" i="6" s="1"/>
  <c r="D87" i="6"/>
  <c r="E87" i="6"/>
  <c r="B88" i="6"/>
  <c r="P88" i="6" s="1"/>
  <c r="D88" i="6"/>
  <c r="E88" i="6"/>
  <c r="B89" i="6"/>
  <c r="W89" i="6" s="1"/>
  <c r="D89" i="6"/>
  <c r="E89" i="6"/>
  <c r="B90" i="6"/>
  <c r="D90" i="6"/>
  <c r="E90" i="6"/>
  <c r="B91" i="6"/>
  <c r="X91" i="6" s="1"/>
  <c r="D91" i="6"/>
  <c r="E91" i="6"/>
  <c r="B92" i="6"/>
  <c r="Y92" i="6" s="1"/>
  <c r="D92" i="6"/>
  <c r="E92" i="6"/>
  <c r="B93" i="6"/>
  <c r="L93" i="6" s="1"/>
  <c r="D93" i="6"/>
  <c r="E93" i="6"/>
  <c r="B94" i="6"/>
  <c r="Y94" i="6" s="1"/>
  <c r="D94" i="6"/>
  <c r="E94" i="6"/>
  <c r="B95" i="6"/>
  <c r="D95" i="6"/>
  <c r="E95" i="6"/>
  <c r="B96" i="6"/>
  <c r="I96" i="6" s="1"/>
  <c r="D96" i="6"/>
  <c r="E96" i="6"/>
  <c r="B97" i="6"/>
  <c r="I97" i="6" s="1"/>
  <c r="D97" i="6"/>
  <c r="E97" i="6"/>
  <c r="B98" i="6"/>
  <c r="H98" i="6" s="1"/>
  <c r="D98" i="6"/>
  <c r="E98" i="6"/>
  <c r="B99" i="6"/>
  <c r="D99" i="6"/>
  <c r="E99" i="6"/>
  <c r="B100" i="6"/>
  <c r="D100" i="6"/>
  <c r="E100" i="6"/>
  <c r="B101" i="6"/>
  <c r="Y101" i="6" s="1"/>
  <c r="D101" i="6"/>
  <c r="E101" i="6"/>
  <c r="B102" i="6"/>
  <c r="T102" i="6" s="1"/>
  <c r="D102" i="6"/>
  <c r="E102" i="6"/>
  <c r="B103" i="6"/>
  <c r="H103" i="6" s="1"/>
  <c r="D103" i="6"/>
  <c r="E103" i="6"/>
  <c r="B104" i="6"/>
  <c r="T104" i="6" s="1"/>
  <c r="D104" i="6"/>
  <c r="E104" i="6"/>
  <c r="B105" i="6"/>
  <c r="D105" i="6"/>
  <c r="E105" i="6"/>
  <c r="B106" i="6"/>
  <c r="W106" i="6" s="1"/>
  <c r="D106" i="6"/>
  <c r="E106" i="6"/>
  <c r="B107" i="6"/>
  <c r="W107" i="6" s="1"/>
  <c r="D107" i="6"/>
  <c r="E107" i="6"/>
  <c r="B108" i="6"/>
  <c r="W108" i="6" s="1"/>
  <c r="D108" i="6"/>
  <c r="E108" i="6"/>
  <c r="B109" i="6"/>
  <c r="I109" i="6" s="1"/>
  <c r="D109" i="6"/>
  <c r="E109" i="6"/>
  <c r="B110" i="6"/>
  <c r="I110" i="6" s="1"/>
  <c r="D110" i="6"/>
  <c r="E110" i="6"/>
  <c r="B111" i="6"/>
  <c r="H111" i="6" s="1"/>
  <c r="D111" i="6"/>
  <c r="E111" i="6"/>
  <c r="B112" i="6"/>
  <c r="P112" i="6" s="1"/>
  <c r="D112" i="6"/>
  <c r="E112" i="6"/>
  <c r="B113" i="6"/>
  <c r="H113" i="6" s="1"/>
  <c r="D113" i="6"/>
  <c r="E113" i="6"/>
  <c r="B114" i="6"/>
  <c r="L114" i="6" s="1"/>
  <c r="D114" i="6"/>
  <c r="E114" i="6"/>
  <c r="B115" i="6"/>
  <c r="M115" i="6" s="1"/>
  <c r="D115" i="6"/>
  <c r="E115" i="6"/>
  <c r="B116" i="6"/>
  <c r="I116" i="6" s="1"/>
  <c r="D116" i="6"/>
  <c r="E116" i="6"/>
  <c r="B117" i="6"/>
  <c r="Y117" i="6" s="1"/>
  <c r="D117" i="6"/>
  <c r="E117" i="6"/>
  <c r="B118" i="6"/>
  <c r="T118" i="6" s="1"/>
  <c r="D118" i="6"/>
  <c r="E118" i="6"/>
  <c r="B119" i="6"/>
  <c r="D119" i="6"/>
  <c r="E119" i="6"/>
  <c r="B120" i="6"/>
  <c r="U120" i="6" s="1"/>
  <c r="D120" i="6"/>
  <c r="E120" i="6"/>
  <c r="B121" i="6"/>
  <c r="I121" i="6" s="1"/>
  <c r="D121" i="6"/>
  <c r="E121" i="6"/>
  <c r="B122" i="6"/>
  <c r="Y122" i="6" s="1"/>
  <c r="D122" i="6"/>
  <c r="E122" i="6"/>
  <c r="B123" i="6"/>
  <c r="D123" i="6"/>
  <c r="E123" i="6"/>
  <c r="B124" i="6"/>
  <c r="M124" i="6" s="1"/>
  <c r="D124" i="6"/>
  <c r="E124" i="6"/>
  <c r="B125" i="6"/>
  <c r="I125" i="6" s="1"/>
  <c r="D125" i="6"/>
  <c r="E125" i="6"/>
  <c r="B126" i="6"/>
  <c r="I126" i="6" s="1"/>
  <c r="D126" i="6"/>
  <c r="E126" i="6"/>
  <c r="B127" i="6"/>
  <c r="D127" i="6"/>
  <c r="E127" i="6"/>
  <c r="B128" i="6"/>
  <c r="I128" i="6" s="1"/>
  <c r="D128" i="6"/>
  <c r="E128" i="6"/>
  <c r="B129" i="6"/>
  <c r="U129" i="6" s="1"/>
  <c r="D129" i="6"/>
  <c r="E129" i="6"/>
  <c r="B130" i="6"/>
  <c r="V130" i="6" s="1"/>
  <c r="D130" i="6"/>
  <c r="E130" i="6"/>
  <c r="B131" i="6"/>
  <c r="P131" i="6" s="1"/>
  <c r="D131" i="6"/>
  <c r="E131" i="6"/>
  <c r="B132" i="6"/>
  <c r="V132" i="6" s="1"/>
  <c r="D132" i="6"/>
  <c r="E132" i="6"/>
  <c r="B133" i="6"/>
  <c r="I133" i="6" s="1"/>
  <c r="D133" i="6"/>
  <c r="E133" i="6"/>
  <c r="B134" i="6"/>
  <c r="C22" i="1" s="1"/>
  <c r="D134" i="6"/>
  <c r="E134" i="6"/>
  <c r="M22" i="1" s="1"/>
  <c r="B135" i="6"/>
  <c r="L135" i="6" s="1"/>
  <c r="D135" i="6"/>
  <c r="E135" i="6"/>
  <c r="B136" i="6"/>
  <c r="D136" i="6"/>
  <c r="E136" i="6"/>
  <c r="B137" i="6"/>
  <c r="D137" i="6"/>
  <c r="E137" i="6"/>
  <c r="B138" i="6"/>
  <c r="D138" i="6"/>
  <c r="E138" i="6"/>
  <c r="B139" i="6"/>
  <c r="X139" i="6" s="1"/>
  <c r="D139" i="6"/>
  <c r="E139" i="6"/>
  <c r="B140" i="6"/>
  <c r="T140" i="6" s="1"/>
  <c r="D140" i="6"/>
  <c r="E140" i="6"/>
  <c r="B141" i="6"/>
  <c r="D141" i="6"/>
  <c r="E141" i="6"/>
  <c r="B142" i="6"/>
  <c r="D142" i="6"/>
  <c r="E142" i="6"/>
  <c r="B143" i="6"/>
  <c r="D143" i="6"/>
  <c r="E143" i="6"/>
  <c r="B144" i="6"/>
  <c r="H144" i="6" s="1"/>
  <c r="D144" i="6"/>
  <c r="E144" i="6"/>
  <c r="B145" i="6"/>
  <c r="W145" i="6" s="1"/>
  <c r="D145" i="6"/>
  <c r="E145" i="6"/>
  <c r="B146" i="6"/>
  <c r="D146" i="6"/>
  <c r="E146" i="6"/>
  <c r="B147" i="6"/>
  <c r="L147" i="6" s="1"/>
  <c r="D147" i="6"/>
  <c r="E147" i="6"/>
  <c r="B148" i="6"/>
  <c r="P148" i="6" s="1"/>
  <c r="D148" i="6"/>
  <c r="E148" i="6"/>
  <c r="B149" i="6"/>
  <c r="D149" i="6"/>
  <c r="E149" i="6"/>
  <c r="B150" i="6"/>
  <c r="P150" i="6" s="1"/>
  <c r="D150" i="6"/>
  <c r="E150" i="6"/>
  <c r="B151" i="6"/>
  <c r="P151" i="6" s="1"/>
  <c r="D151" i="6"/>
  <c r="E151" i="6"/>
  <c r="B152" i="6"/>
  <c r="X152" i="6" s="1"/>
  <c r="D152" i="6"/>
  <c r="E152" i="6"/>
  <c r="B153" i="6"/>
  <c r="I153" i="6" s="1"/>
  <c r="D153" i="6"/>
  <c r="E153" i="6"/>
  <c r="B154" i="6"/>
  <c r="D154" i="6"/>
  <c r="E154" i="6"/>
  <c r="B155" i="6"/>
  <c r="D155" i="6"/>
  <c r="E155" i="6"/>
  <c r="B156" i="6"/>
  <c r="T156" i="6" s="1"/>
  <c r="D156" i="6"/>
  <c r="E156" i="6"/>
  <c r="B157" i="6"/>
  <c r="T157" i="6" s="1"/>
  <c r="D157" i="6"/>
  <c r="E157" i="6"/>
  <c r="B158" i="6"/>
  <c r="I158" i="6" s="1"/>
  <c r="D158" i="6"/>
  <c r="E158" i="6"/>
  <c r="B159" i="6"/>
  <c r="I159" i="6" s="1"/>
  <c r="D159" i="6"/>
  <c r="E159" i="6"/>
  <c r="B160" i="6"/>
  <c r="L160" i="6" s="1"/>
  <c r="D160" i="6"/>
  <c r="E160" i="6"/>
  <c r="B161" i="6"/>
  <c r="D161" i="6"/>
  <c r="E161" i="6"/>
  <c r="B162" i="6"/>
  <c r="V162" i="6" s="1"/>
  <c r="D162" i="6"/>
  <c r="E162" i="6"/>
  <c r="B163" i="6"/>
  <c r="D163" i="6"/>
  <c r="E163" i="6"/>
  <c r="B164" i="6"/>
  <c r="H164" i="6" s="1"/>
  <c r="D164" i="6"/>
  <c r="E164" i="6"/>
  <c r="B165" i="6"/>
  <c r="D165" i="6"/>
  <c r="E165" i="6"/>
  <c r="B166" i="6"/>
  <c r="P166" i="6" s="1"/>
  <c r="D166" i="6"/>
  <c r="E166" i="6"/>
  <c r="B167" i="6"/>
  <c r="X167" i="6" s="1"/>
  <c r="D167" i="6"/>
  <c r="E167" i="6"/>
  <c r="B168" i="6"/>
  <c r="D168" i="6"/>
  <c r="E168" i="6"/>
  <c r="B169" i="6"/>
  <c r="W169" i="6" s="1"/>
  <c r="D169" i="6"/>
  <c r="E169" i="6"/>
  <c r="B170" i="6"/>
  <c r="D170" i="6"/>
  <c r="E170" i="6"/>
  <c r="B171" i="6"/>
  <c r="V171" i="6" s="1"/>
  <c r="D171" i="6"/>
  <c r="E171" i="6"/>
  <c r="B172" i="6"/>
  <c r="X172" i="6" s="1"/>
  <c r="D172" i="6"/>
  <c r="E172" i="6"/>
  <c r="B173" i="6"/>
  <c r="D173" i="6"/>
  <c r="E173" i="6"/>
  <c r="B174" i="6"/>
  <c r="I174" i="6" s="1"/>
  <c r="D174" i="6"/>
  <c r="E174" i="6"/>
  <c r="B175" i="6"/>
  <c r="D175" i="6"/>
  <c r="E175" i="6"/>
  <c r="B176" i="6"/>
  <c r="M176" i="6" s="1"/>
  <c r="D176" i="6"/>
  <c r="E176" i="6"/>
  <c r="B177" i="6"/>
  <c r="X177" i="6" s="1"/>
  <c r="D177" i="6"/>
  <c r="E177" i="6"/>
  <c r="B178" i="6"/>
  <c r="T178" i="6" s="1"/>
  <c r="D178" i="6"/>
  <c r="E178" i="6"/>
  <c r="B179" i="6"/>
  <c r="T179" i="6" s="1"/>
  <c r="D179" i="6"/>
  <c r="E179" i="6"/>
  <c r="B180" i="6"/>
  <c r="X180" i="6" s="1"/>
  <c r="D180" i="6"/>
  <c r="E180" i="6"/>
  <c r="B181" i="6"/>
  <c r="T181" i="6" s="1"/>
  <c r="D181" i="6"/>
  <c r="E181" i="6"/>
  <c r="B182" i="6"/>
  <c r="X182" i="6" s="1"/>
  <c r="D182" i="6"/>
  <c r="E182" i="6"/>
  <c r="B183" i="6"/>
  <c r="D183" i="6"/>
  <c r="E183" i="6"/>
  <c r="B184" i="6"/>
  <c r="T184" i="6" s="1"/>
  <c r="D184" i="6"/>
  <c r="E184" i="6"/>
  <c r="B185" i="6"/>
  <c r="D185" i="6"/>
  <c r="E185" i="6"/>
  <c r="B186" i="6"/>
  <c r="X186" i="6" s="1"/>
  <c r="D186" i="6"/>
  <c r="E186" i="6"/>
  <c r="B187" i="6"/>
  <c r="I187" i="6" s="1"/>
  <c r="D187" i="6"/>
  <c r="E187" i="6"/>
  <c r="B188" i="6"/>
  <c r="V188" i="6" s="1"/>
  <c r="D188" i="6"/>
  <c r="E188" i="6"/>
  <c r="B189" i="6"/>
  <c r="V189" i="6" s="1"/>
  <c r="D189" i="6"/>
  <c r="E189" i="6"/>
  <c r="B190" i="6"/>
  <c r="P190" i="6" s="1"/>
  <c r="D190" i="6"/>
  <c r="E190" i="6"/>
  <c r="B191" i="6"/>
  <c r="V191" i="6" s="1"/>
  <c r="D191" i="6"/>
  <c r="E191" i="6"/>
  <c r="B192" i="6"/>
  <c r="I192" i="6" s="1"/>
  <c r="D192" i="6"/>
  <c r="E192" i="6"/>
  <c r="B193" i="6"/>
  <c r="T193" i="6" s="1"/>
  <c r="D193" i="6"/>
  <c r="E193" i="6"/>
  <c r="B194" i="6"/>
  <c r="M194" i="6" s="1"/>
  <c r="D194" i="6"/>
  <c r="E194" i="6"/>
  <c r="B195" i="6"/>
  <c r="D195" i="6"/>
  <c r="E195" i="6"/>
  <c r="B196" i="6"/>
  <c r="V196" i="6" s="1"/>
  <c r="D196" i="6"/>
  <c r="E196" i="6"/>
  <c r="B197" i="6"/>
  <c r="W197" i="6" s="1"/>
  <c r="D197" i="6"/>
  <c r="E197" i="6"/>
  <c r="B198" i="6"/>
  <c r="P198" i="6" s="1"/>
  <c r="D198" i="6"/>
  <c r="E198" i="6"/>
  <c r="B199" i="6"/>
  <c r="U199" i="6" s="1"/>
  <c r="D199" i="6"/>
  <c r="E199" i="6"/>
  <c r="B200" i="6"/>
  <c r="D200" i="6"/>
  <c r="E200" i="6"/>
  <c r="B201" i="6"/>
  <c r="H201" i="6" s="1"/>
  <c r="D201" i="6"/>
  <c r="E201" i="6"/>
  <c r="B202" i="6"/>
  <c r="V202" i="6" s="1"/>
  <c r="D202" i="6"/>
  <c r="E202" i="6"/>
  <c r="B203" i="6"/>
  <c r="Y203" i="6" s="1"/>
  <c r="D203" i="6"/>
  <c r="E203" i="6"/>
  <c r="B204" i="6"/>
  <c r="T204" i="6" s="1"/>
  <c r="D204" i="6"/>
  <c r="E204" i="6"/>
  <c r="B205" i="6"/>
  <c r="H205" i="6" s="1"/>
  <c r="D205" i="6"/>
  <c r="E205" i="6"/>
  <c r="B206" i="6"/>
  <c r="T206" i="6" s="1"/>
  <c r="D206" i="6"/>
  <c r="E206" i="6"/>
  <c r="B207" i="6"/>
  <c r="D207" i="6"/>
  <c r="E207" i="6"/>
  <c r="B208" i="6"/>
  <c r="W208" i="6" s="1"/>
  <c r="D208" i="6"/>
  <c r="E208" i="6"/>
  <c r="B209" i="6"/>
  <c r="U209" i="6" s="1"/>
  <c r="D209" i="6"/>
  <c r="E209" i="6"/>
  <c r="B210" i="6"/>
  <c r="U210" i="6" s="1"/>
  <c r="D210" i="6"/>
  <c r="E210" i="6"/>
  <c r="B211" i="6"/>
  <c r="L211" i="6" s="1"/>
  <c r="D211" i="6"/>
  <c r="E211" i="6"/>
  <c r="B212" i="6"/>
  <c r="P212" i="6" s="1"/>
  <c r="D212" i="6"/>
  <c r="E212" i="6"/>
  <c r="B213" i="6"/>
  <c r="I213" i="6" s="1"/>
  <c r="D213" i="6"/>
  <c r="E213" i="6"/>
  <c r="B214" i="6"/>
  <c r="W214" i="6" s="1"/>
  <c r="D214" i="6"/>
  <c r="E214" i="6"/>
  <c r="B215" i="6"/>
  <c r="H215" i="6" s="1"/>
  <c r="D215" i="6"/>
  <c r="E215" i="6"/>
  <c r="B216" i="6"/>
  <c r="D216" i="6"/>
  <c r="E216" i="6"/>
  <c r="B217" i="6"/>
  <c r="T217" i="6" s="1"/>
  <c r="D217" i="6"/>
  <c r="E217" i="6"/>
  <c r="B218" i="6"/>
  <c r="H218" i="6" s="1"/>
  <c r="D218" i="6"/>
  <c r="E218" i="6"/>
  <c r="B219" i="6"/>
  <c r="H219" i="6" s="1"/>
  <c r="D219" i="6"/>
  <c r="E219" i="6"/>
  <c r="B220" i="6"/>
  <c r="D220" i="6"/>
  <c r="E220" i="6"/>
  <c r="B221" i="6"/>
  <c r="D221" i="6"/>
  <c r="E221" i="6"/>
  <c r="B222" i="6"/>
  <c r="T222" i="6" s="1"/>
  <c r="D222" i="6"/>
  <c r="E222" i="6"/>
  <c r="M23" i="1" s="1"/>
  <c r="B223" i="6"/>
  <c r="H223" i="6" s="1"/>
  <c r="D223" i="6"/>
  <c r="E223" i="6"/>
  <c r="B224" i="6"/>
  <c r="P224" i="6" s="1"/>
  <c r="D224" i="6"/>
  <c r="E224" i="6"/>
  <c r="B225" i="6"/>
  <c r="T225" i="6" s="1"/>
  <c r="D225" i="6"/>
  <c r="E225" i="6"/>
  <c r="B226" i="6"/>
  <c r="U226" i="6" s="1"/>
  <c r="D226" i="6"/>
  <c r="E226" i="6"/>
  <c r="B227" i="6"/>
  <c r="T227" i="6" s="1"/>
  <c r="D227" i="6"/>
  <c r="E227" i="6"/>
  <c r="B228" i="6"/>
  <c r="M228" i="6" s="1"/>
  <c r="D228" i="6"/>
  <c r="E228" i="6"/>
  <c r="B229" i="6"/>
  <c r="M229" i="6" s="1"/>
  <c r="D229" i="6"/>
  <c r="E229" i="6"/>
  <c r="B230" i="6"/>
  <c r="I230" i="6" s="1"/>
  <c r="D230" i="6"/>
  <c r="E230" i="6"/>
  <c r="B231" i="6"/>
  <c r="T231" i="6" s="1"/>
  <c r="D231" i="6"/>
  <c r="E231" i="6"/>
  <c r="B232" i="6"/>
  <c r="D232" i="6"/>
  <c r="E232" i="6"/>
  <c r="B233" i="6"/>
  <c r="T233" i="6" s="1"/>
  <c r="D233" i="6"/>
  <c r="E233" i="6"/>
  <c r="B234" i="6"/>
  <c r="H234" i="6" s="1"/>
  <c r="D234" i="6"/>
  <c r="E234" i="6"/>
  <c r="B235" i="6"/>
  <c r="W235" i="6" s="1"/>
  <c r="D235" i="6"/>
  <c r="E235" i="6"/>
  <c r="B236" i="6"/>
  <c r="P236" i="6" s="1"/>
  <c r="D236" i="6"/>
  <c r="E236" i="6"/>
  <c r="B237" i="6"/>
  <c r="H237" i="6" s="1"/>
  <c r="D237" i="6"/>
  <c r="E237" i="6"/>
  <c r="B238" i="6"/>
  <c r="P238" i="6" s="1"/>
  <c r="D238" i="6"/>
  <c r="E238" i="6"/>
  <c r="B239" i="6"/>
  <c r="H239" i="6" s="1"/>
  <c r="D239" i="6"/>
  <c r="E239" i="6"/>
  <c r="B240" i="6"/>
  <c r="Y240" i="6" s="1"/>
  <c r="D240" i="6"/>
  <c r="E240" i="6"/>
  <c r="B241" i="6"/>
  <c r="I241" i="6" s="1"/>
  <c r="D241" i="6"/>
  <c r="E241" i="6"/>
  <c r="B242" i="6"/>
  <c r="D242" i="6"/>
  <c r="E242" i="6"/>
  <c r="B243" i="6"/>
  <c r="U243" i="6" s="1"/>
  <c r="D243" i="6"/>
  <c r="E243" i="6"/>
  <c r="B244" i="6"/>
  <c r="H244" i="6" s="1"/>
  <c r="D244" i="6"/>
  <c r="E244" i="6"/>
  <c r="B245" i="6"/>
  <c r="W245" i="6" s="1"/>
  <c r="D245" i="6"/>
  <c r="E245" i="6"/>
  <c r="B246" i="6"/>
  <c r="L246" i="6" s="1"/>
  <c r="D246" i="6"/>
  <c r="E246" i="6"/>
  <c r="B247" i="6"/>
  <c r="I247" i="6" s="1"/>
  <c r="D247" i="6"/>
  <c r="E247" i="6"/>
  <c r="B248" i="6"/>
  <c r="H248" i="6" s="1"/>
  <c r="D248" i="6"/>
  <c r="E248" i="6"/>
  <c r="B249" i="6"/>
  <c r="U249" i="6" s="1"/>
  <c r="D249" i="6"/>
  <c r="E249" i="6"/>
  <c r="B250" i="6"/>
  <c r="H250" i="6" s="1"/>
  <c r="D250" i="6"/>
  <c r="E250" i="6"/>
  <c r="B251" i="6"/>
  <c r="H251" i="6" s="1"/>
  <c r="D251" i="6"/>
  <c r="E251" i="6"/>
  <c r="B252" i="6"/>
  <c r="V252" i="6" s="1"/>
  <c r="D252" i="6"/>
  <c r="E252" i="6"/>
  <c r="B253" i="6"/>
  <c r="D253" i="6"/>
  <c r="E253" i="6"/>
  <c r="B254" i="6"/>
  <c r="P254" i="6" s="1"/>
  <c r="D254" i="6"/>
  <c r="E254" i="6"/>
  <c r="B255" i="6"/>
  <c r="U255" i="6" s="1"/>
  <c r="D255" i="6"/>
  <c r="E255" i="6"/>
  <c r="B256" i="6"/>
  <c r="M256" i="6" s="1"/>
  <c r="D256" i="6"/>
  <c r="E256" i="6"/>
  <c r="B257" i="6"/>
  <c r="D257" i="6"/>
  <c r="E257" i="6"/>
  <c r="B258" i="6"/>
  <c r="T258" i="6" s="1"/>
  <c r="D258" i="6"/>
  <c r="E258" i="6"/>
  <c r="B259" i="6"/>
  <c r="V259" i="6" s="1"/>
  <c r="D259" i="6"/>
  <c r="E259" i="6"/>
  <c r="B260" i="6"/>
  <c r="L260" i="6" s="1"/>
  <c r="D260" i="6"/>
  <c r="E260" i="6"/>
  <c r="B261" i="6"/>
  <c r="W261" i="6" s="1"/>
  <c r="D261" i="6"/>
  <c r="E261" i="6"/>
  <c r="B262" i="6"/>
  <c r="P262" i="6" s="1"/>
  <c r="D262" i="6"/>
  <c r="E262" i="6"/>
  <c r="B263" i="6"/>
  <c r="I263" i="6" s="1"/>
  <c r="D263" i="6"/>
  <c r="E263" i="6"/>
  <c r="B264" i="6"/>
  <c r="Y264" i="6" s="1"/>
  <c r="D264" i="6"/>
  <c r="E264" i="6"/>
  <c r="B265" i="6"/>
  <c r="L265" i="6" s="1"/>
  <c r="D265" i="6"/>
  <c r="E265" i="6"/>
  <c r="B266" i="6"/>
  <c r="H266" i="6" s="1"/>
  <c r="D266" i="6"/>
  <c r="E266" i="6"/>
  <c r="B267" i="6"/>
  <c r="Y267" i="6" s="1"/>
  <c r="D267" i="6"/>
  <c r="E267" i="6"/>
  <c r="B268" i="6"/>
  <c r="L268" i="6" s="1"/>
  <c r="D268" i="6"/>
  <c r="E268" i="6"/>
  <c r="B269" i="6"/>
  <c r="V269" i="6" s="1"/>
  <c r="D269" i="6"/>
  <c r="E269" i="6"/>
  <c r="B270" i="6"/>
  <c r="H270" i="6" s="1"/>
  <c r="D270" i="6"/>
  <c r="E270" i="6"/>
  <c r="B271" i="6"/>
  <c r="W271" i="6" s="1"/>
  <c r="D271" i="6"/>
  <c r="E271" i="6"/>
  <c r="B272" i="6"/>
  <c r="L272" i="6" s="1"/>
  <c r="D272" i="6"/>
  <c r="E272" i="6"/>
  <c r="B273" i="6"/>
  <c r="H273" i="6" s="1"/>
  <c r="D273" i="6"/>
  <c r="E273" i="6"/>
  <c r="B274" i="6"/>
  <c r="H274" i="6" s="1"/>
  <c r="D274" i="6"/>
  <c r="E274" i="6"/>
  <c r="B275" i="6"/>
  <c r="I275" i="6" s="1"/>
  <c r="D275" i="6"/>
  <c r="E275" i="6"/>
  <c r="B276" i="6"/>
  <c r="T276" i="6" s="1"/>
  <c r="D276" i="6"/>
  <c r="E276" i="6"/>
  <c r="B277" i="6"/>
  <c r="D277" i="6"/>
  <c r="E277" i="6"/>
  <c r="B278" i="6"/>
  <c r="L278" i="6" s="1"/>
  <c r="D278" i="6"/>
  <c r="E278" i="6"/>
  <c r="B279" i="6"/>
  <c r="L279" i="6" s="1"/>
  <c r="D279" i="6"/>
  <c r="E279" i="6"/>
  <c r="B280" i="6"/>
  <c r="H280" i="6" s="1"/>
  <c r="D280" i="6"/>
  <c r="E280" i="6"/>
  <c r="B281" i="6"/>
  <c r="Y281" i="6" s="1"/>
  <c r="D281" i="6"/>
  <c r="E281" i="6"/>
  <c r="B282" i="6"/>
  <c r="V282" i="6" s="1"/>
  <c r="D282" i="6"/>
  <c r="E282" i="6"/>
  <c r="B283" i="6"/>
  <c r="P283" i="6" s="1"/>
  <c r="D283" i="6"/>
  <c r="E283" i="6"/>
  <c r="B284" i="6"/>
  <c r="I284" i="6" s="1"/>
  <c r="D284" i="6"/>
  <c r="E284" i="6"/>
  <c r="B285" i="6"/>
  <c r="X285" i="6" s="1"/>
  <c r="D285" i="6"/>
  <c r="E285" i="6"/>
  <c r="B286" i="6"/>
  <c r="V286" i="6" s="1"/>
  <c r="D286" i="6"/>
  <c r="E286" i="6"/>
  <c r="B287" i="6"/>
  <c r="P287" i="6" s="1"/>
  <c r="D287" i="6"/>
  <c r="E287" i="6"/>
  <c r="B288" i="6"/>
  <c r="H288" i="6" s="1"/>
  <c r="D288" i="6"/>
  <c r="E288" i="6"/>
  <c r="B289" i="6"/>
  <c r="H289" i="6" s="1"/>
  <c r="D289" i="6"/>
  <c r="E289" i="6"/>
  <c r="B290" i="6"/>
  <c r="W290" i="6" s="1"/>
  <c r="D290" i="6"/>
  <c r="E290" i="6"/>
  <c r="B291" i="6"/>
  <c r="P291" i="6" s="1"/>
  <c r="D291" i="6"/>
  <c r="E291" i="6"/>
  <c r="B292" i="6"/>
  <c r="D292" i="6"/>
  <c r="E292" i="6"/>
  <c r="B293" i="6"/>
  <c r="U293" i="6" s="1"/>
  <c r="D293" i="6"/>
  <c r="E293" i="6"/>
  <c r="B294" i="6"/>
  <c r="W294" i="6" s="1"/>
  <c r="D294" i="6"/>
  <c r="E294" i="6"/>
  <c r="B295" i="6"/>
  <c r="D295" i="6"/>
  <c r="E295" i="6"/>
  <c r="B296" i="6"/>
  <c r="M296" i="6" s="1"/>
  <c r="D296" i="6"/>
  <c r="E296" i="6"/>
  <c r="B297" i="6"/>
  <c r="P297" i="6" s="1"/>
  <c r="D297" i="6"/>
  <c r="E297" i="6"/>
  <c r="B298" i="6"/>
  <c r="U298" i="6" s="1"/>
  <c r="D298" i="6"/>
  <c r="E298" i="6"/>
  <c r="B299" i="6"/>
  <c r="Y299" i="6" s="1"/>
  <c r="D299" i="6"/>
  <c r="E299" i="6"/>
  <c r="B300" i="6"/>
  <c r="D300" i="6"/>
  <c r="E300" i="6"/>
  <c r="B301" i="6"/>
  <c r="M301" i="6" s="1"/>
  <c r="D301" i="6"/>
  <c r="E301" i="6"/>
  <c r="B302" i="6"/>
  <c r="W302" i="6" s="1"/>
  <c r="D302" i="6"/>
  <c r="E302" i="6"/>
  <c r="B303" i="6"/>
  <c r="L303" i="6" s="1"/>
  <c r="D303" i="6"/>
  <c r="E303" i="6"/>
  <c r="B304" i="6"/>
  <c r="X304" i="6" s="1"/>
  <c r="D304" i="6"/>
  <c r="E304" i="6"/>
  <c r="B305" i="6"/>
  <c r="U305" i="6" s="1"/>
  <c r="D305" i="6"/>
  <c r="E305" i="6"/>
  <c r="B306" i="6"/>
  <c r="X306" i="6" s="1"/>
  <c r="D306" i="6"/>
  <c r="E306" i="6"/>
  <c r="B307" i="6"/>
  <c r="V307" i="6" s="1"/>
  <c r="D307" i="6"/>
  <c r="E307" i="6"/>
  <c r="B308" i="6"/>
  <c r="H308" i="6" s="1"/>
  <c r="D308" i="6"/>
  <c r="E308" i="6"/>
  <c r="B309" i="6"/>
  <c r="H309" i="6" s="1"/>
  <c r="D309" i="6"/>
  <c r="E309" i="6"/>
  <c r="B310" i="6"/>
  <c r="D310" i="6"/>
  <c r="E310" i="6"/>
  <c r="B311" i="6"/>
  <c r="W311" i="6" s="1"/>
  <c r="D311" i="6"/>
  <c r="E311" i="6"/>
  <c r="B312" i="6"/>
  <c r="V312" i="6" s="1"/>
  <c r="D312" i="6"/>
  <c r="E312" i="6"/>
  <c r="B313" i="6"/>
  <c r="Y313" i="6" s="1"/>
  <c r="D313" i="6"/>
  <c r="E313" i="6"/>
  <c r="B314" i="6"/>
  <c r="H314" i="6" s="1"/>
  <c r="D314" i="6"/>
  <c r="E314" i="6"/>
  <c r="E1705" i="1"/>
  <c r="B7093" i="1"/>
  <c r="S27" i="1"/>
  <c r="S26" i="1"/>
  <c r="R27" i="1"/>
  <c r="R26" i="1"/>
  <c r="I2071" i="1"/>
  <c r="I2070" i="1"/>
  <c r="I2062" i="1"/>
  <c r="H2071" i="1"/>
  <c r="H2070" i="1"/>
  <c r="H2062" i="1"/>
  <c r="F2071" i="1"/>
  <c r="F2070" i="1"/>
  <c r="F2062" i="1"/>
  <c r="E2071" i="1"/>
  <c r="E2070" i="1"/>
  <c r="E2062" i="1"/>
  <c r="C2071" i="1"/>
  <c r="C2070" i="1"/>
  <c r="C2062" i="1"/>
  <c r="B2071" i="1"/>
  <c r="B2070" i="1"/>
  <c r="B2062" i="1"/>
  <c r="G13" i="1"/>
  <c r="B7081" i="1"/>
  <c r="A123" i="1" s="1"/>
  <c r="B8904" i="1"/>
  <c r="B8901" i="1" s="1"/>
  <c r="I2069" i="1"/>
  <c r="H2069" i="1"/>
  <c r="I2068" i="1"/>
  <c r="H2068" i="1"/>
  <c r="I2067" i="1"/>
  <c r="H2067" i="1"/>
  <c r="I2066" i="1"/>
  <c r="H2066" i="1"/>
  <c r="I2059" i="1"/>
  <c r="H2059" i="1"/>
  <c r="I2058" i="1"/>
  <c r="H2058" i="1"/>
  <c r="I2055" i="1"/>
  <c r="H2055" i="1"/>
  <c r="I2054" i="1"/>
  <c r="H2054" i="1"/>
  <c r="C28" i="1"/>
  <c r="C27" i="1"/>
  <c r="B28" i="1"/>
  <c r="A99" i="9" s="1"/>
  <c r="Q26" i="1"/>
  <c r="P27" i="1"/>
  <c r="D7046" i="1"/>
  <c r="F2069" i="1"/>
  <c r="E2069" i="1"/>
  <c r="F2068" i="1"/>
  <c r="E2068" i="1"/>
  <c r="F2067" i="1"/>
  <c r="E2067" i="1"/>
  <c r="F2066" i="1"/>
  <c r="E2066" i="1"/>
  <c r="F2059" i="1"/>
  <c r="E2059" i="1"/>
  <c r="F2058" i="1"/>
  <c r="E2058" i="1"/>
  <c r="F2055" i="1"/>
  <c r="E2055" i="1"/>
  <c r="F2054" i="1"/>
  <c r="E2054" i="1"/>
  <c r="D26" i="1"/>
  <c r="D1210" i="1" s="1"/>
  <c r="I1214" i="1" s="1"/>
  <c r="E26" i="1"/>
  <c r="F26" i="1"/>
  <c r="F1210" i="1" s="1"/>
  <c r="J1214" i="1" s="1"/>
  <c r="G26" i="1"/>
  <c r="H26" i="1"/>
  <c r="H1210" i="1" s="1"/>
  <c r="K1214" i="1" s="1"/>
  <c r="I26" i="1"/>
  <c r="J26" i="1"/>
  <c r="J1210" i="1" s="1"/>
  <c r="L1214" i="1" s="1"/>
  <c r="K26" i="1"/>
  <c r="L26" i="1"/>
  <c r="A3526" i="1" s="1"/>
  <c r="M26" i="1"/>
  <c r="N27" i="1"/>
  <c r="B1925" i="1"/>
  <c r="B1924" i="1"/>
  <c r="B1921" i="1"/>
  <c r="B1920" i="1"/>
  <c r="B1917" i="1"/>
  <c r="B1916" i="1"/>
  <c r="B1915" i="1"/>
  <c r="B1914" i="1"/>
  <c r="B1913" i="1"/>
  <c r="B1912" i="1"/>
  <c r="B1911" i="1"/>
  <c r="B1910" i="1"/>
  <c r="B1909" i="1"/>
  <c r="B1908" i="1"/>
  <c r="B5860" i="1"/>
  <c r="B5859" i="1"/>
  <c r="B5858" i="1"/>
  <c r="B5857" i="1"/>
  <c r="B5856" i="1"/>
  <c r="B5855" i="1"/>
  <c r="B5854" i="1"/>
  <c r="B5853" i="1"/>
  <c r="B5852" i="1"/>
  <c r="B5850" i="1"/>
  <c r="B5849" i="1"/>
  <c r="B5848" i="1"/>
  <c r="B5847" i="1"/>
  <c r="B5846" i="1"/>
  <c r="B5845" i="1"/>
  <c r="B5844" i="1"/>
  <c r="B5843" i="1"/>
  <c r="B5842" i="1"/>
  <c r="B5840" i="1"/>
  <c r="B5839" i="1"/>
  <c r="B5838" i="1"/>
  <c r="B5837" i="1"/>
  <c r="B5836" i="1"/>
  <c r="B5835" i="1"/>
  <c r="B5834" i="1"/>
  <c r="B5833" i="1"/>
  <c r="B5832" i="1"/>
  <c r="B5830" i="1"/>
  <c r="B5829" i="1"/>
  <c r="B5828" i="1"/>
  <c r="B5827" i="1"/>
  <c r="B5826" i="1"/>
  <c r="B5825" i="1"/>
  <c r="B5824" i="1"/>
  <c r="B5823" i="1"/>
  <c r="B5822" i="1"/>
  <c r="B5820" i="1"/>
  <c r="B5819" i="1"/>
  <c r="B5818" i="1"/>
  <c r="B5817" i="1"/>
  <c r="B5816" i="1"/>
  <c r="B5815" i="1"/>
  <c r="B5814" i="1"/>
  <c r="B5813" i="1"/>
  <c r="B5812" i="1"/>
  <c r="B5810" i="1"/>
  <c r="B5809" i="1"/>
  <c r="B5808" i="1"/>
  <c r="B5807" i="1"/>
  <c r="B5806" i="1"/>
  <c r="B5805" i="1"/>
  <c r="B5804" i="1"/>
  <c r="B5803" i="1"/>
  <c r="B5802" i="1"/>
  <c r="D174" i="1"/>
  <c r="D173" i="1"/>
  <c r="D172" i="1"/>
  <c r="D169" i="1"/>
  <c r="A4521" i="1"/>
  <c r="A3521" i="1"/>
  <c r="A1210" i="1"/>
  <c r="H1214" i="1"/>
  <c r="A1235" i="1"/>
  <c r="H1239" i="1"/>
  <c r="A1260" i="1"/>
  <c r="H1264" i="1"/>
  <c r="A1285" i="1"/>
  <c r="B1285" i="1"/>
  <c r="C1285" i="1"/>
  <c r="D1285" i="1"/>
  <c r="I1289" i="1" s="1"/>
  <c r="E1285" i="1"/>
  <c r="F1285" i="1"/>
  <c r="J1289" i="1" s="1"/>
  <c r="G1285" i="1"/>
  <c r="H1285" i="1"/>
  <c r="K1289" i="1" s="1"/>
  <c r="I1285" i="1"/>
  <c r="J1285" i="1"/>
  <c r="L1289" i="1" s="1"/>
  <c r="K1285" i="1"/>
  <c r="L1285" i="1"/>
  <c r="H1289" i="1"/>
  <c r="A1310" i="1"/>
  <c r="B1310" i="1"/>
  <c r="C1310" i="1"/>
  <c r="D1310" i="1"/>
  <c r="I1314" i="1" s="1"/>
  <c r="E1310" i="1"/>
  <c r="F1310" i="1"/>
  <c r="J1314" i="1" s="1"/>
  <c r="G1310" i="1"/>
  <c r="H1310" i="1"/>
  <c r="K1314" i="1" s="1"/>
  <c r="I1310" i="1"/>
  <c r="J1310" i="1"/>
  <c r="L1314" i="1" s="1"/>
  <c r="K1310" i="1"/>
  <c r="L1310" i="1"/>
  <c r="H1314" i="1"/>
  <c r="A1335" i="1"/>
  <c r="B1335" i="1"/>
  <c r="C1335" i="1"/>
  <c r="D1335" i="1"/>
  <c r="I1339" i="1" s="1"/>
  <c r="E1335" i="1"/>
  <c r="F1335" i="1"/>
  <c r="J1339" i="1" s="1"/>
  <c r="G1335" i="1"/>
  <c r="H1335" i="1"/>
  <c r="K1339" i="1" s="1"/>
  <c r="I1335" i="1"/>
  <c r="J1335" i="1"/>
  <c r="L1339" i="1" s="1"/>
  <c r="K1335" i="1"/>
  <c r="L1335" i="1"/>
  <c r="H1339" i="1"/>
  <c r="A1360" i="1"/>
  <c r="B1360" i="1"/>
  <c r="C1360" i="1"/>
  <c r="D1360" i="1"/>
  <c r="I1364" i="1" s="1"/>
  <c r="E1360" i="1"/>
  <c r="F1360" i="1"/>
  <c r="J1364" i="1" s="1"/>
  <c r="G1360" i="1"/>
  <c r="H1360" i="1"/>
  <c r="K1364" i="1" s="1"/>
  <c r="I1360" i="1"/>
  <c r="J1360" i="1"/>
  <c r="L1364" i="1" s="1"/>
  <c r="K1360" i="1"/>
  <c r="L1360" i="1"/>
  <c r="H1364" i="1"/>
  <c r="A1385" i="1"/>
  <c r="B1385" i="1"/>
  <c r="C1385" i="1"/>
  <c r="D1385" i="1"/>
  <c r="I1389" i="1" s="1"/>
  <c r="E1385" i="1"/>
  <c r="F1385" i="1"/>
  <c r="J1389" i="1" s="1"/>
  <c r="G1385" i="1"/>
  <c r="H1385" i="1"/>
  <c r="K1389" i="1" s="1"/>
  <c r="I1385" i="1"/>
  <c r="J1385" i="1"/>
  <c r="L1389" i="1" s="1"/>
  <c r="K1385" i="1"/>
  <c r="L1385" i="1"/>
  <c r="H1389" i="1"/>
  <c r="A1410" i="1"/>
  <c r="B1410" i="1"/>
  <c r="C1410" i="1"/>
  <c r="D1410" i="1"/>
  <c r="I1414" i="1" s="1"/>
  <c r="E1410" i="1"/>
  <c r="F1410" i="1"/>
  <c r="J1414" i="1" s="1"/>
  <c r="G1410" i="1"/>
  <c r="H1410" i="1"/>
  <c r="K1414" i="1" s="1"/>
  <c r="I1410" i="1"/>
  <c r="J1410" i="1"/>
  <c r="L1414" i="1" s="1"/>
  <c r="K1410" i="1"/>
  <c r="L1410" i="1"/>
  <c r="H1414" i="1"/>
  <c r="A1435" i="1"/>
  <c r="B1435" i="1"/>
  <c r="C1435" i="1"/>
  <c r="D1435" i="1"/>
  <c r="I1439" i="1" s="1"/>
  <c r="E1435" i="1"/>
  <c r="F1435" i="1"/>
  <c r="J1439" i="1" s="1"/>
  <c r="G1435" i="1"/>
  <c r="H1435" i="1"/>
  <c r="K1439" i="1" s="1"/>
  <c r="I1435" i="1"/>
  <c r="J1435" i="1"/>
  <c r="L1439" i="1" s="1"/>
  <c r="K1435" i="1"/>
  <c r="L1435" i="1"/>
  <c r="H1439" i="1"/>
  <c r="A1460" i="1"/>
  <c r="B1460" i="1"/>
  <c r="C1460" i="1"/>
  <c r="D1460" i="1"/>
  <c r="I1464" i="1" s="1"/>
  <c r="E1460" i="1"/>
  <c r="F1460" i="1"/>
  <c r="J1464" i="1" s="1"/>
  <c r="G1460" i="1"/>
  <c r="H1460" i="1"/>
  <c r="K1464" i="1" s="1"/>
  <c r="I1460" i="1"/>
  <c r="J1460" i="1"/>
  <c r="L1464" i="1" s="1"/>
  <c r="K1460" i="1"/>
  <c r="L1460" i="1"/>
  <c r="H1464" i="1"/>
  <c r="A1485" i="1"/>
  <c r="B1485" i="1"/>
  <c r="C1485" i="1"/>
  <c r="D1485" i="1"/>
  <c r="I1489" i="1" s="1"/>
  <c r="E1485" i="1"/>
  <c r="F1485" i="1"/>
  <c r="J1489" i="1" s="1"/>
  <c r="G1485" i="1"/>
  <c r="H1485" i="1"/>
  <c r="K1489" i="1" s="1"/>
  <c r="I1485" i="1"/>
  <c r="J1485" i="1"/>
  <c r="L1489" i="1" s="1"/>
  <c r="K1485" i="1"/>
  <c r="L1485" i="1"/>
  <c r="H1489" i="1"/>
  <c r="A1510" i="1"/>
  <c r="B1510" i="1"/>
  <c r="C1510" i="1"/>
  <c r="D1510" i="1"/>
  <c r="I1514" i="1" s="1"/>
  <c r="E1510" i="1"/>
  <c r="F1510" i="1"/>
  <c r="J1514" i="1" s="1"/>
  <c r="G1510" i="1"/>
  <c r="H1510" i="1"/>
  <c r="K1514" i="1" s="1"/>
  <c r="I1510" i="1"/>
  <c r="J1510" i="1"/>
  <c r="L1514" i="1" s="1"/>
  <c r="K1510" i="1"/>
  <c r="L1510" i="1"/>
  <c r="H1514" i="1"/>
  <c r="A1535" i="1"/>
  <c r="B1535" i="1"/>
  <c r="C1535" i="1"/>
  <c r="D1535" i="1"/>
  <c r="I1539" i="1" s="1"/>
  <c r="E1535" i="1"/>
  <c r="F1535" i="1"/>
  <c r="J1539" i="1" s="1"/>
  <c r="G1535" i="1"/>
  <c r="H1535" i="1"/>
  <c r="K1539" i="1" s="1"/>
  <c r="I1535" i="1"/>
  <c r="J1535" i="1"/>
  <c r="L1539" i="1" s="1"/>
  <c r="K1535" i="1"/>
  <c r="L1535" i="1"/>
  <c r="H1539" i="1"/>
  <c r="A1560" i="1"/>
  <c r="B1560" i="1"/>
  <c r="C1560" i="1"/>
  <c r="D1560" i="1"/>
  <c r="I1564" i="1" s="1"/>
  <c r="E1560" i="1"/>
  <c r="F1560" i="1"/>
  <c r="J1564" i="1" s="1"/>
  <c r="G1560" i="1"/>
  <c r="H1560" i="1"/>
  <c r="K1564" i="1" s="1"/>
  <c r="I1560" i="1"/>
  <c r="J1560" i="1"/>
  <c r="L1564" i="1" s="1"/>
  <c r="K1560" i="1"/>
  <c r="L1560" i="1"/>
  <c r="H1564" i="1"/>
  <c r="A1585" i="1"/>
  <c r="B1585" i="1"/>
  <c r="C1585" i="1"/>
  <c r="D1585" i="1"/>
  <c r="I1589" i="1" s="1"/>
  <c r="E1585" i="1"/>
  <c r="F1585" i="1"/>
  <c r="J1589" i="1" s="1"/>
  <c r="G1585" i="1"/>
  <c r="H1585" i="1"/>
  <c r="K1589" i="1" s="1"/>
  <c r="I1585" i="1"/>
  <c r="J1585" i="1"/>
  <c r="L1589" i="1" s="1"/>
  <c r="K1585" i="1"/>
  <c r="L1585" i="1"/>
  <c r="H1589" i="1"/>
  <c r="A1610" i="1"/>
  <c r="B1610" i="1"/>
  <c r="C1610" i="1"/>
  <c r="D1610" i="1"/>
  <c r="I1614" i="1" s="1"/>
  <c r="E1610" i="1"/>
  <c r="F1610" i="1"/>
  <c r="J1614" i="1" s="1"/>
  <c r="G1610" i="1"/>
  <c r="H1610" i="1"/>
  <c r="K1614" i="1" s="1"/>
  <c r="I1610" i="1"/>
  <c r="J1610" i="1"/>
  <c r="L1614" i="1" s="1"/>
  <c r="K1610" i="1"/>
  <c r="L1610" i="1"/>
  <c r="H1614" i="1"/>
  <c r="A1635" i="1"/>
  <c r="B1635" i="1"/>
  <c r="C1635" i="1"/>
  <c r="D1635" i="1"/>
  <c r="I1639" i="1" s="1"/>
  <c r="E1635" i="1"/>
  <c r="F1635" i="1"/>
  <c r="J1639" i="1" s="1"/>
  <c r="G1635" i="1"/>
  <c r="H1635" i="1"/>
  <c r="K1639" i="1" s="1"/>
  <c r="I1635" i="1"/>
  <c r="J1635" i="1"/>
  <c r="L1639" i="1" s="1"/>
  <c r="K1635" i="1"/>
  <c r="L1635" i="1"/>
  <c r="H1639" i="1"/>
  <c r="B2054" i="1"/>
  <c r="C2054" i="1"/>
  <c r="B2055" i="1"/>
  <c r="C2055" i="1"/>
  <c r="B2058" i="1"/>
  <c r="C2058" i="1"/>
  <c r="B2059" i="1"/>
  <c r="C2059" i="1"/>
  <c r="B2066" i="1"/>
  <c r="C2066" i="1"/>
  <c r="B2067" i="1"/>
  <c r="C2067" i="1"/>
  <c r="B2068" i="1"/>
  <c r="C2068" i="1"/>
  <c r="B2069" i="1"/>
  <c r="C2069" i="1"/>
  <c r="D1053" i="1"/>
  <c r="E1053" i="1" s="1"/>
  <c r="G1053" i="1" s="1"/>
  <c r="D1054" i="1"/>
  <c r="E1054" i="1" s="1"/>
  <c r="G1054" i="1" s="1"/>
  <c r="D1055" i="1"/>
  <c r="E1055" i="1" s="1"/>
  <c r="G1055" i="1" s="1"/>
  <c r="D1056" i="1"/>
  <c r="E1056" i="1" s="1"/>
  <c r="G1056" i="1" s="1"/>
  <c r="D1057" i="1"/>
  <c r="E1057" i="1" s="1"/>
  <c r="G1057" i="1" s="1"/>
  <c r="G158" i="1"/>
  <c r="B158" i="1"/>
  <c r="G157" i="1"/>
  <c r="B157" i="1"/>
  <c r="K156" i="1"/>
  <c r="G156" i="1"/>
  <c r="B156" i="1"/>
  <c r="K155" i="1"/>
  <c r="G155" i="1"/>
  <c r="B155" i="1"/>
  <c r="K154" i="1"/>
  <c r="G154" i="1"/>
  <c r="B154" i="1"/>
  <c r="K153" i="1"/>
  <c r="G153" i="1"/>
  <c r="D7029" i="1" s="1"/>
  <c r="D7069" i="1" s="1"/>
  <c r="K82" i="1" s="1"/>
  <c r="B153" i="1"/>
  <c r="K152" i="1"/>
  <c r="G152" i="1"/>
  <c r="B152" i="1"/>
  <c r="K151" i="1"/>
  <c r="G151" i="1"/>
  <c r="B151" i="1"/>
  <c r="K150" i="1"/>
  <c r="G150" i="1"/>
  <c r="B150" i="1"/>
  <c r="G142" i="1"/>
  <c r="B142" i="1"/>
  <c r="G141" i="1"/>
  <c r="B141" i="1"/>
  <c r="K140" i="1"/>
  <c r="G140" i="1"/>
  <c r="B140" i="1"/>
  <c r="K139" i="1"/>
  <c r="G139" i="1"/>
  <c r="B139" i="1"/>
  <c r="K138" i="1"/>
  <c r="G138" i="1"/>
  <c r="B138" i="1"/>
  <c r="K137" i="1"/>
  <c r="G137" i="1"/>
  <c r="D7028" i="1" s="1"/>
  <c r="D7068" i="1" s="1"/>
  <c r="K81" i="1" s="1"/>
  <c r="B137" i="1"/>
  <c r="K136" i="1"/>
  <c r="G136" i="1"/>
  <c r="B136" i="1"/>
  <c r="K135" i="1"/>
  <c r="G135" i="1"/>
  <c r="B135" i="1"/>
  <c r="K134" i="1"/>
  <c r="G134" i="1"/>
  <c r="B13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B29" i="7" l="1"/>
  <c r="H152" i="9"/>
  <c r="C23" i="1"/>
  <c r="A116" i="9"/>
  <c r="A100" i="9"/>
  <c r="A63" i="9"/>
  <c r="B1260" i="1"/>
  <c r="P1741" i="9"/>
  <c r="O1741" i="9"/>
  <c r="P1740" i="9"/>
  <c r="O1740" i="9"/>
  <c r="L1235" i="1"/>
  <c r="A47" i="9"/>
  <c r="C1260" i="1"/>
  <c r="P1848" i="9"/>
  <c r="P1840" i="9"/>
  <c r="P1832" i="9"/>
  <c r="A117" i="9"/>
  <c r="O1848" i="9"/>
  <c r="O1840" i="9"/>
  <c r="O1832" i="9"/>
  <c r="P1847" i="9"/>
  <c r="P1839" i="9"/>
  <c r="P1831" i="9"/>
  <c r="O1847" i="9"/>
  <c r="O1839" i="9"/>
  <c r="O1831" i="9"/>
  <c r="P1846" i="9"/>
  <c r="P1838" i="9"/>
  <c r="P1830" i="9"/>
  <c r="O1836" i="9"/>
  <c r="P1843" i="9"/>
  <c r="O1846" i="9"/>
  <c r="O1838" i="9"/>
  <c r="O1830" i="9"/>
  <c r="P1845" i="9"/>
  <c r="P1837" i="9"/>
  <c r="P1829" i="9"/>
  <c r="O1845" i="9"/>
  <c r="O1837" i="9"/>
  <c r="O1829" i="9"/>
  <c r="P1844" i="9"/>
  <c r="P1836" i="9"/>
  <c r="O1844" i="9"/>
  <c r="P1835" i="9"/>
  <c r="O1843" i="9"/>
  <c r="P1842" i="9"/>
  <c r="P1841" i="9"/>
  <c r="O1842" i="9"/>
  <c r="O1841" i="9"/>
  <c r="O1835" i="9"/>
  <c r="P1834" i="9"/>
  <c r="O1834" i="9"/>
  <c r="P1833" i="9"/>
  <c r="O1833" i="9"/>
  <c r="C1235" i="1"/>
  <c r="A74" i="9"/>
  <c r="A57" i="9"/>
  <c r="C1210" i="1"/>
  <c r="N3" i="9"/>
  <c r="N2" i="9"/>
  <c r="A26" i="9"/>
  <c r="A11" i="9"/>
  <c r="J22" i="7"/>
  <c r="K142" i="9" s="1"/>
  <c r="J16" i="7"/>
  <c r="I21" i="7"/>
  <c r="J141" i="9" s="1"/>
  <c r="J19" i="7"/>
  <c r="K139" i="9" s="1"/>
  <c r="P18" i="7"/>
  <c r="O18" i="7"/>
  <c r="Q18" i="7" s="1"/>
  <c r="I17" i="7"/>
  <c r="J137" i="9" s="1"/>
  <c r="O22" i="7"/>
  <c r="Q22" i="7" s="1"/>
  <c r="O20" i="7"/>
  <c r="Q20" i="7" s="1"/>
  <c r="I20" i="7" s="1"/>
  <c r="L16" i="7"/>
  <c r="L19" i="7"/>
  <c r="H60" i="6"/>
  <c r="T93" i="6"/>
  <c r="W135" i="6"/>
  <c r="I265" i="6"/>
  <c r="Y275" i="6"/>
  <c r="H265" i="6"/>
  <c r="Y234" i="6"/>
  <c r="P11" i="6"/>
  <c r="V14" i="6"/>
  <c r="M241" i="6"/>
  <c r="T14" i="6"/>
  <c r="P14" i="6"/>
  <c r="M14" i="6"/>
  <c r="L14" i="6"/>
  <c r="I14" i="6"/>
  <c r="Y22" i="6"/>
  <c r="W11" i="6"/>
  <c r="X308" i="6"/>
  <c r="C21" i="1"/>
  <c r="Y121" i="6"/>
  <c r="W116" i="6"/>
  <c r="V314" i="6"/>
  <c r="Y304" i="6"/>
  <c r="L248" i="6"/>
  <c r="X148" i="6"/>
  <c r="T189" i="6"/>
  <c r="H97" i="6"/>
  <c r="J97" i="6" s="1"/>
  <c r="K97" i="6" s="1"/>
  <c r="Y280" i="6"/>
  <c r="T91" i="6"/>
  <c r="X275" i="6"/>
  <c r="X270" i="6"/>
  <c r="Y265" i="6"/>
  <c r="M150" i="6"/>
  <c r="W125" i="6"/>
  <c r="L150" i="6"/>
  <c r="U125" i="6"/>
  <c r="X314" i="6"/>
  <c r="Y228" i="6"/>
  <c r="H186" i="6"/>
  <c r="M129" i="6"/>
  <c r="M265" i="6"/>
  <c r="U58" i="6"/>
  <c r="T11" i="6"/>
  <c r="P91" i="6"/>
  <c r="H14" i="6"/>
  <c r="V125" i="6"/>
  <c r="P51" i="6"/>
  <c r="U128" i="6"/>
  <c r="L51" i="6"/>
  <c r="W21" i="6"/>
  <c r="P258" i="6"/>
  <c r="V228" i="6"/>
  <c r="X202" i="6"/>
  <c r="T188" i="6"/>
  <c r="W132" i="6"/>
  <c r="T128" i="6"/>
  <c r="V64" i="6"/>
  <c r="H51" i="6"/>
  <c r="V30" i="6"/>
  <c r="T21" i="6"/>
  <c r="X16" i="6"/>
  <c r="Y212" i="6"/>
  <c r="V192" i="6"/>
  <c r="P132" i="6"/>
  <c r="P128" i="6"/>
  <c r="X94" i="6"/>
  <c r="V74" i="6"/>
  <c r="T64" i="6"/>
  <c r="P312" i="6"/>
  <c r="L192" i="6"/>
  <c r="L128" i="6"/>
  <c r="P64" i="6"/>
  <c r="U307" i="6"/>
  <c r="P196" i="6"/>
  <c r="U177" i="6"/>
  <c r="L64" i="6"/>
  <c r="X24" i="6"/>
  <c r="H196" i="6"/>
  <c r="I64" i="6"/>
  <c r="V24" i="6"/>
  <c r="U301" i="6"/>
  <c r="W182" i="6"/>
  <c r="H158" i="6"/>
  <c r="J158" i="6" s="1"/>
  <c r="P153" i="6"/>
  <c r="P108" i="6"/>
  <c r="Y312" i="6"/>
  <c r="X265" i="6"/>
  <c r="T256" i="6"/>
  <c r="M234" i="6"/>
  <c r="U202" i="6"/>
  <c r="M181" i="6"/>
  <c r="X312" i="6"/>
  <c r="T202" i="6"/>
  <c r="W312" i="6"/>
  <c r="P202" i="6"/>
  <c r="H176" i="6"/>
  <c r="Y171" i="6"/>
  <c r="P147" i="6"/>
  <c r="I87" i="6"/>
  <c r="U312" i="6"/>
  <c r="W209" i="6"/>
  <c r="X205" i="6"/>
  <c r="I202" i="6"/>
  <c r="V115" i="6"/>
  <c r="M67" i="6"/>
  <c r="V21" i="6"/>
  <c r="T312" i="6"/>
  <c r="T209" i="6"/>
  <c r="P205" i="6"/>
  <c r="H202" i="6"/>
  <c r="Y180" i="6"/>
  <c r="H115" i="6"/>
  <c r="L67" i="6"/>
  <c r="W54" i="6"/>
  <c r="W34" i="6"/>
  <c r="M209" i="6"/>
  <c r="I312" i="6"/>
  <c r="W228" i="6"/>
  <c r="L209" i="6"/>
  <c r="X192" i="6"/>
  <c r="X86" i="6"/>
  <c r="W81" i="6"/>
  <c r="X71" i="6"/>
  <c r="U254" i="6"/>
  <c r="W314" i="6"/>
  <c r="T254" i="6"/>
  <c r="T228" i="6"/>
  <c r="L196" i="6"/>
  <c r="M192" i="6"/>
  <c r="L188" i="6"/>
  <c r="H135" i="6"/>
  <c r="T66" i="6"/>
  <c r="W28" i="6"/>
  <c r="H20" i="6"/>
  <c r="V8" i="6"/>
  <c r="U28" i="6"/>
  <c r="H254" i="6"/>
  <c r="X244" i="6"/>
  <c r="H240" i="6"/>
  <c r="U235" i="6"/>
  <c r="Y231" i="6"/>
  <c r="V108" i="6"/>
  <c r="M240" i="6"/>
  <c r="V301" i="6"/>
  <c r="V291" i="6"/>
  <c r="Y286" i="6"/>
  <c r="M244" i="6"/>
  <c r="L235" i="6"/>
  <c r="H203" i="6"/>
  <c r="T158" i="6"/>
  <c r="U117" i="6"/>
  <c r="T108" i="6"/>
  <c r="W301" i="6"/>
  <c r="H187" i="6"/>
  <c r="J187" i="6" s="1"/>
  <c r="K187" i="6" s="1"/>
  <c r="I160" i="6"/>
  <c r="W147" i="6"/>
  <c r="Y133" i="6"/>
  <c r="L47" i="6"/>
  <c r="H33" i="6"/>
  <c r="L263" i="6"/>
  <c r="P182" i="6"/>
  <c r="Y178" i="6"/>
  <c r="H147" i="6"/>
  <c r="P113" i="6"/>
  <c r="L301" i="6"/>
  <c r="H64" i="6"/>
  <c r="I132" i="6"/>
  <c r="P125" i="6"/>
  <c r="L40" i="6"/>
  <c r="L20" i="6"/>
  <c r="X272" i="6"/>
  <c r="L125" i="6"/>
  <c r="I73" i="6"/>
  <c r="W272" i="6"/>
  <c r="U212" i="6"/>
  <c r="Y198" i="6"/>
  <c r="Y81" i="6"/>
  <c r="V272" i="6"/>
  <c r="M212" i="6"/>
  <c r="X198" i="6"/>
  <c r="X81" i="6"/>
  <c r="U272" i="6"/>
  <c r="L212" i="6"/>
  <c r="V198" i="6"/>
  <c r="Y187" i="6"/>
  <c r="L311" i="6"/>
  <c r="V275" i="6"/>
  <c r="T272" i="6"/>
  <c r="T252" i="6"/>
  <c r="I212" i="6"/>
  <c r="U198" i="6"/>
  <c r="V194" i="6"/>
  <c r="W187" i="6"/>
  <c r="I139" i="6"/>
  <c r="W88" i="6"/>
  <c r="V81" i="6"/>
  <c r="Y72" i="6"/>
  <c r="V34" i="6"/>
  <c r="X22" i="6"/>
  <c r="Y19" i="6"/>
  <c r="T15" i="6"/>
  <c r="L294" i="6"/>
  <c r="U275" i="6"/>
  <c r="M272" i="6"/>
  <c r="Y247" i="6"/>
  <c r="U187" i="6"/>
  <c r="H106" i="6"/>
  <c r="V88" i="6"/>
  <c r="U81" i="6"/>
  <c r="X72" i="6"/>
  <c r="X64" i="6"/>
  <c r="T22" i="6"/>
  <c r="P19" i="6"/>
  <c r="U8" i="6"/>
  <c r="W298" i="6"/>
  <c r="I272" i="6"/>
  <c r="U215" i="6"/>
  <c r="U208" i="6"/>
  <c r="T187" i="6"/>
  <c r="T130" i="6"/>
  <c r="U88" i="6"/>
  <c r="T84" i="6"/>
  <c r="P81" i="6"/>
  <c r="V72" i="6"/>
  <c r="W64" i="6"/>
  <c r="Y38" i="6"/>
  <c r="P25" i="6"/>
  <c r="I19" i="6"/>
  <c r="Y301" i="6"/>
  <c r="L298" i="6"/>
  <c r="H272" i="6"/>
  <c r="M264" i="6"/>
  <c r="L225" i="6"/>
  <c r="P187" i="6"/>
  <c r="X179" i="6"/>
  <c r="Y147" i="6"/>
  <c r="M114" i="6"/>
  <c r="P84" i="6"/>
  <c r="U72" i="6"/>
  <c r="X29" i="6"/>
  <c r="X301" i="6"/>
  <c r="X267" i="6"/>
  <c r="W259" i="6"/>
  <c r="P193" i="6"/>
  <c r="M187" i="6"/>
  <c r="W160" i="6"/>
  <c r="X147" i="6"/>
  <c r="Y109" i="6"/>
  <c r="V91" i="6"/>
  <c r="U64" i="6"/>
  <c r="U51" i="6"/>
  <c r="M47" i="6"/>
  <c r="X33" i="6"/>
  <c r="L193" i="6"/>
  <c r="H181" i="6"/>
  <c r="H160" i="6"/>
  <c r="Y151" i="6"/>
  <c r="L144" i="6"/>
  <c r="W139" i="6"/>
  <c r="U135" i="6"/>
  <c r="M118" i="6"/>
  <c r="U115" i="6"/>
  <c r="P36" i="6"/>
  <c r="T139" i="6"/>
  <c r="M135" i="6"/>
  <c r="L115" i="6"/>
  <c r="Y113" i="6"/>
  <c r="P49" i="6"/>
  <c r="M36" i="6"/>
  <c r="M51" i="6"/>
  <c r="M49" i="6"/>
  <c r="I36" i="6"/>
  <c r="U228" i="6"/>
  <c r="M125" i="6"/>
  <c r="H301" i="6"/>
  <c r="X250" i="6"/>
  <c r="M231" i="6"/>
  <c r="H208" i="6"/>
  <c r="V182" i="6"/>
  <c r="U121" i="6"/>
  <c r="Y114" i="6"/>
  <c r="X96" i="6"/>
  <c r="M91" i="6"/>
  <c r="H84" i="6"/>
  <c r="J84" i="6" s="1"/>
  <c r="I66" i="6"/>
  <c r="M64" i="6"/>
  <c r="W24" i="6"/>
  <c r="U19" i="6"/>
  <c r="W264" i="6"/>
  <c r="V250" i="6"/>
  <c r="U182" i="6"/>
  <c r="X114" i="6"/>
  <c r="W96" i="6"/>
  <c r="Y93" i="6"/>
  <c r="Y56" i="6"/>
  <c r="V264" i="6"/>
  <c r="U250" i="6"/>
  <c r="P197" i="6"/>
  <c r="Y194" i="6"/>
  <c r="T182" i="6"/>
  <c r="V114" i="6"/>
  <c r="V96" i="6"/>
  <c r="U93" i="6"/>
  <c r="W56" i="6"/>
  <c r="Y50" i="6"/>
  <c r="W31" i="6"/>
  <c r="L19" i="6"/>
  <c r="U15" i="6"/>
  <c r="Y6" i="6"/>
  <c r="M250" i="6"/>
  <c r="H197" i="6"/>
  <c r="U114" i="6"/>
  <c r="V111" i="6"/>
  <c r="M104" i="6"/>
  <c r="U96" i="6"/>
  <c r="T75" i="6"/>
  <c r="T56" i="6"/>
  <c r="W50" i="6"/>
  <c r="X6" i="6"/>
  <c r="U264" i="6"/>
  <c r="T264" i="6"/>
  <c r="W256" i="6"/>
  <c r="Y241" i="6"/>
  <c r="W212" i="6"/>
  <c r="U194" i="6"/>
  <c r="L182" i="6"/>
  <c r="M133" i="6"/>
  <c r="P124" i="6"/>
  <c r="T114" i="6"/>
  <c r="U111" i="6"/>
  <c r="T96" i="6"/>
  <c r="M93" i="6"/>
  <c r="X65" i="6"/>
  <c r="P56" i="6"/>
  <c r="V50" i="6"/>
  <c r="H19" i="6"/>
  <c r="M15" i="6"/>
  <c r="W6" i="6"/>
  <c r="I296" i="6"/>
  <c r="W306" i="6"/>
  <c r="L266" i="6"/>
  <c r="P264" i="6"/>
  <c r="V256" i="6"/>
  <c r="T241" i="6"/>
  <c r="V212" i="6"/>
  <c r="I182" i="6"/>
  <c r="H133" i="6"/>
  <c r="J133" i="6" s="1"/>
  <c r="P114" i="6"/>
  <c r="T111" i="6"/>
  <c r="M96" i="6"/>
  <c r="Y86" i="6"/>
  <c r="U65" i="6"/>
  <c r="M56" i="6"/>
  <c r="U50" i="6"/>
  <c r="H34" i="6"/>
  <c r="J34" i="6" s="1"/>
  <c r="K34" i="6" s="1"/>
  <c r="Y23" i="6"/>
  <c r="V6" i="6"/>
  <c r="V145" i="6"/>
  <c r="L56" i="6"/>
  <c r="I50" i="6"/>
  <c r="X23" i="6"/>
  <c r="U6" i="6"/>
  <c r="V306" i="6"/>
  <c r="U152" i="6"/>
  <c r="H126" i="6"/>
  <c r="J126" i="6" s="1"/>
  <c r="K126" i="6" s="1"/>
  <c r="Y115" i="6"/>
  <c r="P111" i="6"/>
  <c r="H96" i="6"/>
  <c r="J96" i="6" s="1"/>
  <c r="K96" i="6" s="1"/>
  <c r="M306" i="6"/>
  <c r="Y272" i="6"/>
  <c r="V270" i="6"/>
  <c r="L264" i="6"/>
  <c r="P256" i="6"/>
  <c r="H249" i="6"/>
  <c r="L241" i="6"/>
  <c r="L237" i="6"/>
  <c r="T212" i="6"/>
  <c r="V209" i="6"/>
  <c r="Y196" i="6"/>
  <c r="X187" i="6"/>
  <c r="M178" i="6"/>
  <c r="U164" i="6"/>
  <c r="P160" i="6"/>
  <c r="I148" i="6"/>
  <c r="H129" i="6"/>
  <c r="X115" i="6"/>
  <c r="H114" i="6"/>
  <c r="T103" i="6"/>
  <c r="M86" i="6"/>
  <c r="X74" i="6"/>
  <c r="X67" i="6"/>
  <c r="M63" i="6"/>
  <c r="I56" i="6"/>
  <c r="H50" i="6"/>
  <c r="U23" i="6"/>
  <c r="X12" i="6"/>
  <c r="T6" i="6"/>
  <c r="H306" i="6"/>
  <c r="I285" i="6"/>
  <c r="H264" i="6"/>
  <c r="L256" i="6"/>
  <c r="I233" i="6"/>
  <c r="U196" i="6"/>
  <c r="L184" i="6"/>
  <c r="I164" i="6"/>
  <c r="J164" i="6" s="1"/>
  <c r="W115" i="6"/>
  <c r="V107" i="6"/>
  <c r="W67" i="6"/>
  <c r="X58" i="6"/>
  <c r="H56" i="6"/>
  <c r="M23" i="6"/>
  <c r="Y14" i="6"/>
  <c r="I12" i="6"/>
  <c r="X8" i="6"/>
  <c r="P6" i="6"/>
  <c r="M92" i="6"/>
  <c r="U74" i="6"/>
  <c r="M71" i="6"/>
  <c r="V67" i="6"/>
  <c r="W58" i="6"/>
  <c r="Y51" i="6"/>
  <c r="Y36" i="6"/>
  <c r="Y33" i="6"/>
  <c r="L23" i="6"/>
  <c r="Y20" i="6"/>
  <c r="W14" i="6"/>
  <c r="W8" i="6"/>
  <c r="L6" i="6"/>
  <c r="W313" i="6"/>
  <c r="T294" i="6"/>
  <c r="U313" i="6"/>
  <c r="L306" i="6"/>
  <c r="I301" i="6"/>
  <c r="P294" i="6"/>
  <c r="P276" i="6"/>
  <c r="X266" i="6"/>
  <c r="W255" i="6"/>
  <c r="V246" i="6"/>
  <c r="P240" i="6"/>
  <c r="V235" i="6"/>
  <c r="P227" i="6"/>
  <c r="M224" i="6"/>
  <c r="V208" i="6"/>
  <c r="Y205" i="6"/>
  <c r="U197" i="6"/>
  <c r="M193" i="6"/>
  <c r="M188" i="6"/>
  <c r="I181" i="6"/>
  <c r="V178" i="6"/>
  <c r="M147" i="6"/>
  <c r="L129" i="6"/>
  <c r="T126" i="6"/>
  <c r="I115" i="6"/>
  <c r="M112" i="6"/>
  <c r="P104" i="6"/>
  <c r="P92" i="6"/>
  <c r="W87" i="6"/>
  <c r="P86" i="6"/>
  <c r="U66" i="6"/>
  <c r="T63" i="6"/>
  <c r="U60" i="6"/>
  <c r="P44" i="6"/>
  <c r="M40" i="6"/>
  <c r="W37" i="6"/>
  <c r="I20" i="6"/>
  <c r="M13" i="6"/>
  <c r="X11" i="6"/>
  <c r="M227" i="6"/>
  <c r="U190" i="6"/>
  <c r="I44" i="6"/>
  <c r="I313" i="6"/>
  <c r="V311" i="6"/>
  <c r="X302" i="6"/>
  <c r="I294" i="6"/>
  <c r="Y279" i="6"/>
  <c r="H276" i="6"/>
  <c r="X273" i="6"/>
  <c r="X269" i="6"/>
  <c r="U266" i="6"/>
  <c r="W263" i="6"/>
  <c r="I255" i="6"/>
  <c r="I246" i="6"/>
  <c r="L240" i="6"/>
  <c r="W237" i="6"/>
  <c r="T235" i="6"/>
  <c r="H227" i="6"/>
  <c r="I224" i="6"/>
  <c r="X219" i="6"/>
  <c r="T208" i="6"/>
  <c r="W205" i="6"/>
  <c r="M197" i="6"/>
  <c r="I178" i="6"/>
  <c r="T176" i="6"/>
  <c r="I169" i="6"/>
  <c r="X158" i="6"/>
  <c r="W156" i="6"/>
  <c r="W148" i="6"/>
  <c r="Y144" i="6"/>
  <c r="X133" i="6"/>
  <c r="V116" i="6"/>
  <c r="W113" i="6"/>
  <c r="H112" i="6"/>
  <c r="W109" i="6"/>
  <c r="L92" i="6"/>
  <c r="P87" i="6"/>
  <c r="U82" i="6"/>
  <c r="V71" i="6"/>
  <c r="P66" i="6"/>
  <c r="L63" i="6"/>
  <c r="H44" i="6"/>
  <c r="T42" i="6"/>
  <c r="I40" i="6"/>
  <c r="U37" i="6"/>
  <c r="I13" i="6"/>
  <c r="V11" i="6"/>
  <c r="L276" i="6"/>
  <c r="V266" i="6"/>
  <c r="Y263" i="6"/>
  <c r="T246" i="6"/>
  <c r="L224" i="6"/>
  <c r="L112" i="6"/>
  <c r="T87" i="6"/>
  <c r="V37" i="6"/>
  <c r="L13" i="6"/>
  <c r="U311" i="6"/>
  <c r="P302" i="6"/>
  <c r="H294" i="6"/>
  <c r="X290" i="6"/>
  <c r="M279" i="6"/>
  <c r="P266" i="6"/>
  <c r="V263" i="6"/>
  <c r="Y259" i="6"/>
  <c r="Y256" i="6"/>
  <c r="P248" i="6"/>
  <c r="T237" i="6"/>
  <c r="P235" i="6"/>
  <c r="W219" i="6"/>
  <c r="Y215" i="6"/>
  <c r="M208" i="6"/>
  <c r="U205" i="6"/>
  <c r="L197" i="6"/>
  <c r="Y186" i="6"/>
  <c r="H178" i="6"/>
  <c r="P176" i="6"/>
  <c r="Y164" i="6"/>
  <c r="W158" i="6"/>
  <c r="T148" i="6"/>
  <c r="W144" i="6"/>
  <c r="V133" i="6"/>
  <c r="V113" i="6"/>
  <c r="L109" i="6"/>
  <c r="Y106" i="6"/>
  <c r="Y96" i="6"/>
  <c r="I92" i="6"/>
  <c r="X89" i="6"/>
  <c r="M87" i="6"/>
  <c r="L73" i="6"/>
  <c r="T71" i="6"/>
  <c r="L66" i="6"/>
  <c r="I63" i="6"/>
  <c r="I51" i="6"/>
  <c r="L42" i="6"/>
  <c r="H40" i="6"/>
  <c r="Y34" i="6"/>
  <c r="Y29" i="6"/>
  <c r="W23" i="6"/>
  <c r="Y21" i="6"/>
  <c r="U11" i="6"/>
  <c r="T313" i="6"/>
  <c r="Y311" i="6"/>
  <c r="T311" i="6"/>
  <c r="U290" i="6"/>
  <c r="I279" i="6"/>
  <c r="U271" i="6"/>
  <c r="M266" i="6"/>
  <c r="M263" i="6"/>
  <c r="X259" i="6"/>
  <c r="X256" i="6"/>
  <c r="M248" i="6"/>
  <c r="I240" i="6"/>
  <c r="P237" i="6"/>
  <c r="M235" i="6"/>
  <c r="X215" i="6"/>
  <c r="I208" i="6"/>
  <c r="T205" i="6"/>
  <c r="W199" i="6"/>
  <c r="I197" i="6"/>
  <c r="X164" i="6"/>
  <c r="U158" i="6"/>
  <c r="V144" i="6"/>
  <c r="M140" i="6"/>
  <c r="U133" i="6"/>
  <c r="U113" i="6"/>
  <c r="H92" i="6"/>
  <c r="L87" i="6"/>
  <c r="W75" i="6"/>
  <c r="P71" i="6"/>
  <c r="I311" i="6"/>
  <c r="H307" i="6"/>
  <c r="I248" i="6"/>
  <c r="J248" i="6" s="1"/>
  <c r="I235" i="6"/>
  <c r="I215" i="6"/>
  <c r="J215" i="6" s="1"/>
  <c r="M205" i="6"/>
  <c r="Y189" i="6"/>
  <c r="U180" i="6"/>
  <c r="T164" i="6"/>
  <c r="P158" i="6"/>
  <c r="I144" i="6"/>
  <c r="J144" i="6" s="1"/>
  <c r="L133" i="6"/>
  <c r="M113" i="6"/>
  <c r="L103" i="6"/>
  <c r="H87" i="6"/>
  <c r="I71" i="6"/>
  <c r="H66" i="6"/>
  <c r="Y43" i="6"/>
  <c r="M11" i="6"/>
  <c r="T293" i="6"/>
  <c r="U256" i="6"/>
  <c r="H235" i="6"/>
  <c r="Y218" i="6"/>
  <c r="T180" i="6"/>
  <c r="W177" i="6"/>
  <c r="P164" i="6"/>
  <c r="X122" i="6"/>
  <c r="L113" i="6"/>
  <c r="I103" i="6"/>
  <c r="J103" i="6" s="1"/>
  <c r="H71" i="6"/>
  <c r="V45" i="6"/>
  <c r="X43" i="6"/>
  <c r="L41" i="6"/>
  <c r="V36" i="6"/>
  <c r="U31" i="6"/>
  <c r="W12" i="6"/>
  <c r="I11" i="6"/>
  <c r="V177" i="6"/>
  <c r="Y145" i="6"/>
  <c r="V43" i="6"/>
  <c r="I41" i="6"/>
  <c r="V12" i="6"/>
  <c r="H11" i="6"/>
  <c r="U43" i="6"/>
  <c r="T12" i="6"/>
  <c r="P177" i="6"/>
  <c r="U145" i="6"/>
  <c r="T43" i="6"/>
  <c r="P12" i="6"/>
  <c r="W280" i="6"/>
  <c r="X112" i="6"/>
  <c r="Y44" i="6"/>
  <c r="P43" i="6"/>
  <c r="Y13" i="6"/>
  <c r="V280" i="6"/>
  <c r="P270" i="6"/>
  <c r="U267" i="6"/>
  <c r="M258" i="6"/>
  <c r="I256" i="6"/>
  <c r="U217" i="6"/>
  <c r="M177" i="6"/>
  <c r="P145" i="6"/>
  <c r="M312" i="6"/>
  <c r="U306" i="6"/>
  <c r="T301" i="6"/>
  <c r="V298" i="6"/>
  <c r="Y294" i="6"/>
  <c r="Y283" i="6"/>
  <c r="U280" i="6"/>
  <c r="P272" i="6"/>
  <c r="L270" i="6"/>
  <c r="P267" i="6"/>
  <c r="U265" i="6"/>
  <c r="I264" i="6"/>
  <c r="H258" i="6"/>
  <c r="H256" i="6"/>
  <c r="Y238" i="6"/>
  <c r="X234" i="6"/>
  <c r="X206" i="6"/>
  <c r="M196" i="6"/>
  <c r="Y188" i="6"/>
  <c r="P184" i="6"/>
  <c r="L177" i="6"/>
  <c r="Y174" i="6"/>
  <c r="L166" i="6"/>
  <c r="W157" i="6"/>
  <c r="T153" i="6"/>
  <c r="V147" i="6"/>
  <c r="M145" i="6"/>
  <c r="Y132" i="6"/>
  <c r="X129" i="6"/>
  <c r="V121" i="6"/>
  <c r="T115" i="6"/>
  <c r="W112" i="6"/>
  <c r="X104" i="6"/>
  <c r="V97" i="6"/>
  <c r="I91" i="6"/>
  <c r="W86" i="6"/>
  <c r="M81" i="6"/>
  <c r="T74" i="6"/>
  <c r="T72" i="6"/>
  <c r="T65" i="6"/>
  <c r="X51" i="6"/>
  <c r="T50" i="6"/>
  <c r="Y47" i="6"/>
  <c r="X44" i="6"/>
  <c r="M43" i="6"/>
  <c r="Y40" i="6"/>
  <c r="H36" i="6"/>
  <c r="P33" i="6"/>
  <c r="Y30" i="6"/>
  <c r="U24" i="6"/>
  <c r="W22" i="6"/>
  <c r="V20" i="6"/>
  <c r="W13" i="6"/>
  <c r="H12" i="6"/>
  <c r="U10" i="6"/>
  <c r="T306" i="6"/>
  <c r="Y303" i="6"/>
  <c r="P301" i="6"/>
  <c r="U283" i="6"/>
  <c r="T280" i="6"/>
  <c r="X240" i="6"/>
  <c r="W238" i="6"/>
  <c r="Y235" i="6"/>
  <c r="Y208" i="6"/>
  <c r="W193" i="6"/>
  <c r="W188" i="6"/>
  <c r="I177" i="6"/>
  <c r="X174" i="6"/>
  <c r="V157" i="6"/>
  <c r="U147" i="6"/>
  <c r="L145" i="6"/>
  <c r="V129" i="6"/>
  <c r="P115" i="6"/>
  <c r="U112" i="6"/>
  <c r="V104" i="6"/>
  <c r="L97" i="6"/>
  <c r="X92" i="6"/>
  <c r="V86" i="6"/>
  <c r="L81" i="6"/>
  <c r="P74" i="6"/>
  <c r="H72" i="6"/>
  <c r="I65" i="6"/>
  <c r="Y60" i="6"/>
  <c r="W51" i="6"/>
  <c r="P50" i="6"/>
  <c r="W47" i="6"/>
  <c r="W44" i="6"/>
  <c r="I43" i="6"/>
  <c r="W40" i="6"/>
  <c r="M33" i="6"/>
  <c r="X30" i="6"/>
  <c r="T24" i="6"/>
  <c r="V22" i="6"/>
  <c r="T20" i="6"/>
  <c r="V13" i="6"/>
  <c r="L10" i="6"/>
  <c r="T270" i="6"/>
  <c r="X294" i="6"/>
  <c r="I270" i="6"/>
  <c r="J270" i="6" s="1"/>
  <c r="X227" i="6"/>
  <c r="V224" i="6"/>
  <c r="X313" i="6"/>
  <c r="P306" i="6"/>
  <c r="V303" i="6"/>
  <c r="V294" i="6"/>
  <c r="Y291" i="6"/>
  <c r="M280" i="6"/>
  <c r="Y276" i="6"/>
  <c r="X249" i="6"/>
  <c r="W240" i="6"/>
  <c r="U238" i="6"/>
  <c r="X235" i="6"/>
  <c r="U227" i="6"/>
  <c r="T224" i="6"/>
  <c r="X208" i="6"/>
  <c r="I196" i="6"/>
  <c r="H177" i="6"/>
  <c r="T147" i="6"/>
  <c r="H145" i="6"/>
  <c r="P129" i="6"/>
  <c r="T112" i="6"/>
  <c r="U104" i="6"/>
  <c r="W92" i="6"/>
  <c r="U86" i="6"/>
  <c r="I81" i="6"/>
  <c r="M74" i="6"/>
  <c r="Y66" i="6"/>
  <c r="X60" i="6"/>
  <c r="V51" i="6"/>
  <c r="U44" i="6"/>
  <c r="H43" i="6"/>
  <c r="T40" i="6"/>
  <c r="I33" i="6"/>
  <c r="U22" i="6"/>
  <c r="P20" i="6"/>
  <c r="I18" i="6"/>
  <c r="U13" i="6"/>
  <c r="H10" i="6"/>
  <c r="Y246" i="6"/>
  <c r="U240" i="6"/>
  <c r="Y197" i="6"/>
  <c r="V92" i="6"/>
  <c r="H81" i="6"/>
  <c r="W66" i="6"/>
  <c r="U63" i="6"/>
  <c r="T44" i="6"/>
  <c r="P40" i="6"/>
  <c r="Y37" i="6"/>
  <c r="X292" i="6"/>
  <c r="M292" i="6"/>
  <c r="I292" i="6"/>
  <c r="L292" i="6"/>
  <c r="P292" i="6"/>
  <c r="T292" i="6"/>
  <c r="U292" i="6"/>
  <c r="V292" i="6"/>
  <c r="Y292" i="6"/>
  <c r="W286" i="6"/>
  <c r="X297" i="6"/>
  <c r="I297" i="6"/>
  <c r="M297" i="6"/>
  <c r="T297" i="6"/>
  <c r="U297" i="6"/>
  <c r="W297" i="6"/>
  <c r="Y297" i="6"/>
  <c r="W300" i="6"/>
  <c r="U300" i="6"/>
  <c r="W232" i="6"/>
  <c r="V232" i="6"/>
  <c r="L232" i="6"/>
  <c r="M232" i="6"/>
  <c r="H232" i="6"/>
  <c r="I232" i="6"/>
  <c r="P232" i="6"/>
  <c r="T232" i="6"/>
  <c r="U232" i="6"/>
  <c r="X232" i="6"/>
  <c r="Y232" i="6"/>
  <c r="X207" i="6"/>
  <c r="L207" i="6"/>
  <c r="T207" i="6"/>
  <c r="W207" i="6"/>
  <c r="M286" i="6"/>
  <c r="X286" i="6"/>
  <c r="H286" i="6"/>
  <c r="I286" i="6"/>
  <c r="L286" i="6"/>
  <c r="P286" i="6"/>
  <c r="T286" i="6"/>
  <c r="Y278" i="6"/>
  <c r="I278" i="6"/>
  <c r="P278" i="6"/>
  <c r="T278" i="6"/>
  <c r="W278" i="6"/>
  <c r="X299" i="6"/>
  <c r="V299" i="6"/>
  <c r="I299" i="6"/>
  <c r="M299" i="6"/>
  <c r="U299" i="6"/>
  <c r="W299" i="6"/>
  <c r="Y288" i="6"/>
  <c r="X216" i="6"/>
  <c r="H216" i="6"/>
  <c r="I216" i="6"/>
  <c r="L216" i="6"/>
  <c r="M216" i="6"/>
  <c r="P216" i="6"/>
  <c r="U216" i="6"/>
  <c r="Y216" i="6"/>
  <c r="W310" i="6"/>
  <c r="T310" i="6"/>
  <c r="V310" i="6"/>
  <c r="I288" i="6"/>
  <c r="J288" i="6" s="1"/>
  <c r="L282" i="6"/>
  <c r="L296" i="6"/>
  <c r="H296" i="6"/>
  <c r="P296" i="6"/>
  <c r="T296" i="6"/>
  <c r="U296" i="6"/>
  <c r="V296" i="6"/>
  <c r="W296" i="6"/>
  <c r="X296" i="6"/>
  <c r="Y296" i="6"/>
  <c r="Y277" i="6"/>
  <c r="I277" i="6"/>
  <c r="P277" i="6"/>
  <c r="V277" i="6"/>
  <c r="P271" i="6"/>
  <c r="Y271" i="6"/>
  <c r="I271" i="6"/>
  <c r="L271" i="6"/>
  <c r="M271" i="6"/>
  <c r="T271" i="6"/>
  <c r="V295" i="6"/>
  <c r="I295" i="6"/>
  <c r="U295" i="6"/>
  <c r="X288" i="6"/>
  <c r="V288" i="6"/>
  <c r="L288" i="6"/>
  <c r="M288" i="6"/>
  <c r="P288" i="6"/>
  <c r="T288" i="6"/>
  <c r="U288" i="6"/>
  <c r="W288" i="6"/>
  <c r="X309" i="6"/>
  <c r="I309" i="6"/>
  <c r="J309" i="6" s="1"/>
  <c r="L309" i="6"/>
  <c r="M309" i="6"/>
  <c r="V309" i="6"/>
  <c r="P309" i="6"/>
  <c r="T309" i="6"/>
  <c r="U309" i="6"/>
  <c r="W309" i="6"/>
  <c r="Y309" i="6"/>
  <c r="M274" i="6"/>
  <c r="P274" i="6"/>
  <c r="T274" i="6"/>
  <c r="W274" i="6"/>
  <c r="P304" i="6"/>
  <c r="H304" i="6"/>
  <c r="I304" i="6"/>
  <c r="L304" i="6"/>
  <c r="M304" i="6"/>
  <c r="U304" i="6"/>
  <c r="T304" i="6"/>
  <c r="V304" i="6"/>
  <c r="W304" i="6"/>
  <c r="T220" i="6"/>
  <c r="U220" i="6"/>
  <c r="X220" i="6"/>
  <c r="P220" i="6"/>
  <c r="X291" i="6"/>
  <c r="Y287" i="6"/>
  <c r="W273" i="6"/>
  <c r="T248" i="6"/>
  <c r="W248" i="6"/>
  <c r="U248" i="6"/>
  <c r="V238" i="6"/>
  <c r="U234" i="6"/>
  <c r="X224" i="6"/>
  <c r="H224" i="6"/>
  <c r="Y219" i="6"/>
  <c r="W218" i="6"/>
  <c r="Y199" i="6"/>
  <c r="M190" i="6"/>
  <c r="T190" i="6"/>
  <c r="I190" i="6"/>
  <c r="H190" i="6"/>
  <c r="W190" i="6"/>
  <c r="X190" i="6"/>
  <c r="Y190" i="6"/>
  <c r="V190" i="6"/>
  <c r="P165" i="6"/>
  <c r="H165" i="6"/>
  <c r="I165" i="6"/>
  <c r="M165" i="6"/>
  <c r="W165" i="6"/>
  <c r="L165" i="6"/>
  <c r="T165" i="6"/>
  <c r="U165" i="6"/>
  <c r="V165" i="6"/>
  <c r="X165" i="6"/>
  <c r="Y165" i="6"/>
  <c r="Y154" i="6"/>
  <c r="L154" i="6"/>
  <c r="M154" i="6"/>
  <c r="P154" i="6"/>
  <c r="W154" i="6"/>
  <c r="I154" i="6"/>
  <c r="H154" i="6"/>
  <c r="T154" i="6"/>
  <c r="U154" i="6"/>
  <c r="V154" i="6"/>
  <c r="X154" i="6"/>
  <c r="U314" i="6"/>
  <c r="L312" i="6"/>
  <c r="Y308" i="6"/>
  <c r="U303" i="6"/>
  <c r="W291" i="6"/>
  <c r="W287" i="6"/>
  <c r="P280" i="6"/>
  <c r="U273" i="6"/>
  <c r="M254" i="6"/>
  <c r="L254" i="6"/>
  <c r="P250" i="6"/>
  <c r="P244" i="6"/>
  <c r="V230" i="6"/>
  <c r="Y230" i="6"/>
  <c r="U223" i="6"/>
  <c r="V218" i="6"/>
  <c r="X199" i="6"/>
  <c r="T168" i="6"/>
  <c r="W168" i="6"/>
  <c r="V168" i="6"/>
  <c r="X168" i="6"/>
  <c r="U168" i="6"/>
  <c r="P134" i="6"/>
  <c r="H134" i="6"/>
  <c r="L134" i="6"/>
  <c r="M134" i="6"/>
  <c r="T134" i="6"/>
  <c r="U134" i="6"/>
  <c r="V134" i="6"/>
  <c r="W134" i="6"/>
  <c r="X134" i="6"/>
  <c r="Y134" i="6"/>
  <c r="I134" i="6"/>
  <c r="Y243" i="6"/>
  <c r="V243" i="6"/>
  <c r="X146" i="6"/>
  <c r="M146" i="6"/>
  <c r="T146" i="6"/>
  <c r="V146" i="6"/>
  <c r="H80" i="6"/>
  <c r="X80" i="6"/>
  <c r="L80" i="6"/>
  <c r="T80" i="6"/>
  <c r="U80" i="6"/>
  <c r="Y289" i="6"/>
  <c r="U287" i="6"/>
  <c r="H269" i="6"/>
  <c r="Y269" i="6"/>
  <c r="W269" i="6"/>
  <c r="L217" i="6"/>
  <c r="P217" i="6"/>
  <c r="P314" i="6"/>
  <c r="H312" i="6"/>
  <c r="V308" i="6"/>
  <c r="T287" i="6"/>
  <c r="L280" i="6"/>
  <c r="M267" i="6"/>
  <c r="L250" i="6"/>
  <c r="Y248" i="6"/>
  <c r="V247" i="6"/>
  <c r="L244" i="6"/>
  <c r="L234" i="6"/>
  <c r="X229" i="6"/>
  <c r="Y224" i="6"/>
  <c r="I223" i="6"/>
  <c r="J223" i="6" s="1"/>
  <c r="K223" i="6" s="1"/>
  <c r="V219" i="6"/>
  <c r="I218" i="6"/>
  <c r="J218" i="6" s="1"/>
  <c r="V205" i="6"/>
  <c r="I205" i="6"/>
  <c r="J205" i="6" s="1"/>
  <c r="K205" i="6" s="1"/>
  <c r="L205" i="6"/>
  <c r="V199" i="6"/>
  <c r="U195" i="6"/>
  <c r="M195" i="6"/>
  <c r="T195" i="6"/>
  <c r="P255" i="6"/>
  <c r="L255" i="6"/>
  <c r="Y251" i="6"/>
  <c r="U211" i="6"/>
  <c r="X211" i="6"/>
  <c r="M314" i="6"/>
  <c r="U308" i="6"/>
  <c r="I291" i="6"/>
  <c r="P289" i="6"/>
  <c r="X284" i="6"/>
  <c r="I280" i="6"/>
  <c r="J280" i="6" s="1"/>
  <c r="X268" i="6"/>
  <c r="Y254" i="6"/>
  <c r="P251" i="6"/>
  <c r="X248" i="6"/>
  <c r="I244" i="6"/>
  <c r="J244" i="6" s="1"/>
  <c r="M236" i="6"/>
  <c r="V229" i="6"/>
  <c r="W224" i="6"/>
  <c r="U219" i="6"/>
  <c r="U213" i="6"/>
  <c r="I203" i="6"/>
  <c r="V203" i="6"/>
  <c r="L314" i="6"/>
  <c r="L289" i="6"/>
  <c r="M287" i="6"/>
  <c r="V284" i="6"/>
  <c r="T268" i="6"/>
  <c r="X258" i="6"/>
  <c r="X254" i="6"/>
  <c r="I251" i="6"/>
  <c r="J251" i="6" s="1"/>
  <c r="V248" i="6"/>
  <c r="M247" i="6"/>
  <c r="X241" i="6"/>
  <c r="W241" i="6"/>
  <c r="I236" i="6"/>
  <c r="I234" i="6"/>
  <c r="J234" i="6" s="1"/>
  <c r="K234" i="6" s="1"/>
  <c r="T229" i="6"/>
  <c r="P219" i="6"/>
  <c r="U159" i="6"/>
  <c r="M159" i="6"/>
  <c r="P159" i="6"/>
  <c r="T159" i="6"/>
  <c r="L159" i="6"/>
  <c r="X159" i="6"/>
  <c r="W159" i="6"/>
  <c r="I308" i="6"/>
  <c r="J308" i="6" s="1"/>
  <c r="K308" i="6" s="1"/>
  <c r="I289" i="6"/>
  <c r="J289" i="6" s="1"/>
  <c r="L287" i="6"/>
  <c r="T284" i="6"/>
  <c r="M276" i="6"/>
  <c r="I276" i="6"/>
  <c r="X264" i="6"/>
  <c r="W258" i="6"/>
  <c r="W254" i="6"/>
  <c r="L247" i="6"/>
  <c r="L229" i="6"/>
  <c r="H228" i="6"/>
  <c r="X228" i="6"/>
  <c r="I228" i="6"/>
  <c r="L228" i="6"/>
  <c r="U224" i="6"/>
  <c r="I219" i="6"/>
  <c r="J219" i="6" s="1"/>
  <c r="K219" i="6" s="1"/>
  <c r="U170" i="6"/>
  <c r="X170" i="6"/>
  <c r="T170" i="6"/>
  <c r="I287" i="6"/>
  <c r="M270" i="6"/>
  <c r="Y270" i="6"/>
  <c r="W270" i="6"/>
  <c r="V254" i="6"/>
  <c r="X238" i="6"/>
  <c r="T238" i="6"/>
  <c r="I238" i="6"/>
  <c r="Y220" i="6"/>
  <c r="P161" i="6"/>
  <c r="U161" i="6"/>
  <c r="V161" i="6"/>
  <c r="X161" i="6"/>
  <c r="W303" i="6"/>
  <c r="I303" i="6"/>
  <c r="L284" i="6"/>
  <c r="Y255" i="6"/>
  <c r="L245" i="6"/>
  <c r="P149" i="6"/>
  <c r="H149" i="6"/>
  <c r="L149" i="6"/>
  <c r="I149" i="6"/>
  <c r="M149" i="6"/>
  <c r="V149" i="6"/>
  <c r="T149" i="6"/>
  <c r="U149" i="6"/>
  <c r="W149" i="6"/>
  <c r="X149" i="6"/>
  <c r="Y149" i="6"/>
  <c r="H220" i="6"/>
  <c r="X218" i="6"/>
  <c r="M218" i="6"/>
  <c r="T218" i="6"/>
  <c r="U218" i="6"/>
  <c r="L218" i="6"/>
  <c r="V210" i="6"/>
  <c r="P210" i="6"/>
  <c r="H199" i="6"/>
  <c r="I199" i="6"/>
  <c r="L199" i="6"/>
  <c r="M199" i="6"/>
  <c r="M143" i="6"/>
  <c r="P143" i="6"/>
  <c r="U143" i="6"/>
  <c r="V143" i="6"/>
  <c r="Y143" i="6"/>
  <c r="Y244" i="6"/>
  <c r="T244" i="6"/>
  <c r="V211" i="6"/>
  <c r="V302" i="6"/>
  <c r="Y285" i="6"/>
  <c r="X280" i="6"/>
  <c r="U269" i="6"/>
  <c r="T255" i="6"/>
  <c r="I254" i="6"/>
  <c r="V234" i="6"/>
  <c r="W234" i="6"/>
  <c r="T234" i="6"/>
  <c r="P230" i="6"/>
  <c r="T214" i="6"/>
  <c r="V289" i="6"/>
  <c r="U289" i="6"/>
  <c r="T269" i="6"/>
  <c r="P268" i="6"/>
  <c r="H268" i="6"/>
  <c r="M255" i="6"/>
  <c r="H247" i="6"/>
  <c r="J247" i="6" s="1"/>
  <c r="U247" i="6"/>
  <c r="W247" i="6"/>
  <c r="T247" i="6"/>
  <c r="X243" i="6"/>
  <c r="M219" i="6"/>
  <c r="T219" i="6"/>
  <c r="L219" i="6"/>
  <c r="V217" i="6"/>
  <c r="I214" i="6"/>
  <c r="M211" i="6"/>
  <c r="H166" i="6"/>
  <c r="I166" i="6"/>
  <c r="M166" i="6"/>
  <c r="V166" i="6"/>
  <c r="U166" i="6"/>
  <c r="W166" i="6"/>
  <c r="X166" i="6"/>
  <c r="Y166" i="6"/>
  <c r="T166" i="6"/>
  <c r="T240" i="6"/>
  <c r="V227" i="6"/>
  <c r="W227" i="6"/>
  <c r="I209" i="6"/>
  <c r="P209" i="6"/>
  <c r="L208" i="6"/>
  <c r="P208" i="6"/>
  <c r="H188" i="6"/>
  <c r="P188" i="6"/>
  <c r="U118" i="6"/>
  <c r="P118" i="6"/>
  <c r="W118" i="6"/>
  <c r="H118" i="6"/>
  <c r="I118" i="6"/>
  <c r="L118" i="6"/>
  <c r="V118" i="6"/>
  <c r="X118" i="6"/>
  <c r="Y118" i="6"/>
  <c r="X175" i="6"/>
  <c r="U175" i="6"/>
  <c r="Y175" i="6"/>
  <c r="P175" i="6"/>
  <c r="H102" i="6"/>
  <c r="I102" i="6"/>
  <c r="V102" i="6"/>
  <c r="W102" i="6"/>
  <c r="X102" i="6"/>
  <c r="L102" i="6"/>
  <c r="M102" i="6"/>
  <c r="P102" i="6"/>
  <c r="U102" i="6"/>
  <c r="Y102" i="6"/>
  <c r="H150" i="6"/>
  <c r="I150" i="6"/>
  <c r="T150" i="6"/>
  <c r="Y140" i="6"/>
  <c r="H140" i="6"/>
  <c r="I140" i="6"/>
  <c r="L140" i="6"/>
  <c r="W140" i="6"/>
  <c r="X130" i="6"/>
  <c r="M130" i="6"/>
  <c r="H130" i="6"/>
  <c r="I130" i="6"/>
  <c r="P130" i="6"/>
  <c r="Y130" i="6"/>
  <c r="I122" i="6"/>
  <c r="H122" i="6"/>
  <c r="L122" i="6"/>
  <c r="P122" i="6"/>
  <c r="T122" i="6"/>
  <c r="U122" i="6"/>
  <c r="V122" i="6"/>
  <c r="W122" i="6"/>
  <c r="M122" i="6"/>
  <c r="X117" i="6"/>
  <c r="V117" i="6"/>
  <c r="H117" i="6"/>
  <c r="W117" i="6"/>
  <c r="V142" i="6"/>
  <c r="M142" i="6"/>
  <c r="I39" i="6"/>
  <c r="T39" i="6"/>
  <c r="U39" i="6"/>
  <c r="U132" i="6"/>
  <c r="X132" i="6"/>
  <c r="V128" i="6"/>
  <c r="Y128" i="6"/>
  <c r="X128" i="6"/>
  <c r="X119" i="6"/>
  <c r="M119" i="6"/>
  <c r="P119" i="6"/>
  <c r="Y119" i="6"/>
  <c r="H119" i="6"/>
  <c r="L119" i="6"/>
  <c r="T119" i="6"/>
  <c r="W119" i="6"/>
  <c r="U101" i="6"/>
  <c r="V101" i="6"/>
  <c r="W101" i="6"/>
  <c r="H101" i="6"/>
  <c r="T101" i="6"/>
  <c r="I186" i="6"/>
  <c r="W186" i="6"/>
  <c r="W176" i="6"/>
  <c r="U176" i="6"/>
  <c r="Y150" i="6"/>
  <c r="V124" i="6"/>
  <c r="X124" i="6"/>
  <c r="Y124" i="6"/>
  <c r="H124" i="6"/>
  <c r="I124" i="6"/>
  <c r="L124" i="6"/>
  <c r="T124" i="6"/>
  <c r="W124" i="6"/>
  <c r="M191" i="6"/>
  <c r="W191" i="6"/>
  <c r="T191" i="6"/>
  <c r="P191" i="6"/>
  <c r="H182" i="6"/>
  <c r="M182" i="6"/>
  <c r="U174" i="6"/>
  <c r="H174" i="6"/>
  <c r="J174" i="6" s="1"/>
  <c r="L174" i="6"/>
  <c r="Y157" i="6"/>
  <c r="I157" i="6"/>
  <c r="M157" i="6"/>
  <c r="P157" i="6"/>
  <c r="X150" i="6"/>
  <c r="X144" i="6"/>
  <c r="P144" i="6"/>
  <c r="T144" i="6"/>
  <c r="U144" i="6"/>
  <c r="M144" i="6"/>
  <c r="V175" i="6"/>
  <c r="W150" i="6"/>
  <c r="W141" i="6"/>
  <c r="Y141" i="6"/>
  <c r="M77" i="6"/>
  <c r="T77" i="6"/>
  <c r="U77" i="6"/>
  <c r="V77" i="6"/>
  <c r="Y77" i="6"/>
  <c r="H77" i="6"/>
  <c r="I77" i="6"/>
  <c r="L77" i="6"/>
  <c r="I204" i="6"/>
  <c r="W204" i="6"/>
  <c r="T196" i="6"/>
  <c r="X196" i="6"/>
  <c r="W196" i="6"/>
  <c r="L194" i="6"/>
  <c r="T194" i="6"/>
  <c r="M175" i="6"/>
  <c r="V150" i="6"/>
  <c r="X136" i="6"/>
  <c r="L136" i="6"/>
  <c r="V136" i="6"/>
  <c r="T136" i="6"/>
  <c r="U136" i="6"/>
  <c r="W136" i="6"/>
  <c r="H136" i="6"/>
  <c r="H100" i="6"/>
  <c r="P100" i="6"/>
  <c r="U100" i="6"/>
  <c r="Y100" i="6"/>
  <c r="V100" i="6"/>
  <c r="W100" i="6"/>
  <c r="X100" i="6"/>
  <c r="I100" i="6"/>
  <c r="V240" i="6"/>
  <c r="L175" i="6"/>
  <c r="V160" i="6"/>
  <c r="Y160" i="6"/>
  <c r="T160" i="6"/>
  <c r="U160" i="6"/>
  <c r="X160" i="6"/>
  <c r="U150" i="6"/>
  <c r="X140" i="6"/>
  <c r="V131" i="6"/>
  <c r="L131" i="6"/>
  <c r="T131" i="6"/>
  <c r="U131" i="6"/>
  <c r="X131" i="6"/>
  <c r="Y131" i="6"/>
  <c r="I127" i="6"/>
  <c r="W127" i="6"/>
  <c r="X127" i="6"/>
  <c r="L127" i="6"/>
  <c r="T127" i="6"/>
  <c r="U127" i="6"/>
  <c r="V110" i="6"/>
  <c r="M110" i="6"/>
  <c r="P110" i="6"/>
  <c r="U110" i="6"/>
  <c r="L110" i="6"/>
  <c r="P105" i="6"/>
  <c r="I105" i="6"/>
  <c r="T105" i="6"/>
  <c r="X105" i="6"/>
  <c r="U105" i="6"/>
  <c r="V105" i="6"/>
  <c r="W105" i="6"/>
  <c r="Y182" i="6"/>
  <c r="I175" i="6"/>
  <c r="V140" i="6"/>
  <c r="M189" i="6"/>
  <c r="U189" i="6"/>
  <c r="V187" i="6"/>
  <c r="L187" i="6"/>
  <c r="P133" i="6"/>
  <c r="T133" i="6"/>
  <c r="W133" i="6"/>
  <c r="W111" i="6"/>
  <c r="U103" i="6"/>
  <c r="U98" i="6"/>
  <c r="Y98" i="6"/>
  <c r="T98" i="6"/>
  <c r="U126" i="6"/>
  <c r="V126" i="6"/>
  <c r="Y126" i="6"/>
  <c r="L94" i="6"/>
  <c r="V158" i="6"/>
  <c r="Y158" i="6"/>
  <c r="M152" i="6"/>
  <c r="V152" i="6"/>
  <c r="P139" i="6"/>
  <c r="X126" i="6"/>
  <c r="I94" i="6"/>
  <c r="W126" i="6"/>
  <c r="X108" i="6"/>
  <c r="I108" i="6"/>
  <c r="M106" i="6"/>
  <c r="U106" i="6"/>
  <c r="V106" i="6"/>
  <c r="X106" i="6"/>
  <c r="L111" i="6"/>
  <c r="Y111" i="6"/>
  <c r="W192" i="6"/>
  <c r="Y192" i="6"/>
  <c r="X171" i="6"/>
  <c r="L171" i="6"/>
  <c r="W171" i="6"/>
  <c r="P126" i="6"/>
  <c r="P98" i="6"/>
  <c r="H53" i="6"/>
  <c r="I53" i="6"/>
  <c r="L53" i="6"/>
  <c r="M53" i="6"/>
  <c r="P53" i="6"/>
  <c r="V53" i="6"/>
  <c r="U53" i="6"/>
  <c r="W53" i="6"/>
  <c r="X53" i="6"/>
  <c r="Y53" i="6"/>
  <c r="T53" i="6"/>
  <c r="I156" i="6"/>
  <c r="V156" i="6"/>
  <c r="M126" i="6"/>
  <c r="M98" i="6"/>
  <c r="T177" i="6"/>
  <c r="Y177" i="6"/>
  <c r="M158" i="6"/>
  <c r="L126" i="6"/>
  <c r="Y103" i="6"/>
  <c r="L98" i="6"/>
  <c r="L158" i="6"/>
  <c r="X111" i="6"/>
  <c r="X103" i="6"/>
  <c r="I98" i="6"/>
  <c r="J98" i="6" s="1"/>
  <c r="K98" i="6" s="1"/>
  <c r="L69" i="6"/>
  <c r="P69" i="6"/>
  <c r="T69" i="6"/>
  <c r="U69" i="6"/>
  <c r="V69" i="6"/>
  <c r="M61" i="6"/>
  <c r="I61" i="6"/>
  <c r="L61" i="6"/>
  <c r="V61" i="6"/>
  <c r="I59" i="6"/>
  <c r="M59" i="6"/>
  <c r="P59" i="6"/>
  <c r="T59" i="6"/>
  <c r="U90" i="6"/>
  <c r="V90" i="6"/>
  <c r="H83" i="6"/>
  <c r="T83" i="6"/>
  <c r="U83" i="6"/>
  <c r="V83" i="6"/>
  <c r="W46" i="6"/>
  <c r="X46" i="6"/>
  <c r="Y46" i="6"/>
  <c r="M78" i="6"/>
  <c r="T78" i="6"/>
  <c r="U78" i="6"/>
  <c r="V78" i="6"/>
  <c r="W78" i="6"/>
  <c r="W76" i="6"/>
  <c r="I76" i="6"/>
  <c r="J76" i="6" s="1"/>
  <c r="V76" i="6"/>
  <c r="Y76" i="6"/>
  <c r="T62" i="6"/>
  <c r="W55" i="6"/>
  <c r="X55" i="6"/>
  <c r="Y55" i="6"/>
  <c r="T97" i="6"/>
  <c r="U97" i="6"/>
  <c r="W97" i="6"/>
  <c r="X97" i="6"/>
  <c r="X73" i="6"/>
  <c r="H73" i="6"/>
  <c r="H70" i="6"/>
  <c r="U70" i="6"/>
  <c r="Y70" i="6"/>
  <c r="W17" i="6"/>
  <c r="I17" i="6"/>
  <c r="M17" i="6"/>
  <c r="U17" i="6"/>
  <c r="V17" i="6"/>
  <c r="S23" i="1"/>
  <c r="S21" i="1"/>
  <c r="S22" i="1"/>
  <c r="Y89" i="6"/>
  <c r="H89" i="6"/>
  <c r="M89" i="6"/>
  <c r="P89" i="6"/>
  <c r="V89" i="6"/>
  <c r="W79" i="6"/>
  <c r="H79" i="6"/>
  <c r="J79" i="6" s="1"/>
  <c r="P79" i="6"/>
  <c r="U79" i="6"/>
  <c r="Y69" i="6"/>
  <c r="L58" i="6"/>
  <c r="M58" i="6"/>
  <c r="V58" i="6"/>
  <c r="W45" i="6"/>
  <c r="L45" i="6"/>
  <c r="M45" i="6"/>
  <c r="W69" i="6"/>
  <c r="L38" i="6"/>
  <c r="P38" i="6"/>
  <c r="T38" i="6"/>
  <c r="V38" i="6"/>
  <c r="U30" i="6"/>
  <c r="H30" i="6"/>
  <c r="I30" i="6"/>
  <c r="L30" i="6"/>
  <c r="M30" i="6"/>
  <c r="P30" i="6"/>
  <c r="T30" i="6"/>
  <c r="Y125" i="6"/>
  <c r="T125" i="6"/>
  <c r="Y97" i="6"/>
  <c r="M69" i="6"/>
  <c r="L54" i="6"/>
  <c r="U54" i="6"/>
  <c r="V54" i="6"/>
  <c r="H7" i="6"/>
  <c r="I7" i="6"/>
  <c r="L7" i="6"/>
  <c r="W7" i="6"/>
  <c r="X7" i="6"/>
  <c r="P95" i="6"/>
  <c r="Y95" i="6"/>
  <c r="T90" i="6"/>
  <c r="H86" i="6"/>
  <c r="I86" i="6"/>
  <c r="L86" i="6"/>
  <c r="Y78" i="6"/>
  <c r="I69" i="6"/>
  <c r="I60" i="6"/>
  <c r="L60" i="6"/>
  <c r="M60" i="6"/>
  <c r="P60" i="6"/>
  <c r="T60" i="6"/>
  <c r="W60" i="6"/>
  <c r="W32" i="6"/>
  <c r="H32" i="6"/>
  <c r="L32" i="6"/>
  <c r="M32" i="6"/>
  <c r="U32" i="6"/>
  <c r="V32" i="6"/>
  <c r="M27" i="6"/>
  <c r="P27" i="6"/>
  <c r="U27" i="6"/>
  <c r="V112" i="6"/>
  <c r="I112" i="6"/>
  <c r="H90" i="6"/>
  <c r="U84" i="6"/>
  <c r="V84" i="6"/>
  <c r="W84" i="6"/>
  <c r="Y84" i="6"/>
  <c r="X78" i="6"/>
  <c r="V62" i="6"/>
  <c r="W62" i="6"/>
  <c r="X62" i="6"/>
  <c r="X59" i="6"/>
  <c r="H104" i="6"/>
  <c r="L104" i="6"/>
  <c r="P97" i="6"/>
  <c r="P78" i="6"/>
  <c r="X75" i="6"/>
  <c r="H75" i="6"/>
  <c r="I75" i="6"/>
  <c r="L75" i="6"/>
  <c r="Y73" i="6"/>
  <c r="U59" i="6"/>
  <c r="W114" i="6"/>
  <c r="I114" i="6"/>
  <c r="Y112" i="6"/>
  <c r="M97" i="6"/>
  <c r="L78" i="6"/>
  <c r="W73" i="6"/>
  <c r="H26" i="6"/>
  <c r="L26" i="6"/>
  <c r="M26" i="6"/>
  <c r="P26" i="6"/>
  <c r="T26" i="6"/>
  <c r="U26" i="6"/>
  <c r="V26" i="6"/>
  <c r="X26" i="6"/>
  <c r="I78" i="6"/>
  <c r="J78" i="6" s="1"/>
  <c r="V29" i="6"/>
  <c r="W16" i="6"/>
  <c r="X34" i="6"/>
  <c r="U29" i="6"/>
  <c r="P24" i="6"/>
  <c r="V16" i="6"/>
  <c r="T29" i="6"/>
  <c r="U16" i="6"/>
  <c r="M24" i="6"/>
  <c r="P22" i="6"/>
  <c r="T16" i="6"/>
  <c r="U34" i="6"/>
  <c r="W33" i="6"/>
  <c r="L29" i="6"/>
  <c r="L24" i="6"/>
  <c r="L22" i="6"/>
  <c r="T8" i="6"/>
  <c r="X56" i="6"/>
  <c r="X41" i="6"/>
  <c r="X40" i="6"/>
  <c r="T34" i="6"/>
  <c r="V33" i="6"/>
  <c r="I29" i="6"/>
  <c r="I24" i="6"/>
  <c r="I22" i="6"/>
  <c r="M16" i="6"/>
  <c r="W41" i="6"/>
  <c r="U33" i="6"/>
  <c r="H29" i="6"/>
  <c r="H24" i="6"/>
  <c r="H22" i="6"/>
  <c r="P8" i="6"/>
  <c r="V56" i="6"/>
  <c r="U41" i="6"/>
  <c r="V40" i="6"/>
  <c r="P34" i="6"/>
  <c r="T33" i="6"/>
  <c r="X18" i="6"/>
  <c r="M8" i="6"/>
  <c r="Y91" i="6"/>
  <c r="Y71" i="6"/>
  <c r="X66" i="6"/>
  <c r="M34" i="6"/>
  <c r="V18" i="6"/>
  <c r="L8" i="6"/>
  <c r="W49" i="6"/>
  <c r="P41" i="6"/>
  <c r="L34" i="6"/>
  <c r="U18" i="6"/>
  <c r="U91" i="6"/>
  <c r="X36" i="6"/>
  <c r="V19" i="6"/>
  <c r="H8" i="6"/>
  <c r="J8" i="6" s="1"/>
  <c r="L300" i="6"/>
  <c r="Y310" i="6"/>
  <c r="W305" i="6"/>
  <c r="V300" i="6"/>
  <c r="X298" i="6"/>
  <c r="T295" i="6"/>
  <c r="P290" i="6"/>
  <c r="T261" i="6"/>
  <c r="U261" i="6"/>
  <c r="H261" i="6"/>
  <c r="X261" i="6"/>
  <c r="I261" i="6"/>
  <c r="M261" i="6"/>
  <c r="P261" i="6"/>
  <c r="T305" i="6"/>
  <c r="T282" i="6"/>
  <c r="W282" i="6"/>
  <c r="I282" i="6"/>
  <c r="Y282" i="6"/>
  <c r="X282" i="6"/>
  <c r="I281" i="6"/>
  <c r="V257" i="6"/>
  <c r="H257" i="6"/>
  <c r="X257" i="6"/>
  <c r="I257" i="6"/>
  <c r="Y257" i="6"/>
  <c r="L257" i="6"/>
  <c r="T257" i="6"/>
  <c r="U257" i="6"/>
  <c r="W257" i="6"/>
  <c r="M257" i="6"/>
  <c r="P307" i="6"/>
  <c r="L291" i="6"/>
  <c r="T291" i="6"/>
  <c r="M290" i="6"/>
  <c r="X289" i="6"/>
  <c r="M285" i="6"/>
  <c r="P285" i="6"/>
  <c r="T285" i="6"/>
  <c r="U282" i="6"/>
  <c r="H281" i="6"/>
  <c r="W279" i="6"/>
  <c r="L275" i="6"/>
  <c r="T275" i="6"/>
  <c r="P275" i="6"/>
  <c r="U262" i="6"/>
  <c r="W262" i="6"/>
  <c r="H262" i="6"/>
  <c r="X262" i="6"/>
  <c r="M262" i="6"/>
  <c r="T262" i="6"/>
  <c r="V262" i="6"/>
  <c r="I262" i="6"/>
  <c r="L262" i="6"/>
  <c r="V260" i="6"/>
  <c r="W252" i="6"/>
  <c r="I252" i="6"/>
  <c r="Y252" i="6"/>
  <c r="M252" i="6"/>
  <c r="L252" i="6"/>
  <c r="P252" i="6"/>
  <c r="V293" i="6"/>
  <c r="U310" i="6"/>
  <c r="M310" i="6"/>
  <c r="X310" i="6"/>
  <c r="I298" i="6"/>
  <c r="Y298" i="6"/>
  <c r="T298" i="6"/>
  <c r="P303" i="6"/>
  <c r="H303" i="6"/>
  <c r="X303" i="6"/>
  <c r="L302" i="6"/>
  <c r="U291" i="6"/>
  <c r="L290" i="6"/>
  <c r="W289" i="6"/>
  <c r="W285" i="6"/>
  <c r="M283" i="6"/>
  <c r="V279" i="6"/>
  <c r="P239" i="6"/>
  <c r="Y239" i="6"/>
  <c r="I239" i="6"/>
  <c r="J239" i="6" s="1"/>
  <c r="M239" i="6"/>
  <c r="T239" i="6"/>
  <c r="L239" i="6"/>
  <c r="U239" i="6"/>
  <c r="V239" i="6"/>
  <c r="W239" i="6"/>
  <c r="T300" i="6"/>
  <c r="P293" i="6"/>
  <c r="V285" i="6"/>
  <c r="U279" i="6"/>
  <c r="W275" i="6"/>
  <c r="W249" i="6"/>
  <c r="Y245" i="6"/>
  <c r="H242" i="6"/>
  <c r="X242" i="6"/>
  <c r="I242" i="6"/>
  <c r="Y242" i="6"/>
  <c r="W242" i="6"/>
  <c r="M242" i="6"/>
  <c r="L242" i="6"/>
  <c r="P242" i="6"/>
  <c r="T242" i="6"/>
  <c r="U242" i="6"/>
  <c r="V242" i="6"/>
  <c r="V313" i="6"/>
  <c r="H313" i="6"/>
  <c r="P310" i="6"/>
  <c r="W308" i="6"/>
  <c r="L308" i="6"/>
  <c r="M307" i="6"/>
  <c r="P305" i="6"/>
  <c r="T303" i="6"/>
  <c r="P300" i="6"/>
  <c r="P298" i="6"/>
  <c r="H297" i="6"/>
  <c r="M295" i="6"/>
  <c r="H292" i="6"/>
  <c r="T289" i="6"/>
  <c r="U285" i="6"/>
  <c r="I283" i="6"/>
  <c r="P282" i="6"/>
  <c r="T279" i="6"/>
  <c r="M260" i="6"/>
  <c r="M200" i="6"/>
  <c r="U200" i="6"/>
  <c r="Y200" i="6"/>
  <c r="H200" i="6"/>
  <c r="P200" i="6"/>
  <c r="T200" i="6"/>
  <c r="V200" i="6"/>
  <c r="W200" i="6"/>
  <c r="X200" i="6"/>
  <c r="I200" i="6"/>
  <c r="L200" i="6"/>
  <c r="T308" i="6"/>
  <c r="I302" i="6"/>
  <c r="M300" i="6"/>
  <c r="L295" i="6"/>
  <c r="U294" i="6"/>
  <c r="M294" i="6"/>
  <c r="H290" i="6"/>
  <c r="W284" i="6"/>
  <c r="M284" i="6"/>
  <c r="Y284" i="6"/>
  <c r="H284" i="6"/>
  <c r="J284" i="6" s="1"/>
  <c r="H283" i="6"/>
  <c r="U277" i="6"/>
  <c r="H277" i="6"/>
  <c r="X277" i="6"/>
  <c r="L277" i="6"/>
  <c r="M277" i="6"/>
  <c r="I274" i="6"/>
  <c r="J274" i="6" s="1"/>
  <c r="Y274" i="6"/>
  <c r="L274" i="6"/>
  <c r="U274" i="6"/>
  <c r="X274" i="6"/>
  <c r="Y261" i="6"/>
  <c r="L253" i="6"/>
  <c r="M253" i="6"/>
  <c r="P253" i="6"/>
  <c r="U253" i="6"/>
  <c r="T253" i="6"/>
  <c r="V253" i="6"/>
  <c r="W253" i="6"/>
  <c r="Y253" i="6"/>
  <c r="H253" i="6"/>
  <c r="I253" i="6"/>
  <c r="T281" i="6"/>
  <c r="V281" i="6"/>
  <c r="L281" i="6"/>
  <c r="P281" i="6"/>
  <c r="W163" i="6"/>
  <c r="I163" i="6"/>
  <c r="T163" i="6"/>
  <c r="H163" i="6"/>
  <c r="L163" i="6"/>
  <c r="M163" i="6"/>
  <c r="P163" i="6"/>
  <c r="U163" i="6"/>
  <c r="V163" i="6"/>
  <c r="Y163" i="6"/>
  <c r="X163" i="6"/>
  <c r="H311" i="6"/>
  <c r="X311" i="6"/>
  <c r="P311" i="6"/>
  <c r="M311" i="6"/>
  <c r="L310" i="6"/>
  <c r="I307" i="6"/>
  <c r="I306" i="6"/>
  <c r="Y306" i="6"/>
  <c r="L305" i="6"/>
  <c r="Y302" i="6"/>
  <c r="T299" i="6"/>
  <c r="L299" i="6"/>
  <c r="H299" i="6"/>
  <c r="M298" i="6"/>
  <c r="L293" i="6"/>
  <c r="U284" i="6"/>
  <c r="M282" i="6"/>
  <c r="X281" i="6"/>
  <c r="W277" i="6"/>
  <c r="V274" i="6"/>
  <c r="V273" i="6"/>
  <c r="I273" i="6"/>
  <c r="J273" i="6" s="1"/>
  <c r="Y273" i="6"/>
  <c r="L273" i="6"/>
  <c r="M273" i="6"/>
  <c r="P273" i="6"/>
  <c r="Y262" i="6"/>
  <c r="V261" i="6"/>
  <c r="L259" i="6"/>
  <c r="T259" i="6"/>
  <c r="H259" i="6"/>
  <c r="I259" i="6"/>
  <c r="M259" i="6"/>
  <c r="P259" i="6"/>
  <c r="U259" i="6"/>
  <c r="X252" i="6"/>
  <c r="P313" i="6"/>
  <c r="P308" i="6"/>
  <c r="I305" i="6"/>
  <c r="M303" i="6"/>
  <c r="I300" i="6"/>
  <c r="V297" i="6"/>
  <c r="L297" i="6"/>
  <c r="I293" i="6"/>
  <c r="W292" i="6"/>
  <c r="M291" i="6"/>
  <c r="M289" i="6"/>
  <c r="L285" i="6"/>
  <c r="U281" i="6"/>
  <c r="T277" i="6"/>
  <c r="M275" i="6"/>
  <c r="L261" i="6"/>
  <c r="U252" i="6"/>
  <c r="M293" i="6"/>
  <c r="Y307" i="6"/>
  <c r="H305" i="6"/>
  <c r="M302" i="6"/>
  <c r="U302" i="6"/>
  <c r="H302" i="6"/>
  <c r="H300" i="6"/>
  <c r="Y295" i="6"/>
  <c r="I290" i="6"/>
  <c r="Y290" i="6"/>
  <c r="V290" i="6"/>
  <c r="T283" i="6"/>
  <c r="W283" i="6"/>
  <c r="L283" i="6"/>
  <c r="P257" i="6"/>
  <c r="H293" i="6"/>
  <c r="H310" i="6"/>
  <c r="M308" i="6"/>
  <c r="W307" i="6"/>
  <c r="T302" i="6"/>
  <c r="H298" i="6"/>
  <c r="W295" i="6"/>
  <c r="Y293" i="6"/>
  <c r="T290" i="6"/>
  <c r="X283" i="6"/>
  <c r="H282" i="6"/>
  <c r="U260" i="6"/>
  <c r="W260" i="6"/>
  <c r="P260" i="6"/>
  <c r="T260" i="6"/>
  <c r="X260" i="6"/>
  <c r="Y260" i="6"/>
  <c r="H260" i="6"/>
  <c r="I260" i="6"/>
  <c r="P249" i="6"/>
  <c r="T249" i="6"/>
  <c r="V249" i="6"/>
  <c r="I249" i="6"/>
  <c r="Y249" i="6"/>
  <c r="L249" i="6"/>
  <c r="M249" i="6"/>
  <c r="T245" i="6"/>
  <c r="U245" i="6"/>
  <c r="H245" i="6"/>
  <c r="X245" i="6"/>
  <c r="M245" i="6"/>
  <c r="I245" i="6"/>
  <c r="P245" i="6"/>
  <c r="V245" i="6"/>
  <c r="X239" i="6"/>
  <c r="V305" i="6"/>
  <c r="W281" i="6"/>
  <c r="I310" i="6"/>
  <c r="I314" i="6"/>
  <c r="J314" i="6" s="1"/>
  <c r="Y314" i="6"/>
  <c r="M313" i="6"/>
  <c r="T314" i="6"/>
  <c r="L313" i="6"/>
  <c r="Y305" i="6"/>
  <c r="Y300" i="6"/>
  <c r="P299" i="6"/>
  <c r="X293" i="6"/>
  <c r="H291" i="6"/>
  <c r="H285" i="6"/>
  <c r="P284" i="6"/>
  <c r="V283" i="6"/>
  <c r="U276" i="6"/>
  <c r="W276" i="6"/>
  <c r="V276" i="6"/>
  <c r="X276" i="6"/>
  <c r="H275" i="6"/>
  <c r="J275" i="6" s="1"/>
  <c r="T273" i="6"/>
  <c r="L269" i="6"/>
  <c r="M269" i="6"/>
  <c r="P269" i="6"/>
  <c r="I269" i="6"/>
  <c r="X253" i="6"/>
  <c r="H252" i="6"/>
  <c r="M305" i="6"/>
  <c r="L307" i="6"/>
  <c r="T307" i="6"/>
  <c r="X307" i="6"/>
  <c r="X305" i="6"/>
  <c r="X300" i="6"/>
  <c r="H295" i="6"/>
  <c r="X295" i="6"/>
  <c r="P295" i="6"/>
  <c r="W293" i="6"/>
  <c r="M281" i="6"/>
  <c r="H279" i="6"/>
  <c r="X279" i="6"/>
  <c r="P279" i="6"/>
  <c r="L185" i="6"/>
  <c r="W185" i="6"/>
  <c r="Y185" i="6"/>
  <c r="I185" i="6"/>
  <c r="M185" i="6"/>
  <c r="T185" i="6"/>
  <c r="U185" i="6"/>
  <c r="V185" i="6"/>
  <c r="X185" i="6"/>
  <c r="P185" i="6"/>
  <c r="H185" i="6"/>
  <c r="I221" i="6"/>
  <c r="Y221" i="6"/>
  <c r="P221" i="6"/>
  <c r="T221" i="6"/>
  <c r="V221" i="6"/>
  <c r="X221" i="6"/>
  <c r="H221" i="6"/>
  <c r="V183" i="6"/>
  <c r="M183" i="6"/>
  <c r="L183" i="6"/>
  <c r="P183" i="6"/>
  <c r="U183" i="6"/>
  <c r="W183" i="6"/>
  <c r="X183" i="6"/>
  <c r="I183" i="6"/>
  <c r="H183" i="6"/>
  <c r="T183" i="6"/>
  <c r="Y183" i="6"/>
  <c r="T251" i="6"/>
  <c r="V251" i="6"/>
  <c r="W251" i="6"/>
  <c r="L251" i="6"/>
  <c r="P243" i="6"/>
  <c r="M233" i="6"/>
  <c r="V233" i="6"/>
  <c r="W233" i="6"/>
  <c r="X233" i="6"/>
  <c r="Y233" i="6"/>
  <c r="H233" i="6"/>
  <c r="L233" i="6"/>
  <c r="P233" i="6"/>
  <c r="L222" i="6"/>
  <c r="M222" i="6"/>
  <c r="W222" i="6"/>
  <c r="X222" i="6"/>
  <c r="Y222" i="6"/>
  <c r="H222" i="6"/>
  <c r="I222" i="6"/>
  <c r="W201" i="6"/>
  <c r="I201" i="6"/>
  <c r="J201" i="6" s="1"/>
  <c r="K201" i="6" s="1"/>
  <c r="Y201" i="6"/>
  <c r="P201" i="6"/>
  <c r="V201" i="6"/>
  <c r="L201" i="6"/>
  <c r="M201" i="6"/>
  <c r="T201" i="6"/>
  <c r="X201" i="6"/>
  <c r="H263" i="6"/>
  <c r="J263" i="6" s="1"/>
  <c r="X263" i="6"/>
  <c r="P263" i="6"/>
  <c r="X251" i="6"/>
  <c r="M243" i="6"/>
  <c r="I237" i="6"/>
  <c r="J237" i="6" s="1"/>
  <c r="Y237" i="6"/>
  <c r="M237" i="6"/>
  <c r="V237" i="6"/>
  <c r="P223" i="6"/>
  <c r="L223" i="6"/>
  <c r="M223" i="6"/>
  <c r="T223" i="6"/>
  <c r="V223" i="6"/>
  <c r="X223" i="6"/>
  <c r="Y223" i="6"/>
  <c r="I258" i="6"/>
  <c r="Y258" i="6"/>
  <c r="L258" i="6"/>
  <c r="U251" i="6"/>
  <c r="V236" i="6"/>
  <c r="W236" i="6"/>
  <c r="T236" i="6"/>
  <c r="X236" i="6"/>
  <c r="Y236" i="6"/>
  <c r="H236" i="6"/>
  <c r="L236" i="6"/>
  <c r="W231" i="6"/>
  <c r="H231" i="6"/>
  <c r="X231" i="6"/>
  <c r="I231" i="6"/>
  <c r="L231" i="6"/>
  <c r="P231" i="6"/>
  <c r="V206" i="6"/>
  <c r="I206" i="6"/>
  <c r="L206" i="6"/>
  <c r="P206" i="6"/>
  <c r="H206" i="6"/>
  <c r="M206" i="6"/>
  <c r="U206" i="6"/>
  <c r="W206" i="6"/>
  <c r="W268" i="6"/>
  <c r="I268" i="6"/>
  <c r="Y268" i="6"/>
  <c r="M268" i="6"/>
  <c r="I267" i="6"/>
  <c r="L210" i="6"/>
  <c r="Y210" i="6"/>
  <c r="H210" i="6"/>
  <c r="I210" i="6"/>
  <c r="M210" i="6"/>
  <c r="T210" i="6"/>
  <c r="U278" i="6"/>
  <c r="H278" i="6"/>
  <c r="X278" i="6"/>
  <c r="M278" i="6"/>
  <c r="V268" i="6"/>
  <c r="H267" i="6"/>
  <c r="U263" i="6"/>
  <c r="V258" i="6"/>
  <c r="U244" i="6"/>
  <c r="W244" i="6"/>
  <c r="I243" i="6"/>
  <c r="P229" i="6"/>
  <c r="U229" i="6"/>
  <c r="W229" i="6"/>
  <c r="H229" i="6"/>
  <c r="Y229" i="6"/>
  <c r="I229" i="6"/>
  <c r="V222" i="6"/>
  <c r="W221" i="6"/>
  <c r="X213" i="6"/>
  <c r="H213" i="6"/>
  <c r="J213" i="6" s="1"/>
  <c r="Y213" i="6"/>
  <c r="L213" i="6"/>
  <c r="M213" i="6"/>
  <c r="P213" i="6"/>
  <c r="T213" i="6"/>
  <c r="V213" i="6"/>
  <c r="W213" i="6"/>
  <c r="V278" i="6"/>
  <c r="U268" i="6"/>
  <c r="T263" i="6"/>
  <c r="U258" i="6"/>
  <c r="V244" i="6"/>
  <c r="H243" i="6"/>
  <c r="X237" i="6"/>
  <c r="U236" i="6"/>
  <c r="U233" i="6"/>
  <c r="W223" i="6"/>
  <c r="U222" i="6"/>
  <c r="U221" i="6"/>
  <c r="W217" i="6"/>
  <c r="I217" i="6"/>
  <c r="X217" i="6"/>
  <c r="Y217" i="6"/>
  <c r="H217" i="6"/>
  <c r="M217" i="6"/>
  <c r="P204" i="6"/>
  <c r="U204" i="6"/>
  <c r="H204" i="6"/>
  <c r="Y204" i="6"/>
  <c r="L204" i="6"/>
  <c r="M204" i="6"/>
  <c r="V204" i="6"/>
  <c r="X204" i="6"/>
  <c r="H173" i="6"/>
  <c r="X173" i="6"/>
  <c r="Y173" i="6"/>
  <c r="T173" i="6"/>
  <c r="U173" i="6"/>
  <c r="I173" i="6"/>
  <c r="L173" i="6"/>
  <c r="P173" i="6"/>
  <c r="V173" i="6"/>
  <c r="M173" i="6"/>
  <c r="W173" i="6"/>
  <c r="P265" i="6"/>
  <c r="T265" i="6"/>
  <c r="V265" i="6"/>
  <c r="U237" i="6"/>
  <c r="V231" i="6"/>
  <c r="L215" i="6"/>
  <c r="M215" i="6"/>
  <c r="P215" i="6"/>
  <c r="T215" i="6"/>
  <c r="V215" i="6"/>
  <c r="W215" i="6"/>
  <c r="W265" i="6"/>
  <c r="M251" i="6"/>
  <c r="U246" i="6"/>
  <c r="W246" i="6"/>
  <c r="H246" i="6"/>
  <c r="X246" i="6"/>
  <c r="M246" i="6"/>
  <c r="P246" i="6"/>
  <c r="U231" i="6"/>
  <c r="U225" i="6"/>
  <c r="V225" i="6"/>
  <c r="W225" i="6"/>
  <c r="X225" i="6"/>
  <c r="Y225" i="6"/>
  <c r="H225" i="6"/>
  <c r="I225" i="6"/>
  <c r="M225" i="6"/>
  <c r="P225" i="6"/>
  <c r="T267" i="6"/>
  <c r="V267" i="6"/>
  <c r="W267" i="6"/>
  <c r="L267" i="6"/>
  <c r="H226" i="6"/>
  <c r="X226" i="6"/>
  <c r="I226" i="6"/>
  <c r="Y226" i="6"/>
  <c r="L226" i="6"/>
  <c r="M226" i="6"/>
  <c r="P226" i="6"/>
  <c r="T226" i="6"/>
  <c r="V226" i="6"/>
  <c r="W226" i="6"/>
  <c r="P222" i="6"/>
  <c r="M221" i="6"/>
  <c r="X210" i="6"/>
  <c r="U201" i="6"/>
  <c r="L243" i="6"/>
  <c r="T243" i="6"/>
  <c r="W243" i="6"/>
  <c r="L221" i="6"/>
  <c r="W210" i="6"/>
  <c r="Y206" i="6"/>
  <c r="M230" i="6"/>
  <c r="P214" i="6"/>
  <c r="I211" i="6"/>
  <c r="P207" i="6"/>
  <c r="T198" i="6"/>
  <c r="L230" i="6"/>
  <c r="V220" i="6"/>
  <c r="W220" i="6"/>
  <c r="H211" i="6"/>
  <c r="M207" i="6"/>
  <c r="X287" i="6"/>
  <c r="H287" i="6"/>
  <c r="U286" i="6"/>
  <c r="X271" i="6"/>
  <c r="H271" i="6"/>
  <c r="U270" i="6"/>
  <c r="Y266" i="6"/>
  <c r="I266" i="6"/>
  <c r="J266" i="6" s="1"/>
  <c r="X255" i="6"/>
  <c r="H255" i="6"/>
  <c r="Y250" i="6"/>
  <c r="I250" i="6"/>
  <c r="J250" i="6" s="1"/>
  <c r="P247" i="6"/>
  <c r="H241" i="6"/>
  <c r="J241" i="6" s="1"/>
  <c r="H238" i="6"/>
  <c r="P234" i="6"/>
  <c r="I227" i="6"/>
  <c r="Y211" i="6"/>
  <c r="V287" i="6"/>
  <c r="V271" i="6"/>
  <c r="W266" i="6"/>
  <c r="V255" i="6"/>
  <c r="W250" i="6"/>
  <c r="H230" i="6"/>
  <c r="J230" i="6" s="1"/>
  <c r="P228" i="6"/>
  <c r="Y227" i="6"/>
  <c r="H214" i="6"/>
  <c r="W211" i="6"/>
  <c r="H207" i="6"/>
  <c r="X230" i="6"/>
  <c r="M220" i="6"/>
  <c r="T216" i="6"/>
  <c r="V216" i="6"/>
  <c r="W216" i="6"/>
  <c r="Y214" i="6"/>
  <c r="T211" i="6"/>
  <c r="M203" i="6"/>
  <c r="L203" i="6"/>
  <c r="P203" i="6"/>
  <c r="T203" i="6"/>
  <c r="L195" i="6"/>
  <c r="X195" i="6"/>
  <c r="Y195" i="6"/>
  <c r="H195" i="6"/>
  <c r="I195" i="6"/>
  <c r="P195" i="6"/>
  <c r="W195" i="6"/>
  <c r="H193" i="6"/>
  <c r="X193" i="6"/>
  <c r="U193" i="6"/>
  <c r="I193" i="6"/>
  <c r="Y193" i="6"/>
  <c r="T266" i="6"/>
  <c r="T250" i="6"/>
  <c r="U241" i="6"/>
  <c r="V241" i="6"/>
  <c r="L238" i="6"/>
  <c r="M238" i="6"/>
  <c r="W230" i="6"/>
  <c r="L220" i="6"/>
  <c r="X214" i="6"/>
  <c r="X209" i="6"/>
  <c r="H209" i="6"/>
  <c r="Y209" i="6"/>
  <c r="X203" i="6"/>
  <c r="X194" i="6"/>
  <c r="I194" i="6"/>
  <c r="P194" i="6"/>
  <c r="W194" i="6"/>
  <c r="H194" i="6"/>
  <c r="H191" i="6"/>
  <c r="I191" i="6"/>
  <c r="L191" i="6"/>
  <c r="U191" i="6"/>
  <c r="Y191" i="6"/>
  <c r="L227" i="6"/>
  <c r="W203" i="6"/>
  <c r="W162" i="6"/>
  <c r="U162" i="6"/>
  <c r="Y162" i="6"/>
  <c r="M162" i="6"/>
  <c r="P162" i="6"/>
  <c r="T162" i="6"/>
  <c r="X162" i="6"/>
  <c r="H162" i="6"/>
  <c r="I162" i="6"/>
  <c r="L162" i="6"/>
  <c r="T230" i="6"/>
  <c r="U230" i="6"/>
  <c r="L214" i="6"/>
  <c r="M214" i="6"/>
  <c r="I207" i="6"/>
  <c r="Y207" i="6"/>
  <c r="U207" i="6"/>
  <c r="W198" i="6"/>
  <c r="I198" i="6"/>
  <c r="H198" i="6"/>
  <c r="L198" i="6"/>
  <c r="M198" i="6"/>
  <c r="V214" i="6"/>
  <c r="X247" i="6"/>
  <c r="P241" i="6"/>
  <c r="I220" i="6"/>
  <c r="P218" i="6"/>
  <c r="U214" i="6"/>
  <c r="P211" i="6"/>
  <c r="V207" i="6"/>
  <c r="U203" i="6"/>
  <c r="V195" i="6"/>
  <c r="V193" i="6"/>
  <c r="X191" i="6"/>
  <c r="M155" i="6"/>
  <c r="T155" i="6"/>
  <c r="W155" i="6"/>
  <c r="V155" i="6"/>
  <c r="I155" i="6"/>
  <c r="L155" i="6"/>
  <c r="P155" i="6"/>
  <c r="H155" i="6"/>
  <c r="U155" i="6"/>
  <c r="X155" i="6"/>
  <c r="Y155" i="6"/>
  <c r="H189" i="6"/>
  <c r="X189" i="6"/>
  <c r="W189" i="6"/>
  <c r="L189" i="6"/>
  <c r="P189" i="6"/>
  <c r="L186" i="6"/>
  <c r="I184" i="6"/>
  <c r="Y184" i="6"/>
  <c r="U184" i="6"/>
  <c r="V184" i="6"/>
  <c r="W184" i="6"/>
  <c r="X184" i="6"/>
  <c r="P181" i="6"/>
  <c r="V181" i="6"/>
  <c r="U181" i="6"/>
  <c r="W181" i="6"/>
  <c r="X181" i="6"/>
  <c r="Y181" i="6"/>
  <c r="I176" i="6"/>
  <c r="L176" i="6"/>
  <c r="V176" i="6"/>
  <c r="X176" i="6"/>
  <c r="Y176" i="6"/>
  <c r="W170" i="6"/>
  <c r="Y170" i="6"/>
  <c r="M170" i="6"/>
  <c r="H170" i="6"/>
  <c r="I170" i="6"/>
  <c r="L170" i="6"/>
  <c r="P170" i="6"/>
  <c r="M180" i="6"/>
  <c r="H180" i="6"/>
  <c r="L180" i="6"/>
  <c r="P180" i="6"/>
  <c r="L179" i="6"/>
  <c r="W179" i="6"/>
  <c r="Y179" i="6"/>
  <c r="H179" i="6"/>
  <c r="I179" i="6"/>
  <c r="U172" i="6"/>
  <c r="M172" i="6"/>
  <c r="V172" i="6"/>
  <c r="Y172" i="6"/>
  <c r="I172" i="6"/>
  <c r="L172" i="6"/>
  <c r="P172" i="6"/>
  <c r="H172" i="6"/>
  <c r="M202" i="6"/>
  <c r="H192" i="6"/>
  <c r="J192" i="6" s="1"/>
  <c r="U188" i="6"/>
  <c r="X188" i="6"/>
  <c r="I188" i="6"/>
  <c r="M184" i="6"/>
  <c r="L181" i="6"/>
  <c r="W180" i="6"/>
  <c r="V179" i="6"/>
  <c r="V170" i="6"/>
  <c r="M169" i="6"/>
  <c r="V151" i="6"/>
  <c r="U151" i="6"/>
  <c r="X151" i="6"/>
  <c r="H151" i="6"/>
  <c r="I151" i="6"/>
  <c r="L151" i="6"/>
  <c r="M151" i="6"/>
  <c r="T151" i="6"/>
  <c r="W151" i="6"/>
  <c r="I138" i="6"/>
  <c r="H138" i="6"/>
  <c r="L138" i="6"/>
  <c r="M138" i="6"/>
  <c r="T138" i="6"/>
  <c r="U138" i="6"/>
  <c r="X138" i="6"/>
  <c r="P138" i="6"/>
  <c r="V138" i="6"/>
  <c r="W138" i="6"/>
  <c r="Y138" i="6"/>
  <c r="W123" i="6"/>
  <c r="U123" i="6"/>
  <c r="X123" i="6"/>
  <c r="H123" i="6"/>
  <c r="Y123" i="6"/>
  <c r="I123" i="6"/>
  <c r="L123" i="6"/>
  <c r="M123" i="6"/>
  <c r="P123" i="6"/>
  <c r="T123" i="6"/>
  <c r="V123" i="6"/>
  <c r="T186" i="6"/>
  <c r="V180" i="6"/>
  <c r="U179" i="6"/>
  <c r="V167" i="6"/>
  <c r="H167" i="6"/>
  <c r="Y167" i="6"/>
  <c r="W167" i="6"/>
  <c r="I167" i="6"/>
  <c r="L167" i="6"/>
  <c r="M167" i="6"/>
  <c r="P167" i="6"/>
  <c r="T167" i="6"/>
  <c r="U167" i="6"/>
  <c r="Y202" i="6"/>
  <c r="P199" i="6"/>
  <c r="I189" i="6"/>
  <c r="V186" i="6"/>
  <c r="H184" i="6"/>
  <c r="W172" i="6"/>
  <c r="U192" i="6"/>
  <c r="P192" i="6"/>
  <c r="U186" i="6"/>
  <c r="P179" i="6"/>
  <c r="T172" i="6"/>
  <c r="I152" i="6"/>
  <c r="Y152" i="6"/>
  <c r="P152" i="6"/>
  <c r="W152" i="6"/>
  <c r="T152" i="6"/>
  <c r="H152" i="6"/>
  <c r="L152" i="6"/>
  <c r="H212" i="6"/>
  <c r="X212" i="6"/>
  <c r="W202" i="6"/>
  <c r="T199" i="6"/>
  <c r="T197" i="6"/>
  <c r="V197" i="6"/>
  <c r="X197" i="6"/>
  <c r="T192" i="6"/>
  <c r="P186" i="6"/>
  <c r="T161" i="6"/>
  <c r="W161" i="6"/>
  <c r="H161" i="6"/>
  <c r="I161" i="6"/>
  <c r="L161" i="6"/>
  <c r="M161" i="6"/>
  <c r="Y161" i="6"/>
  <c r="L202" i="6"/>
  <c r="M186" i="6"/>
  <c r="I180" i="6"/>
  <c r="M179" i="6"/>
  <c r="L169" i="6"/>
  <c r="V169" i="6"/>
  <c r="H169" i="6"/>
  <c r="Y169" i="6"/>
  <c r="P169" i="6"/>
  <c r="T169" i="6"/>
  <c r="U169" i="6"/>
  <c r="X169" i="6"/>
  <c r="L137" i="6"/>
  <c r="U137" i="6"/>
  <c r="W137" i="6"/>
  <c r="X137" i="6"/>
  <c r="I137" i="6"/>
  <c r="M137" i="6"/>
  <c r="Y137" i="6"/>
  <c r="H137" i="6"/>
  <c r="P137" i="6"/>
  <c r="T137" i="6"/>
  <c r="V137" i="6"/>
  <c r="I168" i="6"/>
  <c r="Y168" i="6"/>
  <c r="M168" i="6"/>
  <c r="L168" i="6"/>
  <c r="P168" i="6"/>
  <c r="W153" i="6"/>
  <c r="W146" i="6"/>
  <c r="U146" i="6"/>
  <c r="Y146" i="6"/>
  <c r="H146" i="6"/>
  <c r="L146" i="6"/>
  <c r="P146" i="6"/>
  <c r="U178" i="6"/>
  <c r="W174" i="6"/>
  <c r="M174" i="6"/>
  <c r="P174" i="6"/>
  <c r="I171" i="6"/>
  <c r="W120" i="6"/>
  <c r="V174" i="6"/>
  <c r="H171" i="6"/>
  <c r="L164" i="6"/>
  <c r="M156" i="6"/>
  <c r="M153" i="6"/>
  <c r="W178" i="6"/>
  <c r="X178" i="6"/>
  <c r="L190" i="6"/>
  <c r="T174" i="6"/>
  <c r="H141" i="6"/>
  <c r="X141" i="6"/>
  <c r="U141" i="6"/>
  <c r="I141" i="6"/>
  <c r="L141" i="6"/>
  <c r="M141" i="6"/>
  <c r="P141" i="6"/>
  <c r="V141" i="6"/>
  <c r="I142" i="6"/>
  <c r="P142" i="6"/>
  <c r="T142" i="6"/>
  <c r="W142" i="6"/>
  <c r="H142" i="6"/>
  <c r="L142" i="6"/>
  <c r="U142" i="6"/>
  <c r="X142" i="6"/>
  <c r="P178" i="6"/>
  <c r="H168" i="6"/>
  <c r="I146" i="6"/>
  <c r="W143" i="6"/>
  <c r="H143" i="6"/>
  <c r="I143" i="6"/>
  <c r="L143" i="6"/>
  <c r="T143" i="6"/>
  <c r="M171" i="6"/>
  <c r="P171" i="6"/>
  <c r="L153" i="6"/>
  <c r="U153" i="6"/>
  <c r="V153" i="6"/>
  <c r="Y153" i="6"/>
  <c r="H153" i="6"/>
  <c r="J153" i="6" s="1"/>
  <c r="I120" i="6"/>
  <c r="Y120" i="6"/>
  <c r="V120" i="6"/>
  <c r="X120" i="6"/>
  <c r="H120" i="6"/>
  <c r="M120" i="6"/>
  <c r="P120" i="6"/>
  <c r="L120" i="6"/>
  <c r="T120" i="6"/>
  <c r="U171" i="6"/>
  <c r="M164" i="6"/>
  <c r="W164" i="6"/>
  <c r="U156" i="6"/>
  <c r="P156" i="6"/>
  <c r="X156" i="6"/>
  <c r="H156" i="6"/>
  <c r="L156" i="6"/>
  <c r="L178" i="6"/>
  <c r="T175" i="6"/>
  <c r="W175" i="6"/>
  <c r="H175" i="6"/>
  <c r="T171" i="6"/>
  <c r="V164" i="6"/>
  <c r="Y156" i="6"/>
  <c r="X153" i="6"/>
  <c r="X143" i="6"/>
  <c r="Y142" i="6"/>
  <c r="T141" i="6"/>
  <c r="L121" i="6"/>
  <c r="P121" i="6"/>
  <c r="T121" i="6"/>
  <c r="W121" i="6"/>
  <c r="X121" i="6"/>
  <c r="M148" i="6"/>
  <c r="V148" i="6"/>
  <c r="H148" i="6"/>
  <c r="Y148" i="6"/>
  <c r="M139" i="6"/>
  <c r="V139" i="6"/>
  <c r="H139" i="6"/>
  <c r="Y139" i="6"/>
  <c r="T129" i="6"/>
  <c r="Y129" i="6"/>
  <c r="I129" i="6"/>
  <c r="V135" i="6"/>
  <c r="X135" i="6"/>
  <c r="I135" i="6"/>
  <c r="M121" i="6"/>
  <c r="U148" i="6"/>
  <c r="U139" i="6"/>
  <c r="Y135" i="6"/>
  <c r="W129" i="6"/>
  <c r="H121" i="6"/>
  <c r="J121" i="6" s="1"/>
  <c r="M116" i="6"/>
  <c r="U116" i="6"/>
  <c r="X116" i="6"/>
  <c r="H116" i="6"/>
  <c r="J116" i="6" s="1"/>
  <c r="Y116" i="6"/>
  <c r="L116" i="6"/>
  <c r="P116" i="6"/>
  <c r="T116" i="6"/>
  <c r="V159" i="6"/>
  <c r="H159" i="6"/>
  <c r="J159" i="6" s="1"/>
  <c r="Y159" i="6"/>
  <c r="H157" i="6"/>
  <c r="X157" i="6"/>
  <c r="U157" i="6"/>
  <c r="L157" i="6"/>
  <c r="T135" i="6"/>
  <c r="M132" i="6"/>
  <c r="H132" i="6"/>
  <c r="L132" i="6"/>
  <c r="T132" i="6"/>
  <c r="H127" i="6"/>
  <c r="Y127" i="6"/>
  <c r="M127" i="6"/>
  <c r="P127" i="6"/>
  <c r="V127" i="6"/>
  <c r="I99" i="6"/>
  <c r="Y99" i="6"/>
  <c r="M99" i="6"/>
  <c r="H99" i="6"/>
  <c r="L99" i="6"/>
  <c r="P99" i="6"/>
  <c r="T99" i="6"/>
  <c r="U99" i="6"/>
  <c r="V99" i="6"/>
  <c r="W99" i="6"/>
  <c r="X99" i="6"/>
  <c r="L148" i="6"/>
  <c r="L139" i="6"/>
  <c r="P135" i="6"/>
  <c r="U107" i="6"/>
  <c r="X107" i="6"/>
  <c r="H107" i="6"/>
  <c r="Y107" i="6"/>
  <c r="M160" i="6"/>
  <c r="I145" i="6"/>
  <c r="M131" i="6"/>
  <c r="U124" i="6"/>
  <c r="I119" i="6"/>
  <c r="M108" i="6"/>
  <c r="T107" i="6"/>
  <c r="I106" i="6"/>
  <c r="M103" i="6"/>
  <c r="X95" i="6"/>
  <c r="H109" i="6"/>
  <c r="J109" i="6" s="1"/>
  <c r="X109" i="6"/>
  <c r="U109" i="6"/>
  <c r="M109" i="6"/>
  <c r="P109" i="6"/>
  <c r="P85" i="6"/>
  <c r="L85" i="6"/>
  <c r="M85" i="6"/>
  <c r="V85" i="6"/>
  <c r="H85" i="6"/>
  <c r="I85" i="6"/>
  <c r="T85" i="6"/>
  <c r="U85" i="6"/>
  <c r="W85" i="6"/>
  <c r="I136" i="6"/>
  <c r="Y136" i="6"/>
  <c r="P136" i="6"/>
  <c r="H131" i="6"/>
  <c r="W130" i="6"/>
  <c r="U130" i="6"/>
  <c r="H128" i="6"/>
  <c r="J128" i="6" s="1"/>
  <c r="V109" i="6"/>
  <c r="I111" i="6"/>
  <c r="J111" i="6" s="1"/>
  <c r="M111" i="6"/>
  <c r="T109" i="6"/>
  <c r="P107" i="6"/>
  <c r="P101" i="6"/>
  <c r="I101" i="6"/>
  <c r="X101" i="6"/>
  <c r="L101" i="6"/>
  <c r="M101" i="6"/>
  <c r="T145" i="6"/>
  <c r="X145" i="6"/>
  <c r="W131" i="6"/>
  <c r="W128" i="6"/>
  <c r="H125" i="6"/>
  <c r="J125" i="6" s="1"/>
  <c r="Q125" i="6" s="1"/>
  <c r="X125" i="6"/>
  <c r="V119" i="6"/>
  <c r="U119" i="6"/>
  <c r="T113" i="6"/>
  <c r="X113" i="6"/>
  <c r="I113" i="6"/>
  <c r="J113" i="6" s="1"/>
  <c r="M107" i="6"/>
  <c r="L106" i="6"/>
  <c r="P106" i="6"/>
  <c r="T106" i="6"/>
  <c r="I90" i="6"/>
  <c r="X90" i="6"/>
  <c r="Y90" i="6"/>
  <c r="L90" i="6"/>
  <c r="M90" i="6"/>
  <c r="P90" i="6"/>
  <c r="W90" i="6"/>
  <c r="P117" i="6"/>
  <c r="I117" i="6"/>
  <c r="L117" i="6"/>
  <c r="M117" i="6"/>
  <c r="U108" i="6"/>
  <c r="H108" i="6"/>
  <c r="Y108" i="6"/>
  <c r="L108" i="6"/>
  <c r="L107" i="6"/>
  <c r="I131" i="6"/>
  <c r="M128" i="6"/>
  <c r="V103" i="6"/>
  <c r="P103" i="6"/>
  <c r="V82" i="6"/>
  <c r="W82" i="6"/>
  <c r="I82" i="6"/>
  <c r="Y82" i="6"/>
  <c r="H82" i="6"/>
  <c r="L82" i="6"/>
  <c r="M82" i="6"/>
  <c r="P82" i="6"/>
  <c r="T82" i="6"/>
  <c r="M95" i="6"/>
  <c r="W95" i="6"/>
  <c r="L95" i="6"/>
  <c r="T95" i="6"/>
  <c r="V95" i="6"/>
  <c r="H95" i="6"/>
  <c r="I95" i="6"/>
  <c r="U95" i="6"/>
  <c r="I147" i="6"/>
  <c r="U140" i="6"/>
  <c r="P140" i="6"/>
  <c r="M136" i="6"/>
  <c r="L130" i="6"/>
  <c r="T117" i="6"/>
  <c r="H110" i="6"/>
  <c r="J110" i="6" s="1"/>
  <c r="X110" i="6"/>
  <c r="T110" i="6"/>
  <c r="W110" i="6"/>
  <c r="Y110" i="6"/>
  <c r="I107" i="6"/>
  <c r="L105" i="6"/>
  <c r="H105" i="6"/>
  <c r="Y105" i="6"/>
  <c r="M105" i="6"/>
  <c r="W103" i="6"/>
  <c r="Y85" i="6"/>
  <c r="P94" i="6"/>
  <c r="W94" i="6"/>
  <c r="M94" i="6"/>
  <c r="W57" i="6"/>
  <c r="V94" i="6"/>
  <c r="H91" i="6"/>
  <c r="L88" i="6"/>
  <c r="U48" i="6"/>
  <c r="V48" i="6"/>
  <c r="H48" i="6"/>
  <c r="I48" i="6"/>
  <c r="L48" i="6"/>
  <c r="M48" i="6"/>
  <c r="P48" i="6"/>
  <c r="T48" i="6"/>
  <c r="X48" i="6"/>
  <c r="W48" i="6"/>
  <c r="Y48" i="6"/>
  <c r="U94" i="6"/>
  <c r="L89" i="6"/>
  <c r="T89" i="6"/>
  <c r="I89" i="6"/>
  <c r="M83" i="6"/>
  <c r="U68" i="6"/>
  <c r="M68" i="6"/>
  <c r="W68" i="6"/>
  <c r="H68" i="6"/>
  <c r="I68" i="6"/>
  <c r="L68" i="6"/>
  <c r="P68" i="6"/>
  <c r="T68" i="6"/>
  <c r="V68" i="6"/>
  <c r="T94" i="6"/>
  <c r="L83" i="6"/>
  <c r="L100" i="6"/>
  <c r="M100" i="6"/>
  <c r="T100" i="6"/>
  <c r="U89" i="6"/>
  <c r="W93" i="6"/>
  <c r="H93" i="6"/>
  <c r="X93" i="6"/>
  <c r="I93" i="6"/>
  <c r="P93" i="6"/>
  <c r="V93" i="6"/>
  <c r="W91" i="6"/>
  <c r="L91" i="6"/>
  <c r="H88" i="6"/>
  <c r="X88" i="6"/>
  <c r="I88" i="6"/>
  <c r="Y88" i="6"/>
  <c r="M88" i="6"/>
  <c r="T88" i="6"/>
  <c r="P80" i="6"/>
  <c r="I80" i="6"/>
  <c r="Y80" i="6"/>
  <c r="M80" i="6"/>
  <c r="W80" i="6"/>
  <c r="V57" i="6"/>
  <c r="L57" i="6"/>
  <c r="M57" i="6"/>
  <c r="U57" i="6"/>
  <c r="P57" i="6"/>
  <c r="X57" i="6"/>
  <c r="Y57" i="6"/>
  <c r="H57" i="6"/>
  <c r="I57" i="6"/>
  <c r="I83" i="6"/>
  <c r="Y83" i="6"/>
  <c r="P83" i="6"/>
  <c r="X83" i="6"/>
  <c r="H94" i="6"/>
  <c r="W83" i="6"/>
  <c r="V80" i="6"/>
  <c r="Y68" i="6"/>
  <c r="I104" i="6"/>
  <c r="Y104" i="6"/>
  <c r="V98" i="6"/>
  <c r="W98" i="6"/>
  <c r="U87" i="6"/>
  <c r="V87" i="6"/>
  <c r="L84" i="6"/>
  <c r="M84" i="6"/>
  <c r="T79" i="6"/>
  <c r="P77" i="6"/>
  <c r="W77" i="6"/>
  <c r="X77" i="6"/>
  <c r="L76" i="6"/>
  <c r="U75" i="6"/>
  <c r="W70" i="6"/>
  <c r="X70" i="6"/>
  <c r="P70" i="6"/>
  <c r="P96" i="6"/>
  <c r="L79" i="6"/>
  <c r="X76" i="6"/>
  <c r="W74" i="6"/>
  <c r="H74" i="6"/>
  <c r="Y74" i="6"/>
  <c r="I74" i="6"/>
  <c r="T70" i="6"/>
  <c r="H65" i="6"/>
  <c r="Y65" i="6"/>
  <c r="L65" i="6"/>
  <c r="M65" i="6"/>
  <c r="V65" i="6"/>
  <c r="U62" i="6"/>
  <c r="Y62" i="6"/>
  <c r="H62" i="6"/>
  <c r="J62" i="6" s="1"/>
  <c r="M62" i="6"/>
  <c r="P62" i="6"/>
  <c r="P55" i="6"/>
  <c r="U55" i="6"/>
  <c r="V55" i="6"/>
  <c r="M55" i="6"/>
  <c r="T55" i="6"/>
  <c r="H55" i="6"/>
  <c r="I55" i="6"/>
  <c r="L55" i="6"/>
  <c r="P72" i="6"/>
  <c r="I72" i="6"/>
  <c r="W52" i="6"/>
  <c r="V52" i="6"/>
  <c r="X52" i="6"/>
  <c r="H52" i="6"/>
  <c r="I52" i="6"/>
  <c r="L52" i="6"/>
  <c r="M52" i="6"/>
  <c r="P52" i="6"/>
  <c r="U52" i="6"/>
  <c r="M76" i="6"/>
  <c r="U76" i="6"/>
  <c r="T67" i="6"/>
  <c r="H67" i="6"/>
  <c r="I67" i="6"/>
  <c r="W61" i="6"/>
  <c r="X61" i="6"/>
  <c r="Y61" i="6"/>
  <c r="H61" i="6"/>
  <c r="T76" i="6"/>
  <c r="Y79" i="6"/>
  <c r="M70" i="6"/>
  <c r="U67" i="6"/>
  <c r="U61" i="6"/>
  <c r="W104" i="6"/>
  <c r="X98" i="6"/>
  <c r="L96" i="6"/>
  <c r="T92" i="6"/>
  <c r="U92" i="6"/>
  <c r="X87" i="6"/>
  <c r="X84" i="6"/>
  <c r="X79" i="6"/>
  <c r="P76" i="6"/>
  <c r="Y75" i="6"/>
  <c r="L71" i="6"/>
  <c r="U71" i="6"/>
  <c r="L70" i="6"/>
  <c r="T61" i="6"/>
  <c r="T73" i="6"/>
  <c r="U73" i="6"/>
  <c r="V73" i="6"/>
  <c r="M73" i="6"/>
  <c r="M72" i="6"/>
  <c r="P65" i="6"/>
  <c r="U46" i="6"/>
  <c r="L46" i="6"/>
  <c r="T46" i="6"/>
  <c r="H46" i="6"/>
  <c r="I46" i="6"/>
  <c r="M46" i="6"/>
  <c r="P46" i="6"/>
  <c r="V46" i="6"/>
  <c r="M79" i="6"/>
  <c r="V79" i="6"/>
  <c r="M75" i="6"/>
  <c r="V75" i="6"/>
  <c r="L72" i="6"/>
  <c r="I70" i="6"/>
  <c r="P67" i="6"/>
  <c r="L62" i="6"/>
  <c r="P61" i="6"/>
  <c r="L59" i="6"/>
  <c r="V59" i="6"/>
  <c r="W59" i="6"/>
  <c r="Y59" i="6"/>
  <c r="H59" i="6"/>
  <c r="I58" i="6"/>
  <c r="Y58" i="6"/>
  <c r="H58" i="6"/>
  <c r="P58" i="6"/>
  <c r="Y52" i="6"/>
  <c r="M54" i="6"/>
  <c r="P54" i="6"/>
  <c r="H54" i="6"/>
  <c r="Y54" i="6"/>
  <c r="T35" i="6"/>
  <c r="P35" i="6"/>
  <c r="V35" i="6"/>
  <c r="W35" i="6"/>
  <c r="H35" i="6"/>
  <c r="Y35" i="6"/>
  <c r="I35" i="6"/>
  <c r="L49" i="6"/>
  <c r="T54" i="6"/>
  <c r="X50" i="6"/>
  <c r="X35" i="6"/>
  <c r="T25" i="6"/>
  <c r="V25" i="6"/>
  <c r="W25" i="6"/>
  <c r="X25" i="6"/>
  <c r="Y25" i="6"/>
  <c r="I25" i="6"/>
  <c r="J25" i="6" s="1"/>
  <c r="L25" i="6"/>
  <c r="M25" i="6"/>
  <c r="U25" i="6"/>
  <c r="H49" i="6"/>
  <c r="U35" i="6"/>
  <c r="H63" i="6"/>
  <c r="X63" i="6"/>
  <c r="V63" i="6"/>
  <c r="W63" i="6"/>
  <c r="L27" i="6"/>
  <c r="T27" i="6"/>
  <c r="V27" i="6"/>
  <c r="W27" i="6"/>
  <c r="X27" i="6"/>
  <c r="Y27" i="6"/>
  <c r="H27" i="6"/>
  <c r="I27" i="6"/>
  <c r="Y49" i="6"/>
  <c r="H45" i="6"/>
  <c r="X45" i="6"/>
  <c r="I45" i="6"/>
  <c r="Y45" i="6"/>
  <c r="H47" i="6"/>
  <c r="X47" i="6"/>
  <c r="P47" i="6"/>
  <c r="I47" i="6"/>
  <c r="U45" i="6"/>
  <c r="M35" i="6"/>
  <c r="I49" i="6"/>
  <c r="W42" i="6"/>
  <c r="I42" i="6"/>
  <c r="J42" i="6" s="1"/>
  <c r="Y42" i="6"/>
  <c r="X42" i="6"/>
  <c r="M42" i="6"/>
  <c r="P42" i="6"/>
  <c r="P39" i="6"/>
  <c r="X39" i="6"/>
  <c r="Y39" i="6"/>
  <c r="H39" i="6"/>
  <c r="L39" i="6"/>
  <c r="M39" i="6"/>
  <c r="H37" i="6"/>
  <c r="X37" i="6"/>
  <c r="I37" i="6"/>
  <c r="L37" i="6"/>
  <c r="P37" i="6"/>
  <c r="T37" i="6"/>
  <c r="L35" i="6"/>
  <c r="H69" i="6"/>
  <c r="X69" i="6"/>
  <c r="L50" i="6"/>
  <c r="V49" i="6"/>
  <c r="U47" i="6"/>
  <c r="M38" i="6"/>
  <c r="W38" i="6"/>
  <c r="X38" i="6"/>
  <c r="H38" i="6"/>
  <c r="I38" i="6"/>
  <c r="M66" i="6"/>
  <c r="P63" i="6"/>
  <c r="I54" i="6"/>
  <c r="U49" i="6"/>
  <c r="T47" i="6"/>
  <c r="V42" i="6"/>
  <c r="W39" i="6"/>
  <c r="M28" i="6"/>
  <c r="Y28" i="6"/>
  <c r="H28" i="6"/>
  <c r="I28" i="6"/>
  <c r="L28" i="6"/>
  <c r="P28" i="6"/>
  <c r="V28" i="6"/>
  <c r="X28" i="6"/>
  <c r="T49" i="6"/>
  <c r="P45" i="6"/>
  <c r="U42" i="6"/>
  <c r="T41" i="6"/>
  <c r="V41" i="6"/>
  <c r="Y41" i="6"/>
  <c r="H41" i="6"/>
  <c r="V39" i="6"/>
  <c r="L9" i="6"/>
  <c r="T9" i="6"/>
  <c r="V9" i="6"/>
  <c r="X9" i="6"/>
  <c r="Y9" i="6"/>
  <c r="H9" i="6"/>
  <c r="I9" i="6"/>
  <c r="M9" i="6"/>
  <c r="P9" i="6"/>
  <c r="W9" i="6"/>
  <c r="V31" i="6"/>
  <c r="H31" i="6"/>
  <c r="X31" i="6"/>
  <c r="W18" i="6"/>
  <c r="I16" i="6"/>
  <c r="Y16" i="6"/>
  <c r="L15" i="6"/>
  <c r="X32" i="6"/>
  <c r="V23" i="6"/>
  <c r="P23" i="6"/>
  <c r="P21" i="6"/>
  <c r="H21" i="6"/>
  <c r="J21" i="6" s="1"/>
  <c r="X21" i="6"/>
  <c r="X19" i="6"/>
  <c r="H17" i="6"/>
  <c r="I15" i="6"/>
  <c r="L44" i="6"/>
  <c r="L36" i="6"/>
  <c r="P31" i="6"/>
  <c r="W29" i="6"/>
  <c r="W26" i="6"/>
  <c r="I26" i="6"/>
  <c r="Y26" i="6"/>
  <c r="T23" i="6"/>
  <c r="U21" i="6"/>
  <c r="P18" i="6"/>
  <c r="U12" i="6"/>
  <c r="M12" i="6"/>
  <c r="X10" i="6"/>
  <c r="Y17" i="6"/>
  <c r="P16" i="6"/>
  <c r="L43" i="6"/>
  <c r="I32" i="6"/>
  <c r="Y32" i="6"/>
  <c r="T19" i="6"/>
  <c r="M18" i="6"/>
  <c r="X17" i="6"/>
  <c r="Y15" i="6"/>
  <c r="W10" i="6"/>
  <c r="I10" i="6"/>
  <c r="Y10" i="6"/>
  <c r="T32" i="6"/>
  <c r="M31" i="6"/>
  <c r="L18" i="6"/>
  <c r="T10" i="6"/>
  <c r="L31" i="6"/>
  <c r="T17" i="6"/>
  <c r="L17" i="6"/>
  <c r="V15" i="6"/>
  <c r="H15" i="6"/>
  <c r="X15" i="6"/>
  <c r="P32" i="6"/>
  <c r="I31" i="6"/>
  <c r="M21" i="6"/>
  <c r="H18" i="6"/>
  <c r="H16" i="6"/>
  <c r="H13" i="6"/>
  <c r="X13" i="6"/>
  <c r="P13" i="6"/>
  <c r="L12" i="6"/>
  <c r="P10" i="6"/>
  <c r="V44" i="6"/>
  <c r="L21" i="6"/>
  <c r="M20" i="6"/>
  <c r="U20" i="6"/>
  <c r="W20" i="6"/>
  <c r="U7" i="6"/>
  <c r="V7" i="6"/>
  <c r="M7" i="6"/>
  <c r="P7" i="6"/>
  <c r="T7" i="6"/>
  <c r="U36" i="6"/>
  <c r="W36" i="6"/>
  <c r="Y31" i="6"/>
  <c r="M29" i="6"/>
  <c r="I23" i="6"/>
  <c r="J23" i="6" s="1"/>
  <c r="M19" i="6"/>
  <c r="Y18" i="6"/>
  <c r="P17" i="6"/>
  <c r="P15" i="6"/>
  <c r="L11" i="6"/>
  <c r="M10" i="6"/>
  <c r="Y7" i="6"/>
  <c r="U14" i="6"/>
  <c r="M6" i="6"/>
  <c r="I6" i="6"/>
  <c r="J6" i="6" s="1"/>
  <c r="Y8" i="6"/>
  <c r="C1736" i="1"/>
  <c r="A1736" i="1"/>
  <c r="C9221" i="1"/>
  <c r="B8902" i="1"/>
  <c r="A9221" i="1" s="1"/>
  <c r="H2056" i="1"/>
  <c r="H2057" i="1" s="1"/>
  <c r="H2060" i="1" s="1"/>
  <c r="A5927" i="1"/>
  <c r="A5935" i="1"/>
  <c r="A5936" i="1"/>
  <c r="A18" i="1"/>
  <c r="G6566" i="1"/>
  <c r="B7085" i="1"/>
  <c r="A6026" i="1"/>
  <c r="A9115" i="1" s="1"/>
  <c r="A6025" i="1"/>
  <c r="A9114" i="1" s="1"/>
  <c r="B7083" i="1"/>
  <c r="C6300" i="1"/>
  <c r="B6016" i="1"/>
  <c r="B6305" i="1"/>
  <c r="B26" i="1"/>
  <c r="A10" i="9" s="1"/>
  <c r="A6306" i="1"/>
  <c r="D11" i="1"/>
  <c r="F5901" i="1"/>
  <c r="B6403" i="1"/>
  <c r="A5917" i="1"/>
  <c r="B6404" i="1"/>
  <c r="B6017" i="1"/>
  <c r="A5918" i="1"/>
  <c r="A6505" i="1"/>
  <c r="A5926" i="1"/>
  <c r="A6506" i="1"/>
  <c r="A5914" i="1"/>
  <c r="A5924" i="1"/>
  <c r="A5933" i="1"/>
  <c r="A5942" i="1"/>
  <c r="C6014" i="1"/>
  <c r="B6023" i="1"/>
  <c r="B6400" i="1"/>
  <c r="A6501" i="1"/>
  <c r="H6554" i="1"/>
  <c r="B5914" i="1"/>
  <c r="B5924" i="1"/>
  <c r="B5933" i="1"/>
  <c r="B5942" i="1"/>
  <c r="A6015" i="1"/>
  <c r="C6023" i="1"/>
  <c r="A6401" i="1"/>
  <c r="C6501" i="1"/>
  <c r="A5915" i="1"/>
  <c r="A5925" i="1"/>
  <c r="A5934" i="1"/>
  <c r="A5943" i="1"/>
  <c r="B6015" i="1"/>
  <c r="A6024" i="1"/>
  <c r="A9113" i="1" s="1"/>
  <c r="C6304" i="1"/>
  <c r="B6401" i="1"/>
  <c r="A6502" i="1"/>
  <c r="A6581" i="1" s="1"/>
  <c r="G6550" i="1"/>
  <c r="C6559" i="1"/>
  <c r="B5915" i="1"/>
  <c r="B5925" i="1"/>
  <c r="B5934" i="1"/>
  <c r="B5943" i="1"/>
  <c r="A6016" i="1"/>
  <c r="B6024" i="1"/>
  <c r="A6305" i="1"/>
  <c r="A6403" i="1"/>
  <c r="A6504" i="1"/>
  <c r="H6550" i="1"/>
  <c r="E5901" i="1"/>
  <c r="B5917" i="1"/>
  <c r="B5926" i="1"/>
  <c r="B5935" i="1"/>
  <c r="A6017" i="1"/>
  <c r="B6025" i="1"/>
  <c r="C6305" i="1"/>
  <c r="A6404" i="1"/>
  <c r="C6505" i="1"/>
  <c r="C6555" i="1"/>
  <c r="G5901" i="1"/>
  <c r="B5918" i="1"/>
  <c r="B5927" i="1"/>
  <c r="B5936" i="1"/>
  <c r="A6018" i="1"/>
  <c r="B6026" i="1"/>
  <c r="B6306" i="1"/>
  <c r="A6406" i="1"/>
  <c r="A6520" i="1"/>
  <c r="H6566" i="1"/>
  <c r="B27" i="1"/>
  <c r="O910" i="9" s="1"/>
  <c r="H5901" i="1"/>
  <c r="A5919" i="1"/>
  <c r="A5928" i="1"/>
  <c r="A5938" i="1"/>
  <c r="B6018" i="1"/>
  <c r="A6027" i="1"/>
  <c r="A9116" i="1" s="1"/>
  <c r="C6306" i="1"/>
  <c r="B6406" i="1"/>
  <c r="C6551" i="1"/>
  <c r="I5901" i="1"/>
  <c r="B5919" i="1"/>
  <c r="B5928" i="1"/>
  <c r="B5938" i="1"/>
  <c r="A6019" i="1"/>
  <c r="B6027" i="1"/>
  <c r="C6301" i="1"/>
  <c r="A6307" i="1"/>
  <c r="A6407" i="1"/>
  <c r="A6521" i="1"/>
  <c r="G6562" i="1"/>
  <c r="J11" i="1"/>
  <c r="C6581" i="1" s="1"/>
  <c r="A5911" i="1"/>
  <c r="A5920" i="1"/>
  <c r="A5929" i="1"/>
  <c r="A5939" i="1"/>
  <c r="B6019" i="1"/>
  <c r="A6028" i="1"/>
  <c r="A9117" i="1" s="1"/>
  <c r="B6307" i="1"/>
  <c r="B6407" i="1"/>
  <c r="H6562" i="1"/>
  <c r="B5911" i="1"/>
  <c r="B5920" i="1"/>
  <c r="B5929" i="1"/>
  <c r="B5939" i="1"/>
  <c r="A6020" i="1"/>
  <c r="B6028" i="1"/>
  <c r="C6307" i="1"/>
  <c r="A6409" i="1"/>
  <c r="C6521" i="1"/>
  <c r="A5912" i="1"/>
  <c r="A5921" i="1"/>
  <c r="A5931" i="1"/>
  <c r="A5940" i="1"/>
  <c r="B6020" i="1"/>
  <c r="A6029" i="1"/>
  <c r="A9118" i="1" s="1"/>
  <c r="C6302" i="1"/>
  <c r="A6308" i="1"/>
  <c r="B6409" i="1"/>
  <c r="A6522" i="1"/>
  <c r="G6558" i="1"/>
  <c r="C6567" i="1"/>
  <c r="K27" i="1"/>
  <c r="B5912" i="1"/>
  <c r="B5921" i="1"/>
  <c r="B5931" i="1"/>
  <c r="B5940" i="1"/>
  <c r="A6021" i="1"/>
  <c r="B6029" i="1"/>
  <c r="B6308" i="1"/>
  <c r="A6410" i="1"/>
  <c r="H6558" i="1"/>
  <c r="A5913" i="1"/>
  <c r="A5922" i="1"/>
  <c r="A5932" i="1"/>
  <c r="A5941" i="1"/>
  <c r="A6014" i="1"/>
  <c r="B6021" i="1"/>
  <c r="A6030" i="1"/>
  <c r="A9119" i="1" s="1"/>
  <c r="C6308" i="1"/>
  <c r="B6410" i="1"/>
  <c r="B5913" i="1"/>
  <c r="B5922" i="1"/>
  <c r="B5932" i="1"/>
  <c r="B5941" i="1"/>
  <c r="B6014" i="1"/>
  <c r="B6522" i="1" s="1"/>
  <c r="A6023" i="1"/>
  <c r="A9112" i="1" s="1"/>
  <c r="B6030" i="1"/>
  <c r="C6303" i="1"/>
  <c r="A6400" i="1"/>
  <c r="A6500" i="1"/>
  <c r="G6554" i="1"/>
  <c r="C6563" i="1"/>
  <c r="I2056" i="1"/>
  <c r="M1360" i="1"/>
  <c r="B1362" i="1" s="1"/>
  <c r="M1585" i="1"/>
  <c r="F1587" i="1" s="1"/>
  <c r="M1460" i="1"/>
  <c r="F1462" i="1" s="1"/>
  <c r="M1335" i="1"/>
  <c r="B1337" i="1" s="1"/>
  <c r="M1610" i="1"/>
  <c r="F1612" i="1" s="1"/>
  <c r="M1485" i="1"/>
  <c r="F1487" i="1" s="1"/>
  <c r="M1635" i="1"/>
  <c r="F1637" i="1" s="1"/>
  <c r="M1510" i="1"/>
  <c r="B1512" i="1" s="1"/>
  <c r="M1385" i="1"/>
  <c r="F1387" i="1" s="1"/>
  <c r="M1535" i="1"/>
  <c r="B1537" i="1" s="1"/>
  <c r="M1410" i="1"/>
  <c r="F1412" i="1" s="1"/>
  <c r="M1285" i="1"/>
  <c r="F1287" i="1" s="1"/>
  <c r="M1560" i="1"/>
  <c r="F1562" i="1" s="1"/>
  <c r="M1435" i="1"/>
  <c r="F1437" i="1" s="1"/>
  <c r="M1310" i="1"/>
  <c r="F1312" i="1" s="1"/>
  <c r="B5704" i="1"/>
  <c r="B5705" i="1"/>
  <c r="E2056" i="1"/>
  <c r="G81" i="1"/>
  <c r="G82" i="1"/>
  <c r="F2056" i="1"/>
  <c r="B4504" i="1"/>
  <c r="C4532" i="1" s="1"/>
  <c r="L174" i="1"/>
  <c r="C5706" i="1"/>
  <c r="J172" i="1"/>
  <c r="B5702" i="1"/>
  <c r="F172" i="1"/>
  <c r="H172" i="1"/>
  <c r="L172" i="1"/>
  <c r="F173" i="1"/>
  <c r="H173" i="1"/>
  <c r="J173" i="1"/>
  <c r="L173" i="1"/>
  <c r="F174" i="1"/>
  <c r="H174" i="1"/>
  <c r="J174" i="1"/>
  <c r="A3522" i="1"/>
  <c r="A3523" i="1"/>
  <c r="A3524" i="1"/>
  <c r="A3525" i="1"/>
  <c r="B2056" i="1"/>
  <c r="C2056" i="1"/>
  <c r="K143" i="1"/>
  <c r="K157" i="1"/>
  <c r="K141" i="1"/>
  <c r="K159" i="1"/>
  <c r="K142" i="1"/>
  <c r="K158" i="1"/>
  <c r="K136" i="9" l="1"/>
  <c r="J20" i="7"/>
  <c r="K140" i="9" s="1"/>
  <c r="J140" i="9"/>
  <c r="B31" i="7"/>
  <c r="H157" i="9"/>
  <c r="A156" i="9"/>
  <c r="J43" i="6"/>
  <c r="J60" i="6"/>
  <c r="K60" i="6" s="1"/>
  <c r="P972" i="9"/>
  <c r="O983" i="9"/>
  <c r="O988" i="9"/>
  <c r="O917" i="9"/>
  <c r="P957" i="9"/>
  <c r="P956" i="9"/>
  <c r="P912" i="9"/>
  <c r="O943" i="9"/>
  <c r="O946" i="9"/>
  <c r="O963" i="9"/>
  <c r="P980" i="9"/>
  <c r="O970" i="9"/>
  <c r="O941" i="9"/>
  <c r="P933" i="9"/>
  <c r="O935" i="9"/>
  <c r="P920" i="9"/>
  <c r="P913" i="9"/>
  <c r="O954" i="9"/>
  <c r="P915" i="9"/>
  <c r="O981" i="9"/>
  <c r="O978" i="9"/>
  <c r="P965" i="9"/>
  <c r="O934" i="9"/>
  <c r="O951" i="9"/>
  <c r="P928" i="9"/>
  <c r="P921" i="9"/>
  <c r="O962" i="9"/>
  <c r="P955" i="9"/>
  <c r="O975" i="9"/>
  <c r="O986" i="9"/>
  <c r="P932" i="9"/>
  <c r="O965" i="9"/>
  <c r="O959" i="9"/>
  <c r="P936" i="9"/>
  <c r="P929" i="9"/>
  <c r="P914" i="9"/>
  <c r="P963" i="9"/>
  <c r="P975" i="9"/>
  <c r="P970" i="9"/>
  <c r="P917" i="9"/>
  <c r="O967" i="9"/>
  <c r="P944" i="9"/>
  <c r="P937" i="9"/>
  <c r="P922" i="9"/>
  <c r="P923" i="9"/>
  <c r="P983" i="9"/>
  <c r="P978" i="9"/>
  <c r="P958" i="9"/>
  <c r="O949" i="9"/>
  <c r="P927" i="9"/>
  <c r="P952" i="9"/>
  <c r="P945" i="9"/>
  <c r="P930" i="9"/>
  <c r="P931" i="9"/>
  <c r="P910" i="9"/>
  <c r="O982" i="9"/>
  <c r="O976" i="9"/>
  <c r="P986" i="9"/>
  <c r="P940" i="9"/>
  <c r="O926" i="9"/>
  <c r="P943" i="9"/>
  <c r="P960" i="9"/>
  <c r="P953" i="9"/>
  <c r="P938" i="9"/>
  <c r="P939" i="9"/>
  <c r="O909" i="9"/>
  <c r="O984" i="9"/>
  <c r="O971" i="9"/>
  <c r="O918" i="9"/>
  <c r="O950" i="9"/>
  <c r="P959" i="9"/>
  <c r="P968" i="9"/>
  <c r="P961" i="9"/>
  <c r="P946" i="9"/>
  <c r="P947" i="9"/>
  <c r="P909" i="9"/>
  <c r="J85" i="9"/>
  <c r="D82" i="9"/>
  <c r="A80" i="9"/>
  <c r="P981" i="9"/>
  <c r="P976" i="9"/>
  <c r="O979" i="9"/>
  <c r="O942" i="9"/>
  <c r="P941" i="9"/>
  <c r="O912" i="9"/>
  <c r="O913" i="9"/>
  <c r="P919" i="9"/>
  <c r="P954" i="9"/>
  <c r="O916" i="9"/>
  <c r="P908" i="9"/>
  <c r="P984" i="9"/>
  <c r="O987" i="9"/>
  <c r="P966" i="9"/>
  <c r="O925" i="9"/>
  <c r="O920" i="9"/>
  <c r="O921" i="9"/>
  <c r="P935" i="9"/>
  <c r="P962" i="9"/>
  <c r="O924" i="9"/>
  <c r="M27" i="1"/>
  <c r="P881" i="9"/>
  <c r="O881" i="9"/>
  <c r="P880" i="9"/>
  <c r="O880" i="9"/>
  <c r="A56" i="9"/>
  <c r="J128" i="9"/>
  <c r="D126" i="9"/>
  <c r="A123" i="9"/>
  <c r="D125" i="9"/>
  <c r="P982" i="9"/>
  <c r="O969" i="9"/>
  <c r="P971" i="9"/>
  <c r="P916" i="9"/>
  <c r="P925" i="9"/>
  <c r="O928" i="9"/>
  <c r="O929" i="9"/>
  <c r="P951" i="9"/>
  <c r="O915" i="9"/>
  <c r="O932" i="9"/>
  <c r="P911" i="9"/>
  <c r="O973" i="9"/>
  <c r="O977" i="9"/>
  <c r="P979" i="9"/>
  <c r="O966" i="9"/>
  <c r="P949" i="9"/>
  <c r="O936" i="9"/>
  <c r="O937" i="9"/>
  <c r="P967" i="9"/>
  <c r="O923" i="9"/>
  <c r="O940" i="9"/>
  <c r="O911" i="9"/>
  <c r="P973" i="9"/>
  <c r="O985" i="9"/>
  <c r="P987" i="9"/>
  <c r="O933" i="9"/>
  <c r="P918" i="9"/>
  <c r="P926" i="9"/>
  <c r="O944" i="9"/>
  <c r="O945" i="9"/>
  <c r="O914" i="9"/>
  <c r="O931" i="9"/>
  <c r="O948" i="9"/>
  <c r="P988" i="9"/>
  <c r="P969" i="9"/>
  <c r="O958" i="9"/>
  <c r="P924" i="9"/>
  <c r="P950" i="9"/>
  <c r="O952" i="9"/>
  <c r="O953" i="9"/>
  <c r="O922" i="9"/>
  <c r="O939" i="9"/>
  <c r="O956" i="9"/>
  <c r="O907" i="9"/>
  <c r="O974" i="9"/>
  <c r="P977" i="9"/>
  <c r="O972" i="9"/>
  <c r="P934" i="9"/>
  <c r="P948" i="9"/>
  <c r="O957" i="9"/>
  <c r="O960" i="9"/>
  <c r="O961" i="9"/>
  <c r="O930" i="9"/>
  <c r="O947" i="9"/>
  <c r="O964" i="9"/>
  <c r="P907" i="9"/>
  <c r="P974" i="9"/>
  <c r="P985" i="9"/>
  <c r="O980" i="9"/>
  <c r="P964" i="9"/>
  <c r="P942" i="9"/>
  <c r="O927" i="9"/>
  <c r="O968" i="9"/>
  <c r="O919" i="9"/>
  <c r="O938" i="9"/>
  <c r="O955" i="9"/>
  <c r="O908" i="9"/>
  <c r="J40" i="9"/>
  <c r="D36" i="9"/>
  <c r="A34" i="9"/>
  <c r="J17" i="7"/>
  <c r="J21" i="7"/>
  <c r="L20" i="7"/>
  <c r="I18" i="7"/>
  <c r="N96" i="6"/>
  <c r="J135" i="6"/>
  <c r="K135" i="6" s="1"/>
  <c r="J19" i="6"/>
  <c r="Q19" i="6" s="1"/>
  <c r="J227" i="6"/>
  <c r="K227" i="6" s="1"/>
  <c r="O227" i="6" s="1"/>
  <c r="J246" i="6"/>
  <c r="K246" i="6" s="1"/>
  <c r="N246" i="6" s="1"/>
  <c r="J13" i="6"/>
  <c r="K13" i="6" s="1"/>
  <c r="J147" i="6"/>
  <c r="Q147" i="6" s="1"/>
  <c r="J160" i="6"/>
  <c r="Q160" i="6" s="1"/>
  <c r="Q96" i="6"/>
  <c r="J176" i="6"/>
  <c r="K176" i="6" s="1"/>
  <c r="O176" i="6" s="1"/>
  <c r="J94" i="6"/>
  <c r="K94" i="6" s="1"/>
  <c r="N94" i="6" s="1"/>
  <c r="J115" i="6"/>
  <c r="K115" i="6" s="1"/>
  <c r="J75" i="6"/>
  <c r="K75" i="6" s="1"/>
  <c r="N75" i="6" s="1"/>
  <c r="J258" i="6"/>
  <c r="K258" i="6" s="1"/>
  <c r="O258" i="6" s="1"/>
  <c r="J139" i="6"/>
  <c r="K139" i="6" s="1"/>
  <c r="N139" i="6" s="1"/>
  <c r="J89" i="6"/>
  <c r="Q89" i="6" s="1"/>
  <c r="J90" i="6"/>
  <c r="Q90" i="6" s="1"/>
  <c r="J119" i="6"/>
  <c r="Q119" i="6" s="1"/>
  <c r="J278" i="6"/>
  <c r="K278" i="6" s="1"/>
  <c r="N278" i="6" s="1"/>
  <c r="J41" i="6"/>
  <c r="Q41" i="6" s="1"/>
  <c r="J72" i="6"/>
  <c r="Q72" i="6" s="1"/>
  <c r="J136" i="6"/>
  <c r="K136" i="6" s="1"/>
  <c r="N136" i="6" s="1"/>
  <c r="J11" i="6"/>
  <c r="K11" i="6" s="1"/>
  <c r="O11" i="6" s="1"/>
  <c r="J132" i="6"/>
  <c r="Q132" i="6" s="1"/>
  <c r="J186" i="6"/>
  <c r="K186" i="6" s="1"/>
  <c r="O186" i="6" s="1"/>
  <c r="J232" i="6"/>
  <c r="K232" i="6" s="1"/>
  <c r="J106" i="6"/>
  <c r="Q106" i="6" s="1"/>
  <c r="N60" i="6"/>
  <c r="J50" i="6"/>
  <c r="Q50" i="6" s="1"/>
  <c r="J112" i="6"/>
  <c r="Q112" i="6" s="1"/>
  <c r="J91" i="6"/>
  <c r="Q91" i="6" s="1"/>
  <c r="J249" i="6"/>
  <c r="K249" i="6" s="1"/>
  <c r="O249" i="6" s="1"/>
  <c r="J175" i="6"/>
  <c r="K175" i="6" s="1"/>
  <c r="Q248" i="6"/>
  <c r="J20" i="6"/>
  <c r="K20" i="6" s="1"/>
  <c r="N20" i="6" s="1"/>
  <c r="J255" i="6"/>
  <c r="K255" i="6" s="1"/>
  <c r="J216" i="6"/>
  <c r="Q216" i="6" s="1"/>
  <c r="J202" i="6"/>
  <c r="K202" i="6" s="1"/>
  <c r="J80" i="6"/>
  <c r="K80" i="6" s="1"/>
  <c r="N80" i="6" s="1"/>
  <c r="J17" i="6"/>
  <c r="K17" i="6" s="1"/>
  <c r="N17" i="6" s="1"/>
  <c r="J69" i="6"/>
  <c r="K69" i="6" s="1"/>
  <c r="J32" i="6"/>
  <c r="K32" i="6" s="1"/>
  <c r="J65" i="6"/>
  <c r="K65" i="6" s="1"/>
  <c r="O65" i="6" s="1"/>
  <c r="J265" i="6"/>
  <c r="K265" i="6" s="1"/>
  <c r="N265" i="6" s="1"/>
  <c r="J10" i="6"/>
  <c r="K10" i="6" s="1"/>
  <c r="N10" i="6" s="1"/>
  <c r="J295" i="6"/>
  <c r="Q295" i="6" s="1"/>
  <c r="O187" i="6"/>
  <c r="J228" i="6"/>
  <c r="K228" i="6" s="1"/>
  <c r="N187" i="6"/>
  <c r="J59" i="6"/>
  <c r="Q59" i="6" s="1"/>
  <c r="J61" i="6"/>
  <c r="K61" i="6" s="1"/>
  <c r="J252" i="6"/>
  <c r="K252" i="6" s="1"/>
  <c r="N252" i="6" s="1"/>
  <c r="J51" i="6"/>
  <c r="Q51" i="6" s="1"/>
  <c r="J203" i="6"/>
  <c r="Q203" i="6" s="1"/>
  <c r="J12" i="6"/>
  <c r="K12" i="6" s="1"/>
  <c r="O12" i="6" s="1"/>
  <c r="J276" i="6"/>
  <c r="K276" i="6" s="1"/>
  <c r="N276" i="6" s="1"/>
  <c r="J254" i="6"/>
  <c r="J277" i="6"/>
  <c r="K277" i="6" s="1"/>
  <c r="J199" i="6"/>
  <c r="Q199" i="6" s="1"/>
  <c r="J39" i="6"/>
  <c r="K39" i="6" s="1"/>
  <c r="O39" i="6" s="1"/>
  <c r="J306" i="6"/>
  <c r="Q306" i="6" s="1"/>
  <c r="Q251" i="6"/>
  <c r="J313" i="6"/>
  <c r="K313" i="6" s="1"/>
  <c r="N313" i="6" s="1"/>
  <c r="J169" i="6"/>
  <c r="K169" i="6" s="1"/>
  <c r="N169" i="6" s="1"/>
  <c r="J301" i="6"/>
  <c r="K301" i="6" s="1"/>
  <c r="Q84" i="6"/>
  <c r="K84" i="6"/>
  <c r="N84" i="6" s="1"/>
  <c r="J14" i="6"/>
  <c r="K14" i="6" s="1"/>
  <c r="O14" i="6" s="1"/>
  <c r="Q244" i="6"/>
  <c r="J196" i="6"/>
  <c r="K196" i="6" s="1"/>
  <c r="O196" i="6" s="1"/>
  <c r="J73" i="6"/>
  <c r="K73" i="6" s="1"/>
  <c r="O73" i="6" s="1"/>
  <c r="J279" i="6"/>
  <c r="K279" i="6" s="1"/>
  <c r="J53" i="6"/>
  <c r="K53" i="6" s="1"/>
  <c r="N34" i="6"/>
  <c r="J36" i="6"/>
  <c r="K36" i="6" s="1"/>
  <c r="O36" i="6" s="1"/>
  <c r="J180" i="6"/>
  <c r="K180" i="6" s="1"/>
  <c r="N180" i="6" s="1"/>
  <c r="J93" i="6"/>
  <c r="Q93" i="6" s="1"/>
  <c r="J108" i="6"/>
  <c r="Q108" i="6" s="1"/>
  <c r="J296" i="6"/>
  <c r="K296" i="6" s="1"/>
  <c r="J297" i="6"/>
  <c r="Q297" i="6" s="1"/>
  <c r="J285" i="6"/>
  <c r="K285" i="6" s="1"/>
  <c r="N285" i="6" s="1"/>
  <c r="Q34" i="6"/>
  <c r="J114" i="6"/>
  <c r="Q114" i="6" s="1"/>
  <c r="J272" i="6"/>
  <c r="K272" i="6" s="1"/>
  <c r="N272" i="6" s="1"/>
  <c r="Q133" i="6"/>
  <c r="K133" i="6"/>
  <c r="O133" i="6" s="1"/>
  <c r="J224" i="6"/>
  <c r="Q224" i="6" s="1"/>
  <c r="J163" i="6"/>
  <c r="K163" i="6" s="1"/>
  <c r="J235" i="6"/>
  <c r="K235" i="6" s="1"/>
  <c r="N235" i="6" s="1"/>
  <c r="J197" i="6"/>
  <c r="K197" i="6" s="1"/>
  <c r="N197" i="6" s="1"/>
  <c r="J64" i="6"/>
  <c r="K64" i="6" s="1"/>
  <c r="J52" i="6"/>
  <c r="K52" i="6" s="1"/>
  <c r="N52" i="6" s="1"/>
  <c r="J240" i="6"/>
  <c r="Q240" i="6" s="1"/>
  <c r="J212" i="6"/>
  <c r="K212" i="6" s="1"/>
  <c r="Q23" i="6"/>
  <c r="J310" i="6"/>
  <c r="K310" i="6" s="1"/>
  <c r="N310" i="6" s="1"/>
  <c r="J300" i="6"/>
  <c r="K300" i="6" s="1"/>
  <c r="O300" i="6" s="1"/>
  <c r="J299" i="6"/>
  <c r="Q299" i="6" s="1"/>
  <c r="K5" i="1"/>
  <c r="Q97" i="6"/>
  <c r="J58" i="6"/>
  <c r="K58" i="6" s="1"/>
  <c r="J124" i="6"/>
  <c r="Q124" i="6" s="1"/>
  <c r="O96" i="6"/>
  <c r="J87" i="6"/>
  <c r="K87" i="6" s="1"/>
  <c r="O87" i="6" s="1"/>
  <c r="Q158" i="6"/>
  <c r="K158" i="6"/>
  <c r="O158" i="6" s="1"/>
  <c r="J18" i="6"/>
  <c r="K18" i="6" s="1"/>
  <c r="O18" i="6" s="1"/>
  <c r="J9" i="6"/>
  <c r="Q9" i="6" s="1"/>
  <c r="J57" i="6"/>
  <c r="K57" i="6" s="1"/>
  <c r="J117" i="6"/>
  <c r="K117" i="6" s="1"/>
  <c r="O117" i="6" s="1"/>
  <c r="J148" i="6"/>
  <c r="Q148" i="6" s="1"/>
  <c r="J83" i="6"/>
  <c r="K83" i="6" s="1"/>
  <c r="O83" i="6" s="1"/>
  <c r="J145" i="6"/>
  <c r="K145" i="6" s="1"/>
  <c r="J63" i="6"/>
  <c r="Q63" i="6" s="1"/>
  <c r="J294" i="6"/>
  <c r="K294" i="6" s="1"/>
  <c r="N294" i="6" s="1"/>
  <c r="J233" i="6"/>
  <c r="K233" i="6" s="1"/>
  <c r="O233" i="6" s="1"/>
  <c r="J287" i="6"/>
  <c r="Q287" i="6" s="1"/>
  <c r="Q98" i="6"/>
  <c r="J312" i="6"/>
  <c r="Q312" i="6" s="1"/>
  <c r="J190" i="6"/>
  <c r="K190" i="6" s="1"/>
  <c r="O190" i="6" s="1"/>
  <c r="J236" i="6"/>
  <c r="K236" i="6" s="1"/>
  <c r="O236" i="6" s="1"/>
  <c r="J131" i="6"/>
  <c r="K131" i="6" s="1"/>
  <c r="N131" i="6" s="1"/>
  <c r="J129" i="6"/>
  <c r="K129" i="6" s="1"/>
  <c r="J156" i="6"/>
  <c r="K156" i="6" s="1"/>
  <c r="N156" i="6" s="1"/>
  <c r="J264" i="6"/>
  <c r="K264" i="6" s="1"/>
  <c r="O264" i="6" s="1"/>
  <c r="J146" i="6"/>
  <c r="K146" i="6" s="1"/>
  <c r="O146" i="6" s="1"/>
  <c r="Q42" i="6"/>
  <c r="Q205" i="6"/>
  <c r="Q274" i="6"/>
  <c r="J45" i="6"/>
  <c r="Q45" i="6" s="1"/>
  <c r="J33" i="6"/>
  <c r="K33" i="6" s="1"/>
  <c r="N33" i="6" s="1"/>
  <c r="J101" i="6"/>
  <c r="K101" i="6" s="1"/>
  <c r="N101" i="6" s="1"/>
  <c r="J37" i="6"/>
  <c r="Q37" i="6" s="1"/>
  <c r="J291" i="6"/>
  <c r="Q291" i="6" s="1"/>
  <c r="Q270" i="6"/>
  <c r="K270" i="6"/>
  <c r="N270" i="6" s="1"/>
  <c r="J162" i="6"/>
  <c r="K162" i="6" s="1"/>
  <c r="N162" i="6" s="1"/>
  <c r="J269" i="6"/>
  <c r="K269" i="6" s="1"/>
  <c r="N269" i="6" s="1"/>
  <c r="O205" i="6"/>
  <c r="J105" i="6"/>
  <c r="K105" i="6" s="1"/>
  <c r="J157" i="6"/>
  <c r="Q157" i="6" s="1"/>
  <c r="J171" i="6"/>
  <c r="K171" i="6" s="1"/>
  <c r="N171" i="6" s="1"/>
  <c r="J282" i="6"/>
  <c r="Q282" i="6" s="1"/>
  <c r="J66" i="6"/>
  <c r="K66" i="6" s="1"/>
  <c r="J290" i="6"/>
  <c r="K290" i="6" s="1"/>
  <c r="O290" i="6" s="1"/>
  <c r="J134" i="6"/>
  <c r="K134" i="6" s="1"/>
  <c r="J256" i="6"/>
  <c r="K256" i="6" s="1"/>
  <c r="N256" i="6" s="1"/>
  <c r="J200" i="6"/>
  <c r="K200" i="6" s="1"/>
  <c r="N200" i="6" s="1"/>
  <c r="J181" i="6"/>
  <c r="K181" i="6" s="1"/>
  <c r="O181" i="6" s="1"/>
  <c r="J268" i="6"/>
  <c r="K268" i="6" s="1"/>
  <c r="N268" i="6" s="1"/>
  <c r="O219" i="6"/>
  <c r="Q126" i="6"/>
  <c r="J70" i="6"/>
  <c r="K70" i="6" s="1"/>
  <c r="O70" i="6" s="1"/>
  <c r="J193" i="6"/>
  <c r="K193" i="6" s="1"/>
  <c r="J138" i="6"/>
  <c r="K138" i="6" s="1"/>
  <c r="N138" i="6" s="1"/>
  <c r="J188" i="6"/>
  <c r="Q188" i="6" s="1"/>
  <c r="Q215" i="6"/>
  <c r="J283" i="6"/>
  <c r="K283" i="6" s="1"/>
  <c r="O283" i="6" s="1"/>
  <c r="J208" i="6"/>
  <c r="K208" i="6" s="1"/>
  <c r="J137" i="6"/>
  <c r="Q137" i="6" s="1"/>
  <c r="Q234" i="6"/>
  <c r="J82" i="6"/>
  <c r="K82" i="6" s="1"/>
  <c r="O82" i="6" s="1"/>
  <c r="J260" i="6"/>
  <c r="Q260" i="6" s="1"/>
  <c r="J40" i="6"/>
  <c r="A9184" i="1"/>
  <c r="A9029" i="1"/>
  <c r="A9140" i="1"/>
  <c r="Q308" i="6"/>
  <c r="J54" i="6"/>
  <c r="K54" i="6" s="1"/>
  <c r="N54" i="6" s="1"/>
  <c r="J221" i="6"/>
  <c r="Q221" i="6" s="1"/>
  <c r="J56" i="6"/>
  <c r="J71" i="6"/>
  <c r="J31" i="6"/>
  <c r="K31" i="6" s="1"/>
  <c r="O31" i="6" s="1"/>
  <c r="O126" i="6"/>
  <c r="J170" i="6"/>
  <c r="Q170" i="6" s="1"/>
  <c r="Q223" i="6"/>
  <c r="J183" i="6"/>
  <c r="K183" i="6" s="1"/>
  <c r="O183" i="6" s="1"/>
  <c r="Q187" i="6"/>
  <c r="J303" i="6"/>
  <c r="Q303" i="6" s="1"/>
  <c r="J182" i="6"/>
  <c r="J179" i="6"/>
  <c r="K179" i="6" s="1"/>
  <c r="O179" i="6" s="1"/>
  <c r="J206" i="6"/>
  <c r="K206" i="6" s="1"/>
  <c r="N206" i="6" s="1"/>
  <c r="J292" i="6"/>
  <c r="K292" i="6" s="1"/>
  <c r="J27" i="6"/>
  <c r="K27" i="6" s="1"/>
  <c r="O27" i="6" s="1"/>
  <c r="J293" i="6"/>
  <c r="K293" i="6" s="1"/>
  <c r="N293" i="6" s="1"/>
  <c r="J257" i="6"/>
  <c r="K257" i="6" s="1"/>
  <c r="O257" i="6" s="1"/>
  <c r="J150" i="6"/>
  <c r="J271" i="6"/>
  <c r="K271" i="6" s="1"/>
  <c r="J245" i="6"/>
  <c r="K245" i="6" s="1"/>
  <c r="N245" i="6" s="1"/>
  <c r="J48" i="6"/>
  <c r="Q48" i="6" s="1"/>
  <c r="J167" i="6"/>
  <c r="Q167" i="6" s="1"/>
  <c r="J30" i="6"/>
  <c r="Q30" i="6" s="1"/>
  <c r="J92" i="6"/>
  <c r="A9220" i="1"/>
  <c r="Q288" i="6"/>
  <c r="K288" i="6"/>
  <c r="N288" i="6" s="1"/>
  <c r="K144" i="6"/>
  <c r="Q144" i="6"/>
  <c r="A9146" i="1"/>
  <c r="A9013" i="1"/>
  <c r="A9105" i="1"/>
  <c r="A9008" i="1"/>
  <c r="J49" i="6"/>
  <c r="Q49" i="6" s="1"/>
  <c r="J165" i="6"/>
  <c r="A9004" i="1"/>
  <c r="A9000" i="1"/>
  <c r="A9027" i="1"/>
  <c r="A9030" i="1"/>
  <c r="A9106" i="1"/>
  <c r="A9002" i="1"/>
  <c r="A9137" i="1"/>
  <c r="J26" i="6"/>
  <c r="K26" i="6" s="1"/>
  <c r="J151" i="6"/>
  <c r="K151" i="6" s="1"/>
  <c r="O151" i="6" s="1"/>
  <c r="J231" i="6"/>
  <c r="K231" i="6" s="1"/>
  <c r="O231" i="6" s="1"/>
  <c r="N219" i="6"/>
  <c r="J154" i="6"/>
  <c r="K154" i="6" s="1"/>
  <c r="J304" i="6"/>
  <c r="A9015" i="1"/>
  <c r="Q266" i="6"/>
  <c r="Q219" i="6"/>
  <c r="J44" i="6"/>
  <c r="J46" i="6"/>
  <c r="K46" i="6" s="1"/>
  <c r="N46" i="6" s="1"/>
  <c r="A9011" i="1"/>
  <c r="A9016" i="1"/>
  <c r="J243" i="6"/>
  <c r="Q243" i="6" s="1"/>
  <c r="A9025" i="1"/>
  <c r="A9021" i="1"/>
  <c r="A9145" i="1"/>
  <c r="J104" i="6"/>
  <c r="Q104" i="6" s="1"/>
  <c r="J225" i="6"/>
  <c r="Q225" i="6" s="1"/>
  <c r="Q213" i="6"/>
  <c r="A9020" i="1"/>
  <c r="A9107" i="1"/>
  <c r="A9032" i="1"/>
  <c r="O223" i="6"/>
  <c r="J100" i="6"/>
  <c r="K100" i="6" s="1"/>
  <c r="O100" i="6" s="1"/>
  <c r="J204" i="6"/>
  <c r="Q204" i="6" s="1"/>
  <c r="A9110" i="1"/>
  <c r="A9010" i="1"/>
  <c r="N223" i="6"/>
  <c r="J307" i="6"/>
  <c r="K307" i="6" s="1"/>
  <c r="N307" i="6" s="1"/>
  <c r="J220" i="6"/>
  <c r="K220" i="6" s="1"/>
  <c r="N220" i="6" s="1"/>
  <c r="J261" i="6"/>
  <c r="Q261" i="6" s="1"/>
  <c r="J77" i="6"/>
  <c r="K77" i="6" s="1"/>
  <c r="N77" i="6" s="1"/>
  <c r="J177" i="6"/>
  <c r="J68" i="6"/>
  <c r="K68" i="6" s="1"/>
  <c r="J130" i="6"/>
  <c r="B8903" i="1"/>
  <c r="B9221" i="1" s="1"/>
  <c r="J214" i="6"/>
  <c r="K214" i="6" s="1"/>
  <c r="J238" i="6"/>
  <c r="K238" i="6" s="1"/>
  <c r="O238" i="6" s="1"/>
  <c r="J262" i="6"/>
  <c r="K262" i="6" s="1"/>
  <c r="N262" i="6" s="1"/>
  <c r="J22" i="6"/>
  <c r="A9009" i="1"/>
  <c r="A9148" i="1"/>
  <c r="J152" i="6"/>
  <c r="Q152" i="6" s="1"/>
  <c r="J123" i="6"/>
  <c r="K123" i="6" s="1"/>
  <c r="N123" i="6" s="1"/>
  <c r="J173" i="6"/>
  <c r="K173" i="6" s="1"/>
  <c r="N173" i="6" s="1"/>
  <c r="J311" i="6"/>
  <c r="K311" i="6" s="1"/>
  <c r="N311" i="6" s="1"/>
  <c r="J178" i="6"/>
  <c r="K178" i="6" s="1"/>
  <c r="O178" i="6" s="1"/>
  <c r="A9103" i="1"/>
  <c r="A9109" i="1"/>
  <c r="A9017" i="1"/>
  <c r="A9104" i="1"/>
  <c r="J95" i="6"/>
  <c r="Q95" i="6" s="1"/>
  <c r="J127" i="6"/>
  <c r="K127" i="6" s="1"/>
  <c r="N127" i="6" s="1"/>
  <c r="J259" i="6"/>
  <c r="K259" i="6" s="1"/>
  <c r="N259" i="6" s="1"/>
  <c r="J302" i="6"/>
  <c r="Q302" i="6" s="1"/>
  <c r="J102" i="6"/>
  <c r="J81" i="6"/>
  <c r="Q79" i="6"/>
  <c r="K79" i="6"/>
  <c r="O79" i="6" s="1"/>
  <c r="O234" i="6"/>
  <c r="N234" i="6"/>
  <c r="K280" i="6"/>
  <c r="Q280" i="6"/>
  <c r="J298" i="6"/>
  <c r="K298" i="6" s="1"/>
  <c r="N298" i="6" s="1"/>
  <c r="J149" i="6"/>
  <c r="O34" i="6"/>
  <c r="J155" i="6"/>
  <c r="K155" i="6" s="1"/>
  <c r="N155" i="6" s="1"/>
  <c r="J141" i="6"/>
  <c r="K141" i="6" s="1"/>
  <c r="O141" i="6" s="1"/>
  <c r="J122" i="6"/>
  <c r="J191" i="6"/>
  <c r="K191" i="6" s="1"/>
  <c r="O191" i="6" s="1"/>
  <c r="J210" i="6"/>
  <c r="K210" i="6" s="1"/>
  <c r="N210" i="6" s="1"/>
  <c r="O308" i="6"/>
  <c r="J253" i="6"/>
  <c r="K253" i="6" s="1"/>
  <c r="J24" i="6"/>
  <c r="J118" i="6"/>
  <c r="J305" i="6"/>
  <c r="K305" i="6" s="1"/>
  <c r="N308" i="6"/>
  <c r="J242" i="6"/>
  <c r="Q242" i="6" s="1"/>
  <c r="J86" i="6"/>
  <c r="J35" i="6"/>
  <c r="K35" i="6" s="1"/>
  <c r="N35" i="6" s="1"/>
  <c r="J88" i="6"/>
  <c r="K88" i="6" s="1"/>
  <c r="J198" i="6"/>
  <c r="K198" i="6" s="1"/>
  <c r="N198" i="6" s="1"/>
  <c r="J194" i="6"/>
  <c r="K194" i="6" s="1"/>
  <c r="J226" i="6"/>
  <c r="Q226" i="6" s="1"/>
  <c r="J267" i="6"/>
  <c r="K267" i="6" s="1"/>
  <c r="J185" i="6"/>
  <c r="Q185" i="6" s="1"/>
  <c r="N205" i="6"/>
  <c r="J286" i="6"/>
  <c r="J120" i="6"/>
  <c r="K120" i="6" s="1"/>
  <c r="N120" i="6" s="1"/>
  <c r="Q8" i="6"/>
  <c r="K8" i="6"/>
  <c r="N8" i="6" s="1"/>
  <c r="J47" i="6"/>
  <c r="K47" i="6" s="1"/>
  <c r="J172" i="6"/>
  <c r="K172" i="6" s="1"/>
  <c r="O172" i="6" s="1"/>
  <c r="J207" i="6"/>
  <c r="K207" i="6" s="1"/>
  <c r="N207" i="6" s="1"/>
  <c r="J209" i="6"/>
  <c r="K209" i="6" s="1"/>
  <c r="J29" i="6"/>
  <c r="J140" i="6"/>
  <c r="J99" i="6"/>
  <c r="K99" i="6" s="1"/>
  <c r="J7" i="6"/>
  <c r="J67" i="6"/>
  <c r="K67" i="6" s="1"/>
  <c r="N67" i="6" s="1"/>
  <c r="J85" i="6"/>
  <c r="K85" i="6" s="1"/>
  <c r="J166" i="6"/>
  <c r="N201" i="6"/>
  <c r="K25" i="6"/>
  <c r="N25" i="6" s="1"/>
  <c r="Q25" i="6"/>
  <c r="K6" i="6"/>
  <c r="N6" i="6" s="1"/>
  <c r="Q6" i="6"/>
  <c r="K62" i="6"/>
  <c r="O62" i="6" s="1"/>
  <c r="Q62" i="6"/>
  <c r="K241" i="6"/>
  <c r="Q241" i="6"/>
  <c r="K23" i="6"/>
  <c r="K21" i="6"/>
  <c r="N21" i="6" s="1"/>
  <c r="Q21" i="6"/>
  <c r="K76" i="6"/>
  <c r="O76" i="6" s="1"/>
  <c r="O60" i="6"/>
  <c r="K109" i="6"/>
  <c r="N109" i="6" s="1"/>
  <c r="Q109" i="6"/>
  <c r="K237" i="6"/>
  <c r="N237" i="6" s="1"/>
  <c r="Q237" i="6"/>
  <c r="Q43" i="6"/>
  <c r="K43" i="6"/>
  <c r="O43" i="6" s="1"/>
  <c r="Q76" i="6"/>
  <c r="K275" i="6"/>
  <c r="O275" i="6" s="1"/>
  <c r="Q275" i="6"/>
  <c r="K42" i="6"/>
  <c r="O42" i="6" s="1"/>
  <c r="K128" i="6"/>
  <c r="N128" i="6" s="1"/>
  <c r="K121" i="6"/>
  <c r="O121" i="6" s="1"/>
  <c r="Q121" i="6"/>
  <c r="J217" i="6"/>
  <c r="K110" i="6"/>
  <c r="Q110" i="6"/>
  <c r="K192" i="6"/>
  <c r="Q192" i="6"/>
  <c r="K78" i="6"/>
  <c r="Q78" i="6"/>
  <c r="K113" i="6"/>
  <c r="Q113" i="6"/>
  <c r="K314" i="6"/>
  <c r="Q314" i="6"/>
  <c r="K159" i="6"/>
  <c r="Q159" i="6"/>
  <c r="Q128" i="6"/>
  <c r="Q284" i="6"/>
  <c r="K284" i="6"/>
  <c r="N284" i="6" s="1"/>
  <c r="J38" i="6"/>
  <c r="J55" i="6"/>
  <c r="O97" i="6"/>
  <c r="N97" i="6"/>
  <c r="J28" i="6"/>
  <c r="K153" i="6"/>
  <c r="N153" i="6" s="1"/>
  <c r="Q153" i="6"/>
  <c r="K239" i="6"/>
  <c r="O239" i="6" s="1"/>
  <c r="Q239" i="6"/>
  <c r="K289" i="6"/>
  <c r="N289" i="6" s="1"/>
  <c r="J107" i="6"/>
  <c r="J189" i="6"/>
  <c r="K111" i="6"/>
  <c r="N111" i="6" s="1"/>
  <c r="Q111" i="6"/>
  <c r="K164" i="6"/>
  <c r="O164" i="6" s="1"/>
  <c r="Q164" i="6"/>
  <c r="K251" i="6"/>
  <c r="N251" i="6" s="1"/>
  <c r="J281" i="6"/>
  <c r="J195" i="6"/>
  <c r="J211" i="6"/>
  <c r="J161" i="6"/>
  <c r="K247" i="6"/>
  <c r="Q247" i="6"/>
  <c r="K125" i="6"/>
  <c r="K250" i="6"/>
  <c r="J15" i="6"/>
  <c r="J16" i="6"/>
  <c r="J143" i="6"/>
  <c r="Q218" i="6"/>
  <c r="K218" i="6"/>
  <c r="K213" i="6"/>
  <c r="O213" i="6" s="1"/>
  <c r="Q289" i="6"/>
  <c r="K116" i="6"/>
  <c r="O116" i="6" s="1"/>
  <c r="Q116" i="6"/>
  <c r="K263" i="6"/>
  <c r="Q263" i="6"/>
  <c r="N98" i="6"/>
  <c r="O98" i="6"/>
  <c r="K266" i="6"/>
  <c r="K248" i="6"/>
  <c r="J74" i="6"/>
  <c r="K244" i="6"/>
  <c r="K309" i="6"/>
  <c r="Q309" i="6"/>
  <c r="Q250" i="6"/>
  <c r="K103" i="6"/>
  <c r="N103" i="6" s="1"/>
  <c r="Q103" i="6"/>
  <c r="J142" i="6"/>
  <c r="J222" i="6"/>
  <c r="K274" i="6"/>
  <c r="O274" i="6" s="1"/>
  <c r="N126" i="6"/>
  <c r="J168" i="6"/>
  <c r="K174" i="6"/>
  <c r="N174" i="6" s="1"/>
  <c r="Q230" i="6"/>
  <c r="K230" i="6"/>
  <c r="N230" i="6" s="1"/>
  <c r="Q201" i="6"/>
  <c r="Q174" i="6"/>
  <c r="J184" i="6"/>
  <c r="K215" i="6"/>
  <c r="O215" i="6" s="1"/>
  <c r="J229" i="6"/>
  <c r="O201" i="6"/>
  <c r="K273" i="6"/>
  <c r="N273" i="6" s="1"/>
  <c r="Q273" i="6"/>
  <c r="A9028" i="1"/>
  <c r="A9149" i="1"/>
  <c r="A9001" i="1"/>
  <c r="A9018" i="1"/>
  <c r="A9131" i="1"/>
  <c r="A9142" i="1"/>
  <c r="A9014" i="1"/>
  <c r="A9022" i="1"/>
  <c r="A9007" i="1"/>
  <c r="A9135" i="1"/>
  <c r="A9222" i="1"/>
  <c r="A9108" i="1"/>
  <c r="F5801" i="1"/>
  <c r="B1736" i="1"/>
  <c r="A9023" i="1"/>
  <c r="A9031" i="1"/>
  <c r="H2063" i="1"/>
  <c r="A9006" i="1"/>
  <c r="A9024" i="1"/>
  <c r="D7074" i="1"/>
  <c r="Q27" i="1" s="1"/>
  <c r="I27" i="1"/>
  <c r="G27" i="1"/>
  <c r="A9133" i="1"/>
  <c r="A9003" i="1"/>
  <c r="B7084" i="1"/>
  <c r="H2061" i="1"/>
  <c r="A6006" i="1"/>
  <c r="A9095" i="1" s="1"/>
  <c r="A9157" i="1"/>
  <c r="A6609" i="1"/>
  <c r="A9206" i="1" s="1"/>
  <c r="A6608" i="1"/>
  <c r="D13" i="1"/>
  <c r="D27" i="1" s="1"/>
  <c r="A9160" i="1"/>
  <c r="A9152" i="1"/>
  <c r="A9153" i="1"/>
  <c r="A6580" i="1"/>
  <c r="A9183" i="1" s="1"/>
  <c r="A9151" i="1"/>
  <c r="A9161" i="1"/>
  <c r="A9156" i="1"/>
  <c r="A6603" i="1"/>
  <c r="A9200" i="1" s="1"/>
  <c r="A9159" i="1"/>
  <c r="A5997" i="1"/>
  <c r="A9086" i="1" s="1"/>
  <c r="A6605" i="1"/>
  <c r="A9202" i="1" s="1"/>
  <c r="A6606" i="1"/>
  <c r="A9203" i="1" s="1"/>
  <c r="A6602" i="1"/>
  <c r="A5980" i="1"/>
  <c r="A9069" i="1" s="1"/>
  <c r="A6599" i="1"/>
  <c r="A9196" i="1" s="1"/>
  <c r="B6594" i="1"/>
  <c r="B6608" i="1"/>
  <c r="B5992" i="1"/>
  <c r="A6600" i="1"/>
  <c r="A9197" i="1" s="1"/>
  <c r="B6596" i="1"/>
  <c r="F6554" i="1"/>
  <c r="A6596" i="1"/>
  <c r="A9193" i="1" s="1"/>
  <c r="E6558" i="1"/>
  <c r="G6124" i="1"/>
  <c r="B6012" i="1"/>
  <c r="A6005" i="1"/>
  <c r="A9094" i="1" s="1"/>
  <c r="D6124" i="1"/>
  <c r="A9155" i="1"/>
  <c r="B5996" i="1"/>
  <c r="B7088" i="1"/>
  <c r="E6566" i="1"/>
  <c r="A5979" i="1"/>
  <c r="A9068" i="1" s="1"/>
  <c r="B6009" i="1"/>
  <c r="A5970" i="1"/>
  <c r="A9059" i="1" s="1"/>
  <c r="B6011" i="1"/>
  <c r="B5975" i="1"/>
  <c r="B5961" i="1"/>
  <c r="B5985" i="1"/>
  <c r="B6597" i="1"/>
  <c r="A6597" i="1"/>
  <c r="A5978" i="1"/>
  <c r="A9067" i="1" s="1"/>
  <c r="C5969" i="1"/>
  <c r="A6590" i="1"/>
  <c r="B5989" i="1"/>
  <c r="B6606" i="1"/>
  <c r="B6605" i="1"/>
  <c r="B6593" i="1"/>
  <c r="F6566" i="1"/>
  <c r="F6550" i="1"/>
  <c r="E6550" i="1"/>
  <c r="C5960" i="1"/>
  <c r="A6001" i="1"/>
  <c r="A9090" i="1" s="1"/>
  <c r="B5981" i="1"/>
  <c r="B6602" i="1"/>
  <c r="G6123" i="1"/>
  <c r="F6562" i="1"/>
  <c r="A5984" i="1"/>
  <c r="C6005" i="1"/>
  <c r="C5987" i="1"/>
  <c r="B6010" i="1"/>
  <c r="A6593" i="1"/>
  <c r="A9190" i="1" s="1"/>
  <c r="A5967" i="1"/>
  <c r="A9056" i="1" s="1"/>
  <c r="B6521" i="1"/>
  <c r="B5993" i="1"/>
  <c r="B6520" i="1"/>
  <c r="B6600" i="1"/>
  <c r="B6591" i="1"/>
  <c r="B5971" i="1"/>
  <c r="B5970" i="1"/>
  <c r="A6003" i="1"/>
  <c r="A9092" i="1" s="1"/>
  <c r="A5985" i="1"/>
  <c r="E6562" i="1"/>
  <c r="A6582" i="1"/>
  <c r="A5963" i="1"/>
  <c r="A9052" i="1" s="1"/>
  <c r="A5962" i="1"/>
  <c r="A9051" i="1" s="1"/>
  <c r="B5994" i="1"/>
  <c r="B5976" i="1"/>
  <c r="A6000" i="1"/>
  <c r="A9089" i="1" s="1"/>
  <c r="B7086" i="1"/>
  <c r="A5969" i="1"/>
  <c r="A9058" i="1" s="1"/>
  <c r="D6123" i="1"/>
  <c r="A5983" i="1"/>
  <c r="A9072" i="1" s="1"/>
  <c r="A6594" i="1"/>
  <c r="A9191" i="1" s="1"/>
  <c r="B5960" i="1"/>
  <c r="B5974" i="1"/>
  <c r="B6599" i="1"/>
  <c r="B6590" i="1"/>
  <c r="B6005" i="1"/>
  <c r="E6554" i="1"/>
  <c r="A5966" i="1"/>
  <c r="A9055" i="1" s="1"/>
  <c r="C5996" i="1"/>
  <c r="A6011" i="1"/>
  <c r="A6010" i="1"/>
  <c r="A5988" i="1"/>
  <c r="A9077" i="1" s="1"/>
  <c r="B5987" i="1"/>
  <c r="F6558" i="1"/>
  <c r="B6002" i="1"/>
  <c r="B6603" i="1"/>
  <c r="B6609" i="1"/>
  <c r="B5979" i="1"/>
  <c r="C5978" i="1"/>
  <c r="A5994" i="1"/>
  <c r="A6591" i="1"/>
  <c r="A9188" i="1" s="1"/>
  <c r="A5965" i="1"/>
  <c r="A9054" i="1" s="1"/>
  <c r="B6006" i="1"/>
  <c r="A5998" i="1"/>
  <c r="A9087" i="1" s="1"/>
  <c r="A5981" i="1"/>
  <c r="A9070" i="1" s="1"/>
  <c r="B1235" i="1"/>
  <c r="E27" i="1"/>
  <c r="A6007" i="1"/>
  <c r="A9096" i="1" s="1"/>
  <c r="B5972" i="1"/>
  <c r="D6125" i="1"/>
  <c r="I2057" i="1"/>
  <c r="G6125" i="1"/>
  <c r="B5998" i="1"/>
  <c r="A5964" i="1"/>
  <c r="A9053" i="1" s="1"/>
  <c r="D6121" i="1"/>
  <c r="G6121" i="1"/>
  <c r="A5990" i="1"/>
  <c r="E2063" i="1"/>
  <c r="E2057" i="1"/>
  <c r="C2057" i="1"/>
  <c r="B2057" i="1"/>
  <c r="B5969" i="1"/>
  <c r="B6001" i="1"/>
  <c r="A5973" i="1"/>
  <c r="A9062" i="1" s="1"/>
  <c r="B5966" i="1"/>
  <c r="B5983" i="1"/>
  <c r="A5992" i="1"/>
  <c r="A9081" i="1" s="1"/>
  <c r="A6009" i="1"/>
  <c r="A9098" i="1" s="1"/>
  <c r="A5975" i="1"/>
  <c r="A9064" i="1" s="1"/>
  <c r="B6000" i="1"/>
  <c r="D6122" i="1"/>
  <c r="A6008" i="1"/>
  <c r="A9097" i="1" s="1"/>
  <c r="B5999" i="1"/>
  <c r="A5991" i="1"/>
  <c r="A9080" i="1" s="1"/>
  <c r="A5974" i="1"/>
  <c r="A9063" i="1" s="1"/>
  <c r="B5982" i="1"/>
  <c r="B5965" i="1"/>
  <c r="A5993" i="1"/>
  <c r="B6007" i="1"/>
  <c r="B5964" i="1"/>
  <c r="B5997" i="1"/>
  <c r="A5971" i="1"/>
  <c r="A9060" i="1" s="1"/>
  <c r="A5987" i="1"/>
  <c r="B5984" i="1"/>
  <c r="A5999" i="1"/>
  <c r="A9088" i="1" s="1"/>
  <c r="A5989" i="1"/>
  <c r="A9078" i="1" s="1"/>
  <c r="B5962" i="1"/>
  <c r="A6012" i="1"/>
  <c r="A9101" i="1" s="1"/>
  <c r="B5978" i="1"/>
  <c r="A5976" i="1"/>
  <c r="A9065" i="1" s="1"/>
  <c r="B5990" i="1"/>
  <c r="B5980" i="1"/>
  <c r="A9143" i="1"/>
  <c r="B6003" i="1"/>
  <c r="B5967" i="1"/>
  <c r="A5982" i="1"/>
  <c r="A9071" i="1" s="1"/>
  <c r="A5972" i="1"/>
  <c r="A9061" i="1" s="1"/>
  <c r="A5996" i="1"/>
  <c r="A5961" i="1"/>
  <c r="A9050" i="1" s="1"/>
  <c r="A5960" i="1"/>
  <c r="A9049" i="1" s="1"/>
  <c r="B6008" i="1"/>
  <c r="B5973" i="1"/>
  <c r="B5963" i="1"/>
  <c r="F2063" i="1"/>
  <c r="F2057" i="1"/>
  <c r="A9139" i="1"/>
  <c r="B5988" i="1"/>
  <c r="A6002" i="1"/>
  <c r="A9091" i="1" s="1"/>
  <c r="G6122" i="1"/>
  <c r="B5991" i="1"/>
  <c r="I2063" i="1"/>
  <c r="B1468" i="1"/>
  <c r="M1639" i="1"/>
  <c r="A1643" i="1" s="1"/>
  <c r="C1642" i="1" s="1"/>
  <c r="E1518" i="1"/>
  <c r="E1616" i="1"/>
  <c r="E1392" i="1"/>
  <c r="E1343" i="1"/>
  <c r="B1568" i="1"/>
  <c r="F1337" i="1"/>
  <c r="B1462" i="1"/>
  <c r="F1537" i="1"/>
  <c r="B1612" i="1"/>
  <c r="B1587" i="1"/>
  <c r="E1367" i="1"/>
  <c r="F1512" i="1"/>
  <c r="F1362" i="1"/>
  <c r="B1637" i="1"/>
  <c r="B1595" i="1"/>
  <c r="B1312" i="1"/>
  <c r="B1387" i="1"/>
  <c r="D1537" i="1"/>
  <c r="B1437" i="1"/>
  <c r="B1562" i="1"/>
  <c r="B1287" i="1"/>
  <c r="B1412" i="1"/>
  <c r="B1487" i="1"/>
  <c r="E1416" i="1"/>
  <c r="C4535" i="1"/>
  <c r="C4533" i="1"/>
  <c r="C4536" i="1"/>
  <c r="C4531" i="1"/>
  <c r="C4534" i="1"/>
  <c r="B5708" i="1"/>
  <c r="K1210" i="1"/>
  <c r="C5705" i="1"/>
  <c r="I1210" i="1"/>
  <c r="C5704" i="1"/>
  <c r="C5703" i="1"/>
  <c r="G1210" i="1"/>
  <c r="C5702" i="1"/>
  <c r="E1210" i="1"/>
  <c r="D1362" i="1"/>
  <c r="B1366" i="1"/>
  <c r="E1368" i="1"/>
  <c r="A7024" i="1"/>
  <c r="B1370" i="1"/>
  <c r="E1369" i="1"/>
  <c r="E1365" i="1"/>
  <c r="B1415" i="1"/>
  <c r="B1342" i="1"/>
  <c r="B1340" i="1"/>
  <c r="B1416" i="1"/>
  <c r="E1342" i="1"/>
  <c r="B1345" i="1"/>
  <c r="M1339" i="1"/>
  <c r="A1344" i="1" s="1"/>
  <c r="C1343" i="1" s="1"/>
  <c r="B1367" i="1"/>
  <c r="E1366" i="1"/>
  <c r="E1417" i="1"/>
  <c r="D1412" i="1"/>
  <c r="E1617" i="1"/>
  <c r="D1612" i="1"/>
  <c r="M1564" i="1"/>
  <c r="A1566" i="1" s="1"/>
  <c r="D1566" i="1" s="1"/>
  <c r="M1614" i="1"/>
  <c r="A1620" i="1" s="1"/>
  <c r="C1619" i="1" s="1"/>
  <c r="B1590" i="1"/>
  <c r="M1414" i="1"/>
  <c r="A1417" i="1" s="1"/>
  <c r="C1416" i="1" s="1"/>
  <c r="E1592" i="1"/>
  <c r="B1616" i="1"/>
  <c r="B1418" i="1"/>
  <c r="B1592" i="1"/>
  <c r="B1343" i="1"/>
  <c r="B1618" i="1"/>
  <c r="M1514" i="1"/>
  <c r="A1515" i="1" s="1"/>
  <c r="D1515" i="1" s="1"/>
  <c r="E1569" i="1"/>
  <c r="B1593" i="1"/>
  <c r="E1565" i="1"/>
  <c r="M1589" i="1"/>
  <c r="A1595" i="1" s="1"/>
  <c r="C1594" i="1" s="1"/>
  <c r="B1565" i="1"/>
  <c r="E1566" i="1"/>
  <c r="E1619" i="1"/>
  <c r="E1568" i="1"/>
  <c r="B1390" i="1"/>
  <c r="E1393" i="1"/>
  <c r="B1392" i="1"/>
  <c r="B1542" i="1"/>
  <c r="B1518" i="1"/>
  <c r="E1517" i="1"/>
  <c r="E1341" i="1"/>
  <c r="M1464" i="1"/>
  <c r="A1466" i="1" s="1"/>
  <c r="D1466" i="1" s="1"/>
  <c r="B1517" i="1"/>
  <c r="B1369" i="1"/>
  <c r="E1391" i="1"/>
  <c r="E1344" i="1"/>
  <c r="E1467" i="1"/>
  <c r="B2063" i="1"/>
  <c r="E1394" i="1"/>
  <c r="B1365" i="1"/>
  <c r="D1387" i="1"/>
  <c r="B1341" i="1"/>
  <c r="B1420" i="1"/>
  <c r="E1418" i="1"/>
  <c r="D1587" i="1"/>
  <c r="B1368" i="1"/>
  <c r="B1391" i="1"/>
  <c r="C2063" i="1"/>
  <c r="E1567" i="1"/>
  <c r="E1468" i="1"/>
  <c r="E1591" i="1"/>
  <c r="D1512" i="1"/>
  <c r="B1516" i="1"/>
  <c r="B1620" i="1"/>
  <c r="E1618" i="1"/>
  <c r="B1591" i="1"/>
  <c r="B1519" i="1"/>
  <c r="M1364" i="1"/>
  <c r="A1370" i="1" s="1"/>
  <c r="C1369" i="1" s="1"/>
  <c r="B1344" i="1"/>
  <c r="E1541" i="1"/>
  <c r="B1395" i="1"/>
  <c r="E1594" i="1"/>
  <c r="D1462" i="1"/>
  <c r="E1415" i="1"/>
  <c r="E1515" i="1"/>
  <c r="B1394" i="1"/>
  <c r="E1340" i="1"/>
  <c r="B1393" i="1"/>
  <c r="M1389" i="1"/>
  <c r="A1392" i="1" s="1"/>
  <c r="C1391" i="1" s="1"/>
  <c r="E1516" i="1"/>
  <c r="B1467" i="1"/>
  <c r="B1615" i="1"/>
  <c r="D1337" i="1"/>
  <c r="B1417" i="1"/>
  <c r="B1617" i="1"/>
  <c r="E1615" i="1"/>
  <c r="B1594" i="1"/>
  <c r="B1515" i="1"/>
  <c r="B1567" i="1"/>
  <c r="E1390" i="1"/>
  <c r="B1470" i="1"/>
  <c r="E1466" i="1"/>
  <c r="B1619" i="1"/>
  <c r="E1469" i="1"/>
  <c r="B1570" i="1"/>
  <c r="E1493" i="1"/>
  <c r="B1466" i="1"/>
  <c r="B1469" i="1"/>
  <c r="B1520" i="1"/>
  <c r="D1287" i="1"/>
  <c r="M1289" i="1"/>
  <c r="A1292" i="1" s="1"/>
  <c r="D1292" i="1" s="1"/>
  <c r="B1544" i="1"/>
  <c r="E1540" i="1"/>
  <c r="E1543" i="1"/>
  <c r="B1419" i="1"/>
  <c r="B1293" i="1"/>
  <c r="E1590" i="1"/>
  <c r="E1519" i="1"/>
  <c r="D1562" i="1"/>
  <c r="B1540" i="1"/>
  <c r="E1419" i="1"/>
  <c r="E1593" i="1"/>
  <c r="B1566" i="1"/>
  <c r="B1543" i="1"/>
  <c r="M1539" i="1"/>
  <c r="A1541" i="1" s="1"/>
  <c r="C1540" i="1" s="1"/>
  <c r="B1494" i="1"/>
  <c r="B1541" i="1"/>
  <c r="B1569" i="1"/>
  <c r="E1465" i="1"/>
  <c r="E1490" i="1"/>
  <c r="B1291" i="1"/>
  <c r="B1294" i="1"/>
  <c r="E1290" i="1"/>
  <c r="E1293" i="1"/>
  <c r="B1493" i="1"/>
  <c r="E1642" i="1"/>
  <c r="E1315" i="1"/>
  <c r="B1465" i="1"/>
  <c r="M1489" i="1"/>
  <c r="A1490" i="1" s="1"/>
  <c r="D1490" i="1" s="1"/>
  <c r="E1641" i="1"/>
  <c r="B1290" i="1"/>
  <c r="E1542" i="1"/>
  <c r="E1492" i="1"/>
  <c r="B1642" i="1"/>
  <c r="D1312" i="1"/>
  <c r="B1442" i="1"/>
  <c r="B1645" i="1"/>
  <c r="B1316" i="1"/>
  <c r="B1445" i="1"/>
  <c r="E1441" i="1"/>
  <c r="E1442" i="1"/>
  <c r="E1644" i="1"/>
  <c r="B1319" i="1"/>
  <c r="E1444" i="1"/>
  <c r="B1490" i="1"/>
  <c r="B1441" i="1"/>
  <c r="M1314" i="1"/>
  <c r="B1315" i="1"/>
  <c r="D1437" i="1"/>
  <c r="B1492" i="1"/>
  <c r="E1318" i="1"/>
  <c r="D1637" i="1"/>
  <c r="B1641" i="1"/>
  <c r="E1292" i="1"/>
  <c r="B1317" i="1"/>
  <c r="E1440" i="1"/>
  <c r="B1495" i="1"/>
  <c r="B1444" i="1"/>
  <c r="B1644" i="1"/>
  <c r="B1292" i="1"/>
  <c r="B1320" i="1"/>
  <c r="B1545" i="1"/>
  <c r="E1443" i="1"/>
  <c r="E1491" i="1"/>
  <c r="E1317" i="1"/>
  <c r="E1640" i="1"/>
  <c r="B1295" i="1"/>
  <c r="E1316" i="1"/>
  <c r="E1494" i="1"/>
  <c r="E1643" i="1"/>
  <c r="E1291" i="1"/>
  <c r="B1318" i="1"/>
  <c r="E1544" i="1"/>
  <c r="B1440" i="1"/>
  <c r="B1640" i="1"/>
  <c r="E1294" i="1"/>
  <c r="E1319" i="1"/>
  <c r="B1443" i="1"/>
  <c r="D1487" i="1"/>
  <c r="M1439" i="1"/>
  <c r="B1491" i="1"/>
  <c r="B1643" i="1"/>
  <c r="B4511" i="1" l="1"/>
  <c r="B4506" i="1" s="1"/>
  <c r="B4510" i="1"/>
  <c r="A58" i="9"/>
  <c r="I2064" i="1"/>
  <c r="H2064" i="1"/>
  <c r="O28" i="1"/>
  <c r="O74" i="1" s="1"/>
  <c r="Q60" i="6"/>
  <c r="J18" i="7"/>
  <c r="K138" i="9" s="1"/>
  <c r="J138" i="9"/>
  <c r="L21" i="7"/>
  <c r="K141" i="9"/>
  <c r="L17" i="7"/>
  <c r="K137" i="9"/>
  <c r="K144" i="9" s="1"/>
  <c r="D162" i="9"/>
  <c r="D31" i="7"/>
  <c r="D163" i="9" s="1"/>
  <c r="B9140" i="1"/>
  <c r="B9143" i="1"/>
  <c r="B9142" i="1"/>
  <c r="B9139" i="1"/>
  <c r="B9152" i="1"/>
  <c r="B9153" i="1"/>
  <c r="B9185" i="1"/>
  <c r="B9222" i="1"/>
  <c r="O884" i="9"/>
  <c r="P883" i="9"/>
  <c r="O883" i="9"/>
  <c r="P882" i="9"/>
  <c r="O882" i="9"/>
  <c r="O885" i="9"/>
  <c r="P884" i="9"/>
  <c r="P885" i="9"/>
  <c r="P886" i="9"/>
  <c r="O886" i="9"/>
  <c r="L18" i="7"/>
  <c r="K160" i="6"/>
  <c r="N160" i="6" s="1"/>
  <c r="Q227" i="6"/>
  <c r="Q135" i="6"/>
  <c r="N176" i="6"/>
  <c r="Q176" i="6"/>
  <c r="Q13" i="6"/>
  <c r="K19" i="6"/>
  <c r="N19" i="6" s="1"/>
  <c r="Q246" i="6"/>
  <c r="Q258" i="6"/>
  <c r="K89" i="6"/>
  <c r="O89" i="6" s="1"/>
  <c r="Q139" i="6"/>
  <c r="Q115" i="6"/>
  <c r="N258" i="6"/>
  <c r="K147" i="6"/>
  <c r="O147" i="6" s="1"/>
  <c r="Q75" i="6"/>
  <c r="Q94" i="6"/>
  <c r="Q278" i="6"/>
  <c r="Q136" i="6"/>
  <c r="K90" i="6"/>
  <c r="O90" i="6" s="1"/>
  <c r="K119" i="6"/>
  <c r="N119" i="6" s="1"/>
  <c r="K72" i="6"/>
  <c r="O72" i="6" s="1"/>
  <c r="K41" i="6"/>
  <c r="N41" i="6" s="1"/>
  <c r="Q11" i="6"/>
  <c r="N186" i="6"/>
  <c r="Q186" i="6"/>
  <c r="K132" i="6"/>
  <c r="O132" i="6" s="1"/>
  <c r="K50" i="6"/>
  <c r="O50" i="6" s="1"/>
  <c r="Q232" i="6"/>
  <c r="Q202" i="6"/>
  <c r="K91" i="6"/>
  <c r="O91" i="6" s="1"/>
  <c r="Q301" i="6"/>
  <c r="Q249" i="6"/>
  <c r="N249" i="6"/>
  <c r="K112" i="6"/>
  <c r="O112" i="6" s="1"/>
  <c r="Q163" i="6"/>
  <c r="Q175" i="6"/>
  <c r="B9116" i="1"/>
  <c r="Q20" i="6"/>
  <c r="K216" i="6"/>
  <c r="N216" i="6" s="1"/>
  <c r="K297" i="6"/>
  <c r="O297" i="6" s="1"/>
  <c r="O20" i="6"/>
  <c r="O84" i="6"/>
  <c r="Q252" i="6"/>
  <c r="Q255" i="6"/>
  <c r="Q183" i="6"/>
  <c r="Q80" i="6"/>
  <c r="K203" i="6"/>
  <c r="O203" i="6" s="1"/>
  <c r="O17" i="6"/>
  <c r="K106" i="6"/>
  <c r="O106" i="6" s="1"/>
  <c r="Q17" i="6"/>
  <c r="Q69" i="6"/>
  <c r="Q53" i="6"/>
  <c r="Q279" i="6"/>
  <c r="Q65" i="6"/>
  <c r="K199" i="6"/>
  <c r="O199" i="6" s="1"/>
  <c r="K295" i="6"/>
  <c r="N295" i="6" s="1"/>
  <c r="K137" i="6"/>
  <c r="O137" i="6" s="1"/>
  <c r="Q265" i="6"/>
  <c r="Q32" i="6"/>
  <c r="Q277" i="6"/>
  <c r="K37" i="6"/>
  <c r="O37" i="6" s="1"/>
  <c r="Q313" i="6"/>
  <c r="Q10" i="6"/>
  <c r="K59" i="6"/>
  <c r="O59" i="6" s="1"/>
  <c r="O52" i="6"/>
  <c r="Q52" i="6"/>
  <c r="Q169" i="6"/>
  <c r="K108" i="6"/>
  <c r="N108" i="6" s="1"/>
  <c r="Q61" i="6"/>
  <c r="B9015" i="1"/>
  <c r="B9107" i="1"/>
  <c r="B9010" i="1"/>
  <c r="B9021" i="1"/>
  <c r="B9001" i="1"/>
  <c r="B9113" i="1"/>
  <c r="B9030" i="1"/>
  <c r="B9118" i="1"/>
  <c r="B9017" i="1"/>
  <c r="K93" i="6"/>
  <c r="N93" i="6" s="1"/>
  <c r="B9016" i="1"/>
  <c r="B9023" i="1"/>
  <c r="B9004" i="1"/>
  <c r="B9014" i="1"/>
  <c r="B9135" i="1"/>
  <c r="B9104" i="1"/>
  <c r="Q294" i="6"/>
  <c r="K157" i="6"/>
  <c r="O157" i="6" s="1"/>
  <c r="K51" i="6"/>
  <c r="N51" i="6" s="1"/>
  <c r="Q285" i="6"/>
  <c r="Q73" i="6"/>
  <c r="O276" i="6"/>
  <c r="K282" i="6"/>
  <c r="N282" i="6" s="1"/>
  <c r="Q12" i="6"/>
  <c r="N196" i="6"/>
  <c r="Q276" i="6"/>
  <c r="Q300" i="6"/>
  <c r="Q228" i="6"/>
  <c r="K299" i="6"/>
  <c r="O299" i="6" s="1"/>
  <c r="O265" i="6"/>
  <c r="Q39" i="6"/>
  <c r="Q151" i="6"/>
  <c r="N36" i="6"/>
  <c r="Q36" i="6"/>
  <c r="O246" i="6"/>
  <c r="Q180" i="6"/>
  <c r="N133" i="6"/>
  <c r="Q190" i="6"/>
  <c r="Q298" i="6"/>
  <c r="N82" i="6"/>
  <c r="Q145" i="6"/>
  <c r="K306" i="6"/>
  <c r="N306" i="6" s="1"/>
  <c r="N190" i="6"/>
  <c r="N87" i="6"/>
  <c r="Q68" i="6"/>
  <c r="K254" i="6"/>
  <c r="Q254" i="6"/>
  <c r="N300" i="6"/>
  <c r="Q272" i="6"/>
  <c r="Q196" i="6"/>
  <c r="N275" i="6"/>
  <c r="O136" i="6"/>
  <c r="O296" i="6"/>
  <c r="N296" i="6"/>
  <c r="Q296" i="6"/>
  <c r="Q131" i="6"/>
  <c r="Q14" i="6"/>
  <c r="K221" i="6"/>
  <c r="N221" i="6" s="1"/>
  <c r="Q197" i="6"/>
  <c r="Q64" i="6"/>
  <c r="K224" i="6"/>
  <c r="Q207" i="6"/>
  <c r="K287" i="6"/>
  <c r="O287" i="6" s="1"/>
  <c r="N105" i="6"/>
  <c r="O105" i="6"/>
  <c r="N57" i="6"/>
  <c r="O57" i="6"/>
  <c r="K148" i="6"/>
  <c r="O148" i="6" s="1"/>
  <c r="Q269" i="6"/>
  <c r="Q264" i="6"/>
  <c r="Q310" i="6"/>
  <c r="K260" i="6"/>
  <c r="N260" i="6" s="1"/>
  <c r="N183" i="6"/>
  <c r="Q31" i="6"/>
  <c r="Q146" i="6"/>
  <c r="K242" i="6"/>
  <c r="N242" i="6" s="1"/>
  <c r="Q57" i="6"/>
  <c r="Q293" i="6"/>
  <c r="Q83" i="6"/>
  <c r="Q117" i="6"/>
  <c r="Q245" i="6"/>
  <c r="Q156" i="6"/>
  <c r="Q105" i="6"/>
  <c r="O245" i="6"/>
  <c r="K114" i="6"/>
  <c r="O114" i="6" s="1"/>
  <c r="O310" i="6"/>
  <c r="Q212" i="6"/>
  <c r="K243" i="6"/>
  <c r="N243" i="6" s="1"/>
  <c r="N14" i="6"/>
  <c r="N31" i="6"/>
  <c r="N264" i="6"/>
  <c r="Q82" i="6"/>
  <c r="K261" i="6"/>
  <c r="O261" i="6" s="1"/>
  <c r="O270" i="6"/>
  <c r="K9" i="6"/>
  <c r="N9" i="6" s="1"/>
  <c r="O288" i="6"/>
  <c r="Q18" i="6"/>
  <c r="Q235" i="6"/>
  <c r="Q271" i="6"/>
  <c r="Q87" i="6"/>
  <c r="O235" i="6"/>
  <c r="Q198" i="6"/>
  <c r="Q129" i="6"/>
  <c r="K240" i="6"/>
  <c r="Q311" i="6"/>
  <c r="Q120" i="6"/>
  <c r="Q262" i="6"/>
  <c r="Q210" i="6"/>
  <c r="K204" i="6"/>
  <c r="O204" i="6" s="1"/>
  <c r="K188" i="6"/>
  <c r="O188" i="6" s="1"/>
  <c r="K167" i="6"/>
  <c r="O167" i="6" s="1"/>
  <c r="Q58" i="6"/>
  <c r="Q233" i="6"/>
  <c r="N79" i="6"/>
  <c r="O200" i="6"/>
  <c r="N233" i="6"/>
  <c r="Q200" i="6"/>
  <c r="N158" i="6"/>
  <c r="K291" i="6"/>
  <c r="N291" i="6" s="1"/>
  <c r="K124" i="6"/>
  <c r="O124" i="6" s="1"/>
  <c r="K45" i="6"/>
  <c r="N45" i="6" s="1"/>
  <c r="Q155" i="6"/>
  <c r="Q259" i="6"/>
  <c r="Q193" i="6"/>
  <c r="Q173" i="6"/>
  <c r="O173" i="6"/>
  <c r="Q26" i="6"/>
  <c r="Q236" i="6"/>
  <c r="Q35" i="6"/>
  <c r="N64" i="6"/>
  <c r="O64" i="6"/>
  <c r="O66" i="6"/>
  <c r="N66" i="6"/>
  <c r="O33" i="6"/>
  <c r="Q54" i="6"/>
  <c r="K312" i="6"/>
  <c r="O197" i="6"/>
  <c r="Q172" i="6"/>
  <c r="K63" i="6"/>
  <c r="O63" i="6" s="1"/>
  <c r="Q33" i="6"/>
  <c r="Q171" i="6"/>
  <c r="K30" i="6"/>
  <c r="Q238" i="6"/>
  <c r="N121" i="6"/>
  <c r="Q101" i="6"/>
  <c r="Q66" i="6"/>
  <c r="O252" i="6"/>
  <c r="K49" i="6"/>
  <c r="O49" i="6" s="1"/>
  <c r="B9119" i="1"/>
  <c r="B9114" i="1"/>
  <c r="B9161" i="1"/>
  <c r="B9145" i="1"/>
  <c r="B9112" i="1"/>
  <c r="B9011" i="1"/>
  <c r="B9151" i="1"/>
  <c r="B9025" i="1"/>
  <c r="B9032" i="1"/>
  <c r="B9029" i="1"/>
  <c r="B9155" i="1"/>
  <c r="B9018" i="1"/>
  <c r="B9024" i="1"/>
  <c r="B9020" i="1"/>
  <c r="B9184" i="1"/>
  <c r="B9106" i="1"/>
  <c r="B9220" i="1"/>
  <c r="B9148" i="1"/>
  <c r="B9008" i="1"/>
  <c r="B9000" i="1"/>
  <c r="B9115" i="1"/>
  <c r="B9003" i="1"/>
  <c r="B9137" i="1"/>
  <c r="B9002" i="1"/>
  <c r="B9013" i="1"/>
  <c r="B9131" i="1"/>
  <c r="B9159" i="1"/>
  <c r="B9028" i="1"/>
  <c r="B9027" i="1"/>
  <c r="B9110" i="1"/>
  <c r="B9149" i="1"/>
  <c r="B9105" i="1"/>
  <c r="B9022" i="1"/>
  <c r="B9160" i="1"/>
  <c r="B9108" i="1"/>
  <c r="B9156" i="1"/>
  <c r="B9133" i="1"/>
  <c r="B9117" i="1"/>
  <c r="B9157" i="1"/>
  <c r="B9103" i="1"/>
  <c r="B9031" i="1"/>
  <c r="B9109" i="1"/>
  <c r="B9006" i="1"/>
  <c r="B9146" i="1"/>
  <c r="B9009" i="1"/>
  <c r="B9007" i="1"/>
  <c r="O206" i="6"/>
  <c r="K225" i="6"/>
  <c r="N225" i="6" s="1"/>
  <c r="K226" i="6"/>
  <c r="N226" i="6" s="1"/>
  <c r="Q181" i="6"/>
  <c r="Q27" i="6"/>
  <c r="N283" i="6"/>
  <c r="Q231" i="6"/>
  <c r="Q283" i="6"/>
  <c r="N83" i="6"/>
  <c r="Q268" i="6"/>
  <c r="N181" i="6"/>
  <c r="O180" i="6"/>
  <c r="N27" i="6"/>
  <c r="K152" i="6"/>
  <c r="O152" i="6" s="1"/>
  <c r="Q206" i="6"/>
  <c r="Q162" i="6"/>
  <c r="Q179" i="6"/>
  <c r="O68" i="6"/>
  <c r="N68" i="6"/>
  <c r="N208" i="6"/>
  <c r="O208" i="6"/>
  <c r="K303" i="6"/>
  <c r="N303" i="6" s="1"/>
  <c r="K185" i="6"/>
  <c r="O185" i="6" s="1"/>
  <c r="O256" i="6"/>
  <c r="Q256" i="6"/>
  <c r="Q127" i="6"/>
  <c r="O131" i="6"/>
  <c r="Q100" i="6"/>
  <c r="N179" i="6"/>
  <c r="Q138" i="6"/>
  <c r="Q46" i="6"/>
  <c r="K302" i="6"/>
  <c r="O302" i="6" s="1"/>
  <c r="O80" i="6"/>
  <c r="Q141" i="6"/>
  <c r="Q290" i="6"/>
  <c r="Q134" i="6"/>
  <c r="Q77" i="6"/>
  <c r="Q208" i="6"/>
  <c r="O313" i="6"/>
  <c r="Q305" i="6"/>
  <c r="Q220" i="6"/>
  <c r="O169" i="6"/>
  <c r="O272" i="6"/>
  <c r="Q70" i="6"/>
  <c r="N141" i="6"/>
  <c r="K48" i="6"/>
  <c r="O48" i="6" s="1"/>
  <c r="Q123" i="6"/>
  <c r="N39" i="6"/>
  <c r="O77" i="6"/>
  <c r="Q40" i="6"/>
  <c r="K40" i="6"/>
  <c r="O305" i="6"/>
  <c r="N305" i="6"/>
  <c r="N99" i="6"/>
  <c r="O99" i="6"/>
  <c r="N146" i="6"/>
  <c r="N257" i="6"/>
  <c r="N73" i="6"/>
  <c r="K170" i="6"/>
  <c r="N76" i="6"/>
  <c r="O293" i="6"/>
  <c r="K71" i="6"/>
  <c r="Q71" i="6"/>
  <c r="O251" i="6"/>
  <c r="N236" i="6"/>
  <c r="K95" i="6"/>
  <c r="Q150" i="6"/>
  <c r="K150" i="6"/>
  <c r="Q292" i="6"/>
  <c r="O262" i="6"/>
  <c r="O120" i="6"/>
  <c r="N62" i="6"/>
  <c r="N12" i="6"/>
  <c r="K56" i="6"/>
  <c r="Q56" i="6"/>
  <c r="O153" i="6"/>
  <c r="Q307" i="6"/>
  <c r="K182" i="6"/>
  <c r="Q182" i="6"/>
  <c r="Q99" i="6"/>
  <c r="N215" i="6"/>
  <c r="K92" i="6"/>
  <c r="Q92" i="6"/>
  <c r="Q257" i="6"/>
  <c r="Q154" i="6"/>
  <c r="O85" i="6"/>
  <c r="N85" i="6"/>
  <c r="N253" i="6"/>
  <c r="O253" i="6"/>
  <c r="O54" i="6"/>
  <c r="K44" i="6"/>
  <c r="Q44" i="6"/>
  <c r="Q214" i="6"/>
  <c r="O21" i="6"/>
  <c r="Q22" i="6"/>
  <c r="K22" i="6"/>
  <c r="Q165" i="6"/>
  <c r="K165" i="6"/>
  <c r="N213" i="6"/>
  <c r="N43" i="6"/>
  <c r="Q253" i="6"/>
  <c r="O259" i="6"/>
  <c r="O162" i="6"/>
  <c r="K104" i="6"/>
  <c r="O104" i="6" s="1"/>
  <c r="Q178" i="6"/>
  <c r="N172" i="6"/>
  <c r="Q209" i="6"/>
  <c r="K130" i="6"/>
  <c r="Q130" i="6"/>
  <c r="O220" i="6"/>
  <c r="O294" i="6"/>
  <c r="K304" i="6"/>
  <c r="Q304" i="6"/>
  <c r="Q47" i="6"/>
  <c r="K177" i="6"/>
  <c r="Q177" i="6"/>
  <c r="O284" i="6"/>
  <c r="Q85" i="6"/>
  <c r="K81" i="6"/>
  <c r="Q81" i="6"/>
  <c r="K102" i="6"/>
  <c r="Q102" i="6"/>
  <c r="N178" i="6"/>
  <c r="O144" i="6"/>
  <c r="N144" i="6"/>
  <c r="O267" i="6"/>
  <c r="N267" i="6"/>
  <c r="O88" i="6"/>
  <c r="N88" i="6"/>
  <c r="O25" i="6"/>
  <c r="O139" i="6"/>
  <c r="N18" i="6"/>
  <c r="Q67" i="6"/>
  <c r="K122" i="6"/>
  <c r="Q122" i="6"/>
  <c r="O138" i="6"/>
  <c r="O123" i="6"/>
  <c r="N290" i="6"/>
  <c r="O109" i="6"/>
  <c r="O6" i="6"/>
  <c r="K7" i="6"/>
  <c r="Q7" i="6"/>
  <c r="K140" i="6"/>
  <c r="K118" i="6"/>
  <c r="Q118" i="6"/>
  <c r="K149" i="6"/>
  <c r="Q149" i="6"/>
  <c r="O298" i="6"/>
  <c r="O127" i="6"/>
  <c r="O155" i="6"/>
  <c r="N239" i="6"/>
  <c r="Q194" i="6"/>
  <c r="O67" i="6"/>
  <c r="N65" i="6"/>
  <c r="K29" i="6"/>
  <c r="Q29" i="6"/>
  <c r="O8" i="6"/>
  <c r="K24" i="6"/>
  <c r="Q24" i="6"/>
  <c r="N164" i="6"/>
  <c r="N116" i="6"/>
  <c r="O311" i="6"/>
  <c r="O94" i="6"/>
  <c r="Q166" i="6"/>
  <c r="K166" i="6"/>
  <c r="N100" i="6"/>
  <c r="O171" i="6"/>
  <c r="O207" i="6"/>
  <c r="O46" i="6"/>
  <c r="N191" i="6"/>
  <c r="Q86" i="6"/>
  <c r="K86" i="6"/>
  <c r="N134" i="6"/>
  <c r="O134" i="6"/>
  <c r="O277" i="6"/>
  <c r="O237" i="6"/>
  <c r="N151" i="6"/>
  <c r="O285" i="6"/>
  <c r="N238" i="6"/>
  <c r="O210" i="6"/>
  <c r="Q267" i="6"/>
  <c r="Q88" i="6"/>
  <c r="Q140" i="6"/>
  <c r="O280" i="6"/>
  <c r="N280" i="6"/>
  <c r="O128" i="6"/>
  <c r="N277" i="6"/>
  <c r="Q191" i="6"/>
  <c r="O35" i="6"/>
  <c r="O268" i="6"/>
  <c r="N70" i="6"/>
  <c r="K286" i="6"/>
  <c r="Q286" i="6"/>
  <c r="O154" i="6"/>
  <c r="N154" i="6"/>
  <c r="N202" i="6"/>
  <c r="K195" i="6"/>
  <c r="Q195" i="6"/>
  <c r="K28" i="6"/>
  <c r="Q28" i="6"/>
  <c r="N193" i="6"/>
  <c r="O193" i="6"/>
  <c r="N78" i="6"/>
  <c r="O78" i="6"/>
  <c r="O10" i="6"/>
  <c r="N117" i="6"/>
  <c r="O301" i="6"/>
  <c r="N301" i="6"/>
  <c r="O101" i="6"/>
  <c r="N194" i="6"/>
  <c r="O194" i="6"/>
  <c r="O175" i="6"/>
  <c r="N175" i="6"/>
  <c r="K55" i="6"/>
  <c r="Q55" i="6"/>
  <c r="O129" i="6"/>
  <c r="N129" i="6"/>
  <c r="K168" i="6"/>
  <c r="Q168" i="6"/>
  <c r="N214" i="6"/>
  <c r="K184" i="6"/>
  <c r="Q184" i="6"/>
  <c r="N274" i="6"/>
  <c r="N125" i="6"/>
  <c r="O125" i="6"/>
  <c r="O307" i="6"/>
  <c r="K281" i="6"/>
  <c r="Q281" i="6"/>
  <c r="N163" i="6"/>
  <c r="O163" i="6"/>
  <c r="K217" i="6"/>
  <c r="Q217" i="6"/>
  <c r="N227" i="6"/>
  <c r="O135" i="6"/>
  <c r="N135" i="6"/>
  <c r="O156" i="6"/>
  <c r="O247" i="6"/>
  <c r="N247" i="6"/>
  <c r="N228" i="6"/>
  <c r="O228" i="6"/>
  <c r="K189" i="6"/>
  <c r="Q189" i="6"/>
  <c r="O314" i="6"/>
  <c r="N314" i="6"/>
  <c r="N53" i="6"/>
  <c r="O53" i="6"/>
  <c r="N244" i="6"/>
  <c r="O244" i="6"/>
  <c r="O202" i="6"/>
  <c r="O230" i="6"/>
  <c r="O159" i="6"/>
  <c r="N159" i="6"/>
  <c r="N115" i="6"/>
  <c r="O115" i="6"/>
  <c r="N58" i="6"/>
  <c r="O58" i="6"/>
  <c r="O232" i="6"/>
  <c r="N232" i="6"/>
  <c r="K142" i="6"/>
  <c r="Q142" i="6"/>
  <c r="N218" i="6"/>
  <c r="O218" i="6"/>
  <c r="K16" i="6"/>
  <c r="Q16" i="6"/>
  <c r="K38" i="6"/>
  <c r="Q38" i="6"/>
  <c r="O271" i="6"/>
  <c r="N271" i="6"/>
  <c r="N241" i="6"/>
  <c r="O241" i="6"/>
  <c r="O273" i="6"/>
  <c r="O248" i="6"/>
  <c r="N248" i="6"/>
  <c r="N145" i="6"/>
  <c r="O145" i="6"/>
  <c r="K15" i="6"/>
  <c r="Q15" i="6"/>
  <c r="O289" i="6"/>
  <c r="O111" i="6"/>
  <c r="O269" i="6"/>
  <c r="N42" i="6"/>
  <c r="O214" i="6"/>
  <c r="O174" i="6"/>
  <c r="K107" i="6"/>
  <c r="Q107" i="6"/>
  <c r="N69" i="6"/>
  <c r="O69" i="6"/>
  <c r="N263" i="6"/>
  <c r="O263" i="6"/>
  <c r="O198" i="6"/>
  <c r="O279" i="6"/>
  <c r="N279" i="6"/>
  <c r="K229" i="6"/>
  <c r="Q229" i="6"/>
  <c r="O309" i="6"/>
  <c r="N309" i="6"/>
  <c r="K74" i="6"/>
  <c r="Q74" i="6"/>
  <c r="N250" i="6"/>
  <c r="O250" i="6"/>
  <c r="N113" i="6"/>
  <c r="O113" i="6"/>
  <c r="O192" i="6"/>
  <c r="N192" i="6"/>
  <c r="O26" i="6"/>
  <c r="N26" i="6"/>
  <c r="O212" i="6"/>
  <c r="N212" i="6"/>
  <c r="O278" i="6"/>
  <c r="N32" i="6"/>
  <c r="O32" i="6"/>
  <c r="O255" i="6"/>
  <c r="N255" i="6"/>
  <c r="N13" i="6"/>
  <c r="O13" i="6"/>
  <c r="K222" i="6"/>
  <c r="Q222" i="6"/>
  <c r="N231" i="6"/>
  <c r="K161" i="6"/>
  <c r="Q161" i="6"/>
  <c r="N61" i="6"/>
  <c r="O61" i="6"/>
  <c r="O23" i="6"/>
  <c r="N23" i="6"/>
  <c r="N209" i="6"/>
  <c r="O209" i="6"/>
  <c r="O103" i="6"/>
  <c r="K143" i="6"/>
  <c r="Q143" i="6"/>
  <c r="N110" i="6"/>
  <c r="O110" i="6"/>
  <c r="O292" i="6"/>
  <c r="N292" i="6"/>
  <c r="N11" i="6"/>
  <c r="N266" i="6"/>
  <c r="O266" i="6"/>
  <c r="K211" i="6"/>
  <c r="Q211" i="6"/>
  <c r="O75" i="6"/>
  <c r="O47" i="6"/>
  <c r="N47" i="6"/>
  <c r="B9205" i="1"/>
  <c r="S28" i="1"/>
  <c r="R28" i="1"/>
  <c r="P28" i="1"/>
  <c r="N28" i="1"/>
  <c r="B9193" i="1"/>
  <c r="J13" i="1"/>
  <c r="P26" i="1"/>
  <c r="G72" i="1" s="1"/>
  <c r="I6550" i="1"/>
  <c r="B6552" i="1" s="1"/>
  <c r="A9205" i="1"/>
  <c r="L27" i="1"/>
  <c r="A62" i="9" s="1"/>
  <c r="B6304" i="1"/>
  <c r="A6304" i="1"/>
  <c r="B9129" i="1" s="1"/>
  <c r="A6303" i="1"/>
  <c r="A9127" i="1" s="1"/>
  <c r="J27" i="1"/>
  <c r="A61" i="9" s="1"/>
  <c r="B6303" i="1"/>
  <c r="B6302" i="1"/>
  <c r="H27" i="1"/>
  <c r="A60" i="9" s="1"/>
  <c r="A6302" i="1"/>
  <c r="A9125" i="1" s="1"/>
  <c r="B9100" i="1"/>
  <c r="B6301" i="1"/>
  <c r="F27" i="1"/>
  <c r="A59" i="9" s="1"/>
  <c r="A6301" i="1"/>
  <c r="A9123" i="1" s="1"/>
  <c r="B9095" i="1"/>
  <c r="B9083" i="1"/>
  <c r="B9085" i="1"/>
  <c r="B9196" i="1"/>
  <c r="B9206" i="1"/>
  <c r="B9183" i="1"/>
  <c r="B9054" i="1"/>
  <c r="B9059" i="1"/>
  <c r="A9083" i="1"/>
  <c r="B9200" i="1"/>
  <c r="E6124" i="1"/>
  <c r="A5955" i="1" s="1"/>
  <c r="B9199" i="1"/>
  <c r="B9086" i="1"/>
  <c r="B9077" i="1"/>
  <c r="B9051" i="1"/>
  <c r="B9064" i="1"/>
  <c r="B9203" i="1"/>
  <c r="A9199" i="1"/>
  <c r="A9185" i="1"/>
  <c r="F6123" i="1"/>
  <c r="B5951" i="1" s="1"/>
  <c r="J6558" i="1"/>
  <c r="A6558" i="1" s="1"/>
  <c r="A9171" i="1" s="1"/>
  <c r="F6125" i="1"/>
  <c r="B5957" i="1" s="1"/>
  <c r="B9069" i="1"/>
  <c r="E6121" i="1"/>
  <c r="B5946" i="1" s="1"/>
  <c r="B9094" i="1"/>
  <c r="F6124" i="1"/>
  <c r="A5954" i="1" s="1"/>
  <c r="B9202" i="1"/>
  <c r="I6566" i="1"/>
  <c r="B6568" i="1" s="1"/>
  <c r="B9068" i="1"/>
  <c r="B9053" i="1"/>
  <c r="J6566" i="1"/>
  <c r="B9188" i="1"/>
  <c r="A6566" i="1"/>
  <c r="B9099" i="1"/>
  <c r="B9197" i="1"/>
  <c r="B9052" i="1"/>
  <c r="B9088" i="1"/>
  <c r="B9087" i="1"/>
  <c r="A9099" i="1"/>
  <c r="B9082" i="1"/>
  <c r="B9060" i="1"/>
  <c r="B9194" i="1"/>
  <c r="B9101" i="1"/>
  <c r="I6558" i="1"/>
  <c r="A6560" i="1" s="1"/>
  <c r="B9089" i="1"/>
  <c r="B9070" i="1"/>
  <c r="A9100" i="1"/>
  <c r="B9056" i="1"/>
  <c r="B9096" i="1"/>
  <c r="B9090" i="1"/>
  <c r="B9067" i="1"/>
  <c r="B9058" i="1"/>
  <c r="E6123" i="1"/>
  <c r="B5952" i="1" s="1"/>
  <c r="I6554" i="1"/>
  <c r="B6556" i="1" s="1"/>
  <c r="A9194" i="1"/>
  <c r="B9078" i="1"/>
  <c r="B9080" i="1"/>
  <c r="B9055" i="1"/>
  <c r="B9049" i="1"/>
  <c r="B9074" i="1"/>
  <c r="B9187" i="1"/>
  <c r="B9092" i="1"/>
  <c r="B9191" i="1"/>
  <c r="B9071" i="1"/>
  <c r="A9187" i="1"/>
  <c r="B9062" i="1"/>
  <c r="B9097" i="1"/>
  <c r="J6550" i="1"/>
  <c r="A6550" i="1" s="1"/>
  <c r="B9076" i="1"/>
  <c r="B9073" i="1"/>
  <c r="A9073" i="1"/>
  <c r="K28" i="1"/>
  <c r="K1736" i="1" s="1"/>
  <c r="I28" i="1"/>
  <c r="I1736" i="1" s="1"/>
  <c r="G28" i="1"/>
  <c r="G1736" i="1" s="1"/>
  <c r="M28" i="1"/>
  <c r="Q28" i="1"/>
  <c r="E28" i="1"/>
  <c r="E1736" i="1" s="1"/>
  <c r="B7087" i="1"/>
  <c r="D28" i="1" s="1"/>
  <c r="A101" i="9" s="1"/>
  <c r="I6562" i="1"/>
  <c r="B6564" i="1" s="1"/>
  <c r="J6562" i="1"/>
  <c r="B6562" i="1" s="1"/>
  <c r="B9079" i="1"/>
  <c r="A9074" i="1"/>
  <c r="A9082" i="1"/>
  <c r="B9072" i="1"/>
  <c r="J6554" i="1"/>
  <c r="A6554" i="1" s="1"/>
  <c r="B9190" i="1"/>
  <c r="B9063" i="1"/>
  <c r="C2061" i="1"/>
  <c r="C2060" i="1"/>
  <c r="B9098" i="1"/>
  <c r="B2060" i="1"/>
  <c r="B2061" i="1"/>
  <c r="E6122" i="1"/>
  <c r="B5949" i="1" s="1"/>
  <c r="B9061" i="1"/>
  <c r="F2060" i="1"/>
  <c r="F2061" i="1"/>
  <c r="E2060" i="1"/>
  <c r="E2061" i="1"/>
  <c r="B9091" i="1"/>
  <c r="B9081" i="1"/>
  <c r="B6300" i="1"/>
  <c r="A9076" i="1"/>
  <c r="A6300" i="1"/>
  <c r="A9121" i="1" s="1"/>
  <c r="F6121" i="1"/>
  <c r="A5945" i="1" s="1"/>
  <c r="B9050" i="1"/>
  <c r="B9065" i="1"/>
  <c r="A9085" i="1"/>
  <c r="A9079" i="1"/>
  <c r="F6122" i="1"/>
  <c r="B5948" i="1" s="1"/>
  <c r="I2060" i="1"/>
  <c r="I2061" i="1"/>
  <c r="E6125" i="1"/>
  <c r="B5958" i="1" s="1"/>
  <c r="A1645" i="1"/>
  <c r="C1644" i="1" s="1"/>
  <c r="A1642" i="1"/>
  <c r="C1641" i="1" s="1"/>
  <c r="A1640" i="1"/>
  <c r="D1640" i="1" s="1"/>
  <c r="A1644" i="1"/>
  <c r="C1643" i="1" s="1"/>
  <c r="A1641" i="1"/>
  <c r="C1640" i="1" s="1"/>
  <c r="A1567" i="1"/>
  <c r="C1566" i="1" s="1"/>
  <c r="C1565" i="1"/>
  <c r="A1617" i="1"/>
  <c r="C1616" i="1" s="1"/>
  <c r="A1568" i="1"/>
  <c r="C1567" i="1" s="1"/>
  <c r="A1594" i="1"/>
  <c r="C1593" i="1" s="1"/>
  <c r="A1619" i="1"/>
  <c r="C1618" i="1" s="1"/>
  <c r="A1340" i="1"/>
  <c r="D1340" i="1" s="1"/>
  <c r="A1345" i="1"/>
  <c r="C1344" i="1" s="1"/>
  <c r="A1520" i="1"/>
  <c r="C1519" i="1" s="1"/>
  <c r="A1570" i="1"/>
  <c r="C1569" i="1" s="1"/>
  <c r="A1592" i="1"/>
  <c r="C1591" i="1" s="1"/>
  <c r="A1593" i="1"/>
  <c r="C1592" i="1" s="1"/>
  <c r="A1590" i="1"/>
  <c r="D1590" i="1" s="1"/>
  <c r="A1615" i="1"/>
  <c r="D1615" i="1" s="1"/>
  <c r="A1420" i="1"/>
  <c r="C1419" i="1" s="1"/>
  <c r="A1419" i="1"/>
  <c r="C1418" i="1" s="1"/>
  <c r="A1616" i="1"/>
  <c r="C1615" i="1" s="1"/>
  <c r="A1343" i="1"/>
  <c r="D1343" i="1" s="1"/>
  <c r="A1618" i="1"/>
  <c r="C1617" i="1" s="1"/>
  <c r="A1415" i="1"/>
  <c r="D1415" i="1" s="1"/>
  <c r="A1495" i="1"/>
  <c r="C1494" i="1" s="1"/>
  <c r="A1418" i="1"/>
  <c r="C1417" i="1" s="1"/>
  <c r="A1341" i="1"/>
  <c r="C1340" i="1" s="1"/>
  <c r="A1342" i="1"/>
  <c r="C1341" i="1" s="1"/>
  <c r="D1417" i="1"/>
  <c r="A1416" i="1"/>
  <c r="C1415" i="1" s="1"/>
  <c r="A1516" i="1"/>
  <c r="C1515" i="1" s="1"/>
  <c r="D1344" i="1"/>
  <c r="A1517" i="1"/>
  <c r="C1516" i="1" s="1"/>
  <c r="C1291" i="1"/>
  <c r="A1518" i="1"/>
  <c r="C1517" i="1" s="1"/>
  <c r="A1368" i="1"/>
  <c r="D1368" i="1" s="1"/>
  <c r="A1391" i="1"/>
  <c r="C1390" i="1" s="1"/>
  <c r="A1569" i="1"/>
  <c r="C1568" i="1" s="1"/>
  <c r="A1519" i="1"/>
  <c r="C1518" i="1" s="1"/>
  <c r="A1591" i="1"/>
  <c r="C1590" i="1" s="1"/>
  <c r="A1565" i="1"/>
  <c r="D1565" i="1" s="1"/>
  <c r="A1395" i="1"/>
  <c r="C1394" i="1" s="1"/>
  <c r="A1390" i="1"/>
  <c r="D1390" i="1" s="1"/>
  <c r="A1394" i="1"/>
  <c r="C1393" i="1" s="1"/>
  <c r="A1294" i="1"/>
  <c r="A1393" i="1"/>
  <c r="D1393" i="1" s="1"/>
  <c r="A1367" i="1"/>
  <c r="C1366" i="1" s="1"/>
  <c r="A1366" i="1"/>
  <c r="C1365" i="1" s="1"/>
  <c r="D1392" i="1"/>
  <c r="H1612" i="1"/>
  <c r="H1412" i="1"/>
  <c r="A1465" i="1"/>
  <c r="D1465" i="1" s="1"/>
  <c r="C1465" i="1"/>
  <c r="A1468" i="1"/>
  <c r="C1467" i="1" s="1"/>
  <c r="A1469" i="1"/>
  <c r="C1468" i="1" s="1"/>
  <c r="H1387" i="1"/>
  <c r="H1362" i="1"/>
  <c r="H1337" i="1"/>
  <c r="H1537" i="1"/>
  <c r="A1290" i="1"/>
  <c r="D1290" i="1" s="1"/>
  <c r="A1295" i="1"/>
  <c r="C1294" i="1" s="1"/>
  <c r="A1291" i="1"/>
  <c r="C1290" i="1" s="1"/>
  <c r="A1470" i="1"/>
  <c r="C1469" i="1" s="1"/>
  <c r="A1369" i="1"/>
  <c r="A1365" i="1"/>
  <c r="D1365" i="1" s="1"/>
  <c r="A1467" i="1"/>
  <c r="C1466" i="1" s="1"/>
  <c r="H1462" i="1"/>
  <c r="H1562" i="1"/>
  <c r="H1587" i="1"/>
  <c r="A1540" i="1"/>
  <c r="D1540" i="1" s="1"/>
  <c r="A1293" i="1"/>
  <c r="D1293" i="1" s="1"/>
  <c r="H1512" i="1"/>
  <c r="D1643" i="1"/>
  <c r="H1637" i="1"/>
  <c r="A1542" i="1"/>
  <c r="A1544" i="1"/>
  <c r="A1545" i="1"/>
  <c r="C1544" i="1" s="1"/>
  <c r="A1543" i="1"/>
  <c r="D1541" i="1"/>
  <c r="H1437" i="1"/>
  <c r="H1487" i="1"/>
  <c r="H1287" i="1"/>
  <c r="H1312" i="1"/>
  <c r="A1491" i="1"/>
  <c r="A1494" i="1"/>
  <c r="A1492" i="1"/>
  <c r="A1493" i="1"/>
  <c r="A1445" i="1"/>
  <c r="C1444" i="1" s="1"/>
  <c r="A1442" i="1"/>
  <c r="A1443" i="1"/>
  <c r="A1444" i="1"/>
  <c r="A1441" i="1"/>
  <c r="A1440" i="1"/>
  <c r="D1440" i="1" s="1"/>
  <c r="A1315" i="1"/>
  <c r="D1315" i="1" s="1"/>
  <c r="A1317" i="1"/>
  <c r="A1318" i="1"/>
  <c r="A1316" i="1"/>
  <c r="A1320" i="1"/>
  <c r="C1319" i="1" s="1"/>
  <c r="A1319" i="1"/>
  <c r="O19" i="6" l="1"/>
  <c r="B3" i="7"/>
  <c r="B9" i="1" s="1"/>
  <c r="B92" i="1" s="1"/>
  <c r="J24" i="7"/>
  <c r="D149" i="9" s="1"/>
  <c r="A133" i="9"/>
  <c r="D148" i="9"/>
  <c r="A90" i="9"/>
  <c r="O892" i="9"/>
  <c r="O896" i="9"/>
  <c r="P896" i="9"/>
  <c r="P895" i="9"/>
  <c r="O894" i="9"/>
  <c r="O895" i="9"/>
  <c r="O893" i="9"/>
  <c r="P892" i="9"/>
  <c r="P894" i="9"/>
  <c r="P893" i="9"/>
  <c r="P1768" i="9"/>
  <c r="O1768" i="9"/>
  <c r="P1767" i="9"/>
  <c r="O1767" i="9"/>
  <c r="A106" i="9"/>
  <c r="P1771" i="9"/>
  <c r="P1769" i="9"/>
  <c r="O1769" i="9"/>
  <c r="O1770" i="9"/>
  <c r="O1771" i="9"/>
  <c r="P1770" i="9"/>
  <c r="O900" i="9"/>
  <c r="P899" i="9"/>
  <c r="O899" i="9"/>
  <c r="P898" i="9"/>
  <c r="O898" i="9"/>
  <c r="P897" i="9"/>
  <c r="O897" i="9"/>
  <c r="P901" i="9"/>
  <c r="O901" i="9"/>
  <c r="P900" i="9"/>
  <c r="P906" i="9"/>
  <c r="O906" i="9"/>
  <c r="P903" i="9"/>
  <c r="P905" i="9"/>
  <c r="O905" i="9"/>
  <c r="P904" i="9"/>
  <c r="O904" i="9"/>
  <c r="O903" i="9"/>
  <c r="P902" i="9"/>
  <c r="O902" i="9"/>
  <c r="O160" i="6"/>
  <c r="P891" i="9"/>
  <c r="O891" i="9"/>
  <c r="P890" i="9"/>
  <c r="O890" i="9"/>
  <c r="P887" i="9"/>
  <c r="P889" i="9"/>
  <c r="O889" i="9"/>
  <c r="P888" i="9"/>
  <c r="O888" i="9"/>
  <c r="O887" i="9"/>
  <c r="P1744" i="9"/>
  <c r="O1744" i="9"/>
  <c r="P1743" i="9"/>
  <c r="O1743" i="9"/>
  <c r="P1742" i="9"/>
  <c r="O1742" i="9"/>
  <c r="O1745" i="9"/>
  <c r="O1746" i="9"/>
  <c r="P1745" i="9"/>
  <c r="P1746" i="9"/>
  <c r="P1824" i="9"/>
  <c r="P1816" i="9"/>
  <c r="P1808" i="9"/>
  <c r="P1800" i="9"/>
  <c r="P1792" i="9"/>
  <c r="P1784" i="9"/>
  <c r="P1776" i="9"/>
  <c r="O1824" i="9"/>
  <c r="O1816" i="9"/>
  <c r="O1808" i="9"/>
  <c r="O1800" i="9"/>
  <c r="O1792" i="9"/>
  <c r="O1784" i="9"/>
  <c r="O1776" i="9"/>
  <c r="P1823" i="9"/>
  <c r="P1815" i="9"/>
  <c r="P1807" i="9"/>
  <c r="P1799" i="9"/>
  <c r="P1791" i="9"/>
  <c r="P1783" i="9"/>
  <c r="P1775" i="9"/>
  <c r="O1815" i="9"/>
  <c r="O1807" i="9"/>
  <c r="O1799" i="9"/>
  <c r="O1791" i="9"/>
  <c r="O1783" i="9"/>
  <c r="O1775" i="9"/>
  <c r="O1823" i="9"/>
  <c r="P1822" i="9"/>
  <c r="P1814" i="9"/>
  <c r="P1806" i="9"/>
  <c r="P1798" i="9"/>
  <c r="P1790" i="9"/>
  <c r="P1782" i="9"/>
  <c r="P1774" i="9"/>
  <c r="O1828" i="9"/>
  <c r="O1812" i="9"/>
  <c r="O1796" i="9"/>
  <c r="O1780" i="9"/>
  <c r="P1827" i="9"/>
  <c r="P1811" i="9"/>
  <c r="P1795" i="9"/>
  <c r="P1779" i="9"/>
  <c r="O1822" i="9"/>
  <c r="O1814" i="9"/>
  <c r="O1806" i="9"/>
  <c r="O1798" i="9"/>
  <c r="O1790" i="9"/>
  <c r="O1782" i="9"/>
  <c r="O1774" i="9"/>
  <c r="P1821" i="9"/>
  <c r="P1813" i="9"/>
  <c r="P1805" i="9"/>
  <c r="P1797" i="9"/>
  <c r="P1789" i="9"/>
  <c r="P1781" i="9"/>
  <c r="P1773" i="9"/>
  <c r="O1821" i="9"/>
  <c r="O1813" i="9"/>
  <c r="O1805" i="9"/>
  <c r="O1797" i="9"/>
  <c r="O1789" i="9"/>
  <c r="O1781" i="9"/>
  <c r="O1773" i="9"/>
  <c r="P1828" i="9"/>
  <c r="P1820" i="9"/>
  <c r="P1812" i="9"/>
  <c r="P1804" i="9"/>
  <c r="P1796" i="9"/>
  <c r="P1788" i="9"/>
  <c r="P1780" i="9"/>
  <c r="P1772" i="9"/>
  <c r="O1820" i="9"/>
  <c r="O1804" i="9"/>
  <c r="O1788" i="9"/>
  <c r="O1772" i="9"/>
  <c r="P1819" i="9"/>
  <c r="P1803" i="9"/>
  <c r="P1787" i="9"/>
  <c r="P1818" i="9"/>
  <c r="O1794" i="9"/>
  <c r="O1819" i="9"/>
  <c r="O1818" i="9"/>
  <c r="P1793" i="9"/>
  <c r="O1817" i="9"/>
  <c r="O1787" i="9"/>
  <c r="O1811" i="9"/>
  <c r="P1786" i="9"/>
  <c r="O1778" i="9"/>
  <c r="P1817" i="9"/>
  <c r="O1793" i="9"/>
  <c r="O1809" i="9"/>
  <c r="P1802" i="9"/>
  <c r="P1777" i="9"/>
  <c r="P1801" i="9"/>
  <c r="P1810" i="9"/>
  <c r="O1786" i="9"/>
  <c r="O1810" i="9"/>
  <c r="P1785" i="9"/>
  <c r="O1827" i="9"/>
  <c r="P1809" i="9"/>
  <c r="O1785" i="9"/>
  <c r="O1779" i="9"/>
  <c r="O1826" i="9"/>
  <c r="O1777" i="9"/>
  <c r="P1825" i="9"/>
  <c r="O1795" i="9"/>
  <c r="P1794" i="9"/>
  <c r="O1803" i="9"/>
  <c r="P1778" i="9"/>
  <c r="P1826" i="9"/>
  <c r="O1802" i="9"/>
  <c r="O1801" i="9"/>
  <c r="O1825" i="9"/>
  <c r="B32" i="7"/>
  <c r="D166" i="9" s="1"/>
  <c r="D29" i="7"/>
  <c r="H159" i="9" s="1"/>
  <c r="N89" i="6"/>
  <c r="N132" i="6"/>
  <c r="N147" i="6"/>
  <c r="O119" i="6"/>
  <c r="N90" i="6"/>
  <c r="N72" i="6"/>
  <c r="O41" i="6"/>
  <c r="N137" i="6"/>
  <c r="N91" i="6"/>
  <c r="N112" i="6"/>
  <c r="N50" i="6"/>
  <c r="O216" i="6"/>
  <c r="N199" i="6"/>
  <c r="N297" i="6"/>
  <c r="N37" i="6"/>
  <c r="N203" i="6"/>
  <c r="N106" i="6"/>
  <c r="O108" i="6"/>
  <c r="O93" i="6"/>
  <c r="O295" i="6"/>
  <c r="O306" i="6"/>
  <c r="N59" i="6"/>
  <c r="N188" i="6"/>
  <c r="N157" i="6"/>
  <c r="O51" i="6"/>
  <c r="O282" i="6"/>
  <c r="N299" i="6"/>
  <c r="N114" i="6"/>
  <c r="O9" i="6"/>
  <c r="N63" i="6"/>
  <c r="O242" i="6"/>
  <c r="O243" i="6"/>
  <c r="O254" i="6"/>
  <c r="N254" i="6"/>
  <c r="O260" i="6"/>
  <c r="N287" i="6"/>
  <c r="O221" i="6"/>
  <c r="N204" i="6"/>
  <c r="N261" i="6"/>
  <c r="O224" i="6"/>
  <c r="N224" i="6"/>
  <c r="N185" i="6"/>
  <c r="N148" i="6"/>
  <c r="N167" i="6"/>
  <c r="N48" i="6"/>
  <c r="O226" i="6"/>
  <c r="O291" i="6"/>
  <c r="N240" i="6"/>
  <c r="O240" i="6"/>
  <c r="O225" i="6"/>
  <c r="O45" i="6"/>
  <c r="N49" i="6"/>
  <c r="O303" i="6"/>
  <c r="N124" i="6"/>
  <c r="N30" i="6"/>
  <c r="O30" i="6"/>
  <c r="N152" i="6"/>
  <c r="O312" i="6"/>
  <c r="N312" i="6"/>
  <c r="N104" i="6"/>
  <c r="N302" i="6"/>
  <c r="N40" i="6"/>
  <c r="O40" i="6"/>
  <c r="A6552" i="1"/>
  <c r="B9165" i="1" s="1"/>
  <c r="O71" i="6"/>
  <c r="N71" i="6"/>
  <c r="O56" i="6"/>
  <c r="N56" i="6"/>
  <c r="O170" i="6"/>
  <c r="N170" i="6"/>
  <c r="N182" i="6"/>
  <c r="O182" i="6"/>
  <c r="O150" i="6"/>
  <c r="N150" i="6"/>
  <c r="O92" i="6"/>
  <c r="N92" i="6"/>
  <c r="O95" i="6"/>
  <c r="N95" i="6"/>
  <c r="O102" i="6"/>
  <c r="N102" i="6"/>
  <c r="N22" i="6"/>
  <c r="O22" i="6"/>
  <c r="N81" i="6"/>
  <c r="O81" i="6"/>
  <c r="O130" i="6"/>
  <c r="N130" i="6"/>
  <c r="O177" i="6"/>
  <c r="N177" i="6"/>
  <c r="O44" i="6"/>
  <c r="N44" i="6"/>
  <c r="N165" i="6"/>
  <c r="O165" i="6"/>
  <c r="N304" i="6"/>
  <c r="O304" i="6"/>
  <c r="N86" i="6"/>
  <c r="O86" i="6"/>
  <c r="O24" i="6"/>
  <c r="N24" i="6"/>
  <c r="N149" i="6"/>
  <c r="O149" i="6"/>
  <c r="N29" i="6"/>
  <c r="O29" i="6"/>
  <c r="O118" i="6"/>
  <c r="N118" i="6"/>
  <c r="O166" i="6"/>
  <c r="N166" i="6"/>
  <c r="N140" i="6"/>
  <c r="O140" i="6"/>
  <c r="N286" i="6"/>
  <c r="O286" i="6"/>
  <c r="N7" i="6"/>
  <c r="O7" i="6"/>
  <c r="N122" i="6"/>
  <c r="O122" i="6"/>
  <c r="N217" i="6"/>
  <c r="O217" i="6"/>
  <c r="N229" i="6"/>
  <c r="O229" i="6"/>
  <c r="O15" i="6"/>
  <c r="N15" i="6"/>
  <c r="N222" i="6"/>
  <c r="O222" i="6"/>
  <c r="O16" i="6"/>
  <c r="N16" i="6"/>
  <c r="O281" i="6"/>
  <c r="N281" i="6"/>
  <c r="N184" i="6"/>
  <c r="O184" i="6"/>
  <c r="O55" i="6"/>
  <c r="N55" i="6"/>
  <c r="N161" i="6"/>
  <c r="O161" i="6"/>
  <c r="O28" i="6"/>
  <c r="N28" i="6"/>
  <c r="O211" i="6"/>
  <c r="N211" i="6"/>
  <c r="O74" i="6"/>
  <c r="N74" i="6"/>
  <c r="O189" i="6"/>
  <c r="N189" i="6"/>
  <c r="N38" i="6"/>
  <c r="O38" i="6"/>
  <c r="O195" i="6"/>
  <c r="N195" i="6"/>
  <c r="O168" i="6"/>
  <c r="N168" i="6"/>
  <c r="N107" i="6"/>
  <c r="O107" i="6"/>
  <c r="O142" i="6"/>
  <c r="N142" i="6"/>
  <c r="O143" i="6"/>
  <c r="N143" i="6"/>
  <c r="D1736" i="1"/>
  <c r="F28" i="1"/>
  <c r="A102" i="9" s="1"/>
  <c r="A6568" i="1"/>
  <c r="B9181" i="1" s="1"/>
  <c r="A6567" i="1"/>
  <c r="A9180" i="1" s="1"/>
  <c r="B9127" i="1"/>
  <c r="B4512" i="1"/>
  <c r="B9125" i="1"/>
  <c r="A9129" i="1"/>
  <c r="A5958" i="1"/>
  <c r="A5957" i="1"/>
  <c r="B5955" i="1"/>
  <c r="B5954" i="1"/>
  <c r="A5952" i="1"/>
  <c r="A9041" i="1" s="1"/>
  <c r="A5951" i="1"/>
  <c r="B9123" i="1"/>
  <c r="A5948" i="1"/>
  <c r="A9037" i="1" s="1"/>
  <c r="A5949" i="1"/>
  <c r="B9038" i="1" s="1"/>
  <c r="L28" i="1"/>
  <c r="A105" i="9" s="1"/>
  <c r="A5946" i="1"/>
  <c r="A9035" i="1" s="1"/>
  <c r="J28" i="1"/>
  <c r="A104" i="9" s="1"/>
  <c r="H28" i="1"/>
  <c r="A103" i="9" s="1"/>
  <c r="A6559" i="1"/>
  <c r="A9172" i="1" s="1"/>
  <c r="B6559" i="1"/>
  <c r="B6558" i="1"/>
  <c r="B6560" i="1"/>
  <c r="B9173" i="1" s="1"/>
  <c r="B6566" i="1"/>
  <c r="B9179" i="1" s="1"/>
  <c r="B6567" i="1"/>
  <c r="B6550" i="1"/>
  <c r="B9163" i="1" s="1"/>
  <c r="A6564" i="1"/>
  <c r="B9177" i="1" s="1"/>
  <c r="A6562" i="1"/>
  <c r="B9175" i="1" s="1"/>
  <c r="A6563" i="1"/>
  <c r="A9176" i="1" s="1"/>
  <c r="B9171" i="1"/>
  <c r="B6551" i="1"/>
  <c r="A6551" i="1"/>
  <c r="A9164" i="1" s="1"/>
  <c r="A6555" i="1"/>
  <c r="A9168" i="1" s="1"/>
  <c r="A6556" i="1"/>
  <c r="B9169" i="1" s="1"/>
  <c r="B9121" i="1"/>
  <c r="B6563" i="1"/>
  <c r="B5945" i="1"/>
  <c r="B9034" i="1" s="1"/>
  <c r="N26" i="1"/>
  <c r="B6554" i="1"/>
  <c r="B9167" i="1" s="1"/>
  <c r="B6555" i="1"/>
  <c r="A9034" i="1"/>
  <c r="B9044" i="1"/>
  <c r="A9044" i="1"/>
  <c r="A9043" i="1"/>
  <c r="B9043" i="1"/>
  <c r="A9173" i="1"/>
  <c r="A9163" i="1"/>
  <c r="A9179" i="1"/>
  <c r="A9167" i="1"/>
  <c r="D1641" i="1"/>
  <c r="D1644" i="1"/>
  <c r="D1642" i="1"/>
  <c r="D1567" i="1"/>
  <c r="D1617" i="1"/>
  <c r="D1594" i="1"/>
  <c r="D1568" i="1"/>
  <c r="D1592" i="1"/>
  <c r="D1516" i="1"/>
  <c r="D1616" i="1"/>
  <c r="D1593" i="1"/>
  <c r="D1619" i="1"/>
  <c r="D1341" i="1"/>
  <c r="C1392" i="1"/>
  <c r="D1419" i="1"/>
  <c r="C1342" i="1"/>
  <c r="C1367" i="1"/>
  <c r="D1418" i="1"/>
  <c r="D1618" i="1"/>
  <c r="D1518" i="1"/>
  <c r="D1342" i="1"/>
  <c r="D1416" i="1"/>
  <c r="D1469" i="1"/>
  <c r="D1391" i="1"/>
  <c r="D1517" i="1"/>
  <c r="D1394" i="1"/>
  <c r="D1591" i="1"/>
  <c r="D1367" i="1"/>
  <c r="D1519" i="1"/>
  <c r="D1569" i="1"/>
  <c r="D1366" i="1"/>
  <c r="C1293" i="1"/>
  <c r="D1294" i="1"/>
  <c r="C1292" i="1"/>
  <c r="D1467" i="1"/>
  <c r="D1291" i="1"/>
  <c r="D1468" i="1"/>
  <c r="C1368" i="1"/>
  <c r="D1369" i="1"/>
  <c r="C1542" i="1"/>
  <c r="D1543" i="1"/>
  <c r="C1543" i="1"/>
  <c r="D1544" i="1"/>
  <c r="C1541" i="1"/>
  <c r="D1542" i="1"/>
  <c r="C1491" i="1"/>
  <c r="D1492" i="1"/>
  <c r="C1493" i="1"/>
  <c r="D1494" i="1"/>
  <c r="C1490" i="1"/>
  <c r="D1491" i="1"/>
  <c r="C1492" i="1"/>
  <c r="D1493" i="1"/>
  <c r="C1315" i="1"/>
  <c r="D1316" i="1"/>
  <c r="C1316" i="1"/>
  <c r="D1317" i="1"/>
  <c r="C1440" i="1"/>
  <c r="D1441" i="1"/>
  <c r="C1442" i="1"/>
  <c r="D1443" i="1"/>
  <c r="C1318" i="1"/>
  <c r="D1319" i="1"/>
  <c r="C1441" i="1"/>
  <c r="D1442" i="1"/>
  <c r="C1443" i="1"/>
  <c r="D1444" i="1"/>
  <c r="C1317" i="1"/>
  <c r="D1318" i="1"/>
  <c r="H1736" i="1" l="1"/>
  <c r="P1752" i="9"/>
  <c r="O1752" i="9"/>
  <c r="P1755" i="9"/>
  <c r="P1756" i="9"/>
  <c r="O1756" i="9"/>
  <c r="P1754" i="9"/>
  <c r="O1755" i="9"/>
  <c r="P1753" i="9"/>
  <c r="O1754" i="9"/>
  <c r="O1753" i="9"/>
  <c r="J1736" i="1"/>
  <c r="P1760" i="9"/>
  <c r="O1760" i="9"/>
  <c r="P1759" i="9"/>
  <c r="O1759" i="9"/>
  <c r="P1758" i="9"/>
  <c r="O1758" i="9"/>
  <c r="P1757" i="9"/>
  <c r="O1757" i="9"/>
  <c r="P1761" i="9"/>
  <c r="O1761" i="9"/>
  <c r="P1766" i="9"/>
  <c r="O1764" i="9"/>
  <c r="O1766" i="9"/>
  <c r="P1763" i="9"/>
  <c r="P1765" i="9"/>
  <c r="O1765" i="9"/>
  <c r="P1764" i="9"/>
  <c r="P1762" i="9"/>
  <c r="O1763" i="9"/>
  <c r="O1762" i="9"/>
  <c r="F1736" i="1"/>
  <c r="P1751" i="9"/>
  <c r="O1751" i="9"/>
  <c r="P1750" i="9"/>
  <c r="O1748" i="9"/>
  <c r="O1750" i="9"/>
  <c r="P1749" i="9"/>
  <c r="O1749" i="9"/>
  <c r="P1748" i="9"/>
  <c r="P1747" i="9"/>
  <c r="O1747" i="9"/>
  <c r="L1736" i="1"/>
  <c r="D6" i="9"/>
  <c r="J13" i="9"/>
  <c r="A9165" i="1"/>
  <c r="B9180" i="1"/>
  <c r="A5602" i="1"/>
  <c r="A5606" i="1"/>
  <c r="A5605" i="1"/>
  <c r="A5604" i="1"/>
  <c r="A5603" i="1"/>
  <c r="C5602" i="1"/>
  <c r="E5801" i="1"/>
  <c r="A9181" i="1"/>
  <c r="B9046" i="1"/>
  <c r="A9046" i="1"/>
  <c r="B9047" i="1"/>
  <c r="A9047" i="1"/>
  <c r="B9037" i="1"/>
  <c r="B9172" i="1"/>
  <c r="A9038" i="1"/>
  <c r="B9035" i="1"/>
  <c r="B9041" i="1"/>
  <c r="B9040" i="1"/>
  <c r="A9040" i="1"/>
  <c r="A9175" i="1"/>
  <c r="A9177" i="1"/>
  <c r="B9164" i="1"/>
  <c r="B9176" i="1"/>
  <c r="B9168" i="1"/>
  <c r="A9169" i="1"/>
  <c r="B3512" i="1"/>
  <c r="B5706" i="1" s="1"/>
  <c r="B5703" i="1"/>
  <c r="J1260" i="1"/>
  <c r="I1260" i="1"/>
  <c r="F1260" i="1"/>
  <c r="H1260" i="1"/>
  <c r="K1264" i="1" s="1"/>
  <c r="D1260" i="1"/>
  <c r="G1260" i="1"/>
  <c r="E1260" i="1"/>
  <c r="L1260" i="1"/>
  <c r="K1260" i="1"/>
  <c r="D7021" i="1"/>
  <c r="A19" i="9" s="1"/>
  <c r="D7061" i="1"/>
  <c r="B1210" i="1"/>
  <c r="H1235" i="1"/>
  <c r="A1707" i="1"/>
  <c r="E23" i="1" l="1"/>
  <c r="J121" i="9"/>
  <c r="J118" i="9"/>
  <c r="A7060" i="1"/>
  <c r="A67" i="9" s="1"/>
  <c r="A68" i="9"/>
  <c r="AE223" i="6"/>
  <c r="AE214" i="6"/>
  <c r="AE236" i="6"/>
  <c r="AE239" i="6"/>
  <c r="AE241" i="6"/>
  <c r="AE282" i="6"/>
  <c r="AE285" i="6"/>
  <c r="AE286" i="6"/>
  <c r="AE289" i="6"/>
  <c r="AE212" i="6"/>
  <c r="AE257" i="6"/>
  <c r="AE260" i="6"/>
  <c r="AE273" i="6"/>
  <c r="AE287" i="6"/>
  <c r="AE294" i="6"/>
  <c r="AE301" i="6"/>
  <c r="AE233" i="6"/>
  <c r="AE304" i="6"/>
  <c r="AE307" i="6"/>
  <c r="AE225" i="6"/>
  <c r="AE228" i="6"/>
  <c r="AE235" i="6"/>
  <c r="AE243" i="6"/>
  <c r="AE250" i="6"/>
  <c r="AE217" i="6"/>
  <c r="AE222" i="6"/>
  <c r="AE259" i="6"/>
  <c r="AE261" i="6"/>
  <c r="AE270" i="6"/>
  <c r="AE276" i="6"/>
  <c r="AE230" i="6"/>
  <c r="AE237" i="6"/>
  <c r="AE266" i="6"/>
  <c r="AE269" i="6"/>
  <c r="AE280" i="6"/>
  <c r="AE293" i="6"/>
  <c r="AE312" i="6"/>
  <c r="AE227" i="6"/>
  <c r="AE255" i="6"/>
  <c r="AE256" i="6"/>
  <c r="AE265" i="6"/>
  <c r="AE275" i="6"/>
  <c r="AE220" i="6"/>
  <c r="AE240" i="6"/>
  <c r="AE245" i="6"/>
  <c r="AE263" i="6"/>
  <c r="AE310" i="6"/>
  <c r="AE264" i="6"/>
  <c r="AE300" i="6"/>
  <c r="AE305" i="6"/>
  <c r="AE306" i="6"/>
  <c r="AE258" i="6"/>
  <c r="AE278" i="6"/>
  <c r="AE224" i="6"/>
  <c r="AE248" i="6"/>
  <c r="AE253" i="6"/>
  <c r="AE216" i="6"/>
  <c r="AE226" i="6"/>
  <c r="AE242" i="6"/>
  <c r="AE254" i="6"/>
  <c r="AE262" i="6"/>
  <c r="AE268" i="6"/>
  <c r="AE284" i="6"/>
  <c r="AE297" i="6"/>
  <c r="AE213" i="6"/>
  <c r="AE229" i="6"/>
  <c r="AE232" i="6"/>
  <c r="AE274" i="6"/>
  <c r="AE247" i="6"/>
  <c r="AE251" i="6"/>
  <c r="AE295" i="6"/>
  <c r="AE296" i="6"/>
  <c r="AE231" i="6"/>
  <c r="AE277" i="6"/>
  <c r="AE292" i="6"/>
  <c r="AE218" i="6"/>
  <c r="AE234" i="6"/>
  <c r="AE238" i="6"/>
  <c r="AE246" i="6"/>
  <c r="AE308" i="6"/>
  <c r="AE279" i="6"/>
  <c r="AE314" i="6"/>
  <c r="AE221" i="6"/>
  <c r="AE281" i="6"/>
  <c r="AE290" i="6"/>
  <c r="AE309" i="6"/>
  <c r="AE311" i="6"/>
  <c r="AE215" i="6"/>
  <c r="AE298" i="6"/>
  <c r="AE303" i="6"/>
  <c r="AE302" i="6"/>
  <c r="AE244" i="6"/>
  <c r="AE288" i="6"/>
  <c r="AE249" i="6"/>
  <c r="AE283" i="6"/>
  <c r="AE271" i="6"/>
  <c r="AE272" i="6"/>
  <c r="AE313" i="6"/>
  <c r="AE219" i="6"/>
  <c r="AE252" i="6"/>
  <c r="AE291" i="6"/>
  <c r="AE299" i="6"/>
  <c r="AE267" i="6"/>
  <c r="A5818" i="1"/>
  <c r="A5849" i="1"/>
  <c r="A5822" i="1"/>
  <c r="A5803" i="1"/>
  <c r="C5812" i="1"/>
  <c r="C5822" i="1"/>
  <c r="C5842" i="1"/>
  <c r="A5824" i="1"/>
  <c r="A5805" i="1"/>
  <c r="C5852" i="1"/>
  <c r="A5809" i="1"/>
  <c r="A5854" i="1"/>
  <c r="A5852" i="1"/>
  <c r="A5843" i="1"/>
  <c r="A5807" i="1"/>
  <c r="A5855" i="1"/>
  <c r="A5853" i="1"/>
  <c r="A5819" i="1"/>
  <c r="A5806" i="1"/>
  <c r="A5828" i="1"/>
  <c r="A5835" i="1"/>
  <c r="A5826" i="1"/>
  <c r="A5857" i="1"/>
  <c r="A5838" i="1"/>
  <c r="A5836" i="1"/>
  <c r="A5840" i="1"/>
  <c r="A5802" i="1"/>
  <c r="A5823" i="1"/>
  <c r="A5816" i="1"/>
  <c r="A5859" i="1"/>
  <c r="A5832" i="1"/>
  <c r="A5813" i="1"/>
  <c r="A5844" i="1"/>
  <c r="A5829" i="1"/>
  <c r="A5804" i="1"/>
  <c r="A5847" i="1"/>
  <c r="A5834" i="1"/>
  <c r="A5815" i="1"/>
  <c r="A5846" i="1"/>
  <c r="A5827" i="1"/>
  <c r="A5817" i="1"/>
  <c r="A5848" i="1"/>
  <c r="A5810" i="1"/>
  <c r="A5850" i="1"/>
  <c r="A5830" i="1"/>
  <c r="A5842" i="1"/>
  <c r="A5845" i="1"/>
  <c r="A5825" i="1"/>
  <c r="A5837" i="1"/>
  <c r="A5833" i="1"/>
  <c r="A5808" i="1"/>
  <c r="A5856" i="1"/>
  <c r="A5820" i="1"/>
  <c r="A5858" i="1"/>
  <c r="A5812" i="1"/>
  <c r="A5860" i="1"/>
  <c r="A5814" i="1"/>
  <c r="A5839" i="1"/>
  <c r="C5832" i="1"/>
  <c r="C5802" i="1"/>
  <c r="O72" i="1"/>
  <c r="C9240" i="1"/>
  <c r="A9244" i="1"/>
  <c r="A9243" i="1"/>
  <c r="A9242" i="1"/>
  <c r="A9241" i="1"/>
  <c r="A9240" i="1"/>
  <c r="M1260" i="1"/>
  <c r="M1264" i="1" s="1"/>
  <c r="L1264" i="1"/>
  <c r="J1264" i="1"/>
  <c r="I1264" i="1"/>
  <c r="K72" i="1"/>
  <c r="E1235" i="1"/>
  <c r="A4526" i="1"/>
  <c r="I1235" i="1"/>
  <c r="K1239" i="1" s="1"/>
  <c r="J1235" i="1"/>
  <c r="K1235" i="1"/>
  <c r="G1235" i="1"/>
  <c r="F1235" i="1"/>
  <c r="B7091" i="1" l="1"/>
  <c r="A111" i="9"/>
  <c r="R219" i="6"/>
  <c r="R222" i="6"/>
  <c r="R233" i="6"/>
  <c r="R246" i="6"/>
  <c r="R254" i="6"/>
  <c r="R255" i="6"/>
  <c r="R256" i="6"/>
  <c r="R292" i="6"/>
  <c r="R298" i="6"/>
  <c r="R217" i="6"/>
  <c r="R229" i="6"/>
  <c r="R214" i="6"/>
  <c r="R243" i="6"/>
  <c r="R262" i="6"/>
  <c r="R277" i="6"/>
  <c r="R275" i="6"/>
  <c r="R279" i="6"/>
  <c r="R285" i="6"/>
  <c r="R290" i="6"/>
  <c r="R302" i="6"/>
  <c r="R227" i="6"/>
  <c r="R237" i="6"/>
  <c r="R249" i="6"/>
  <c r="R252" i="6"/>
  <c r="R264" i="6"/>
  <c r="R265" i="6"/>
  <c r="R306" i="6"/>
  <c r="R230" i="6"/>
  <c r="R240" i="6"/>
  <c r="R263" i="6"/>
  <c r="R220" i="6"/>
  <c r="R224" i="6"/>
  <c r="R232" i="6"/>
  <c r="R258" i="6"/>
  <c r="R282" i="6"/>
  <c r="R300" i="6"/>
  <c r="R216" i="6"/>
  <c r="R239" i="6"/>
  <c r="R245" i="6"/>
  <c r="R278" i="6"/>
  <c r="R284" i="6"/>
  <c r="R296" i="6"/>
  <c r="R226" i="6"/>
  <c r="R248" i="6"/>
  <c r="R268" i="6"/>
  <c r="R274" i="6"/>
  <c r="R305" i="6"/>
  <c r="R314" i="6"/>
  <c r="R213" i="6"/>
  <c r="R242" i="6"/>
  <c r="R308" i="6"/>
  <c r="R309" i="6"/>
  <c r="R247" i="6"/>
  <c r="R260" i="6"/>
  <c r="R287" i="6"/>
  <c r="R304" i="6"/>
  <c r="R223" i="6"/>
  <c r="R281" i="6"/>
  <c r="R303" i="6"/>
  <c r="R215" i="6"/>
  <c r="R236" i="6"/>
  <c r="R251" i="6"/>
  <c r="R253" i="6"/>
  <c r="R288" i="6"/>
  <c r="R289" i="6"/>
  <c r="R291" i="6"/>
  <c r="R295" i="6"/>
  <c r="R218" i="6"/>
  <c r="R299" i="6"/>
  <c r="R231" i="6"/>
  <c r="R235" i="6"/>
  <c r="R238" i="6"/>
  <c r="R273" i="6"/>
  <c r="R228" i="6"/>
  <c r="R234" i="6"/>
  <c r="R257" i="6"/>
  <c r="R267" i="6"/>
  <c r="R271" i="6"/>
  <c r="R272" i="6"/>
  <c r="R286" i="6"/>
  <c r="R313" i="6"/>
  <c r="R212" i="6"/>
  <c r="R221" i="6"/>
  <c r="R244" i="6"/>
  <c r="R250" i="6"/>
  <c r="R280" i="6"/>
  <c r="R283" i="6"/>
  <c r="R225" i="6"/>
  <c r="R241" i="6"/>
  <c r="R261" i="6"/>
  <c r="R297" i="6"/>
  <c r="R311" i="6"/>
  <c r="R266" i="6"/>
  <c r="R270" i="6"/>
  <c r="R276" i="6"/>
  <c r="R269" i="6"/>
  <c r="R259" i="6"/>
  <c r="R307" i="6"/>
  <c r="R301" i="6"/>
  <c r="R294" i="6"/>
  <c r="R310" i="6"/>
  <c r="R312" i="6"/>
  <c r="R293" i="6"/>
  <c r="O54" i="1"/>
  <c r="D1262" i="1"/>
  <c r="F1262" i="1"/>
  <c r="B1262" i="1"/>
  <c r="A1268" i="1"/>
  <c r="C1267" i="1" s="1"/>
  <c r="A1269" i="1"/>
  <c r="C1268" i="1" s="1"/>
  <c r="A1265" i="1"/>
  <c r="A1266" i="1"/>
  <c r="C1265" i="1" s="1"/>
  <c r="A1270" i="1"/>
  <c r="C1269" i="1" s="1"/>
  <c r="A1267" i="1"/>
  <c r="C1266" i="1" s="1"/>
  <c r="A4522" i="1"/>
  <c r="D1235" i="1"/>
  <c r="I1239" i="1" s="1"/>
  <c r="L1210" i="1"/>
  <c r="M1210" i="1" s="1"/>
  <c r="B1212" i="1" s="1"/>
  <c r="B3504" i="1"/>
  <c r="A4524" i="1"/>
  <c r="A4525" i="1"/>
  <c r="L1239" i="1"/>
  <c r="A4523" i="1"/>
  <c r="J1239" i="1"/>
  <c r="S288" i="6" l="1"/>
  <c r="AA288" i="6"/>
  <c r="Z288" i="6"/>
  <c r="S275" i="6"/>
  <c r="Z275" i="6"/>
  <c r="AA275" i="6"/>
  <c r="S251" i="6"/>
  <c r="Z251" i="6"/>
  <c r="AA251" i="6"/>
  <c r="AA277" i="6"/>
  <c r="S277" i="6"/>
  <c r="Z277" i="6"/>
  <c r="S234" i="6"/>
  <c r="Z234" i="6" s="1"/>
  <c r="S306" i="6"/>
  <c r="AA306" i="6" s="1"/>
  <c r="S229" i="6"/>
  <c r="AA229" i="6"/>
  <c r="Z229" i="6"/>
  <c r="AA262" i="6"/>
  <c r="S262" i="6"/>
  <c r="Z262" i="6"/>
  <c r="AA281" i="6"/>
  <c r="S281" i="6"/>
  <c r="Z281" i="6"/>
  <c r="S296" i="6"/>
  <c r="AA296" i="6" s="1"/>
  <c r="Z296" i="6"/>
  <c r="AA265" i="6"/>
  <c r="S265" i="6"/>
  <c r="Z265" i="6"/>
  <c r="S217" i="6"/>
  <c r="Z217" i="6"/>
  <c r="AA217" i="6"/>
  <c r="S269" i="6"/>
  <c r="AA269" i="6"/>
  <c r="Z269" i="6"/>
  <c r="S272" i="6"/>
  <c r="Z272" i="6"/>
  <c r="AA272" i="6"/>
  <c r="S236" i="6"/>
  <c r="AA236" i="6"/>
  <c r="Z236" i="6"/>
  <c r="Z284" i="6"/>
  <c r="S284" i="6"/>
  <c r="AA284" i="6"/>
  <c r="S264" i="6"/>
  <c r="Z264" i="6"/>
  <c r="AA264" i="6"/>
  <c r="Z298" i="6"/>
  <c r="S298" i="6"/>
  <c r="AA298" i="6"/>
  <c r="Z276" i="6"/>
  <c r="AA276" i="6"/>
  <c r="S276" i="6"/>
  <c r="S220" i="6"/>
  <c r="AA220" i="6"/>
  <c r="Z220" i="6"/>
  <c r="S240" i="6"/>
  <c r="Z240" i="6" s="1"/>
  <c r="S225" i="6"/>
  <c r="Z225" i="6"/>
  <c r="AA225" i="6"/>
  <c r="S292" i="6"/>
  <c r="AA292" i="6"/>
  <c r="Z292" i="6"/>
  <c r="S243" i="6"/>
  <c r="Z243" i="6"/>
  <c r="AA243" i="6"/>
  <c r="AA226" i="6"/>
  <c r="S226" i="6"/>
  <c r="Z226" i="6"/>
  <c r="AA283" i="6"/>
  <c r="Z283" i="6"/>
  <c r="S283" i="6"/>
  <c r="Z235" i="6"/>
  <c r="S235" i="6"/>
  <c r="AA235" i="6"/>
  <c r="S287" i="6"/>
  <c r="Z287" i="6"/>
  <c r="AA287" i="6"/>
  <c r="AA245" i="6"/>
  <c r="Z245" i="6"/>
  <c r="S245" i="6"/>
  <c r="Z249" i="6"/>
  <c r="AA249" i="6"/>
  <c r="S249" i="6"/>
  <c r="Z256" i="6"/>
  <c r="AA256" i="6"/>
  <c r="S256" i="6"/>
  <c r="Z253" i="6"/>
  <c r="AA253" i="6"/>
  <c r="S253" i="6"/>
  <c r="S271" i="6"/>
  <c r="Z271" i="6"/>
  <c r="AA271" i="6"/>
  <c r="S266" i="6"/>
  <c r="Z266" i="6"/>
  <c r="AA266" i="6"/>
  <c r="Z214" i="6"/>
  <c r="S214" i="6"/>
  <c r="AA214" i="6"/>
  <c r="S228" i="6"/>
  <c r="Z228" i="6"/>
  <c r="AA228" i="6"/>
  <c r="S312" i="6"/>
  <c r="AA312" i="6" s="1"/>
  <c r="S231" i="6"/>
  <c r="Z231" i="6"/>
  <c r="AA231" i="6"/>
  <c r="AA260" i="6"/>
  <c r="S260" i="6"/>
  <c r="Z260" i="6"/>
  <c r="S239" i="6"/>
  <c r="AA239" i="6" s="1"/>
  <c r="S237" i="6"/>
  <c r="AA237" i="6" s="1"/>
  <c r="AA255" i="6"/>
  <c r="S255" i="6"/>
  <c r="Z255" i="6"/>
  <c r="S314" i="6"/>
  <c r="Z314" i="6"/>
  <c r="AA314" i="6"/>
  <c r="S215" i="6"/>
  <c r="AA215" i="6"/>
  <c r="Z215" i="6"/>
  <c r="AA297" i="6"/>
  <c r="S297" i="6"/>
  <c r="Z297" i="6"/>
  <c r="AA252" i="6"/>
  <c r="Z252" i="6"/>
  <c r="S252" i="6"/>
  <c r="S310" i="6"/>
  <c r="AA310" i="6" s="1"/>
  <c r="S250" i="6"/>
  <c r="AA250" i="6"/>
  <c r="Z250" i="6"/>
  <c r="S299" i="6"/>
  <c r="Z299" i="6" s="1"/>
  <c r="S247" i="6"/>
  <c r="Z247" i="6"/>
  <c r="AA247" i="6"/>
  <c r="S216" i="6"/>
  <c r="AA216" i="6"/>
  <c r="Z216" i="6"/>
  <c r="S227" i="6"/>
  <c r="Z227" i="6"/>
  <c r="AA227" i="6"/>
  <c r="S254" i="6"/>
  <c r="Z254" i="6"/>
  <c r="AA254" i="6"/>
  <c r="AA294" i="6"/>
  <c r="Z294" i="6"/>
  <c r="S294" i="6"/>
  <c r="S244" i="6"/>
  <c r="Z244" i="6"/>
  <c r="AA244" i="6"/>
  <c r="S218" i="6"/>
  <c r="AA218" i="6"/>
  <c r="Z218" i="6"/>
  <c r="S309" i="6"/>
  <c r="AA309" i="6" s="1"/>
  <c r="S300" i="6"/>
  <c r="AA300" i="6" s="1"/>
  <c r="S302" i="6"/>
  <c r="Z302" i="6" s="1"/>
  <c r="Z246" i="6"/>
  <c r="AA246" i="6"/>
  <c r="S246" i="6"/>
  <c r="Z286" i="6"/>
  <c r="S286" i="6"/>
  <c r="AA286" i="6"/>
  <c r="S305" i="6"/>
  <c r="Z305" i="6" s="1"/>
  <c r="AA305" i="6"/>
  <c r="AA270" i="6"/>
  <c r="S270" i="6"/>
  <c r="Z270" i="6"/>
  <c r="AA268" i="6"/>
  <c r="Z268" i="6"/>
  <c r="S268" i="6"/>
  <c r="S311" i="6"/>
  <c r="AA311" i="6"/>
  <c r="Z311" i="6"/>
  <c r="S248" i="6"/>
  <c r="AA248" i="6"/>
  <c r="Z248" i="6"/>
  <c r="S303" i="6"/>
  <c r="AA303" i="6" s="1"/>
  <c r="AA261" i="6"/>
  <c r="Z261" i="6"/>
  <c r="S261" i="6"/>
  <c r="S241" i="6"/>
  <c r="AA241" i="6" s="1"/>
  <c r="AA223" i="6"/>
  <c r="S223" i="6"/>
  <c r="Z223" i="6"/>
  <c r="S238" i="6"/>
  <c r="AA238" i="6" s="1"/>
  <c r="S301" i="6"/>
  <c r="AA301" i="6" s="1"/>
  <c r="AA221" i="6"/>
  <c r="Z221" i="6"/>
  <c r="S221" i="6"/>
  <c r="S295" i="6"/>
  <c r="Z295" i="6" s="1"/>
  <c r="S308" i="6"/>
  <c r="AA308" i="6" s="1"/>
  <c r="Z282" i="6"/>
  <c r="AA282" i="6"/>
  <c r="S282" i="6"/>
  <c r="AA290" i="6"/>
  <c r="S290" i="6"/>
  <c r="Z290" i="6"/>
  <c r="Z233" i="6"/>
  <c r="S233" i="6"/>
  <c r="AA233" i="6"/>
  <c r="S263" i="6"/>
  <c r="Z263" i="6"/>
  <c r="AA263" i="6"/>
  <c r="S230" i="6"/>
  <c r="Z230" i="6"/>
  <c r="AA230" i="6"/>
  <c r="Z273" i="6"/>
  <c r="AA273" i="6"/>
  <c r="S273" i="6"/>
  <c r="Z278" i="6"/>
  <c r="S278" i="6"/>
  <c r="AA278" i="6"/>
  <c r="S293" i="6"/>
  <c r="Z293" i="6" s="1"/>
  <c r="AA280" i="6"/>
  <c r="Z280" i="6"/>
  <c r="S280" i="6"/>
  <c r="S307" i="6"/>
  <c r="Z307" i="6" s="1"/>
  <c r="AA307" i="6"/>
  <c r="S212" i="6"/>
  <c r="AA212" i="6"/>
  <c r="Z212" i="6"/>
  <c r="S291" i="6"/>
  <c r="AA291" i="6"/>
  <c r="Z291" i="6"/>
  <c r="S242" i="6"/>
  <c r="AA242" i="6" s="1"/>
  <c r="S258" i="6"/>
  <c r="Z258" i="6"/>
  <c r="AA258" i="6"/>
  <c r="AA285" i="6"/>
  <c r="S285" i="6"/>
  <c r="Z285" i="6"/>
  <c r="S222" i="6"/>
  <c r="Z222" i="6"/>
  <c r="AA222" i="6"/>
  <c r="S224" i="6"/>
  <c r="AA224" i="6"/>
  <c r="Z224" i="6"/>
  <c r="S274" i="6"/>
  <c r="Z274" i="6"/>
  <c r="AA274" i="6"/>
  <c r="Z267" i="6"/>
  <c r="S267" i="6"/>
  <c r="AA267" i="6"/>
  <c r="AA257" i="6"/>
  <c r="Z257" i="6"/>
  <c r="S257" i="6"/>
  <c r="S304" i="6"/>
  <c r="Z304" i="6" s="1"/>
  <c r="S259" i="6"/>
  <c r="Z259" i="6"/>
  <c r="AA259" i="6"/>
  <c r="AA313" i="6"/>
  <c r="Z313" i="6"/>
  <c r="S313" i="6"/>
  <c r="S289" i="6"/>
  <c r="AA289" i="6"/>
  <c r="Z289" i="6"/>
  <c r="S213" i="6"/>
  <c r="AA213" i="6"/>
  <c r="Z213" i="6"/>
  <c r="S232" i="6"/>
  <c r="Z232" i="6"/>
  <c r="AA232" i="6"/>
  <c r="S279" i="6"/>
  <c r="Z279" i="6"/>
  <c r="AA279" i="6"/>
  <c r="AA219" i="6"/>
  <c r="Z219" i="6"/>
  <c r="S219" i="6"/>
  <c r="D1265" i="1"/>
  <c r="E1265" i="1" s="1"/>
  <c r="H2065" i="1"/>
  <c r="H2073" i="1" s="1"/>
  <c r="I2065" i="1"/>
  <c r="I2073" i="1" s="1"/>
  <c r="D1266" i="1"/>
  <c r="E1266" i="1" s="1"/>
  <c r="B1269" i="1"/>
  <c r="B1266" i="1"/>
  <c r="B1270" i="1"/>
  <c r="O82" i="1"/>
  <c r="O81" i="1"/>
  <c r="O80" i="1"/>
  <c r="D1268" i="1"/>
  <c r="E1268" i="1" s="1"/>
  <c r="O56" i="1"/>
  <c r="G23" i="1" s="1"/>
  <c r="M1235" i="1"/>
  <c r="B1237" i="1" s="1"/>
  <c r="B1267" i="1"/>
  <c r="B1265" i="1"/>
  <c r="B1268" i="1"/>
  <c r="D1269" i="1"/>
  <c r="E1269" i="1" s="1"/>
  <c r="D1267" i="1"/>
  <c r="E1267" i="1" s="1"/>
  <c r="M1214" i="1"/>
  <c r="A1215" i="1" s="1"/>
  <c r="D1212" i="1"/>
  <c r="F1212" i="1" s="1"/>
  <c r="B5707" i="1"/>
  <c r="A7020" i="1" s="1"/>
  <c r="A18" i="9" s="1"/>
  <c r="B3513" i="1"/>
  <c r="B3503" i="1"/>
  <c r="C3532" i="1"/>
  <c r="C3531" i="1"/>
  <c r="C3534" i="1"/>
  <c r="C3535" i="1"/>
  <c r="C3533" i="1"/>
  <c r="C3536" i="1"/>
  <c r="B4503" i="1"/>
  <c r="A4527" i="1" s="1"/>
  <c r="B4513" i="1"/>
  <c r="D7027" i="1"/>
  <c r="J23" i="9" s="1"/>
  <c r="G74" i="1"/>
  <c r="AA240" i="6" l="1"/>
  <c r="K23" i="1"/>
  <c r="J114" i="9"/>
  <c r="I23" i="1"/>
  <c r="Z301" i="6"/>
  <c r="AA302" i="6"/>
  <c r="Z238" i="6"/>
  <c r="Z300" i="6"/>
  <c r="Z237" i="6"/>
  <c r="AA295" i="6"/>
  <c r="AA234" i="6"/>
  <c r="AA304" i="6"/>
  <c r="Z303" i="6"/>
  <c r="AA293" i="6"/>
  <c r="AA299" i="6"/>
  <c r="Z312" i="6"/>
  <c r="Z242" i="6"/>
  <c r="Z241" i="6"/>
  <c r="Z310" i="6"/>
  <c r="Z309" i="6"/>
  <c r="Z308" i="6"/>
  <c r="Z239" i="6"/>
  <c r="Z306" i="6"/>
  <c r="G216" i="6"/>
  <c r="AC216" i="6" s="1"/>
  <c r="G220" i="6"/>
  <c r="AC220" i="6" s="1"/>
  <c r="G226" i="6"/>
  <c r="AC226" i="6" s="1"/>
  <c r="G237" i="6"/>
  <c r="AC237" i="6" s="1"/>
  <c r="G224" i="6"/>
  <c r="AC224" i="6" s="1"/>
  <c r="G238" i="6"/>
  <c r="AC238" i="6" s="1"/>
  <c r="G251" i="6"/>
  <c r="AC251" i="6" s="1"/>
  <c r="G259" i="6"/>
  <c r="AC259" i="6" s="1"/>
  <c r="G275" i="6"/>
  <c r="AC275" i="6" s="1"/>
  <c r="G225" i="6"/>
  <c r="AC225" i="6" s="1"/>
  <c r="G229" i="6"/>
  <c r="AC229" i="6" s="1"/>
  <c r="G233" i="6"/>
  <c r="AC233" i="6" s="1"/>
  <c r="G246" i="6"/>
  <c r="AC246" i="6" s="1"/>
  <c r="G291" i="6"/>
  <c r="AC291" i="6" s="1"/>
  <c r="G298" i="6"/>
  <c r="AC298" i="6" s="1"/>
  <c r="G308" i="6"/>
  <c r="AC308" i="6" s="1"/>
  <c r="G310" i="6"/>
  <c r="AC310" i="6" s="1"/>
  <c r="G248" i="6"/>
  <c r="AC248" i="6" s="1"/>
  <c r="G252" i="6"/>
  <c r="AC252" i="6" s="1"/>
  <c r="G258" i="6"/>
  <c r="AC258" i="6" s="1"/>
  <c r="G297" i="6"/>
  <c r="AC297" i="6" s="1"/>
  <c r="G222" i="6"/>
  <c r="AC222" i="6" s="1"/>
  <c r="G232" i="6"/>
  <c r="AC232" i="6" s="1"/>
  <c r="G278" i="6"/>
  <c r="AC278" i="6" s="1"/>
  <c r="G288" i="6"/>
  <c r="AC288" i="6" s="1"/>
  <c r="G293" i="6"/>
  <c r="AC293" i="6" s="1"/>
  <c r="G296" i="6"/>
  <c r="AC296" i="6" s="1"/>
  <c r="G274" i="6"/>
  <c r="AC274" i="6" s="1"/>
  <c r="G282" i="6"/>
  <c r="AC282" i="6" s="1"/>
  <c r="G219" i="6"/>
  <c r="AC219" i="6" s="1"/>
  <c r="G235" i="6"/>
  <c r="AC235" i="6" s="1"/>
  <c r="G239" i="6"/>
  <c r="AC239" i="6" s="1"/>
  <c r="G247" i="6"/>
  <c r="AC247" i="6" s="1"/>
  <c r="G268" i="6"/>
  <c r="AC268" i="6" s="1"/>
  <c r="G272" i="6"/>
  <c r="AC272" i="6" s="1"/>
  <c r="G287" i="6"/>
  <c r="AC287" i="6" s="1"/>
  <c r="G289" i="6"/>
  <c r="AC289" i="6" s="1"/>
  <c r="G213" i="6"/>
  <c r="AC213" i="6" s="1"/>
  <c r="G234" i="6"/>
  <c r="AC234" i="6" s="1"/>
  <c r="G305" i="6"/>
  <c r="AC305" i="6" s="1"/>
  <c r="G314" i="6"/>
  <c r="AC314" i="6" s="1"/>
  <c r="G215" i="6"/>
  <c r="AC215" i="6" s="1"/>
  <c r="G236" i="6"/>
  <c r="AC236" i="6" s="1"/>
  <c r="G242" i="6"/>
  <c r="AC242" i="6" s="1"/>
  <c r="G244" i="6"/>
  <c r="AC244" i="6" s="1"/>
  <c r="G286" i="6"/>
  <c r="AC286" i="6" s="1"/>
  <c r="G212" i="6"/>
  <c r="AC212" i="6" s="1"/>
  <c r="G218" i="6"/>
  <c r="AC218" i="6" s="1"/>
  <c r="G223" i="6"/>
  <c r="AC223" i="6" s="1"/>
  <c r="G250" i="6"/>
  <c r="AC250" i="6" s="1"/>
  <c r="G260" i="6"/>
  <c r="AC260" i="6" s="1"/>
  <c r="G262" i="6"/>
  <c r="AC262" i="6" s="1"/>
  <c r="G271" i="6"/>
  <c r="AC271" i="6" s="1"/>
  <c r="G277" i="6"/>
  <c r="AC277" i="6" s="1"/>
  <c r="G280" i="6"/>
  <c r="AC280" i="6" s="1"/>
  <c r="G295" i="6"/>
  <c r="AC295" i="6" s="1"/>
  <c r="G299" i="6"/>
  <c r="AC299" i="6" s="1"/>
  <c r="G231" i="6"/>
  <c r="AC231" i="6" s="1"/>
  <c r="G253" i="6"/>
  <c r="AC253" i="6" s="1"/>
  <c r="G267" i="6"/>
  <c r="AC267" i="6" s="1"/>
  <c r="G273" i="6"/>
  <c r="AC273" i="6" s="1"/>
  <c r="G303" i="6"/>
  <c r="AC303" i="6" s="1"/>
  <c r="G312" i="6"/>
  <c r="AC312" i="6" s="1"/>
  <c r="G240" i="6"/>
  <c r="AC240" i="6" s="1"/>
  <c r="G256" i="6"/>
  <c r="AC256" i="6" s="1"/>
  <c r="G257" i="6"/>
  <c r="AC257" i="6" s="1"/>
  <c r="G264" i="6"/>
  <c r="AC264" i="6" s="1"/>
  <c r="G266" i="6"/>
  <c r="AC266" i="6" s="1"/>
  <c r="G283" i="6"/>
  <c r="AC283" i="6" s="1"/>
  <c r="G228" i="6"/>
  <c r="AC228" i="6" s="1"/>
  <c r="G270" i="6"/>
  <c r="AC270" i="6" s="1"/>
  <c r="G281" i="6"/>
  <c r="AC281" i="6" s="1"/>
  <c r="G294" i="6"/>
  <c r="AC294" i="6" s="1"/>
  <c r="G313" i="6"/>
  <c r="AC313" i="6" s="1"/>
  <c r="G276" i="6"/>
  <c r="AC276" i="6" s="1"/>
  <c r="G221" i="6"/>
  <c r="AC221" i="6" s="1"/>
  <c r="G241" i="6"/>
  <c r="AC241" i="6" s="1"/>
  <c r="G311" i="6"/>
  <c r="AC311" i="6" s="1"/>
  <c r="G301" i="6"/>
  <c r="AC301" i="6" s="1"/>
  <c r="G306" i="6"/>
  <c r="AC306" i="6" s="1"/>
  <c r="G265" i="6"/>
  <c r="AC265" i="6" s="1"/>
  <c r="G307" i="6"/>
  <c r="AC307" i="6" s="1"/>
  <c r="G214" i="6"/>
  <c r="AC214" i="6" s="1"/>
  <c r="G230" i="6"/>
  <c r="AC230" i="6" s="1"/>
  <c r="G249" i="6"/>
  <c r="AC249" i="6" s="1"/>
  <c r="G254" i="6"/>
  <c r="AC254" i="6" s="1"/>
  <c r="G279" i="6"/>
  <c r="AC279" i="6" s="1"/>
  <c r="G292" i="6"/>
  <c r="AC292" i="6" s="1"/>
  <c r="G300" i="6"/>
  <c r="AC300" i="6" s="1"/>
  <c r="G245" i="6"/>
  <c r="AC245" i="6" s="1"/>
  <c r="G284" i="6"/>
  <c r="AC284" i="6" s="1"/>
  <c r="G290" i="6"/>
  <c r="AC290" i="6" s="1"/>
  <c r="G304" i="6"/>
  <c r="AC304" i="6" s="1"/>
  <c r="G309" i="6"/>
  <c r="AC309" i="6" s="1"/>
  <c r="G243" i="6"/>
  <c r="AC243" i="6" s="1"/>
  <c r="G269" i="6"/>
  <c r="AC269" i="6" s="1"/>
  <c r="G285" i="6"/>
  <c r="AC285" i="6" s="1"/>
  <c r="G302" i="6"/>
  <c r="AC302" i="6" s="1"/>
  <c r="G227" i="6"/>
  <c r="AC227" i="6" s="1"/>
  <c r="G263" i="6"/>
  <c r="AC263" i="6" s="1"/>
  <c r="G255" i="6"/>
  <c r="AC255" i="6" s="1"/>
  <c r="G217" i="6"/>
  <c r="AC217" i="6" s="1"/>
  <c r="G261" i="6"/>
  <c r="AC261" i="6" s="1"/>
  <c r="G27" i="6"/>
  <c r="AC27" i="6" s="1"/>
  <c r="G26" i="6"/>
  <c r="AC26" i="6" s="1"/>
  <c r="G35" i="6"/>
  <c r="AC35" i="6" s="1"/>
  <c r="G39" i="6"/>
  <c r="AC39" i="6" s="1"/>
  <c r="G53" i="6"/>
  <c r="AC53" i="6" s="1"/>
  <c r="G76" i="6"/>
  <c r="AC76" i="6" s="1"/>
  <c r="G9" i="6"/>
  <c r="AC9" i="6" s="1"/>
  <c r="G17" i="6"/>
  <c r="AC17" i="6" s="1"/>
  <c r="G59" i="6"/>
  <c r="AC59" i="6" s="1"/>
  <c r="G61" i="6"/>
  <c r="AC61" i="6" s="1"/>
  <c r="G7" i="6"/>
  <c r="AC7" i="6" s="1"/>
  <c r="G54" i="6"/>
  <c r="AC54" i="6" s="1"/>
  <c r="G106" i="6"/>
  <c r="AC106" i="6" s="1"/>
  <c r="G6" i="6"/>
  <c r="AC6" i="6" s="1"/>
  <c r="G16" i="6"/>
  <c r="AC16" i="6" s="1"/>
  <c r="G22" i="6"/>
  <c r="AC22" i="6" s="1"/>
  <c r="G24" i="6"/>
  <c r="AC24" i="6" s="1"/>
  <c r="G29" i="6"/>
  <c r="AC29" i="6" s="1"/>
  <c r="G30" i="6"/>
  <c r="AC30" i="6" s="1"/>
  <c r="G38" i="6"/>
  <c r="AC38" i="6" s="1"/>
  <c r="G45" i="6"/>
  <c r="AC45" i="6" s="1"/>
  <c r="G58" i="6"/>
  <c r="AC58" i="6" s="1"/>
  <c r="G75" i="6"/>
  <c r="AC75" i="6" s="1"/>
  <c r="G86" i="6"/>
  <c r="AC86" i="6" s="1"/>
  <c r="G43" i="6"/>
  <c r="AC43" i="6" s="1"/>
  <c r="G44" i="6"/>
  <c r="AC44" i="6" s="1"/>
  <c r="G74" i="6"/>
  <c r="AC74" i="6" s="1"/>
  <c r="G100" i="6"/>
  <c r="AC100" i="6" s="1"/>
  <c r="K21" i="1"/>
  <c r="G11" i="6"/>
  <c r="AC11" i="6" s="1"/>
  <c r="G14" i="6"/>
  <c r="AC14" i="6" s="1"/>
  <c r="G23" i="6"/>
  <c r="AC23" i="6" s="1"/>
  <c r="G31" i="6"/>
  <c r="AC31" i="6" s="1"/>
  <c r="G68" i="6"/>
  <c r="AC68" i="6" s="1"/>
  <c r="G73" i="6"/>
  <c r="AC73" i="6" s="1"/>
  <c r="G94" i="6"/>
  <c r="AC94" i="6" s="1"/>
  <c r="G101" i="6"/>
  <c r="AC101" i="6" s="1"/>
  <c r="G103" i="6"/>
  <c r="AC103" i="6" s="1"/>
  <c r="G13" i="6"/>
  <c r="AC13" i="6" s="1"/>
  <c r="G48" i="6"/>
  <c r="AC48" i="6" s="1"/>
  <c r="G81" i="6"/>
  <c r="AC81" i="6" s="1"/>
  <c r="G87" i="6"/>
  <c r="AC87" i="6" s="1"/>
  <c r="G88" i="6"/>
  <c r="AC88" i="6" s="1"/>
  <c r="G12" i="6"/>
  <c r="AC12" i="6" s="1"/>
  <c r="G21" i="6"/>
  <c r="AC21" i="6" s="1"/>
  <c r="G25" i="6"/>
  <c r="AC25" i="6" s="1"/>
  <c r="G15" i="6"/>
  <c r="AC15" i="6" s="1"/>
  <c r="G20" i="6"/>
  <c r="AC20" i="6" s="1"/>
  <c r="G19" i="6"/>
  <c r="AC19" i="6" s="1"/>
  <c r="G28" i="6"/>
  <c r="AC28" i="6" s="1"/>
  <c r="G47" i="6"/>
  <c r="AC47" i="6" s="1"/>
  <c r="G52" i="6"/>
  <c r="AC52" i="6" s="1"/>
  <c r="G63" i="6"/>
  <c r="AC63" i="6" s="1"/>
  <c r="G10" i="6"/>
  <c r="AC10" i="6" s="1"/>
  <c r="G18" i="6"/>
  <c r="AC18" i="6" s="1"/>
  <c r="G37" i="6"/>
  <c r="AC37" i="6" s="1"/>
  <c r="G85" i="6"/>
  <c r="AC85" i="6" s="1"/>
  <c r="G41" i="6"/>
  <c r="AC41" i="6" s="1"/>
  <c r="G46" i="6"/>
  <c r="AC46" i="6" s="1"/>
  <c r="G72" i="6"/>
  <c r="AC72" i="6" s="1"/>
  <c r="G80" i="6"/>
  <c r="AC80" i="6" s="1"/>
  <c r="G83" i="6"/>
  <c r="AC83" i="6" s="1"/>
  <c r="G67" i="6"/>
  <c r="AC67" i="6" s="1"/>
  <c r="G90" i="6"/>
  <c r="AC90" i="6" s="1"/>
  <c r="G93" i="6"/>
  <c r="AC93" i="6" s="1"/>
  <c r="G105" i="6"/>
  <c r="AC105" i="6" s="1"/>
  <c r="G40" i="6"/>
  <c r="AC40" i="6" s="1"/>
  <c r="G66" i="6"/>
  <c r="AC66" i="6" s="1"/>
  <c r="G69" i="6"/>
  <c r="AC69" i="6" s="1"/>
  <c r="G77" i="6"/>
  <c r="AC77" i="6" s="1"/>
  <c r="G36" i="6"/>
  <c r="AC36" i="6" s="1"/>
  <c r="G56" i="6"/>
  <c r="AC56" i="6" s="1"/>
  <c r="G57" i="6"/>
  <c r="AC57" i="6" s="1"/>
  <c r="G71" i="6"/>
  <c r="AC71" i="6" s="1"/>
  <c r="G92" i="6"/>
  <c r="AC92" i="6" s="1"/>
  <c r="G49" i="6"/>
  <c r="AC49" i="6" s="1"/>
  <c r="G104" i="6"/>
  <c r="AC104" i="6" s="1"/>
  <c r="G34" i="6"/>
  <c r="AC34" i="6" s="1"/>
  <c r="G62" i="6"/>
  <c r="AC62" i="6" s="1"/>
  <c r="G84" i="6"/>
  <c r="AC84" i="6" s="1"/>
  <c r="G32" i="6"/>
  <c r="AC32" i="6" s="1"/>
  <c r="G42" i="6"/>
  <c r="AC42" i="6" s="1"/>
  <c r="G60" i="6"/>
  <c r="AC60" i="6" s="1"/>
  <c r="G64" i="6"/>
  <c r="AC64" i="6" s="1"/>
  <c r="G51" i="6"/>
  <c r="AC51" i="6" s="1"/>
  <c r="G82" i="6"/>
  <c r="AC82" i="6" s="1"/>
  <c r="G91" i="6"/>
  <c r="AC91" i="6" s="1"/>
  <c r="G65" i="6"/>
  <c r="AC65" i="6" s="1"/>
  <c r="G70" i="6"/>
  <c r="AC70" i="6" s="1"/>
  <c r="G55" i="6"/>
  <c r="AC55" i="6" s="1"/>
  <c r="G78" i="6"/>
  <c r="AC78" i="6" s="1"/>
  <c r="G89" i="6"/>
  <c r="AC89" i="6" s="1"/>
  <c r="G102" i="6"/>
  <c r="AC102" i="6" s="1"/>
  <c r="G33" i="6"/>
  <c r="AC33" i="6" s="1"/>
  <c r="G96" i="6"/>
  <c r="AC96" i="6" s="1"/>
  <c r="G97" i="6"/>
  <c r="AC97" i="6" s="1"/>
  <c r="G107" i="6"/>
  <c r="AC107" i="6" s="1"/>
  <c r="G99" i="6"/>
  <c r="AC99" i="6" s="1"/>
  <c r="G8" i="6"/>
  <c r="AC8" i="6" s="1"/>
  <c r="G50" i="6"/>
  <c r="AC50" i="6" s="1"/>
  <c r="G79" i="6"/>
  <c r="AC79" i="6" s="1"/>
  <c r="G95" i="6"/>
  <c r="AC95" i="6" s="1"/>
  <c r="G108" i="6"/>
  <c r="AC108" i="6" s="1"/>
  <c r="G98" i="6"/>
  <c r="AC98" i="6" s="1"/>
  <c r="F212" i="6"/>
  <c r="AB212" i="6" s="1"/>
  <c r="F213" i="6"/>
  <c r="AB213" i="6" s="1"/>
  <c r="F216" i="6"/>
  <c r="AB216" i="6" s="1"/>
  <c r="AD216" i="6" s="1"/>
  <c r="F225" i="6"/>
  <c r="AB225" i="6" s="1"/>
  <c r="F250" i="6"/>
  <c r="AB250" i="6" s="1"/>
  <c r="F264" i="6"/>
  <c r="AB264" i="6" s="1"/>
  <c r="F267" i="6"/>
  <c r="AB267" i="6" s="1"/>
  <c r="F227" i="6"/>
  <c r="AB227" i="6" s="1"/>
  <c r="F217" i="6"/>
  <c r="AB217" i="6" s="1"/>
  <c r="F222" i="6"/>
  <c r="AB222" i="6" s="1"/>
  <c r="F228" i="6"/>
  <c r="AB228" i="6" s="1"/>
  <c r="F280" i="6"/>
  <c r="AB280" i="6" s="1"/>
  <c r="F284" i="6"/>
  <c r="AB284" i="6" s="1"/>
  <c r="F297" i="6"/>
  <c r="AB297" i="6" s="1"/>
  <c r="F232" i="6"/>
  <c r="AB232" i="6" s="1"/>
  <c r="F278" i="6"/>
  <c r="AB278" i="6" s="1"/>
  <c r="F288" i="6"/>
  <c r="AB288" i="6" s="1"/>
  <c r="F293" i="6"/>
  <c r="AB293" i="6" s="1"/>
  <c r="F296" i="6"/>
  <c r="AB296" i="6" s="1"/>
  <c r="F274" i="6"/>
  <c r="AB274" i="6" s="1"/>
  <c r="F282" i="6"/>
  <c r="AB282" i="6" s="1"/>
  <c r="F309" i="6"/>
  <c r="F220" i="6"/>
  <c r="AB220" i="6" s="1"/>
  <c r="F245" i="6"/>
  <c r="AB245" i="6" s="1"/>
  <c r="F219" i="6"/>
  <c r="AB219" i="6" s="1"/>
  <c r="F235" i="6"/>
  <c r="AB235" i="6" s="1"/>
  <c r="F234" i="6"/>
  <c r="AB234" i="6" s="1"/>
  <c r="F305" i="6"/>
  <c r="AB305" i="6" s="1"/>
  <c r="F308" i="6"/>
  <c r="F314" i="6"/>
  <c r="AB314" i="6" s="1"/>
  <c r="F215" i="6"/>
  <c r="AB215" i="6" s="1"/>
  <c r="F226" i="6"/>
  <c r="AB226" i="6" s="1"/>
  <c r="F229" i="6"/>
  <c r="AB229" i="6" s="1"/>
  <c r="F236" i="6"/>
  <c r="AB236" i="6" s="1"/>
  <c r="F242" i="6"/>
  <c r="F244" i="6"/>
  <c r="AB244" i="6" s="1"/>
  <c r="F251" i="6"/>
  <c r="AB251" i="6" s="1"/>
  <c r="F286" i="6"/>
  <c r="AB286" i="6" s="1"/>
  <c r="F218" i="6"/>
  <c r="AB218" i="6" s="1"/>
  <c r="F223" i="6"/>
  <c r="AB223" i="6" s="1"/>
  <c r="F260" i="6"/>
  <c r="AB260" i="6" s="1"/>
  <c r="F262" i="6"/>
  <c r="AB262" i="6" s="1"/>
  <c r="F271" i="6"/>
  <c r="AB271" i="6" s="1"/>
  <c r="F277" i="6"/>
  <c r="AB277" i="6" s="1"/>
  <c r="F295" i="6"/>
  <c r="AB295" i="6" s="1"/>
  <c r="F299" i="6"/>
  <c r="AB299" i="6" s="1"/>
  <c r="F311" i="6"/>
  <c r="AB311" i="6" s="1"/>
  <c r="F231" i="6"/>
  <c r="AB231" i="6" s="1"/>
  <c r="F253" i="6"/>
  <c r="AB253" i="6" s="1"/>
  <c r="F273" i="6"/>
  <c r="AB273" i="6" s="1"/>
  <c r="F291" i="6"/>
  <c r="AB291" i="6" s="1"/>
  <c r="F303" i="6"/>
  <c r="F312" i="6"/>
  <c r="F238" i="6"/>
  <c r="AB238" i="6" s="1"/>
  <c r="F270" i="6"/>
  <c r="AB270" i="6" s="1"/>
  <c r="F281" i="6"/>
  <c r="AB281" i="6" s="1"/>
  <c r="F294" i="6"/>
  <c r="AB294" i="6" s="1"/>
  <c r="F313" i="6"/>
  <c r="AB313" i="6" s="1"/>
  <c r="F221" i="6"/>
  <c r="AB221" i="6" s="1"/>
  <c r="F240" i="6"/>
  <c r="AB240" i="6" s="1"/>
  <c r="F256" i="6"/>
  <c r="AB256" i="6" s="1"/>
  <c r="F257" i="6"/>
  <c r="AB257" i="6" s="1"/>
  <c r="F266" i="6"/>
  <c r="AB266" i="6" s="1"/>
  <c r="F276" i="6"/>
  <c r="AB276" i="6" s="1"/>
  <c r="F283" i="6"/>
  <c r="AB283" i="6" s="1"/>
  <c r="F241" i="6"/>
  <c r="F246" i="6"/>
  <c r="AB246" i="6" s="1"/>
  <c r="F265" i="6"/>
  <c r="AB265" i="6" s="1"/>
  <c r="F301" i="6"/>
  <c r="F306" i="6"/>
  <c r="AB306" i="6" s="1"/>
  <c r="F307" i="6"/>
  <c r="AB307" i="6" s="1"/>
  <c r="F259" i="6"/>
  <c r="AB259" i="6" s="1"/>
  <c r="F279" i="6"/>
  <c r="AB279" i="6" s="1"/>
  <c r="F224" i="6"/>
  <c r="AB224" i="6" s="1"/>
  <c r="F248" i="6"/>
  <c r="AB248" i="6" s="1"/>
  <c r="F252" i="6"/>
  <c r="AB252" i="6" s="1"/>
  <c r="F258" i="6"/>
  <c r="AB258" i="6" s="1"/>
  <c r="F272" i="6"/>
  <c r="AB272" i="6" s="1"/>
  <c r="F233" i="6"/>
  <c r="AB233" i="6" s="1"/>
  <c r="F292" i="6"/>
  <c r="AB292" i="6" s="1"/>
  <c r="F300" i="6"/>
  <c r="F261" i="6"/>
  <c r="AB261" i="6" s="1"/>
  <c r="F268" i="6"/>
  <c r="AB268" i="6" s="1"/>
  <c r="F287" i="6"/>
  <c r="AB287" i="6" s="1"/>
  <c r="F290" i="6"/>
  <c r="AB290" i="6" s="1"/>
  <c r="F304" i="6"/>
  <c r="AB304" i="6" s="1"/>
  <c r="F230" i="6"/>
  <c r="AB230" i="6" s="1"/>
  <c r="F254" i="6"/>
  <c r="AB254" i="6" s="1"/>
  <c r="F298" i="6"/>
  <c r="AB298" i="6" s="1"/>
  <c r="F302" i="6"/>
  <c r="AB302" i="6" s="1"/>
  <c r="F243" i="6"/>
  <c r="AB243" i="6" s="1"/>
  <c r="F269" i="6"/>
  <c r="AB269" i="6" s="1"/>
  <c r="F285" i="6"/>
  <c r="AB285" i="6" s="1"/>
  <c r="F275" i="6"/>
  <c r="AB275" i="6" s="1"/>
  <c r="F249" i="6"/>
  <c r="AB249" i="6" s="1"/>
  <c r="F310" i="6"/>
  <c r="F247" i="6"/>
  <c r="AB247" i="6" s="1"/>
  <c r="F289" i="6"/>
  <c r="AB289" i="6" s="1"/>
  <c r="F239" i="6"/>
  <c r="F255" i="6"/>
  <c r="AB255" i="6" s="1"/>
  <c r="F237" i="6"/>
  <c r="F263" i="6"/>
  <c r="AB263" i="6" s="1"/>
  <c r="F214" i="6"/>
  <c r="AB214" i="6" s="1"/>
  <c r="H2072" i="1"/>
  <c r="O61" i="1" s="1"/>
  <c r="I2072" i="1"/>
  <c r="O64" i="1" s="1"/>
  <c r="P17" i="1" s="1"/>
  <c r="O83" i="1"/>
  <c r="R17" i="1"/>
  <c r="R16" i="1"/>
  <c r="D7030" i="1"/>
  <c r="J17" i="1"/>
  <c r="J16" i="1"/>
  <c r="F7030" i="1"/>
  <c r="A1216" i="1"/>
  <c r="C1215" i="1" s="1"/>
  <c r="D1215" i="1" s="1"/>
  <c r="E1215" i="1" s="1"/>
  <c r="A1220" i="1"/>
  <c r="B1220" i="1" s="1"/>
  <c r="A1218" i="1"/>
  <c r="B1218" i="1" s="1"/>
  <c r="A1217" i="1"/>
  <c r="C1216" i="1" s="1"/>
  <c r="A1219" i="1"/>
  <c r="B1219" i="1" s="1"/>
  <c r="H1262" i="1"/>
  <c r="M1239" i="1"/>
  <c r="A1242" i="1" s="1"/>
  <c r="C1241" i="1" s="1"/>
  <c r="D1237" i="1"/>
  <c r="F1237" i="1" s="1"/>
  <c r="B3505" i="1"/>
  <c r="B3506" i="1" s="1"/>
  <c r="B3511" i="1" s="1"/>
  <c r="A3527" i="1"/>
  <c r="B4505" i="1"/>
  <c r="B4522" i="1"/>
  <c r="A4542" i="1" s="1"/>
  <c r="B4526" i="1"/>
  <c r="A4536" i="1" s="1"/>
  <c r="B4524" i="1"/>
  <c r="A4544" i="1" s="1"/>
  <c r="B4527" i="1"/>
  <c r="A4547" i="1" s="1"/>
  <c r="B4521" i="1"/>
  <c r="A4541" i="1" s="1"/>
  <c r="B4525" i="1"/>
  <c r="A4535" i="1" s="1"/>
  <c r="B4523" i="1"/>
  <c r="B4532" i="1" s="1"/>
  <c r="B1215" i="1"/>
  <c r="G80" i="1"/>
  <c r="AD285" i="6" l="1"/>
  <c r="AD268" i="6"/>
  <c r="AB301" i="6"/>
  <c r="AD301" i="6" s="1"/>
  <c r="AD258" i="6"/>
  <c r="AD223" i="6"/>
  <c r="AB237" i="6"/>
  <c r="AB300" i="6"/>
  <c r="AD300" i="6" s="1"/>
  <c r="AD257" i="6"/>
  <c r="AD262" i="6"/>
  <c r="AD230" i="6"/>
  <c r="AD263" i="6"/>
  <c r="AD287" i="6"/>
  <c r="AD237" i="6"/>
  <c r="AD256" i="6"/>
  <c r="AD265" i="6"/>
  <c r="AD247" i="6"/>
  <c r="AD266" i="6"/>
  <c r="AD275" i="6"/>
  <c r="AD284" i="6"/>
  <c r="AD294" i="6"/>
  <c r="O23" i="1"/>
  <c r="AB312" i="6"/>
  <c r="AD312" i="6" s="1"/>
  <c r="Q23" i="1"/>
  <c r="AD288" i="6"/>
  <c r="AD299" i="6"/>
  <c r="AD314" i="6"/>
  <c r="AB303" i="6"/>
  <c r="AD303" i="6" s="1"/>
  <c r="AD296" i="6"/>
  <c r="AB241" i="6"/>
  <c r="AD241" i="6" s="1"/>
  <c r="AD253" i="6"/>
  <c r="AD229" i="6"/>
  <c r="AD276" i="6"/>
  <c r="AD231" i="6"/>
  <c r="Q21" i="1"/>
  <c r="AD313" i="6"/>
  <c r="AD235" i="6"/>
  <c r="AD298" i="6"/>
  <c r="AD259" i="6"/>
  <c r="AD281" i="6"/>
  <c r="AB242" i="6"/>
  <c r="AD242" i="6" s="1"/>
  <c r="AB239" i="6"/>
  <c r="AD239" i="6" s="1"/>
  <c r="AD236" i="6"/>
  <c r="AD293" i="6"/>
  <c r="AD212" i="6"/>
  <c r="AD291" i="6"/>
  <c r="AB310" i="6"/>
  <c r="AD310" i="6" s="1"/>
  <c r="AD226" i="6"/>
  <c r="AD252" i="6"/>
  <c r="AD248" i="6"/>
  <c r="AD260" i="6"/>
  <c r="AD227" i="6"/>
  <c r="AD272" i="6"/>
  <c r="AD214" i="6"/>
  <c r="AD307" i="6"/>
  <c r="AD220" i="6"/>
  <c r="AB308" i="6"/>
  <c r="AD308" i="6" s="1"/>
  <c r="AB309" i="6"/>
  <c r="AD309" i="6" s="1"/>
  <c r="AD264" i="6"/>
  <c r="AD250" i="6"/>
  <c r="AD279" i="6"/>
  <c r="AD251" i="6"/>
  <c r="AD261" i="6"/>
  <c r="AD238" i="6"/>
  <c r="AD292" i="6"/>
  <c r="AD278" i="6"/>
  <c r="AD232" i="6"/>
  <c r="AD270" i="6"/>
  <c r="AD295" i="6"/>
  <c r="AD277" i="6"/>
  <c r="AD305" i="6"/>
  <c r="AD280" i="6"/>
  <c r="AD234" i="6"/>
  <c r="AD224" i="6"/>
  <c r="AD221" i="6"/>
  <c r="AD271" i="6"/>
  <c r="AD228" i="6"/>
  <c r="AD222" i="6"/>
  <c r="AD217" i="6"/>
  <c r="AD254" i="6"/>
  <c r="AD267" i="6"/>
  <c r="AD255" i="6"/>
  <c r="AD274" i="6"/>
  <c r="AD289" i="6"/>
  <c r="AD213" i="6"/>
  <c r="AD283" i="6"/>
  <c r="AD290" i="6"/>
  <c r="AD249" i="6"/>
  <c r="AD233" i="6"/>
  <c r="AD297" i="6"/>
  <c r="AD269" i="6"/>
  <c r="AD240" i="6"/>
  <c r="AD306" i="6"/>
  <c r="AD282" i="6"/>
  <c r="AD246" i="6"/>
  <c r="AD218" i="6"/>
  <c r="AD245" i="6"/>
  <c r="AD244" i="6"/>
  <c r="AD273" i="6"/>
  <c r="AD304" i="6"/>
  <c r="AD219" i="6"/>
  <c r="AD286" i="6"/>
  <c r="AD311" i="6"/>
  <c r="AD215" i="6"/>
  <c r="AD225" i="6"/>
  <c r="R18" i="6"/>
  <c r="R40" i="6"/>
  <c r="R46" i="6"/>
  <c r="R49" i="6"/>
  <c r="R56" i="6"/>
  <c r="R84" i="6"/>
  <c r="R90" i="6"/>
  <c r="R33" i="6"/>
  <c r="R35" i="6"/>
  <c r="R9" i="6"/>
  <c r="R27" i="6"/>
  <c r="R39" i="6"/>
  <c r="R41" i="6"/>
  <c r="R78" i="6"/>
  <c r="R83" i="6"/>
  <c r="R95" i="6"/>
  <c r="R98" i="6"/>
  <c r="R107" i="6"/>
  <c r="R32" i="6"/>
  <c r="R69" i="6"/>
  <c r="R76" i="6"/>
  <c r="R17" i="6"/>
  <c r="R34" i="6"/>
  <c r="R54" i="6"/>
  <c r="R61" i="6"/>
  <c r="R79" i="6"/>
  <c r="R8" i="6"/>
  <c r="R26" i="6"/>
  <c r="R59" i="6"/>
  <c r="R60" i="6"/>
  <c r="R89" i="6"/>
  <c r="R106" i="6"/>
  <c r="R6" i="6"/>
  <c r="R7" i="6"/>
  <c r="R16" i="6"/>
  <c r="R31" i="6"/>
  <c r="R38" i="6"/>
  <c r="R45" i="6"/>
  <c r="R53" i="6"/>
  <c r="R58" i="6"/>
  <c r="R68" i="6"/>
  <c r="R29" i="6"/>
  <c r="R21" i="6"/>
  <c r="R22" i="6"/>
  <c r="R23" i="6"/>
  <c r="R30" i="6"/>
  <c r="R37" i="6"/>
  <c r="R43" i="6"/>
  <c r="R11" i="6"/>
  <c r="R13" i="6"/>
  <c r="R15" i="6"/>
  <c r="R24" i="6"/>
  <c r="R25" i="6"/>
  <c r="R28" i="6"/>
  <c r="R44" i="6"/>
  <c r="R50" i="6"/>
  <c r="R73" i="6"/>
  <c r="R85" i="6"/>
  <c r="R96" i="6"/>
  <c r="R63" i="6"/>
  <c r="R88" i="6"/>
  <c r="R20" i="6"/>
  <c r="R72" i="6"/>
  <c r="R80" i="6"/>
  <c r="R97" i="6"/>
  <c r="R57" i="6"/>
  <c r="R67" i="6"/>
  <c r="R93" i="6"/>
  <c r="R75" i="6"/>
  <c r="R14" i="6"/>
  <c r="R47" i="6"/>
  <c r="R77" i="6"/>
  <c r="R19" i="6"/>
  <c r="R52" i="6"/>
  <c r="R62" i="6"/>
  <c r="R66" i="6"/>
  <c r="R71" i="6"/>
  <c r="R86" i="6"/>
  <c r="R87" i="6"/>
  <c r="R99" i="6"/>
  <c r="R36" i="6"/>
  <c r="R42" i="6"/>
  <c r="R82" i="6"/>
  <c r="R70" i="6"/>
  <c r="R12" i="6"/>
  <c r="R48" i="6"/>
  <c r="R51" i="6"/>
  <c r="R55" i="6"/>
  <c r="R64" i="6"/>
  <c r="R74" i="6"/>
  <c r="R100" i="6"/>
  <c r="R105" i="6"/>
  <c r="R102" i="6"/>
  <c r="R10" i="6"/>
  <c r="R81" i="6"/>
  <c r="R104" i="6"/>
  <c r="R92" i="6"/>
  <c r="R101" i="6"/>
  <c r="R94" i="6"/>
  <c r="R103" i="6"/>
  <c r="R65" i="6"/>
  <c r="R108" i="6"/>
  <c r="R91" i="6"/>
  <c r="AD243" i="6"/>
  <c r="AD302" i="6"/>
  <c r="D1216" i="1"/>
  <c r="E1216" i="1" s="1"/>
  <c r="C1219" i="1"/>
  <c r="D1219" i="1" s="1"/>
  <c r="E1219" i="1" s="1"/>
  <c r="P16" i="1"/>
  <c r="O66" i="1"/>
  <c r="B1242" i="1"/>
  <c r="C1217" i="1"/>
  <c r="D1217" i="1" s="1"/>
  <c r="E1217" i="1" s="1"/>
  <c r="B1216" i="1"/>
  <c r="B1217" i="1"/>
  <c r="A1245" i="1"/>
  <c r="C1244" i="1" s="1"/>
  <c r="C1218" i="1"/>
  <c r="D1218" i="1" s="1"/>
  <c r="E1218" i="1" s="1"/>
  <c r="D1242" i="1"/>
  <c r="E1242" i="1" s="1"/>
  <c r="A1244" i="1"/>
  <c r="D1244" i="1" s="1"/>
  <c r="E1244" i="1" s="1"/>
  <c r="A1241" i="1"/>
  <c r="C1240" i="1" s="1"/>
  <c r="A1243" i="1"/>
  <c r="C1242" i="1" s="1"/>
  <c r="A1240" i="1"/>
  <c r="D1240" i="1" s="1"/>
  <c r="E1240" i="1" s="1"/>
  <c r="B3507" i="1"/>
  <c r="B2064" i="1"/>
  <c r="C2064" i="1"/>
  <c r="B3523" i="1"/>
  <c r="B3521" i="1"/>
  <c r="B3524" i="1"/>
  <c r="B3525" i="1"/>
  <c r="B3527" i="1"/>
  <c r="B3522" i="1"/>
  <c r="B3526" i="1"/>
  <c r="B4507" i="1"/>
  <c r="D4535" i="1"/>
  <c r="A4570" i="1" s="1"/>
  <c r="B4570" i="1" s="1"/>
  <c r="D4536" i="1"/>
  <c r="A4571" i="1" s="1"/>
  <c r="B4571" i="1" s="1"/>
  <c r="B4536" i="1"/>
  <c r="B4535" i="1"/>
  <c r="E4536" i="1"/>
  <c r="B4531" i="1"/>
  <c r="A4532" i="1"/>
  <c r="E4532" i="1" s="1"/>
  <c r="B4533" i="1"/>
  <c r="A4545" i="1"/>
  <c r="B4534" i="1"/>
  <c r="E4535" i="1"/>
  <c r="A4534" i="1"/>
  <c r="E4534" i="1" s="1"/>
  <c r="A4531" i="1"/>
  <c r="A4546" i="1"/>
  <c r="A4533" i="1"/>
  <c r="D4533" i="1" s="1"/>
  <c r="A4568" i="1" s="1"/>
  <c r="B4568" i="1" s="1"/>
  <c r="A4543" i="1"/>
  <c r="G83" i="1"/>
  <c r="B1245" i="1" l="1"/>
  <c r="S104" i="6"/>
  <c r="Z104" i="6"/>
  <c r="AA104" i="6"/>
  <c r="S99" i="6"/>
  <c r="AA99" i="6"/>
  <c r="Z99" i="6"/>
  <c r="AA80" i="6"/>
  <c r="Z80" i="6"/>
  <c r="S80" i="6"/>
  <c r="S43" i="6"/>
  <c r="Z43" i="6"/>
  <c r="AA43" i="6"/>
  <c r="S106" i="6"/>
  <c r="Z106" i="6" s="1"/>
  <c r="Z95" i="6"/>
  <c r="AA95" i="6"/>
  <c r="S95" i="6"/>
  <c r="S10" i="6"/>
  <c r="Z10" i="6"/>
  <c r="AA10" i="6"/>
  <c r="AA86" i="6"/>
  <c r="Z86" i="6"/>
  <c r="S86" i="6"/>
  <c r="Z20" i="6"/>
  <c r="AA20" i="6"/>
  <c r="S20" i="6"/>
  <c r="S30" i="6"/>
  <c r="Z30" i="6"/>
  <c r="AA30" i="6"/>
  <c r="S60" i="6"/>
  <c r="AA60" i="6"/>
  <c r="Z60" i="6"/>
  <c r="S78" i="6"/>
  <c r="AA78" i="6"/>
  <c r="Z78" i="6"/>
  <c r="S102" i="6"/>
  <c r="Z102" i="6"/>
  <c r="AA102" i="6"/>
  <c r="S23" i="6"/>
  <c r="Z23" i="6"/>
  <c r="AA23" i="6"/>
  <c r="Z105" i="6"/>
  <c r="S105" i="6"/>
  <c r="AA105" i="6"/>
  <c r="Z66" i="6"/>
  <c r="AA66" i="6"/>
  <c r="S66" i="6"/>
  <c r="Z22" i="6"/>
  <c r="S22" i="6"/>
  <c r="AA22" i="6"/>
  <c r="S26" i="6"/>
  <c r="AA26" i="6"/>
  <c r="Z26" i="6"/>
  <c r="Z39" i="6"/>
  <c r="S39" i="6"/>
  <c r="AA39" i="6"/>
  <c r="S100" i="6"/>
  <c r="AA100" i="6" s="1"/>
  <c r="S62" i="6"/>
  <c r="AA62" i="6"/>
  <c r="Z62" i="6"/>
  <c r="S96" i="6"/>
  <c r="AA96" i="6" s="1"/>
  <c r="Z21" i="6"/>
  <c r="AA21" i="6"/>
  <c r="S21" i="6"/>
  <c r="AA8" i="6"/>
  <c r="Z8" i="6"/>
  <c r="S8" i="6"/>
  <c r="AA27" i="6"/>
  <c r="Z27" i="6"/>
  <c r="S27" i="6"/>
  <c r="S74" i="6"/>
  <c r="Z74" i="6"/>
  <c r="AA74" i="6"/>
  <c r="Z52" i="6"/>
  <c r="AA52" i="6"/>
  <c r="S52" i="6"/>
  <c r="AA85" i="6"/>
  <c r="Z85" i="6"/>
  <c r="S85" i="6"/>
  <c r="AA29" i="6"/>
  <c r="Z29" i="6"/>
  <c r="S29" i="6"/>
  <c r="Z79" i="6"/>
  <c r="S79" i="6"/>
  <c r="AA79" i="6"/>
  <c r="S9" i="6"/>
  <c r="AA9" i="6"/>
  <c r="Z9" i="6"/>
  <c r="S87" i="6"/>
  <c r="Z87" i="6"/>
  <c r="AA87" i="6"/>
  <c r="AA72" i="6"/>
  <c r="S72" i="6"/>
  <c r="Z72" i="6"/>
  <c r="AA88" i="6"/>
  <c r="Z88" i="6"/>
  <c r="S88" i="6"/>
  <c r="S64" i="6"/>
  <c r="AA64" i="6"/>
  <c r="Z64" i="6"/>
  <c r="S19" i="6"/>
  <c r="AA19" i="6"/>
  <c r="Z19" i="6"/>
  <c r="S73" i="6"/>
  <c r="Z73" i="6"/>
  <c r="AA73" i="6"/>
  <c r="AA68" i="6"/>
  <c r="Z68" i="6"/>
  <c r="S68" i="6"/>
  <c r="S61" i="6"/>
  <c r="Z61" i="6"/>
  <c r="AA61" i="6"/>
  <c r="AA35" i="6"/>
  <c r="Z35" i="6"/>
  <c r="S35" i="6"/>
  <c r="S81" i="6"/>
  <c r="Z81" i="6"/>
  <c r="AA81" i="6"/>
  <c r="S55" i="6"/>
  <c r="AA55" i="6"/>
  <c r="Z55" i="6"/>
  <c r="Z77" i="6"/>
  <c r="AA77" i="6"/>
  <c r="S77" i="6"/>
  <c r="AA50" i="6"/>
  <c r="Z50" i="6"/>
  <c r="S50" i="6"/>
  <c r="S58" i="6"/>
  <c r="AA58" i="6"/>
  <c r="Z58" i="6"/>
  <c r="Z54" i="6"/>
  <c r="AA54" i="6"/>
  <c r="S54" i="6"/>
  <c r="S33" i="6"/>
  <c r="Z33" i="6" s="1"/>
  <c r="AA33" i="6"/>
  <c r="S89" i="6"/>
  <c r="AA89" i="6"/>
  <c r="Z89" i="6"/>
  <c r="S91" i="6"/>
  <c r="AA91" i="6"/>
  <c r="Z91" i="6"/>
  <c r="S51" i="6"/>
  <c r="Z51" i="6"/>
  <c r="AA51" i="6"/>
  <c r="S47" i="6"/>
  <c r="Z47" i="6"/>
  <c r="AA47" i="6"/>
  <c r="Z44" i="6"/>
  <c r="S44" i="6"/>
  <c r="AA44" i="6"/>
  <c r="S53" i="6"/>
  <c r="Z53" i="6"/>
  <c r="AA53" i="6"/>
  <c r="S34" i="6"/>
  <c r="Z34" i="6" s="1"/>
  <c r="S90" i="6"/>
  <c r="AA90" i="6" s="1"/>
  <c r="AA37" i="6"/>
  <c r="Z37" i="6"/>
  <c r="S37" i="6"/>
  <c r="Z108" i="6"/>
  <c r="S108" i="6"/>
  <c r="AA108" i="6"/>
  <c r="S48" i="6"/>
  <c r="AA48" i="6"/>
  <c r="Z48" i="6"/>
  <c r="Z14" i="6"/>
  <c r="S14" i="6"/>
  <c r="AA14" i="6"/>
  <c r="S28" i="6"/>
  <c r="AA28" i="6"/>
  <c r="Z28" i="6"/>
  <c r="S45" i="6"/>
  <c r="Z45" i="6"/>
  <c r="AA45" i="6"/>
  <c r="S17" i="6"/>
  <c r="AA17" i="6"/>
  <c r="Z17" i="6"/>
  <c r="S84" i="6"/>
  <c r="AA84" i="6"/>
  <c r="Z84" i="6"/>
  <c r="AA71" i="6"/>
  <c r="Z71" i="6"/>
  <c r="S71" i="6"/>
  <c r="S59" i="6"/>
  <c r="Z59" i="6"/>
  <c r="AA59" i="6"/>
  <c r="S63" i="6"/>
  <c r="Z63" i="6"/>
  <c r="AA63" i="6"/>
  <c r="S65" i="6"/>
  <c r="AA65" i="6"/>
  <c r="Z65" i="6"/>
  <c r="Z12" i="6"/>
  <c r="AA12" i="6"/>
  <c r="S12" i="6"/>
  <c r="S75" i="6"/>
  <c r="AA75" i="6"/>
  <c r="Z75" i="6"/>
  <c r="Z25" i="6"/>
  <c r="AA25" i="6"/>
  <c r="S25" i="6"/>
  <c r="AA38" i="6"/>
  <c r="S38" i="6"/>
  <c r="Z38" i="6"/>
  <c r="Z76" i="6"/>
  <c r="S76" i="6"/>
  <c r="AA76" i="6"/>
  <c r="AA56" i="6"/>
  <c r="S56" i="6"/>
  <c r="Z56" i="6"/>
  <c r="S103" i="6"/>
  <c r="Z103" i="6" s="1"/>
  <c r="AA70" i="6"/>
  <c r="S70" i="6"/>
  <c r="Z70" i="6"/>
  <c r="S93" i="6"/>
  <c r="AA93" i="6"/>
  <c r="Z93" i="6"/>
  <c r="AA24" i="6"/>
  <c r="S24" i="6"/>
  <c r="Z24" i="6"/>
  <c r="Z31" i="6"/>
  <c r="AA31" i="6"/>
  <c r="S31" i="6"/>
  <c r="S69" i="6"/>
  <c r="Z69" i="6"/>
  <c r="AA69" i="6"/>
  <c r="S49" i="6"/>
  <c r="Z49" i="6"/>
  <c r="AA49" i="6"/>
  <c r="AA94" i="6"/>
  <c r="S94" i="6"/>
  <c r="Z94" i="6"/>
  <c r="Z82" i="6"/>
  <c r="S82" i="6"/>
  <c r="AA82" i="6"/>
  <c r="AA67" i="6"/>
  <c r="Z67" i="6"/>
  <c r="S67" i="6"/>
  <c r="S15" i="6"/>
  <c r="AA15" i="6"/>
  <c r="Z15" i="6"/>
  <c r="Z16" i="6"/>
  <c r="AA16" i="6"/>
  <c r="S16" i="6"/>
  <c r="S32" i="6"/>
  <c r="AA32" i="6" s="1"/>
  <c r="S46" i="6"/>
  <c r="Z46" i="6"/>
  <c r="AA46" i="6"/>
  <c r="Z83" i="6"/>
  <c r="S83" i="6"/>
  <c r="AA83" i="6"/>
  <c r="E2064" i="1"/>
  <c r="E2072" i="1" s="1"/>
  <c r="D7048" i="1" s="1"/>
  <c r="K61" i="1" s="1"/>
  <c r="R119" i="6"/>
  <c r="R128" i="6"/>
  <c r="R123" i="6"/>
  <c r="R132" i="6"/>
  <c r="R133" i="6"/>
  <c r="R109" i="6"/>
  <c r="R118" i="6"/>
  <c r="R136" i="6"/>
  <c r="R191" i="6"/>
  <c r="R122" i="6"/>
  <c r="R138" i="6"/>
  <c r="R187" i="6"/>
  <c r="R195" i="6"/>
  <c r="R141" i="6"/>
  <c r="R155" i="6"/>
  <c r="R175" i="6"/>
  <c r="R116" i="6"/>
  <c r="R127" i="6"/>
  <c r="R144" i="6"/>
  <c r="R145" i="6"/>
  <c r="R172" i="6"/>
  <c r="R110" i="6"/>
  <c r="R143" i="6"/>
  <c r="R157" i="6"/>
  <c r="R158" i="6"/>
  <c r="R190" i="6"/>
  <c r="R115" i="6"/>
  <c r="R121" i="6"/>
  <c r="R113" i="6"/>
  <c r="R124" i="6"/>
  <c r="R134" i="6"/>
  <c r="R147" i="6"/>
  <c r="R171" i="6"/>
  <c r="R117" i="6"/>
  <c r="R131" i="6"/>
  <c r="R160" i="6"/>
  <c r="R120" i="6"/>
  <c r="R150" i="6"/>
  <c r="R181" i="6"/>
  <c r="R156" i="6"/>
  <c r="R161" i="6"/>
  <c r="R163" i="6"/>
  <c r="R173" i="6"/>
  <c r="R189" i="6"/>
  <c r="R206" i="6"/>
  <c r="R149" i="6"/>
  <c r="R152" i="6"/>
  <c r="R154" i="6"/>
  <c r="R165" i="6"/>
  <c r="R202" i="6"/>
  <c r="R125" i="6"/>
  <c r="R146" i="6"/>
  <c r="R192" i="6"/>
  <c r="R183" i="6"/>
  <c r="R185" i="6"/>
  <c r="R178" i="6"/>
  <c r="R180" i="6"/>
  <c r="R112" i="6"/>
  <c r="R129" i="6"/>
  <c r="R139" i="6"/>
  <c r="R111" i="6"/>
  <c r="R153" i="6"/>
  <c r="R142" i="6"/>
  <c r="R170" i="6"/>
  <c r="R151" i="6"/>
  <c r="R205" i="6"/>
  <c r="R130" i="6"/>
  <c r="R211" i="6"/>
  <c r="R200" i="6"/>
  <c r="R135" i="6"/>
  <c r="R194" i="6"/>
  <c r="R207" i="6"/>
  <c r="R169" i="6"/>
  <c r="R197" i="6"/>
  <c r="R166" i="6"/>
  <c r="R204" i="6"/>
  <c r="R164" i="6"/>
  <c r="R177" i="6"/>
  <c r="R126" i="6"/>
  <c r="R179" i="6"/>
  <c r="R196" i="6"/>
  <c r="R199" i="6"/>
  <c r="R210" i="6"/>
  <c r="R186" i="6"/>
  <c r="R182" i="6"/>
  <c r="R198" i="6"/>
  <c r="R114" i="6"/>
  <c r="R167" i="6"/>
  <c r="R201" i="6"/>
  <c r="R140" i="6"/>
  <c r="R137" i="6"/>
  <c r="R159" i="6"/>
  <c r="R162" i="6"/>
  <c r="R176" i="6"/>
  <c r="R184" i="6"/>
  <c r="R193" i="6"/>
  <c r="R209" i="6"/>
  <c r="R174" i="6"/>
  <c r="R148" i="6"/>
  <c r="R168" i="6"/>
  <c r="R203" i="6"/>
  <c r="R188" i="6"/>
  <c r="R208" i="6"/>
  <c r="AA101" i="6"/>
  <c r="S101" i="6"/>
  <c r="Z101" i="6"/>
  <c r="S42" i="6"/>
  <c r="AA42" i="6"/>
  <c r="Z42" i="6"/>
  <c r="Z57" i="6"/>
  <c r="AA57" i="6"/>
  <c r="S57" i="6"/>
  <c r="AA13" i="6"/>
  <c r="S13" i="6"/>
  <c r="Z13" i="6"/>
  <c r="AA7" i="6"/>
  <c r="Z7" i="6"/>
  <c r="S7" i="6"/>
  <c r="S107" i="6"/>
  <c r="AA107" i="6" s="1"/>
  <c r="S40" i="6"/>
  <c r="AA40" i="6"/>
  <c r="Z40" i="6"/>
  <c r="S41" i="6"/>
  <c r="Z41" i="6"/>
  <c r="AA41" i="6"/>
  <c r="S92" i="6"/>
  <c r="Z92" i="6"/>
  <c r="AA92" i="6"/>
  <c r="S36" i="6"/>
  <c r="AA36" i="6" s="1"/>
  <c r="S97" i="6"/>
  <c r="AA97" i="6" s="1"/>
  <c r="Z97" i="6"/>
  <c r="S11" i="6"/>
  <c r="AA11" i="6"/>
  <c r="Z11" i="6"/>
  <c r="Z6" i="6"/>
  <c r="AA6" i="6"/>
  <c r="S6" i="6"/>
  <c r="S98" i="6"/>
  <c r="Z98" i="6"/>
  <c r="AA98" i="6"/>
  <c r="Z18" i="6"/>
  <c r="S18" i="6"/>
  <c r="AA18" i="6"/>
  <c r="H1212" i="1"/>
  <c r="B1244" i="1"/>
  <c r="C1243" i="1"/>
  <c r="C2065" i="1"/>
  <c r="C2072" i="1" s="1"/>
  <c r="B2065" i="1"/>
  <c r="B2072" i="1" s="1"/>
  <c r="B1241" i="1"/>
  <c r="D1241" i="1"/>
  <c r="E1241" i="1" s="1"/>
  <c r="B1240" i="1"/>
  <c r="D1243" i="1"/>
  <c r="E1243" i="1" s="1"/>
  <c r="B1243" i="1"/>
  <c r="G4536" i="1"/>
  <c r="A4559" i="1" s="1"/>
  <c r="A3532" i="1"/>
  <c r="A3542" i="1"/>
  <c r="B3531" i="1"/>
  <c r="B3536" i="1"/>
  <c r="A3547" i="1"/>
  <c r="G4535" i="1"/>
  <c r="A4557" i="1" s="1"/>
  <c r="A3545" i="1"/>
  <c r="A3535" i="1"/>
  <c r="B3534" i="1"/>
  <c r="F2064" i="1"/>
  <c r="A3534" i="1"/>
  <c r="B3533" i="1"/>
  <c r="A3544" i="1"/>
  <c r="A3541" i="1"/>
  <c r="A3531" i="1"/>
  <c r="F4536" i="1"/>
  <c r="A4558" i="1" s="1"/>
  <c r="A3543" i="1"/>
  <c r="B3532" i="1"/>
  <c r="A3533" i="1"/>
  <c r="A3546" i="1"/>
  <c r="A3536" i="1"/>
  <c r="B3535" i="1"/>
  <c r="F7011" i="1"/>
  <c r="F7012" i="1"/>
  <c r="F7009" i="1"/>
  <c r="F7008" i="1"/>
  <c r="F4535" i="1"/>
  <c r="A4556" i="1" s="1"/>
  <c r="D4532" i="1"/>
  <c r="A4567" i="1" s="1"/>
  <c r="B4567" i="1" s="1"/>
  <c r="E4533" i="1"/>
  <c r="G4533" i="1" s="1"/>
  <c r="A4553" i="1" s="1"/>
  <c r="D4534" i="1"/>
  <c r="G4534" i="1" s="1"/>
  <c r="A4555" i="1" s="1"/>
  <c r="D4531" i="1"/>
  <c r="E4531" i="1"/>
  <c r="Z32" i="6" l="1"/>
  <c r="AA34" i="6"/>
  <c r="Z96" i="6"/>
  <c r="AA103" i="6"/>
  <c r="Z100" i="6"/>
  <c r="Z90" i="6"/>
  <c r="AA106" i="6"/>
  <c r="E2073" i="1"/>
  <c r="D7049" i="1" s="1"/>
  <c r="Z36" i="6"/>
  <c r="I21" i="1" s="1"/>
  <c r="D37" i="9" s="1"/>
  <c r="F7048" i="1"/>
  <c r="F7049" i="1"/>
  <c r="E2065" i="1"/>
  <c r="S208" i="6"/>
  <c r="AA208" i="6"/>
  <c r="Z208" i="6"/>
  <c r="AA114" i="6"/>
  <c r="Z114" i="6"/>
  <c r="S114" i="6"/>
  <c r="AA194" i="6"/>
  <c r="S194" i="6"/>
  <c r="Z194" i="6"/>
  <c r="S185" i="6"/>
  <c r="AA185" i="6"/>
  <c r="Z185" i="6"/>
  <c r="S181" i="6"/>
  <c r="AA181" i="6"/>
  <c r="Z181" i="6"/>
  <c r="S143" i="6"/>
  <c r="Z143" i="6"/>
  <c r="AA143" i="6"/>
  <c r="AA118" i="6"/>
  <c r="Z118" i="6"/>
  <c r="S118" i="6"/>
  <c r="AA150" i="6"/>
  <c r="S150" i="6"/>
  <c r="Z150" i="6"/>
  <c r="AA203" i="6"/>
  <c r="Z203" i="6"/>
  <c r="S203" i="6"/>
  <c r="S182" i="6"/>
  <c r="AA182" i="6"/>
  <c r="Z182" i="6"/>
  <c r="Z200" i="6"/>
  <c r="AA200" i="6"/>
  <c r="S200" i="6"/>
  <c r="AA192" i="6"/>
  <c r="S192" i="6"/>
  <c r="Z192" i="6"/>
  <c r="S120" i="6"/>
  <c r="Z120" i="6"/>
  <c r="AA120" i="6"/>
  <c r="AA172" i="6"/>
  <c r="S172" i="6"/>
  <c r="Z172" i="6"/>
  <c r="AA133" i="6"/>
  <c r="S133" i="6"/>
  <c r="Z133" i="6"/>
  <c r="S145" i="6"/>
  <c r="AA145" i="6"/>
  <c r="Z145" i="6"/>
  <c r="Z148" i="6"/>
  <c r="AA148" i="6"/>
  <c r="S148" i="6"/>
  <c r="S210" i="6"/>
  <c r="Z210" i="6" s="1"/>
  <c r="Z130" i="6"/>
  <c r="S130" i="6"/>
  <c r="AA130" i="6"/>
  <c r="S125" i="6"/>
  <c r="Z125" i="6"/>
  <c r="AA125" i="6"/>
  <c r="S131" i="6"/>
  <c r="Z131" i="6"/>
  <c r="AA131" i="6"/>
  <c r="S144" i="6"/>
  <c r="Z144" i="6"/>
  <c r="AA144" i="6"/>
  <c r="Z123" i="6"/>
  <c r="S123" i="6"/>
  <c r="AA123" i="6"/>
  <c r="AA186" i="6"/>
  <c r="Z186" i="6"/>
  <c r="S186" i="6"/>
  <c r="S132" i="6"/>
  <c r="AA132" i="6"/>
  <c r="Z132" i="6"/>
  <c r="Z174" i="6"/>
  <c r="S174" i="6"/>
  <c r="AA174" i="6"/>
  <c r="S199" i="6"/>
  <c r="Z199" i="6"/>
  <c r="AA199" i="6"/>
  <c r="AA205" i="6"/>
  <c r="S205" i="6"/>
  <c r="Z205" i="6"/>
  <c r="S202" i="6"/>
  <c r="AA202" i="6"/>
  <c r="Z202" i="6"/>
  <c r="AA117" i="6"/>
  <c r="S117" i="6"/>
  <c r="Z117" i="6"/>
  <c r="AA127" i="6"/>
  <c r="Z127" i="6"/>
  <c r="S127" i="6"/>
  <c r="AA128" i="6"/>
  <c r="Z128" i="6"/>
  <c r="S128" i="6"/>
  <c r="S198" i="6"/>
  <c r="AA198" i="6"/>
  <c r="Z198" i="6"/>
  <c r="S209" i="6"/>
  <c r="Z209" i="6" s="1"/>
  <c r="Z196" i="6"/>
  <c r="S196" i="6"/>
  <c r="AA196" i="6"/>
  <c r="AA151" i="6"/>
  <c r="S151" i="6"/>
  <c r="Z151" i="6"/>
  <c r="S165" i="6"/>
  <c r="AA165" i="6"/>
  <c r="Z165" i="6"/>
  <c r="Z171" i="6"/>
  <c r="S171" i="6"/>
  <c r="AA171" i="6"/>
  <c r="AA116" i="6"/>
  <c r="S116" i="6"/>
  <c r="Z116" i="6"/>
  <c r="Z119" i="6"/>
  <c r="AA119" i="6"/>
  <c r="S119" i="6"/>
  <c r="S110" i="6"/>
  <c r="Z110" i="6"/>
  <c r="AA110" i="6"/>
  <c r="S160" i="6"/>
  <c r="Z160" i="6"/>
  <c r="AA160" i="6"/>
  <c r="Z193" i="6"/>
  <c r="S193" i="6"/>
  <c r="AA193" i="6"/>
  <c r="S179" i="6"/>
  <c r="AA179" i="6"/>
  <c r="Z179" i="6"/>
  <c r="Z170" i="6"/>
  <c r="S170" i="6"/>
  <c r="AA170" i="6"/>
  <c r="Z154" i="6"/>
  <c r="AA154" i="6"/>
  <c r="S154" i="6"/>
  <c r="S147" i="6"/>
  <c r="AA147" i="6"/>
  <c r="Z147" i="6"/>
  <c r="S175" i="6"/>
  <c r="Z175" i="6"/>
  <c r="AA175" i="6"/>
  <c r="Z183" i="6"/>
  <c r="S183" i="6"/>
  <c r="AA183" i="6"/>
  <c r="Z146" i="6"/>
  <c r="S146" i="6"/>
  <c r="AA146" i="6"/>
  <c r="S184" i="6"/>
  <c r="AA184" i="6"/>
  <c r="Z184" i="6"/>
  <c r="S126" i="6"/>
  <c r="AA126" i="6"/>
  <c r="Z126" i="6"/>
  <c r="S142" i="6"/>
  <c r="AA142" i="6"/>
  <c r="Z142" i="6"/>
  <c r="S152" i="6"/>
  <c r="Z152" i="6"/>
  <c r="AA152" i="6"/>
  <c r="AA134" i="6"/>
  <c r="Z134" i="6"/>
  <c r="S134" i="6"/>
  <c r="Z155" i="6"/>
  <c r="AA155" i="6"/>
  <c r="S155" i="6"/>
  <c r="S188" i="6"/>
  <c r="Z188" i="6"/>
  <c r="AA188" i="6"/>
  <c r="AA176" i="6"/>
  <c r="S176" i="6"/>
  <c r="Z176" i="6"/>
  <c r="S177" i="6"/>
  <c r="Z177" i="6"/>
  <c r="AA177" i="6"/>
  <c r="AA153" i="6"/>
  <c r="Z153" i="6"/>
  <c r="S153" i="6"/>
  <c r="AA149" i="6"/>
  <c r="Z149" i="6"/>
  <c r="S149" i="6"/>
  <c r="AA124" i="6"/>
  <c r="S124" i="6"/>
  <c r="Z124" i="6"/>
  <c r="AA141" i="6"/>
  <c r="Z141" i="6"/>
  <c r="S141" i="6"/>
  <c r="S211" i="6"/>
  <c r="AA211" i="6"/>
  <c r="Z211" i="6"/>
  <c r="Z111" i="6"/>
  <c r="AA111" i="6"/>
  <c r="S111" i="6"/>
  <c r="Z206" i="6"/>
  <c r="S206" i="6"/>
  <c r="AA206" i="6"/>
  <c r="S113" i="6"/>
  <c r="Z113" i="6"/>
  <c r="AA113" i="6"/>
  <c r="S195" i="6"/>
  <c r="Z195" i="6"/>
  <c r="AA195" i="6"/>
  <c r="Z135" i="6"/>
  <c r="S135" i="6"/>
  <c r="AA135" i="6"/>
  <c r="AA164" i="6"/>
  <c r="S164" i="6"/>
  <c r="Z164" i="6"/>
  <c r="Z159" i="6"/>
  <c r="S159" i="6"/>
  <c r="AA159" i="6"/>
  <c r="S204" i="6"/>
  <c r="Z204" i="6"/>
  <c r="AA204" i="6"/>
  <c r="S139" i="6"/>
  <c r="Z139" i="6" s="1"/>
  <c r="S189" i="6"/>
  <c r="Z189" i="6"/>
  <c r="AA189" i="6"/>
  <c r="Z121" i="6"/>
  <c r="S121" i="6"/>
  <c r="AA121" i="6"/>
  <c r="S187" i="6"/>
  <c r="AA187" i="6"/>
  <c r="Z187" i="6"/>
  <c r="Z109" i="6"/>
  <c r="S109" i="6"/>
  <c r="AA109" i="6"/>
  <c r="S162" i="6"/>
  <c r="Z162" i="6"/>
  <c r="AA162" i="6"/>
  <c r="S137" i="6"/>
  <c r="Z137" i="6"/>
  <c r="AA137" i="6"/>
  <c r="Z166" i="6"/>
  <c r="AA166" i="6"/>
  <c r="S166" i="6"/>
  <c r="Z129" i="6"/>
  <c r="AA129" i="6"/>
  <c r="S129" i="6"/>
  <c r="S173" i="6"/>
  <c r="AA173" i="6"/>
  <c r="Z173" i="6"/>
  <c r="S115" i="6"/>
  <c r="AA115" i="6"/>
  <c r="Z115" i="6"/>
  <c r="AA138" i="6"/>
  <c r="Z138" i="6"/>
  <c r="S138" i="6"/>
  <c r="AA140" i="6"/>
  <c r="Z140" i="6"/>
  <c r="S140" i="6"/>
  <c r="AA197" i="6"/>
  <c r="S197" i="6"/>
  <c r="Z197" i="6"/>
  <c r="AA112" i="6"/>
  <c r="S112" i="6"/>
  <c r="Z112" i="6"/>
  <c r="S163" i="6"/>
  <c r="Z163" i="6"/>
  <c r="AA163" i="6"/>
  <c r="AA190" i="6"/>
  <c r="Z190" i="6"/>
  <c r="S190" i="6"/>
  <c r="AA122" i="6"/>
  <c r="Z122" i="6"/>
  <c r="S122" i="6"/>
  <c r="S168" i="6"/>
  <c r="Z168" i="6"/>
  <c r="AA168" i="6"/>
  <c r="Z107" i="6"/>
  <c r="Z201" i="6"/>
  <c r="S201" i="6"/>
  <c r="AA201" i="6"/>
  <c r="Z169" i="6"/>
  <c r="S169" i="6"/>
  <c r="AA169" i="6"/>
  <c r="S180" i="6"/>
  <c r="AA180" i="6"/>
  <c r="Z180" i="6"/>
  <c r="S161" i="6"/>
  <c r="AA161" i="6"/>
  <c r="Z161" i="6"/>
  <c r="AA158" i="6"/>
  <c r="S158" i="6"/>
  <c r="Z158" i="6"/>
  <c r="AA191" i="6"/>
  <c r="Z191" i="6"/>
  <c r="S191" i="6"/>
  <c r="AA167" i="6"/>
  <c r="Z167" i="6"/>
  <c r="S167" i="6"/>
  <c r="S207" i="6"/>
  <c r="AA207" i="6"/>
  <c r="Z207" i="6"/>
  <c r="Z178" i="6"/>
  <c r="S178" i="6"/>
  <c r="AA178" i="6"/>
  <c r="S156" i="6"/>
  <c r="AA156" i="6"/>
  <c r="Z156" i="6"/>
  <c r="Z157" i="6"/>
  <c r="S157" i="6"/>
  <c r="AA157" i="6"/>
  <c r="S136" i="6"/>
  <c r="Z136" i="6"/>
  <c r="AA136" i="6"/>
  <c r="C2073" i="1"/>
  <c r="B2073" i="1"/>
  <c r="D7009" i="1" s="1"/>
  <c r="F7051" i="1"/>
  <c r="F2073" i="1"/>
  <c r="D7052" i="1" s="1"/>
  <c r="F2072" i="1"/>
  <c r="D7051" i="1" s="1"/>
  <c r="K64" i="1" s="1"/>
  <c r="F7052" i="1"/>
  <c r="F2065" i="1"/>
  <c r="H1237" i="1"/>
  <c r="A4569" i="1"/>
  <c r="B4569" i="1" s="1"/>
  <c r="D7008" i="1"/>
  <c r="D3531" i="1"/>
  <c r="E3531" i="1"/>
  <c r="D7011" i="1"/>
  <c r="E3535" i="1"/>
  <c r="D3535" i="1"/>
  <c r="E3536" i="1"/>
  <c r="D3536" i="1"/>
  <c r="D3533" i="1"/>
  <c r="E3533" i="1"/>
  <c r="D3534" i="1"/>
  <c r="E3534" i="1"/>
  <c r="D3532" i="1"/>
  <c r="E3532" i="1"/>
  <c r="F4534" i="1"/>
  <c r="A4554" i="1" s="1"/>
  <c r="F4533" i="1"/>
  <c r="A4552" i="1" s="1"/>
  <c r="G4532" i="1"/>
  <c r="A4551" i="1" s="1"/>
  <c r="F4532" i="1"/>
  <c r="A4550" i="1" s="1"/>
  <c r="G4531" i="1"/>
  <c r="A4549" i="1" s="1"/>
  <c r="A4566" i="1"/>
  <c r="B4566" i="1" s="1"/>
  <c r="F4531" i="1"/>
  <c r="A4548" i="1" s="1"/>
  <c r="AA209" i="6" l="1"/>
  <c r="AA139" i="6"/>
  <c r="AA210" i="6"/>
  <c r="I22" i="1"/>
  <c r="D83" i="9" s="1"/>
  <c r="G64" i="1"/>
  <c r="G61" i="1"/>
  <c r="F3532" i="1"/>
  <c r="A3550" i="1" s="1"/>
  <c r="A3567" i="1"/>
  <c r="B3567" i="1" s="1"/>
  <c r="G3532" i="1"/>
  <c r="A3551" i="1" s="1"/>
  <c r="F3536" i="1"/>
  <c r="A3558" i="1" s="1"/>
  <c r="G3536" i="1"/>
  <c r="A3559" i="1" s="1"/>
  <c r="A3571" i="1"/>
  <c r="B3571" i="1" s="1"/>
  <c r="A3569" i="1"/>
  <c r="B3569" i="1" s="1"/>
  <c r="F3534" i="1"/>
  <c r="A3554" i="1" s="1"/>
  <c r="G3534" i="1"/>
  <c r="A3555" i="1" s="1"/>
  <c r="A3570" i="1"/>
  <c r="B3570" i="1" s="1"/>
  <c r="F3535" i="1"/>
  <c r="A3556" i="1" s="1"/>
  <c r="G3535" i="1"/>
  <c r="A3557" i="1" s="1"/>
  <c r="D7012" i="1"/>
  <c r="G3533" i="1"/>
  <c r="A3553" i="1" s="1"/>
  <c r="F3533" i="1"/>
  <c r="A3552" i="1" s="1"/>
  <c r="A3568" i="1"/>
  <c r="B3568" i="1" s="1"/>
  <c r="F3531" i="1"/>
  <c r="A3548" i="1" s="1"/>
  <c r="G3531" i="1"/>
  <c r="A3549" i="1" s="1"/>
  <c r="A3566" i="1"/>
  <c r="B3566" i="1" s="1"/>
  <c r="B4555" i="1"/>
  <c r="B4554" i="1"/>
  <c r="B4546" i="1"/>
  <c r="B4541" i="1"/>
  <c r="B4556" i="1"/>
  <c r="B4547" i="1"/>
  <c r="B4550" i="1"/>
  <c r="B4549" i="1"/>
  <c r="B4548" i="1"/>
  <c r="B4552" i="1"/>
  <c r="B4544" i="1"/>
  <c r="B4553" i="1"/>
  <c r="B4557" i="1"/>
  <c r="B4559" i="1"/>
  <c r="B4558" i="1"/>
  <c r="B4542" i="1"/>
  <c r="B4543" i="1"/>
  <c r="B4545" i="1"/>
  <c r="B4551" i="1"/>
  <c r="B3548" i="1" l="1"/>
  <c r="B3551" i="1"/>
  <c r="B3544" i="1"/>
  <c r="B3546" i="1"/>
  <c r="B3556" i="1"/>
  <c r="B3555" i="1"/>
  <c r="B3559" i="1"/>
  <c r="B3558" i="1"/>
  <c r="B3541" i="1"/>
  <c r="B3542" i="1"/>
  <c r="B3547" i="1"/>
  <c r="B3554" i="1"/>
  <c r="B3543" i="1"/>
  <c r="B3549" i="1"/>
  <c r="B3550" i="1"/>
  <c r="B3545" i="1"/>
  <c r="B3557" i="1"/>
  <c r="B3552" i="1"/>
  <c r="B3553" i="1"/>
  <c r="B5107" i="1"/>
  <c r="D4552" i="1"/>
  <c r="F4552" i="1"/>
  <c r="A5107" i="1"/>
  <c r="F4548" i="1"/>
  <c r="B4923" i="1"/>
  <c r="D4548" i="1"/>
  <c r="A4923" i="1"/>
  <c r="F4549" i="1"/>
  <c r="B4969" i="1"/>
  <c r="D4549" i="1"/>
  <c r="A4969" i="1"/>
  <c r="B4877" i="1"/>
  <c r="D4547" i="1"/>
  <c r="F4547" i="1"/>
  <c r="A4877" i="1"/>
  <c r="F4550" i="1"/>
  <c r="D4550" i="1"/>
  <c r="A5015" i="1"/>
  <c r="B5015" i="1"/>
  <c r="B5291" i="1"/>
  <c r="F4556" i="1"/>
  <c r="D4556" i="1"/>
  <c r="A5291" i="1"/>
  <c r="B5383" i="1"/>
  <c r="D4558" i="1"/>
  <c r="A5383" i="1"/>
  <c r="F4558" i="1"/>
  <c r="A5337" i="1"/>
  <c r="F4557" i="1"/>
  <c r="B5337" i="1"/>
  <c r="D4557" i="1"/>
  <c r="F4544" i="1"/>
  <c r="D4544" i="1"/>
  <c r="A4739" i="1"/>
  <c r="B4739" i="1"/>
  <c r="D4541" i="1"/>
  <c r="B4601" i="1"/>
  <c r="A4601" i="1"/>
  <c r="F4541" i="1"/>
  <c r="D4553" i="1"/>
  <c r="B5153" i="1"/>
  <c r="F4553" i="1"/>
  <c r="A5153" i="1"/>
  <c r="B5061" i="1"/>
  <c r="F4551" i="1"/>
  <c r="D4551" i="1"/>
  <c r="A5061" i="1"/>
  <c r="F4546" i="1"/>
  <c r="B4831" i="1"/>
  <c r="D4546" i="1"/>
  <c r="A4831" i="1"/>
  <c r="B4647" i="1"/>
  <c r="A4647" i="1"/>
  <c r="D4542" i="1"/>
  <c r="F4542" i="1"/>
  <c r="D4559" i="1"/>
  <c r="F4559" i="1"/>
  <c r="F4545" i="1"/>
  <c r="A4785" i="1"/>
  <c r="D4545" i="1"/>
  <c r="B4785" i="1"/>
  <c r="F4554" i="1"/>
  <c r="D4554" i="1"/>
  <c r="B5199" i="1"/>
  <c r="A5199" i="1"/>
  <c r="D4543" i="1"/>
  <c r="B4693" i="1"/>
  <c r="F4543" i="1"/>
  <c r="A4693" i="1"/>
  <c r="D4693" i="1" s="1"/>
  <c r="F4555" i="1"/>
  <c r="B5245" i="1"/>
  <c r="A5245" i="1"/>
  <c r="D4555" i="1"/>
  <c r="A3785" i="1" l="1"/>
  <c r="D3545" i="1"/>
  <c r="B3785" i="1"/>
  <c r="F3545" i="1"/>
  <c r="B4015" i="1"/>
  <c r="A4015" i="1"/>
  <c r="F3550" i="1"/>
  <c r="D3550" i="1"/>
  <c r="A3969" i="1"/>
  <c r="D3549" i="1"/>
  <c r="F3549" i="1"/>
  <c r="B3969" i="1"/>
  <c r="D3543" i="1"/>
  <c r="F3543" i="1"/>
  <c r="B3693" i="1"/>
  <c r="A3693" i="1"/>
  <c r="B4199" i="1"/>
  <c r="D3554" i="1"/>
  <c r="A4199" i="1"/>
  <c r="F3554" i="1"/>
  <c r="B3877" i="1"/>
  <c r="A3877" i="1"/>
  <c r="D3547" i="1"/>
  <c r="F3547" i="1"/>
  <c r="A3647" i="1"/>
  <c r="D3542" i="1"/>
  <c r="B3647" i="1"/>
  <c r="F3542" i="1"/>
  <c r="A3601" i="1"/>
  <c r="F3541" i="1"/>
  <c r="B3601" i="1"/>
  <c r="D3541" i="1"/>
  <c r="F3558" i="1"/>
  <c r="B4383" i="1"/>
  <c r="D3558" i="1"/>
  <c r="A4383" i="1"/>
  <c r="F3559" i="1"/>
  <c r="D3559" i="1"/>
  <c r="D3555" i="1"/>
  <c r="A4245" i="1"/>
  <c r="B4245" i="1"/>
  <c r="F3555" i="1"/>
  <c r="D3556" i="1"/>
  <c r="B4291" i="1"/>
  <c r="F3556" i="1"/>
  <c r="A4291" i="1"/>
  <c r="B3831" i="1"/>
  <c r="A3831" i="1"/>
  <c r="D3546" i="1"/>
  <c r="F3546" i="1"/>
  <c r="B4153" i="1"/>
  <c r="D3553" i="1"/>
  <c r="A4153" i="1"/>
  <c r="F3553" i="1"/>
  <c r="F3544" i="1"/>
  <c r="D3544" i="1"/>
  <c r="A3739" i="1"/>
  <c r="B3739" i="1"/>
  <c r="B4107" i="1"/>
  <c r="D3552" i="1"/>
  <c r="F3552" i="1"/>
  <c r="A4107" i="1"/>
  <c r="A4061" i="1"/>
  <c r="D3551" i="1"/>
  <c r="F3551" i="1"/>
  <c r="B4061" i="1"/>
  <c r="A4337" i="1"/>
  <c r="D3557" i="1"/>
  <c r="F3557" i="1"/>
  <c r="B4337" i="1"/>
  <c r="A3923" i="1"/>
  <c r="B3923" i="1"/>
  <c r="F3548" i="1"/>
  <c r="D3548" i="1"/>
  <c r="C4693" i="1"/>
  <c r="E4693" i="1" s="1"/>
  <c r="B4694" i="1" s="1"/>
  <c r="D5061" i="1"/>
  <c r="C5061" i="1"/>
  <c r="E5061" i="1" s="1"/>
  <c r="D5383" i="1"/>
  <c r="C5383" i="1"/>
  <c r="E5383" i="1" s="1"/>
  <c r="D5245" i="1"/>
  <c r="C5245" i="1"/>
  <c r="E5245" i="1" s="1"/>
  <c r="D5291" i="1"/>
  <c r="C5291" i="1"/>
  <c r="E5291" i="1" s="1"/>
  <c r="D4923" i="1"/>
  <c r="C4923" i="1"/>
  <c r="E4923" i="1" s="1"/>
  <c r="D5337" i="1"/>
  <c r="C5337" i="1"/>
  <c r="E5337" i="1" s="1"/>
  <c r="D5153" i="1"/>
  <c r="C5153" i="1"/>
  <c r="E5153" i="1" s="1"/>
  <c r="D4647" i="1"/>
  <c r="C4647" i="1"/>
  <c r="E4647" i="1" s="1"/>
  <c r="D4785" i="1"/>
  <c r="C4785" i="1"/>
  <c r="E4785" i="1" s="1"/>
  <c r="D4601" i="1"/>
  <c r="C4601" i="1"/>
  <c r="E4601" i="1" s="1"/>
  <c r="D4831" i="1"/>
  <c r="C4831" i="1"/>
  <c r="E4831" i="1" s="1"/>
  <c r="D5107" i="1"/>
  <c r="C5107" i="1"/>
  <c r="E5107" i="1" s="1"/>
  <c r="D4969" i="1"/>
  <c r="C4969" i="1"/>
  <c r="E4969" i="1" s="1"/>
  <c r="D4739" i="1"/>
  <c r="C4739" i="1"/>
  <c r="E4739" i="1" s="1"/>
  <c r="D5015" i="1"/>
  <c r="C5015" i="1"/>
  <c r="E5015" i="1" s="1"/>
  <c r="D5199" i="1"/>
  <c r="C5199" i="1"/>
  <c r="E5199" i="1" s="1"/>
  <c r="C4877" i="1"/>
  <c r="E4877" i="1" s="1"/>
  <c r="D4877" i="1"/>
  <c r="O27" i="1" l="1"/>
  <c r="C3831" i="1"/>
  <c r="E3831" i="1" s="1"/>
  <c r="D3831" i="1"/>
  <c r="C3693" i="1"/>
  <c r="E3693" i="1" s="1"/>
  <c r="D3693" i="1"/>
  <c r="C4107" i="1"/>
  <c r="E4107" i="1" s="1"/>
  <c r="D4107" i="1"/>
  <c r="D4291" i="1"/>
  <c r="C4291" i="1"/>
  <c r="E4291" i="1" s="1"/>
  <c r="B3510" i="1"/>
  <c r="O26" i="1" s="1"/>
  <c r="J26" i="9" s="1"/>
  <c r="D3601" i="1"/>
  <c r="C3601" i="1"/>
  <c r="E3601" i="1" s="1"/>
  <c r="B5016" i="1"/>
  <c r="D4061" i="1"/>
  <c r="C4061" i="1"/>
  <c r="E4061" i="1" s="1"/>
  <c r="D3739" i="1"/>
  <c r="C3739" i="1"/>
  <c r="E3739" i="1" s="1"/>
  <c r="C3647" i="1"/>
  <c r="E3647" i="1" s="1"/>
  <c r="D3647" i="1"/>
  <c r="C3969" i="1"/>
  <c r="E3969" i="1" s="1"/>
  <c r="D3969" i="1"/>
  <c r="C4245" i="1"/>
  <c r="E4245" i="1" s="1"/>
  <c r="D4245" i="1"/>
  <c r="C3923" i="1"/>
  <c r="E3923" i="1" s="1"/>
  <c r="D3923" i="1"/>
  <c r="A4694" i="1"/>
  <c r="D4694" i="1" s="1"/>
  <c r="C3877" i="1"/>
  <c r="E3877" i="1" s="1"/>
  <c r="D3877" i="1"/>
  <c r="D4015" i="1"/>
  <c r="C4015" i="1"/>
  <c r="E4015" i="1" s="1"/>
  <c r="D4153" i="1"/>
  <c r="C4153" i="1"/>
  <c r="E4153" i="1" s="1"/>
  <c r="D4383" i="1"/>
  <c r="C4383" i="1"/>
  <c r="E4383" i="1" s="1"/>
  <c r="C4337" i="1"/>
  <c r="E4337" i="1" s="1"/>
  <c r="D4337" i="1"/>
  <c r="C4199" i="1"/>
  <c r="E4199" i="1" s="1"/>
  <c r="D4199" i="1"/>
  <c r="D3785" i="1"/>
  <c r="C3785" i="1"/>
  <c r="E3785" i="1" s="1"/>
  <c r="B5246" i="1"/>
  <c r="B4786" i="1"/>
  <c r="A4970" i="1"/>
  <c r="D4970" i="1" s="1"/>
  <c r="A5154" i="1"/>
  <c r="D5154" i="1" s="1"/>
  <c r="A5062" i="1"/>
  <c r="D5062" i="1" s="1"/>
  <c r="A4740" i="1"/>
  <c r="D4740" i="1" s="1"/>
  <c r="B5200" i="1"/>
  <c r="A5338" i="1"/>
  <c r="D5338" i="1" s="1"/>
  <c r="A5108" i="1"/>
  <c r="D5108" i="1" s="1"/>
  <c r="B4924" i="1"/>
  <c r="B4970" i="1"/>
  <c r="B5338" i="1"/>
  <c r="B5108" i="1"/>
  <c r="A4924" i="1"/>
  <c r="B4740" i="1"/>
  <c r="A4832" i="1"/>
  <c r="B4832" i="1"/>
  <c r="B5292" i="1"/>
  <c r="A5292" i="1"/>
  <c r="B4602" i="1"/>
  <c r="A4602" i="1"/>
  <c r="B4878" i="1"/>
  <c r="A4878" i="1"/>
  <c r="A5246" i="1"/>
  <c r="B5154" i="1"/>
  <c r="A4786" i="1"/>
  <c r="A5200" i="1"/>
  <c r="D5200" i="1" s="1"/>
  <c r="B5384" i="1"/>
  <c r="A5384" i="1"/>
  <c r="B4648" i="1"/>
  <c r="A4648" i="1"/>
  <c r="A5016" i="1"/>
  <c r="D5016" i="1" s="1"/>
  <c r="B5062" i="1"/>
  <c r="J75" i="9" l="1"/>
  <c r="J78" i="9"/>
  <c r="M1736" i="1"/>
  <c r="AE10" i="6"/>
  <c r="AE13" i="6"/>
  <c r="AE22" i="6"/>
  <c r="AE30" i="6"/>
  <c r="AE67" i="6"/>
  <c r="AE72" i="6"/>
  <c r="AE93" i="6"/>
  <c r="AE12" i="6"/>
  <c r="AE47" i="6"/>
  <c r="AE11" i="6"/>
  <c r="AE20" i="6"/>
  <c r="AE24" i="6"/>
  <c r="AE49" i="6"/>
  <c r="AE50" i="6"/>
  <c r="AE63" i="6"/>
  <c r="AE65" i="6"/>
  <c r="AE14" i="6"/>
  <c r="AE19" i="6"/>
  <c r="AE35" i="6"/>
  <c r="AE36" i="6"/>
  <c r="AE55" i="6"/>
  <c r="AE70" i="6"/>
  <c r="AE71" i="6"/>
  <c r="AE81" i="6"/>
  <c r="AE91" i="6"/>
  <c r="AE92" i="6"/>
  <c r="AE18" i="6"/>
  <c r="AE27" i="6"/>
  <c r="AE46" i="6"/>
  <c r="AE51" i="6"/>
  <c r="AE62" i="6"/>
  <c r="AE66" i="6"/>
  <c r="AE95" i="6"/>
  <c r="AE9" i="6"/>
  <c r="AE39" i="6"/>
  <c r="AE90" i="6"/>
  <c r="AE107" i="6"/>
  <c r="AE32" i="6"/>
  <c r="AE41" i="6"/>
  <c r="AE64" i="6"/>
  <c r="AE76" i="6"/>
  <c r="AE79" i="6"/>
  <c r="AE84" i="6"/>
  <c r="E21" i="1"/>
  <c r="AE17" i="6"/>
  <c r="AE7" i="6"/>
  <c r="AE33" i="6"/>
  <c r="AE54" i="6"/>
  <c r="AE59" i="6"/>
  <c r="AE26" i="6"/>
  <c r="AE31" i="6"/>
  <c r="AE25" i="6"/>
  <c r="AE48" i="6"/>
  <c r="AE86" i="6"/>
  <c r="AE74" i="6"/>
  <c r="AE103" i="6"/>
  <c r="AE8" i="6"/>
  <c r="AE23" i="6"/>
  <c r="AE61" i="6"/>
  <c r="AE83" i="6"/>
  <c r="AE15" i="6"/>
  <c r="AE85" i="6"/>
  <c r="AE94" i="6"/>
  <c r="AE98" i="6"/>
  <c r="AE6" i="6"/>
  <c r="AE53" i="6"/>
  <c r="AE73" i="6"/>
  <c r="AE29" i="6"/>
  <c r="AE37" i="6"/>
  <c r="AE102" i="6"/>
  <c r="AE44" i="6"/>
  <c r="AE57" i="6"/>
  <c r="AE78" i="6"/>
  <c r="AE80" i="6"/>
  <c r="AE88" i="6"/>
  <c r="AE16" i="6"/>
  <c r="AE69" i="6"/>
  <c r="AE43" i="6"/>
  <c r="AE75" i="6"/>
  <c r="AE77" i="6"/>
  <c r="AE52" i="6"/>
  <c r="AE28" i="6"/>
  <c r="AE58" i="6"/>
  <c r="AE60" i="6"/>
  <c r="AE68" i="6"/>
  <c r="AE21" i="6"/>
  <c r="AE56" i="6"/>
  <c r="AE108" i="6"/>
  <c r="AE82" i="6"/>
  <c r="AE34" i="6"/>
  <c r="AE45" i="6"/>
  <c r="AE89" i="6"/>
  <c r="AE100" i="6"/>
  <c r="AE87" i="6"/>
  <c r="AE42" i="6"/>
  <c r="AE105" i="6"/>
  <c r="AE97" i="6"/>
  <c r="AE99" i="6"/>
  <c r="AE96" i="6"/>
  <c r="AE106" i="6"/>
  <c r="AE104" i="6"/>
  <c r="AE40" i="6"/>
  <c r="AE38" i="6"/>
  <c r="AE101" i="6"/>
  <c r="D7041" i="1"/>
  <c r="K54" i="1" s="1"/>
  <c r="AE114" i="6"/>
  <c r="AE111" i="6"/>
  <c r="AE112" i="6"/>
  <c r="AE115" i="6"/>
  <c r="AE125" i="6"/>
  <c r="AE139" i="6"/>
  <c r="AE143" i="6"/>
  <c r="AE150" i="6"/>
  <c r="AE161" i="6"/>
  <c r="AE163" i="6"/>
  <c r="AE169" i="6"/>
  <c r="AE176" i="6"/>
  <c r="AE182" i="6"/>
  <c r="AE110" i="6"/>
  <c r="AE142" i="6"/>
  <c r="AE156" i="6"/>
  <c r="AE159" i="6"/>
  <c r="AE174" i="6"/>
  <c r="AE175" i="6"/>
  <c r="AE146" i="6"/>
  <c r="AE147" i="6"/>
  <c r="AE152" i="6"/>
  <c r="AE177" i="6"/>
  <c r="AE187" i="6"/>
  <c r="AE195" i="6"/>
  <c r="AE128" i="6"/>
  <c r="AE138" i="6"/>
  <c r="AE155" i="6"/>
  <c r="AE131" i="6"/>
  <c r="AE141" i="6"/>
  <c r="AE185" i="6"/>
  <c r="AE116" i="6"/>
  <c r="AE122" i="6"/>
  <c r="AE158" i="6"/>
  <c r="AE162" i="6"/>
  <c r="E22" i="1"/>
  <c r="AE109" i="6"/>
  <c r="AE121" i="6"/>
  <c r="AE134" i="6"/>
  <c r="AE168" i="6"/>
  <c r="AE180" i="6"/>
  <c r="AE192" i="6"/>
  <c r="AE126" i="6"/>
  <c r="AE130" i="6"/>
  <c r="AE170" i="6"/>
  <c r="AE135" i="6"/>
  <c r="AE193" i="6"/>
  <c r="AE196" i="6"/>
  <c r="AE200" i="6"/>
  <c r="AE203" i="6"/>
  <c r="AE120" i="6"/>
  <c r="AE140" i="6"/>
  <c r="AE173" i="6"/>
  <c r="AE181" i="6"/>
  <c r="AE190" i="6"/>
  <c r="AE123" i="6"/>
  <c r="AE166" i="6"/>
  <c r="AE113" i="6"/>
  <c r="AE118" i="6"/>
  <c r="AE127" i="6"/>
  <c r="AE183" i="6"/>
  <c r="AE136" i="6"/>
  <c r="AE154" i="6"/>
  <c r="AE129" i="6"/>
  <c r="AE119" i="6"/>
  <c r="AE124" i="6"/>
  <c r="AE133" i="6"/>
  <c r="AE157" i="6"/>
  <c r="AE160" i="6"/>
  <c r="AE144" i="6"/>
  <c r="AE179" i="6"/>
  <c r="AE184" i="6"/>
  <c r="AE186" i="6"/>
  <c r="AE171" i="6"/>
  <c r="AE151" i="6"/>
  <c r="AE198" i="6"/>
  <c r="AE209" i="6"/>
  <c r="AE148" i="6"/>
  <c r="AE178" i="6"/>
  <c r="AE211" i="6"/>
  <c r="AE188" i="6"/>
  <c r="AE172" i="6"/>
  <c r="AE208" i="6"/>
  <c r="AE205" i="6"/>
  <c r="AE207" i="6"/>
  <c r="AE149" i="6"/>
  <c r="AE197" i="6"/>
  <c r="AE202" i="6"/>
  <c r="AE117" i="6"/>
  <c r="AE194" i="6"/>
  <c r="AE204" i="6"/>
  <c r="AE145" i="6"/>
  <c r="AE210" i="6"/>
  <c r="AE167" i="6"/>
  <c r="AE191" i="6"/>
  <c r="AE164" i="6"/>
  <c r="AE189" i="6"/>
  <c r="AE201" i="6"/>
  <c r="AE137" i="6"/>
  <c r="AE153" i="6"/>
  <c r="AE206" i="6"/>
  <c r="AE132" i="6"/>
  <c r="AE165" i="6"/>
  <c r="AE199" i="6"/>
  <c r="C4694" i="1"/>
  <c r="E4694" i="1" s="1"/>
  <c r="B4695" i="1" s="1"/>
  <c r="C5154" i="1"/>
  <c r="E5154" i="1" s="1"/>
  <c r="A5155" i="1" s="1"/>
  <c r="D5155" i="1" s="1"/>
  <c r="A4062" i="1"/>
  <c r="D4062" i="1" s="1"/>
  <c r="B4384" i="1"/>
  <c r="A4384" i="1"/>
  <c r="B3740" i="1"/>
  <c r="A3740" i="1"/>
  <c r="B4062" i="1"/>
  <c r="B4016" i="1"/>
  <c r="A4016" i="1"/>
  <c r="B3878" i="1"/>
  <c r="A3878" i="1"/>
  <c r="A3602" i="1"/>
  <c r="B3602" i="1"/>
  <c r="D7001" i="1"/>
  <c r="A3924" i="1"/>
  <c r="B3924" i="1"/>
  <c r="A4292" i="1"/>
  <c r="B4292" i="1"/>
  <c r="B4154" i="1"/>
  <c r="A4154" i="1"/>
  <c r="C4740" i="1"/>
  <c r="E4740" i="1" s="1"/>
  <c r="B4741" i="1" s="1"/>
  <c r="B3786" i="1"/>
  <c r="A3786" i="1"/>
  <c r="B4246" i="1"/>
  <c r="A4246" i="1"/>
  <c r="A4108" i="1"/>
  <c r="B4108" i="1"/>
  <c r="B4200" i="1"/>
  <c r="A4200" i="1"/>
  <c r="B3970" i="1"/>
  <c r="A3970" i="1"/>
  <c r="B3694" i="1"/>
  <c r="A3694" i="1"/>
  <c r="C5338" i="1"/>
  <c r="E5338" i="1" s="1"/>
  <c r="A5339" i="1" s="1"/>
  <c r="D5339" i="1" s="1"/>
  <c r="B4338" i="1"/>
  <c r="A4338" i="1"/>
  <c r="C4970" i="1"/>
  <c r="E4970" i="1" s="1"/>
  <c r="A4971" i="1" s="1"/>
  <c r="D4971" i="1" s="1"/>
  <c r="A3648" i="1"/>
  <c r="B3648" i="1"/>
  <c r="B3832" i="1"/>
  <c r="A3832" i="1"/>
  <c r="C5108" i="1"/>
  <c r="E5108" i="1" s="1"/>
  <c r="A5109" i="1" s="1"/>
  <c r="D5109" i="1" s="1"/>
  <c r="C5062" i="1"/>
  <c r="E5062" i="1" s="1"/>
  <c r="A5063" i="1" s="1"/>
  <c r="D5063" i="1" s="1"/>
  <c r="C5200" i="1"/>
  <c r="E5200" i="1" s="1"/>
  <c r="A5201" i="1" s="1"/>
  <c r="D5201" i="1" s="1"/>
  <c r="D4602" i="1"/>
  <c r="C4602" i="1"/>
  <c r="E4602" i="1" s="1"/>
  <c r="D5292" i="1"/>
  <c r="C5292" i="1"/>
  <c r="E5292" i="1" s="1"/>
  <c r="D4832" i="1"/>
  <c r="C4832" i="1"/>
  <c r="E4832" i="1" s="1"/>
  <c r="C5384" i="1"/>
  <c r="E5384" i="1" s="1"/>
  <c r="D5384" i="1"/>
  <c r="C5016" i="1"/>
  <c r="E5016" i="1" s="1"/>
  <c r="A5017" i="1" s="1"/>
  <c r="D5017" i="1" s="1"/>
  <c r="D5246" i="1"/>
  <c r="C5246" i="1"/>
  <c r="E5246" i="1" s="1"/>
  <c r="C4786" i="1"/>
  <c r="E4786" i="1" s="1"/>
  <c r="D4786" i="1"/>
  <c r="D4878" i="1"/>
  <c r="C4878" i="1"/>
  <c r="E4878" i="1" s="1"/>
  <c r="C4924" i="1"/>
  <c r="E4924" i="1" s="1"/>
  <c r="D4924" i="1"/>
  <c r="D4648" i="1"/>
  <c r="C4648" i="1"/>
  <c r="E4648" i="1" s="1"/>
  <c r="D7043" i="1" l="1"/>
  <c r="D7053" i="1" s="1"/>
  <c r="A4695" i="1"/>
  <c r="B5155" i="1"/>
  <c r="C5155" i="1" s="1"/>
  <c r="E5155" i="1" s="1"/>
  <c r="A5156" i="1" s="1"/>
  <c r="D5156" i="1" s="1"/>
  <c r="B5339" i="1"/>
  <c r="C5339" i="1" s="1"/>
  <c r="E5339" i="1" s="1"/>
  <c r="A5340" i="1" s="1"/>
  <c r="D5340" i="1" s="1"/>
  <c r="L17" i="1"/>
  <c r="L16" i="1"/>
  <c r="F7053" i="1"/>
  <c r="C4062" i="1"/>
  <c r="E4062" i="1" s="1"/>
  <c r="B4063" i="1" s="1"/>
  <c r="B4971" i="1"/>
  <c r="C4971" i="1" s="1"/>
  <c r="E4971" i="1" s="1"/>
  <c r="B4972" i="1" s="1"/>
  <c r="A4741" i="1"/>
  <c r="C4741" i="1" s="1"/>
  <c r="E4741" i="1" s="1"/>
  <c r="D3970" i="1"/>
  <c r="C3970" i="1"/>
  <c r="E3970" i="1" s="1"/>
  <c r="D3924" i="1"/>
  <c r="C3924" i="1"/>
  <c r="E3924" i="1" s="1"/>
  <c r="G54" i="1"/>
  <c r="D7003" i="1"/>
  <c r="J30" i="9" s="1"/>
  <c r="A1777" i="1"/>
  <c r="A1876" i="1"/>
  <c r="A1925" i="1"/>
  <c r="A1752" i="1"/>
  <c r="C1805" i="1"/>
  <c r="A1880" i="1"/>
  <c r="A1874" i="1"/>
  <c r="A1889" i="1"/>
  <c r="A1916" i="1"/>
  <c r="A1776" i="1"/>
  <c r="A1831" i="1"/>
  <c r="A1783" i="1"/>
  <c r="A1789" i="1"/>
  <c r="A1815" i="1"/>
  <c r="C1798" i="1"/>
  <c r="A1805" i="1"/>
  <c r="A1785" i="1"/>
  <c r="A1754" i="1"/>
  <c r="A1924" i="1"/>
  <c r="A1845" i="1"/>
  <c r="A1921" i="1"/>
  <c r="A1775" i="1"/>
  <c r="A1903" i="1"/>
  <c r="A1799" i="1"/>
  <c r="A1898" i="1"/>
  <c r="A1816" i="1"/>
  <c r="A1813" i="1"/>
  <c r="A1877" i="1"/>
  <c r="A1753" i="1"/>
  <c r="A1882" i="1"/>
  <c r="A1842" i="1"/>
  <c r="A1820" i="1"/>
  <c r="A1764" i="1"/>
  <c r="A1904" i="1"/>
  <c r="A1834" i="1"/>
  <c r="A1909" i="1"/>
  <c r="A1884" i="1"/>
  <c r="A1915" i="1"/>
  <c r="C1826" i="1"/>
  <c r="A1822" i="1"/>
  <c r="A1791" i="1"/>
  <c r="A1806" i="1"/>
  <c r="A1774" i="1"/>
  <c r="A1838" i="1"/>
  <c r="A1807" i="1"/>
  <c r="A1812" i="1"/>
  <c r="A1814" i="1"/>
  <c r="A1866" i="1"/>
  <c r="A1902" i="1"/>
  <c r="A1773" i="1"/>
  <c r="A1883" i="1"/>
  <c r="A1891" i="1"/>
  <c r="A1873" i="1"/>
  <c r="A1917" i="1"/>
  <c r="A1786" i="1"/>
  <c r="A1839" i="1"/>
  <c r="A1868" i="1"/>
  <c r="A1760" i="1"/>
  <c r="A1828" i="1"/>
  <c r="A1908" i="1"/>
  <c r="A1808" i="1"/>
  <c r="A1852" i="1"/>
  <c r="A1790" i="1"/>
  <c r="A1827" i="1"/>
  <c r="A1870" i="1"/>
  <c r="A1800" i="1"/>
  <c r="A1748" i="1"/>
  <c r="A1840" i="1"/>
  <c r="A1772" i="1"/>
  <c r="A1758" i="1"/>
  <c r="A1887" i="1"/>
  <c r="A1863" i="1"/>
  <c r="A1911" i="1"/>
  <c r="A1794" i="1"/>
  <c r="A1855" i="1"/>
  <c r="A1742" i="1"/>
  <c r="A1832" i="1"/>
  <c r="A1771" i="1"/>
  <c r="A1901" i="1"/>
  <c r="A1798" i="1"/>
  <c r="A1821" i="1"/>
  <c r="A1768" i="1"/>
  <c r="A1897" i="1"/>
  <c r="A1809" i="1"/>
  <c r="A1841" i="1"/>
  <c r="A1894" i="1"/>
  <c r="A1875" i="1"/>
  <c r="A1848" i="1"/>
  <c r="A1770" i="1"/>
  <c r="A1853" i="1"/>
  <c r="A1793" i="1"/>
  <c r="A1765" i="1"/>
  <c r="A1833" i="1"/>
  <c r="A1905" i="1"/>
  <c r="A1881" i="1"/>
  <c r="A1890" i="1"/>
  <c r="A1769" i="1"/>
  <c r="A1861" i="1"/>
  <c r="A1859" i="1"/>
  <c r="C1812" i="1"/>
  <c r="A1826" i="1"/>
  <c r="A1867" i="1"/>
  <c r="A1854" i="1"/>
  <c r="A1755" i="1"/>
  <c r="A1849" i="1"/>
  <c r="A1761" i="1"/>
  <c r="A1896" i="1"/>
  <c r="A1914" i="1"/>
  <c r="A1847" i="1"/>
  <c r="A1913" i="1"/>
  <c r="A1801" i="1"/>
  <c r="A1835" i="1"/>
  <c r="A1888" i="1"/>
  <c r="A1846" i="1"/>
  <c r="A1787" i="1"/>
  <c r="A1910" i="1"/>
  <c r="A1788" i="1"/>
  <c r="A1780" i="1"/>
  <c r="C1908" i="1"/>
  <c r="A1895" i="1"/>
  <c r="A1860" i="1"/>
  <c r="A1792" i="1"/>
  <c r="A1779" i="1"/>
  <c r="A1759" i="1"/>
  <c r="A1819" i="1"/>
  <c r="A1749" i="1"/>
  <c r="A1795" i="1"/>
  <c r="A1856" i="1"/>
  <c r="A1920" i="1"/>
  <c r="A1862" i="1"/>
  <c r="A1869" i="1"/>
  <c r="A1802" i="1"/>
  <c r="A1778" i="1"/>
  <c r="A1823" i="1"/>
  <c r="A1784" i="1"/>
  <c r="C1819" i="1"/>
  <c r="A1912" i="1"/>
  <c r="D3602" i="1"/>
  <c r="C3602" i="1"/>
  <c r="E3602" i="1" s="1"/>
  <c r="C4108" i="1"/>
  <c r="E4108" i="1" s="1"/>
  <c r="D4108" i="1"/>
  <c r="C3878" i="1"/>
  <c r="E3878" i="1" s="1"/>
  <c r="D3878" i="1"/>
  <c r="D3832" i="1"/>
  <c r="C3832" i="1"/>
  <c r="E3832" i="1" s="1"/>
  <c r="D4246" i="1"/>
  <c r="C4246" i="1"/>
  <c r="E4246" i="1" s="1"/>
  <c r="D4016" i="1"/>
  <c r="C4016" i="1"/>
  <c r="E4016" i="1" s="1"/>
  <c r="C3786" i="1"/>
  <c r="E3786" i="1" s="1"/>
  <c r="D3786" i="1"/>
  <c r="C3648" i="1"/>
  <c r="E3648" i="1" s="1"/>
  <c r="D3648" i="1"/>
  <c r="C4338" i="1"/>
  <c r="E4338" i="1" s="1"/>
  <c r="D4338" i="1"/>
  <c r="C4154" i="1"/>
  <c r="E4154" i="1" s="1"/>
  <c r="D4154" i="1"/>
  <c r="C4200" i="1"/>
  <c r="E4200" i="1" s="1"/>
  <c r="D4200" i="1"/>
  <c r="D3740" i="1"/>
  <c r="C3740" i="1"/>
  <c r="E3740" i="1" s="1"/>
  <c r="D3694" i="1"/>
  <c r="C3694" i="1"/>
  <c r="E3694" i="1" s="1"/>
  <c r="D4292" i="1"/>
  <c r="C4292" i="1"/>
  <c r="E4292" i="1" s="1"/>
  <c r="C4384" i="1"/>
  <c r="E4384" i="1" s="1"/>
  <c r="D4384" i="1"/>
  <c r="B5109" i="1"/>
  <c r="C5109" i="1" s="1"/>
  <c r="E5109" i="1" s="1"/>
  <c r="B5063" i="1"/>
  <c r="C5063" i="1" s="1"/>
  <c r="E5063" i="1" s="1"/>
  <c r="B5064" i="1" s="1"/>
  <c r="A4603" i="1"/>
  <c r="D4603" i="1" s="1"/>
  <c r="B5247" i="1"/>
  <c r="B5201" i="1"/>
  <c r="C5201" i="1" s="1"/>
  <c r="E5201" i="1" s="1"/>
  <c r="B5202" i="1" s="1"/>
  <c r="A4833" i="1"/>
  <c r="D4833" i="1" s="1"/>
  <c r="A4879" i="1"/>
  <c r="D4879" i="1" s="1"/>
  <c r="B5017" i="1"/>
  <c r="C5017" i="1" s="1"/>
  <c r="E5017" i="1" s="1"/>
  <c r="B5018" i="1" s="1"/>
  <c r="C4695" i="1"/>
  <c r="E4695" i="1" s="1"/>
  <c r="D4695" i="1"/>
  <c r="B4787" i="1"/>
  <c r="A4787" i="1"/>
  <c r="B4833" i="1"/>
  <c r="B4649" i="1"/>
  <c r="A4649" i="1"/>
  <c r="A5247" i="1"/>
  <c r="A5385" i="1"/>
  <c r="B5385" i="1"/>
  <c r="B4603" i="1"/>
  <c r="B5293" i="1"/>
  <c r="A5293" i="1"/>
  <c r="B4879" i="1"/>
  <c r="B4925" i="1"/>
  <c r="A4925" i="1"/>
  <c r="F26" i="6" l="1"/>
  <c r="AB26" i="6" s="1"/>
  <c r="AD26" i="6" s="1"/>
  <c r="F9" i="6"/>
  <c r="AB9" i="6" s="1"/>
  <c r="AD9" i="6" s="1"/>
  <c r="F17" i="6"/>
  <c r="AB17" i="6" s="1"/>
  <c r="AD17" i="6" s="1"/>
  <c r="F59" i="6"/>
  <c r="AB59" i="6" s="1"/>
  <c r="AD59" i="6" s="1"/>
  <c r="F61" i="6"/>
  <c r="AB61" i="6" s="1"/>
  <c r="AD61" i="6" s="1"/>
  <c r="F83" i="6"/>
  <c r="AB83" i="6" s="1"/>
  <c r="AD83" i="6" s="1"/>
  <c r="F89" i="6"/>
  <c r="AB89" i="6" s="1"/>
  <c r="AD89" i="6" s="1"/>
  <c r="F95" i="6"/>
  <c r="AB95" i="6" s="1"/>
  <c r="AD95" i="6" s="1"/>
  <c r="F7" i="6"/>
  <c r="AB7" i="6" s="1"/>
  <c r="AD7" i="6" s="1"/>
  <c r="F54" i="6"/>
  <c r="AB54" i="6" s="1"/>
  <c r="AD54" i="6" s="1"/>
  <c r="F6" i="6"/>
  <c r="AB6" i="6" s="1"/>
  <c r="AD6" i="6" s="1"/>
  <c r="F16" i="6"/>
  <c r="AB16" i="6" s="1"/>
  <c r="AD16" i="6" s="1"/>
  <c r="F22" i="6"/>
  <c r="AB22" i="6" s="1"/>
  <c r="AD22" i="6" s="1"/>
  <c r="F24" i="6"/>
  <c r="AB24" i="6" s="1"/>
  <c r="AD24" i="6" s="1"/>
  <c r="F29" i="6"/>
  <c r="AB29" i="6" s="1"/>
  <c r="AD29" i="6" s="1"/>
  <c r="F30" i="6"/>
  <c r="AB30" i="6" s="1"/>
  <c r="AD30" i="6" s="1"/>
  <c r="F38" i="6"/>
  <c r="AB38" i="6" s="1"/>
  <c r="AD38" i="6" s="1"/>
  <c r="F45" i="6"/>
  <c r="AB45" i="6" s="1"/>
  <c r="AD45" i="6" s="1"/>
  <c r="F58" i="6"/>
  <c r="AB58" i="6" s="1"/>
  <c r="AD58" i="6" s="1"/>
  <c r="F75" i="6"/>
  <c r="AB75" i="6" s="1"/>
  <c r="AD75" i="6" s="1"/>
  <c r="F86" i="6"/>
  <c r="AB86" i="6" s="1"/>
  <c r="AD86" i="6" s="1"/>
  <c r="F102" i="6"/>
  <c r="AB102" i="6" s="1"/>
  <c r="AD102" i="6" s="1"/>
  <c r="F104" i="6"/>
  <c r="AB104" i="6" s="1"/>
  <c r="AD104" i="6" s="1"/>
  <c r="F105" i="6"/>
  <c r="AB105" i="6" s="1"/>
  <c r="AD105" i="6" s="1"/>
  <c r="F43" i="6"/>
  <c r="AB43" i="6" s="1"/>
  <c r="AD43" i="6" s="1"/>
  <c r="F44" i="6"/>
  <c r="AB44" i="6" s="1"/>
  <c r="AD44" i="6" s="1"/>
  <c r="F74" i="6"/>
  <c r="AB74" i="6" s="1"/>
  <c r="AD74" i="6" s="1"/>
  <c r="F11" i="6"/>
  <c r="AB11" i="6" s="1"/>
  <c r="AD11" i="6" s="1"/>
  <c r="F14" i="6"/>
  <c r="AB14" i="6" s="1"/>
  <c r="AD14" i="6" s="1"/>
  <c r="F23" i="6"/>
  <c r="AB23" i="6" s="1"/>
  <c r="AD23" i="6" s="1"/>
  <c r="F31" i="6"/>
  <c r="AB31" i="6" s="1"/>
  <c r="AD31" i="6" s="1"/>
  <c r="F68" i="6"/>
  <c r="AB68" i="6" s="1"/>
  <c r="AD68" i="6" s="1"/>
  <c r="F73" i="6"/>
  <c r="AB73" i="6" s="1"/>
  <c r="AD73" i="6" s="1"/>
  <c r="F94" i="6"/>
  <c r="AB94" i="6" s="1"/>
  <c r="AD94" i="6" s="1"/>
  <c r="F101" i="6"/>
  <c r="AB101" i="6" s="1"/>
  <c r="AD101" i="6" s="1"/>
  <c r="F103" i="6"/>
  <c r="AB103" i="6" s="1"/>
  <c r="AD103" i="6" s="1"/>
  <c r="F13" i="6"/>
  <c r="AB13" i="6" s="1"/>
  <c r="AD13" i="6" s="1"/>
  <c r="F48" i="6"/>
  <c r="AB48" i="6" s="1"/>
  <c r="AD48" i="6" s="1"/>
  <c r="F81" i="6"/>
  <c r="AB81" i="6" s="1"/>
  <c r="AD81" i="6" s="1"/>
  <c r="F87" i="6"/>
  <c r="AB87" i="6" s="1"/>
  <c r="AD87" i="6" s="1"/>
  <c r="F88" i="6"/>
  <c r="AB88" i="6" s="1"/>
  <c r="AD88" i="6" s="1"/>
  <c r="G21" i="1"/>
  <c r="F12" i="6"/>
  <c r="AB12" i="6" s="1"/>
  <c r="AD12" i="6" s="1"/>
  <c r="F21" i="6"/>
  <c r="AB21" i="6" s="1"/>
  <c r="AD21" i="6" s="1"/>
  <c r="F25" i="6"/>
  <c r="AB25" i="6" s="1"/>
  <c r="AD25" i="6" s="1"/>
  <c r="F50" i="6"/>
  <c r="AB50" i="6" s="1"/>
  <c r="AD50" i="6" s="1"/>
  <c r="F51" i="6"/>
  <c r="AB51" i="6" s="1"/>
  <c r="AD51" i="6" s="1"/>
  <c r="F64" i="6"/>
  <c r="AB64" i="6" s="1"/>
  <c r="AD64" i="6" s="1"/>
  <c r="F66" i="6"/>
  <c r="AB66" i="6" s="1"/>
  <c r="AD66" i="6" s="1"/>
  <c r="F15" i="6"/>
  <c r="AB15" i="6" s="1"/>
  <c r="AD15" i="6" s="1"/>
  <c r="F20" i="6"/>
  <c r="AB20" i="6" s="1"/>
  <c r="AD20" i="6" s="1"/>
  <c r="F36" i="6"/>
  <c r="AB36" i="6" s="1"/>
  <c r="F37" i="6"/>
  <c r="AB37" i="6" s="1"/>
  <c r="AD37" i="6" s="1"/>
  <c r="F19" i="6"/>
  <c r="AB19" i="6" s="1"/>
  <c r="AD19" i="6" s="1"/>
  <c r="F28" i="6"/>
  <c r="AB28" i="6" s="1"/>
  <c r="AD28" i="6" s="1"/>
  <c r="F10" i="6"/>
  <c r="AB10" i="6" s="1"/>
  <c r="AD10" i="6" s="1"/>
  <c r="F40" i="6"/>
  <c r="AB40" i="6" s="1"/>
  <c r="AD40" i="6" s="1"/>
  <c r="F33" i="6"/>
  <c r="AB33" i="6" s="1"/>
  <c r="AD33" i="6" s="1"/>
  <c r="F35" i="6"/>
  <c r="AB35" i="6" s="1"/>
  <c r="AD35" i="6" s="1"/>
  <c r="F41" i="6"/>
  <c r="AB41" i="6" s="1"/>
  <c r="AD41" i="6" s="1"/>
  <c r="F46" i="6"/>
  <c r="AB46" i="6" s="1"/>
  <c r="AD46" i="6" s="1"/>
  <c r="F72" i="6"/>
  <c r="AB72" i="6" s="1"/>
  <c r="AD72" i="6" s="1"/>
  <c r="F80" i="6"/>
  <c r="AB80" i="6" s="1"/>
  <c r="AD80" i="6" s="1"/>
  <c r="F67" i="6"/>
  <c r="AB67" i="6" s="1"/>
  <c r="AD67" i="6" s="1"/>
  <c r="F90" i="6"/>
  <c r="AB90" i="6" s="1"/>
  <c r="AD90" i="6" s="1"/>
  <c r="F93" i="6"/>
  <c r="AB93" i="6" s="1"/>
  <c r="AD93" i="6" s="1"/>
  <c r="F69" i="6"/>
  <c r="AB69" i="6" s="1"/>
  <c r="AD69" i="6" s="1"/>
  <c r="F77" i="6"/>
  <c r="AB77" i="6" s="1"/>
  <c r="AD77" i="6" s="1"/>
  <c r="F56" i="6"/>
  <c r="AB56" i="6" s="1"/>
  <c r="AD56" i="6" s="1"/>
  <c r="F57" i="6"/>
  <c r="AB57" i="6" s="1"/>
  <c r="AD57" i="6" s="1"/>
  <c r="F71" i="6"/>
  <c r="AB71" i="6" s="1"/>
  <c r="AD71" i="6" s="1"/>
  <c r="F92" i="6"/>
  <c r="AB92" i="6" s="1"/>
  <c r="AD92" i="6" s="1"/>
  <c r="F108" i="6"/>
  <c r="AB108" i="6" s="1"/>
  <c r="AD108" i="6" s="1"/>
  <c r="F49" i="6"/>
  <c r="AB49" i="6" s="1"/>
  <c r="AD49" i="6" s="1"/>
  <c r="F47" i="6"/>
  <c r="AB47" i="6" s="1"/>
  <c r="AD47" i="6" s="1"/>
  <c r="F34" i="6"/>
  <c r="AB34" i="6" s="1"/>
  <c r="AD34" i="6" s="1"/>
  <c r="F62" i="6"/>
  <c r="AB62" i="6" s="1"/>
  <c r="AD62" i="6" s="1"/>
  <c r="F84" i="6"/>
  <c r="AB84" i="6" s="1"/>
  <c r="AD84" i="6" s="1"/>
  <c r="F27" i="6"/>
  <c r="AB27" i="6" s="1"/>
  <c r="AD27" i="6" s="1"/>
  <c r="F32" i="6"/>
  <c r="AB32" i="6" s="1"/>
  <c r="AD32" i="6" s="1"/>
  <c r="F42" i="6"/>
  <c r="AB42" i="6" s="1"/>
  <c r="AD42" i="6" s="1"/>
  <c r="F60" i="6"/>
  <c r="AB60" i="6" s="1"/>
  <c r="AD60" i="6" s="1"/>
  <c r="F52" i="6"/>
  <c r="AB52" i="6" s="1"/>
  <c r="AD52" i="6" s="1"/>
  <c r="F82" i="6"/>
  <c r="AB82" i="6" s="1"/>
  <c r="AD82" i="6" s="1"/>
  <c r="F65" i="6"/>
  <c r="AB65" i="6" s="1"/>
  <c r="AD65" i="6" s="1"/>
  <c r="F79" i="6"/>
  <c r="AB79" i="6" s="1"/>
  <c r="AD79" i="6" s="1"/>
  <c r="F55" i="6"/>
  <c r="AB55" i="6" s="1"/>
  <c r="AD55" i="6" s="1"/>
  <c r="F53" i="6"/>
  <c r="AB53" i="6" s="1"/>
  <c r="AD53" i="6" s="1"/>
  <c r="F63" i="6"/>
  <c r="AB63" i="6" s="1"/>
  <c r="AD63" i="6" s="1"/>
  <c r="F18" i="6"/>
  <c r="AB18" i="6" s="1"/>
  <c r="AD18" i="6" s="1"/>
  <c r="F39" i="6"/>
  <c r="AB39" i="6" s="1"/>
  <c r="AD39" i="6" s="1"/>
  <c r="F70" i="6"/>
  <c r="AB70" i="6" s="1"/>
  <c r="AD70" i="6" s="1"/>
  <c r="F96" i="6"/>
  <c r="AB96" i="6" s="1"/>
  <c r="AD96" i="6" s="1"/>
  <c r="F97" i="6"/>
  <c r="AB97" i="6" s="1"/>
  <c r="AD97" i="6" s="1"/>
  <c r="F107" i="6"/>
  <c r="AB107" i="6" s="1"/>
  <c r="AD107" i="6" s="1"/>
  <c r="F78" i="6"/>
  <c r="AB78" i="6" s="1"/>
  <c r="AD78" i="6" s="1"/>
  <c r="F99" i="6"/>
  <c r="AB99" i="6" s="1"/>
  <c r="AD99" i="6" s="1"/>
  <c r="F8" i="6"/>
  <c r="AB8" i="6" s="1"/>
  <c r="AD8" i="6" s="1"/>
  <c r="F91" i="6"/>
  <c r="AB91" i="6" s="1"/>
  <c r="AD91" i="6" s="1"/>
  <c r="F76" i="6"/>
  <c r="AB76" i="6" s="1"/>
  <c r="AD76" i="6" s="1"/>
  <c r="F100" i="6"/>
  <c r="AB100" i="6" s="1"/>
  <c r="AD100" i="6" s="1"/>
  <c r="F106" i="6"/>
  <c r="AB106" i="6" s="1"/>
  <c r="AD106" i="6" s="1"/>
  <c r="F85" i="6"/>
  <c r="AB85" i="6" s="1"/>
  <c r="AD85" i="6" s="1"/>
  <c r="F98" i="6"/>
  <c r="AB98" i="6" s="1"/>
  <c r="AD98" i="6" s="1"/>
  <c r="K56" i="1"/>
  <c r="F109" i="6"/>
  <c r="AB109" i="6" s="1"/>
  <c r="F130" i="6"/>
  <c r="AB130" i="6" s="1"/>
  <c r="F135" i="6"/>
  <c r="AB135" i="6" s="1"/>
  <c r="F147" i="6"/>
  <c r="AB147" i="6" s="1"/>
  <c r="F195" i="6"/>
  <c r="AB195" i="6" s="1"/>
  <c r="F115" i="6"/>
  <c r="AB115" i="6" s="1"/>
  <c r="G22" i="1"/>
  <c r="F114" i="6"/>
  <c r="AB114" i="6" s="1"/>
  <c r="F118" i="6"/>
  <c r="AB118" i="6" s="1"/>
  <c r="F124" i="6"/>
  <c r="AB124" i="6" s="1"/>
  <c r="F167" i="6"/>
  <c r="AB167" i="6" s="1"/>
  <c r="F185" i="6"/>
  <c r="AB185" i="6" s="1"/>
  <c r="F134" i="6"/>
  <c r="AB134" i="6" s="1"/>
  <c r="F150" i="6"/>
  <c r="AB150" i="6" s="1"/>
  <c r="F151" i="6"/>
  <c r="AB151" i="6" s="1"/>
  <c r="F179" i="6"/>
  <c r="AB179" i="6" s="1"/>
  <c r="F113" i="6"/>
  <c r="AB113" i="6" s="1"/>
  <c r="F121" i="6"/>
  <c r="AB121" i="6" s="1"/>
  <c r="F133" i="6"/>
  <c r="AB133" i="6" s="1"/>
  <c r="F162" i="6"/>
  <c r="AB162" i="6" s="1"/>
  <c r="F169" i="6"/>
  <c r="AB169" i="6" s="1"/>
  <c r="F181" i="6"/>
  <c r="AB181" i="6" s="1"/>
  <c r="F193" i="6"/>
  <c r="AB193" i="6" s="1"/>
  <c r="F112" i="6"/>
  <c r="AB112" i="6" s="1"/>
  <c r="F111" i="6"/>
  <c r="AB111" i="6" s="1"/>
  <c r="F132" i="6"/>
  <c r="AB132" i="6" s="1"/>
  <c r="F117" i="6"/>
  <c r="AB117" i="6" s="1"/>
  <c r="F128" i="6"/>
  <c r="AB128" i="6" s="1"/>
  <c r="F137" i="6"/>
  <c r="AB137" i="6" s="1"/>
  <c r="F161" i="6"/>
  <c r="AB161" i="6" s="1"/>
  <c r="F168" i="6"/>
  <c r="AB168" i="6" s="1"/>
  <c r="F173" i="6"/>
  <c r="AB173" i="6" s="1"/>
  <c r="F119" i="6"/>
  <c r="AB119" i="6" s="1"/>
  <c r="F125" i="6"/>
  <c r="AB125" i="6" s="1"/>
  <c r="F138" i="6"/>
  <c r="AB138" i="6" s="1"/>
  <c r="F140" i="6"/>
  <c r="AB140" i="6" s="1"/>
  <c r="F149" i="6"/>
  <c r="AB149" i="6" s="1"/>
  <c r="F165" i="6"/>
  <c r="AB165" i="6" s="1"/>
  <c r="F166" i="6"/>
  <c r="AB166" i="6" s="1"/>
  <c r="F172" i="6"/>
  <c r="AB172" i="6" s="1"/>
  <c r="F174" i="6"/>
  <c r="AB174" i="6" s="1"/>
  <c r="F182" i="6"/>
  <c r="AB182" i="6" s="1"/>
  <c r="F183" i="6"/>
  <c r="AB183" i="6" s="1"/>
  <c r="F194" i="6"/>
  <c r="AB194" i="6" s="1"/>
  <c r="F143" i="6"/>
  <c r="AB143" i="6" s="1"/>
  <c r="F146" i="6"/>
  <c r="AB146" i="6" s="1"/>
  <c r="F152" i="6"/>
  <c r="AB152" i="6" s="1"/>
  <c r="F154" i="6"/>
  <c r="AB154" i="6" s="1"/>
  <c r="F178" i="6"/>
  <c r="AB178" i="6" s="1"/>
  <c r="F189" i="6"/>
  <c r="AB189" i="6" s="1"/>
  <c r="F129" i="6"/>
  <c r="AB129" i="6" s="1"/>
  <c r="F177" i="6"/>
  <c r="AB177" i="6" s="1"/>
  <c r="F188" i="6"/>
  <c r="AB188" i="6" s="1"/>
  <c r="F208" i="6"/>
  <c r="AB208" i="6" s="1"/>
  <c r="F209" i="6"/>
  <c r="AB209" i="6" s="1"/>
  <c r="F123" i="6"/>
  <c r="AB123" i="6" s="1"/>
  <c r="F145" i="6"/>
  <c r="AB145" i="6" s="1"/>
  <c r="F180" i="6"/>
  <c r="AB180" i="6" s="1"/>
  <c r="F187" i="6"/>
  <c r="AB187" i="6" s="1"/>
  <c r="F110" i="6"/>
  <c r="AB110" i="6" s="1"/>
  <c r="F127" i="6"/>
  <c r="AB127" i="6" s="1"/>
  <c r="F131" i="6"/>
  <c r="AB131" i="6" s="1"/>
  <c r="F139" i="6"/>
  <c r="AB139" i="6" s="1"/>
  <c r="F160" i="6"/>
  <c r="AB160" i="6" s="1"/>
  <c r="F171" i="6"/>
  <c r="AB171" i="6" s="1"/>
  <c r="F116" i="6"/>
  <c r="AB116" i="6" s="1"/>
  <c r="F136" i="6"/>
  <c r="AB136" i="6" s="1"/>
  <c r="F164" i="6"/>
  <c r="AB164" i="6" s="1"/>
  <c r="F141" i="6"/>
  <c r="AB141" i="6" s="1"/>
  <c r="F148" i="6"/>
  <c r="AB148" i="6" s="1"/>
  <c r="F144" i="6"/>
  <c r="AB144" i="6" s="1"/>
  <c r="F153" i="6"/>
  <c r="AB153" i="6" s="1"/>
  <c r="F157" i="6"/>
  <c r="AB157" i="6" s="1"/>
  <c r="F126" i="6"/>
  <c r="AB126" i="6" s="1"/>
  <c r="F142" i="6"/>
  <c r="AB142" i="6" s="1"/>
  <c r="F155" i="6"/>
  <c r="AB155" i="6" s="1"/>
  <c r="F159" i="6"/>
  <c r="AB159" i="6" s="1"/>
  <c r="F156" i="6"/>
  <c r="AB156" i="6" s="1"/>
  <c r="F158" i="6"/>
  <c r="AB158" i="6" s="1"/>
  <c r="F163" i="6"/>
  <c r="AB163" i="6" s="1"/>
  <c r="F199" i="6"/>
  <c r="AB199" i="6" s="1"/>
  <c r="F200" i="6"/>
  <c r="AB200" i="6" s="1"/>
  <c r="F206" i="6"/>
  <c r="AB206" i="6" s="1"/>
  <c r="F207" i="6"/>
  <c r="AB207" i="6" s="1"/>
  <c r="F175" i="6"/>
  <c r="AB175" i="6" s="1"/>
  <c r="F204" i="6"/>
  <c r="AB204" i="6" s="1"/>
  <c r="F120" i="6"/>
  <c r="AB120" i="6" s="1"/>
  <c r="F186" i="6"/>
  <c r="AB186" i="6" s="1"/>
  <c r="F201" i="6"/>
  <c r="AB201" i="6" s="1"/>
  <c r="F210" i="6"/>
  <c r="AB210" i="6" s="1"/>
  <c r="F197" i="6"/>
  <c r="AB197" i="6" s="1"/>
  <c r="F176" i="6"/>
  <c r="AB176" i="6" s="1"/>
  <c r="F191" i="6"/>
  <c r="AB191" i="6" s="1"/>
  <c r="F184" i="6"/>
  <c r="AB184" i="6" s="1"/>
  <c r="F170" i="6"/>
  <c r="AB170" i="6" s="1"/>
  <c r="F198" i="6"/>
  <c r="AB198" i="6" s="1"/>
  <c r="F203" i="6"/>
  <c r="AB203" i="6" s="1"/>
  <c r="F205" i="6"/>
  <c r="AB205" i="6" s="1"/>
  <c r="F190" i="6"/>
  <c r="AB190" i="6" s="1"/>
  <c r="F196" i="6"/>
  <c r="AB196" i="6" s="1"/>
  <c r="F202" i="6"/>
  <c r="AB202" i="6" s="1"/>
  <c r="F122" i="6"/>
  <c r="AB122" i="6" s="1"/>
  <c r="F211" i="6"/>
  <c r="AB211" i="6" s="1"/>
  <c r="F192" i="6"/>
  <c r="AB192" i="6" s="1"/>
  <c r="A4972" i="1"/>
  <c r="C4972" i="1" s="1"/>
  <c r="E4972" i="1" s="1"/>
  <c r="K66" i="1"/>
  <c r="D4741" i="1"/>
  <c r="B4742" i="1" s="1"/>
  <c r="B5156" i="1"/>
  <c r="C5156" i="1" s="1"/>
  <c r="E5156" i="1" s="1"/>
  <c r="B5157" i="1" s="1"/>
  <c r="A4063" i="1"/>
  <c r="D4063" i="1" s="1"/>
  <c r="H17" i="1"/>
  <c r="H16" i="1"/>
  <c r="F7013" i="1"/>
  <c r="D7013" i="1"/>
  <c r="B5340" i="1"/>
  <c r="C5340" i="1" s="1"/>
  <c r="E5340" i="1" s="1"/>
  <c r="A5341" i="1" s="1"/>
  <c r="C4603" i="1"/>
  <c r="E4603" i="1" s="1"/>
  <c r="A4604" i="1" s="1"/>
  <c r="D4604" i="1" s="1"/>
  <c r="A3603" i="1"/>
  <c r="B3603" i="1"/>
  <c r="B3649" i="1"/>
  <c r="A3649" i="1"/>
  <c r="B4385" i="1"/>
  <c r="A4385" i="1"/>
  <c r="A4017" i="1"/>
  <c r="B4017" i="1"/>
  <c r="B3695" i="1"/>
  <c r="A3695" i="1"/>
  <c r="A4247" i="1"/>
  <c r="B4247" i="1"/>
  <c r="B3741" i="1"/>
  <c r="A3741" i="1"/>
  <c r="B4293" i="1"/>
  <c r="A4293" i="1"/>
  <c r="A4201" i="1"/>
  <c r="B4201" i="1"/>
  <c r="A3833" i="1"/>
  <c r="B3833" i="1"/>
  <c r="G56" i="1"/>
  <c r="A3787" i="1"/>
  <c r="B3787" i="1"/>
  <c r="B3879" i="1"/>
  <c r="A3879" i="1"/>
  <c r="B4155" i="1"/>
  <c r="A4155" i="1"/>
  <c r="A4109" i="1"/>
  <c r="B4109" i="1"/>
  <c r="B3925" i="1"/>
  <c r="A3925" i="1"/>
  <c r="B4339" i="1"/>
  <c r="A4339" i="1"/>
  <c r="B3971" i="1"/>
  <c r="A3971" i="1"/>
  <c r="A5064" i="1"/>
  <c r="D5064" i="1" s="1"/>
  <c r="A5110" i="1"/>
  <c r="D5110" i="1" s="1"/>
  <c r="B5110" i="1"/>
  <c r="A5018" i="1"/>
  <c r="C5018" i="1" s="1"/>
  <c r="E5018" i="1" s="1"/>
  <c r="A5202" i="1"/>
  <c r="D5202" i="1" s="1"/>
  <c r="C4833" i="1"/>
  <c r="E4833" i="1" s="1"/>
  <c r="A4834" i="1" s="1"/>
  <c r="D4834" i="1" s="1"/>
  <c r="C4879" i="1"/>
  <c r="E4879" i="1" s="1"/>
  <c r="B4880" i="1" s="1"/>
  <c r="C4787" i="1"/>
  <c r="E4787" i="1" s="1"/>
  <c r="D4787" i="1"/>
  <c r="B4696" i="1"/>
  <c r="A4696" i="1"/>
  <c r="D5293" i="1"/>
  <c r="C5293" i="1"/>
  <c r="E5293" i="1" s="1"/>
  <c r="D5385" i="1"/>
  <c r="C5385" i="1"/>
  <c r="E5385" i="1" s="1"/>
  <c r="C5247" i="1"/>
  <c r="E5247" i="1" s="1"/>
  <c r="D5247" i="1"/>
  <c r="D4925" i="1"/>
  <c r="C4925" i="1"/>
  <c r="E4925" i="1" s="1"/>
  <c r="D4649" i="1"/>
  <c r="C4649" i="1"/>
  <c r="E4649" i="1" s="1"/>
  <c r="D4972" i="1" l="1"/>
  <c r="B4973" i="1" s="1"/>
  <c r="O22" i="1"/>
  <c r="AD36" i="6"/>
  <c r="O21" i="1"/>
  <c r="A4742" i="1"/>
  <c r="D4742" i="1" s="1"/>
  <c r="A5157" i="1"/>
  <c r="C4063" i="1"/>
  <c r="E4063" i="1" s="1"/>
  <c r="A4064" i="1" s="1"/>
  <c r="B4604" i="1"/>
  <c r="C4604" i="1" s="1"/>
  <c r="E4604" i="1" s="1"/>
  <c r="A4605" i="1" s="1"/>
  <c r="D4605" i="1" s="1"/>
  <c r="C5110" i="1"/>
  <c r="E5110" i="1" s="1"/>
  <c r="B5111" i="1" s="1"/>
  <c r="C3741" i="1"/>
  <c r="E3741" i="1" s="1"/>
  <c r="D3741" i="1"/>
  <c r="C3695" i="1"/>
  <c r="E3695" i="1" s="1"/>
  <c r="D3695" i="1"/>
  <c r="D4247" i="1"/>
  <c r="C4247" i="1"/>
  <c r="E4247" i="1" s="1"/>
  <c r="G66" i="1"/>
  <c r="D4017" i="1"/>
  <c r="C4017" i="1"/>
  <c r="E4017" i="1" s="1"/>
  <c r="C3879" i="1"/>
  <c r="E3879" i="1" s="1"/>
  <c r="D3879" i="1"/>
  <c r="C3787" i="1"/>
  <c r="E3787" i="1" s="1"/>
  <c r="D3787" i="1"/>
  <c r="C5064" i="1"/>
  <c r="E5064" i="1" s="1"/>
  <c r="A5065" i="1" s="1"/>
  <c r="C4385" i="1"/>
  <c r="E4385" i="1" s="1"/>
  <c r="D4385" i="1"/>
  <c r="C3925" i="1"/>
  <c r="E3925" i="1" s="1"/>
  <c r="D3925" i="1"/>
  <c r="C3833" i="1"/>
  <c r="E3833" i="1" s="1"/>
  <c r="D3833" i="1"/>
  <c r="B5341" i="1"/>
  <c r="C5341" i="1" s="1"/>
  <c r="E5341" i="1" s="1"/>
  <c r="D3649" i="1"/>
  <c r="C3649" i="1"/>
  <c r="E3649" i="1" s="1"/>
  <c r="D5018" i="1"/>
  <c r="B5019" i="1" s="1"/>
  <c r="D4339" i="1"/>
  <c r="C4339" i="1"/>
  <c r="E4339" i="1" s="1"/>
  <c r="D4201" i="1"/>
  <c r="C4201" i="1"/>
  <c r="E4201" i="1" s="1"/>
  <c r="D4109" i="1"/>
  <c r="C4109" i="1"/>
  <c r="E4109" i="1" s="1"/>
  <c r="D4293" i="1"/>
  <c r="C4293" i="1"/>
  <c r="E4293" i="1" s="1"/>
  <c r="C3971" i="1"/>
  <c r="E3971" i="1" s="1"/>
  <c r="D3971" i="1"/>
  <c r="C4155" i="1"/>
  <c r="E4155" i="1" s="1"/>
  <c r="D4155" i="1"/>
  <c r="C3603" i="1"/>
  <c r="E3603" i="1" s="1"/>
  <c r="D3603" i="1"/>
  <c r="B4834" i="1"/>
  <c r="C4834" i="1" s="1"/>
  <c r="E4834" i="1" s="1"/>
  <c r="B4835" i="1" s="1"/>
  <c r="C5202" i="1"/>
  <c r="E5202" i="1" s="1"/>
  <c r="A4880" i="1"/>
  <c r="D4880" i="1" s="1"/>
  <c r="B5294" i="1"/>
  <c r="A5294" i="1"/>
  <c r="A4926" i="1"/>
  <c r="B4926" i="1"/>
  <c r="A5248" i="1"/>
  <c r="B5248" i="1"/>
  <c r="D5157" i="1"/>
  <c r="C5157" i="1"/>
  <c r="E5157" i="1" s="1"/>
  <c r="B5386" i="1"/>
  <c r="A5386" i="1"/>
  <c r="C4696" i="1"/>
  <c r="E4696" i="1" s="1"/>
  <c r="D4696" i="1"/>
  <c r="A4650" i="1"/>
  <c r="B4650" i="1"/>
  <c r="D5341" i="1"/>
  <c r="B4788" i="1"/>
  <c r="A4788" i="1"/>
  <c r="A4973" i="1" l="1"/>
  <c r="C4742" i="1"/>
  <c r="E4742" i="1" s="1"/>
  <c r="A4743" i="1" s="1"/>
  <c r="B4605" i="1"/>
  <c r="C4605" i="1" s="1"/>
  <c r="E4605" i="1" s="1"/>
  <c r="B4606" i="1" s="1"/>
  <c r="B4064" i="1"/>
  <c r="C4064" i="1" s="1"/>
  <c r="E4064" i="1" s="1"/>
  <c r="A5111" i="1"/>
  <c r="D5111" i="1" s="1"/>
  <c r="A5019" i="1"/>
  <c r="D5019" i="1" s="1"/>
  <c r="B4110" i="1"/>
  <c r="A4110" i="1"/>
  <c r="B3788" i="1"/>
  <c r="A3788" i="1"/>
  <c r="A4202" i="1"/>
  <c r="B4202" i="1"/>
  <c r="B3880" i="1"/>
  <c r="A3880" i="1"/>
  <c r="A4340" i="1"/>
  <c r="B4340" i="1"/>
  <c r="A4018" i="1"/>
  <c r="B4018" i="1"/>
  <c r="A3604" i="1"/>
  <c r="B3604" i="1"/>
  <c r="B3650" i="1"/>
  <c r="A3650" i="1"/>
  <c r="A4248" i="1"/>
  <c r="B4248" i="1"/>
  <c r="B4156" i="1"/>
  <c r="A4156" i="1"/>
  <c r="A3834" i="1"/>
  <c r="B3834" i="1"/>
  <c r="A3696" i="1"/>
  <c r="B3696" i="1"/>
  <c r="B5065" i="1"/>
  <c r="C5065" i="1" s="1"/>
  <c r="E5065" i="1" s="1"/>
  <c r="B3972" i="1"/>
  <c r="A3972" i="1"/>
  <c r="B3926" i="1"/>
  <c r="A3926" i="1"/>
  <c r="D4064" i="1"/>
  <c r="A4386" i="1"/>
  <c r="B4386" i="1"/>
  <c r="A3742" i="1"/>
  <c r="B3742" i="1"/>
  <c r="C4880" i="1"/>
  <c r="E4880" i="1" s="1"/>
  <c r="B4881" i="1" s="1"/>
  <c r="A4294" i="1"/>
  <c r="B4294" i="1"/>
  <c r="A4835" i="1"/>
  <c r="D4835" i="1" s="1"/>
  <c r="B5203" i="1"/>
  <c r="A5203" i="1"/>
  <c r="C4788" i="1"/>
  <c r="E4788" i="1" s="1"/>
  <c r="D4788" i="1"/>
  <c r="D5065" i="1"/>
  <c r="D5386" i="1"/>
  <c r="C5386" i="1"/>
  <c r="E5386" i="1" s="1"/>
  <c r="B5342" i="1"/>
  <c r="A5342" i="1"/>
  <c r="C4650" i="1"/>
  <c r="E4650" i="1" s="1"/>
  <c r="D4650" i="1"/>
  <c r="A5158" i="1"/>
  <c r="B5158" i="1"/>
  <c r="C5248" i="1"/>
  <c r="E5248" i="1" s="1"/>
  <c r="D5248" i="1"/>
  <c r="C4926" i="1"/>
  <c r="E4926" i="1" s="1"/>
  <c r="D4926" i="1"/>
  <c r="C5294" i="1"/>
  <c r="E5294" i="1" s="1"/>
  <c r="D5294" i="1"/>
  <c r="D4973" i="1"/>
  <c r="C4973" i="1"/>
  <c r="E4973" i="1" s="1"/>
  <c r="A4697" i="1"/>
  <c r="B4697" i="1"/>
  <c r="B4743" i="1" l="1"/>
  <c r="C4743" i="1" s="1"/>
  <c r="E4743" i="1" s="1"/>
  <c r="A4606" i="1"/>
  <c r="D4606" i="1" s="1"/>
  <c r="C5019" i="1"/>
  <c r="E5019" i="1" s="1"/>
  <c r="B5020" i="1" s="1"/>
  <c r="C5111" i="1"/>
  <c r="E5111" i="1" s="1"/>
  <c r="B5112" i="1" s="1"/>
  <c r="C4835" i="1"/>
  <c r="E4835" i="1" s="1"/>
  <c r="B4836" i="1" s="1"/>
  <c r="A4881" i="1"/>
  <c r="C4881" i="1" s="1"/>
  <c r="E4881" i="1" s="1"/>
  <c r="D4386" i="1"/>
  <c r="C4386" i="1"/>
  <c r="E4386" i="1" s="1"/>
  <c r="D3650" i="1"/>
  <c r="C3650" i="1"/>
  <c r="E3650" i="1" s="1"/>
  <c r="B4065" i="1"/>
  <c r="A4065" i="1"/>
  <c r="C3604" i="1"/>
  <c r="E3604" i="1" s="1"/>
  <c r="D3604" i="1"/>
  <c r="D3972" i="1"/>
  <c r="C3972" i="1"/>
  <c r="E3972" i="1" s="1"/>
  <c r="D4018" i="1"/>
  <c r="C4018" i="1"/>
  <c r="E4018" i="1" s="1"/>
  <c r="C4340" i="1"/>
  <c r="E4340" i="1" s="1"/>
  <c r="D4340" i="1"/>
  <c r="D3880" i="1"/>
  <c r="C3880" i="1"/>
  <c r="E3880" i="1" s="1"/>
  <c r="C3696" i="1"/>
  <c r="E3696" i="1" s="1"/>
  <c r="D3696" i="1"/>
  <c r="D3926" i="1"/>
  <c r="C3926" i="1"/>
  <c r="E3926" i="1" s="1"/>
  <c r="D4294" i="1"/>
  <c r="C4294" i="1"/>
  <c r="E4294" i="1" s="1"/>
  <c r="C3834" i="1"/>
  <c r="E3834" i="1" s="1"/>
  <c r="D3834" i="1"/>
  <c r="C4202" i="1"/>
  <c r="E4202" i="1" s="1"/>
  <c r="D4202" i="1"/>
  <c r="C4156" i="1"/>
  <c r="E4156" i="1" s="1"/>
  <c r="D4156" i="1"/>
  <c r="D3788" i="1"/>
  <c r="C3788" i="1"/>
  <c r="E3788" i="1" s="1"/>
  <c r="C3742" i="1"/>
  <c r="E3742" i="1" s="1"/>
  <c r="D3742" i="1"/>
  <c r="D4110" i="1"/>
  <c r="C4110" i="1"/>
  <c r="E4110" i="1" s="1"/>
  <c r="D4248" i="1"/>
  <c r="C4248" i="1"/>
  <c r="E4248" i="1" s="1"/>
  <c r="D5203" i="1"/>
  <c r="C5203" i="1"/>
  <c r="E5203" i="1" s="1"/>
  <c r="A4651" i="1"/>
  <c r="B4651" i="1"/>
  <c r="D5342" i="1"/>
  <c r="C5342" i="1"/>
  <c r="E5342" i="1" s="1"/>
  <c r="A5295" i="1"/>
  <c r="B5295" i="1"/>
  <c r="A5020" i="1"/>
  <c r="B4927" i="1"/>
  <c r="A4927" i="1"/>
  <c r="A5387" i="1"/>
  <c r="B5387" i="1"/>
  <c r="C5158" i="1"/>
  <c r="E5158" i="1" s="1"/>
  <c r="D5158" i="1"/>
  <c r="D4743" i="1"/>
  <c r="B5066" i="1"/>
  <c r="A5066" i="1"/>
  <c r="A4974" i="1"/>
  <c r="B4974" i="1"/>
  <c r="B5249" i="1"/>
  <c r="A5249" i="1"/>
  <c r="A4789" i="1"/>
  <c r="B4789" i="1"/>
  <c r="D4697" i="1"/>
  <c r="C4697" i="1"/>
  <c r="E4697" i="1" s="1"/>
  <c r="C4606" i="1" l="1"/>
  <c r="E4606" i="1" s="1"/>
  <c r="B4607" i="1" s="1"/>
  <c r="A5112" i="1"/>
  <c r="D4881" i="1"/>
  <c r="B4882" i="1" s="1"/>
  <c r="A4836" i="1"/>
  <c r="C4836" i="1" s="1"/>
  <c r="E4836" i="1" s="1"/>
  <c r="B3743" i="1"/>
  <c r="A3743" i="1"/>
  <c r="B3881" i="1"/>
  <c r="A3881" i="1"/>
  <c r="A4341" i="1"/>
  <c r="B4341" i="1"/>
  <c r="B3789" i="1"/>
  <c r="A3789" i="1"/>
  <c r="B4157" i="1"/>
  <c r="A4157" i="1"/>
  <c r="B4019" i="1"/>
  <c r="A4019" i="1"/>
  <c r="A4203" i="1"/>
  <c r="B4203" i="1"/>
  <c r="A3973" i="1"/>
  <c r="B3973" i="1"/>
  <c r="A3835" i="1"/>
  <c r="B3835" i="1"/>
  <c r="B3605" i="1"/>
  <c r="A3605" i="1"/>
  <c r="C4065" i="1"/>
  <c r="E4065" i="1" s="1"/>
  <c r="D4065" i="1"/>
  <c r="B4295" i="1"/>
  <c r="A4295" i="1"/>
  <c r="A4249" i="1"/>
  <c r="B4249" i="1"/>
  <c r="A3927" i="1"/>
  <c r="B3927" i="1"/>
  <c r="B3651" i="1"/>
  <c r="A3651" i="1"/>
  <c r="B3697" i="1"/>
  <c r="A3697" i="1"/>
  <c r="A4111" i="1"/>
  <c r="B4111" i="1"/>
  <c r="B4387" i="1"/>
  <c r="A4387" i="1"/>
  <c r="B5204" i="1"/>
  <c r="A5204" i="1"/>
  <c r="B5159" i="1"/>
  <c r="A5159" i="1"/>
  <c r="D4836" i="1"/>
  <c r="B4744" i="1"/>
  <c r="A4744" i="1"/>
  <c r="D4927" i="1"/>
  <c r="C4927" i="1"/>
  <c r="E4927" i="1" s="1"/>
  <c r="C5020" i="1"/>
  <c r="E5020" i="1" s="1"/>
  <c r="D5020" i="1"/>
  <c r="D5295" i="1"/>
  <c r="C5295" i="1"/>
  <c r="E5295" i="1" s="1"/>
  <c r="C5387" i="1"/>
  <c r="E5387" i="1" s="1"/>
  <c r="D5387" i="1"/>
  <c r="A5343" i="1"/>
  <c r="B5343" i="1"/>
  <c r="B4698" i="1"/>
  <c r="A4698" i="1"/>
  <c r="C4789" i="1"/>
  <c r="E4789" i="1" s="1"/>
  <c r="D4789" i="1"/>
  <c r="C5066" i="1"/>
  <c r="E5066" i="1" s="1"/>
  <c r="D5066" i="1"/>
  <c r="D5249" i="1"/>
  <c r="C5249" i="1"/>
  <c r="E5249" i="1" s="1"/>
  <c r="C4974" i="1"/>
  <c r="E4974" i="1" s="1"/>
  <c r="D4974" i="1"/>
  <c r="C4651" i="1"/>
  <c r="E4651" i="1" s="1"/>
  <c r="D4651" i="1"/>
  <c r="A4607" i="1" l="1"/>
  <c r="C4607" i="1" s="1"/>
  <c r="E4607" i="1" s="1"/>
  <c r="A4882" i="1"/>
  <c r="C4882" i="1" s="1"/>
  <c r="E4882" i="1" s="1"/>
  <c r="C5112" i="1"/>
  <c r="E5112" i="1" s="1"/>
  <c r="D5112" i="1"/>
  <c r="C3697" i="1"/>
  <c r="E3697" i="1" s="1"/>
  <c r="D3697" i="1"/>
  <c r="C3973" i="1"/>
  <c r="E3973" i="1" s="1"/>
  <c r="D3973" i="1"/>
  <c r="D3651" i="1"/>
  <c r="C3651" i="1"/>
  <c r="E3651" i="1" s="1"/>
  <c r="C4203" i="1"/>
  <c r="E4203" i="1" s="1"/>
  <c r="D4203" i="1"/>
  <c r="C4019" i="1"/>
  <c r="E4019" i="1" s="1"/>
  <c r="D4019" i="1"/>
  <c r="C3927" i="1"/>
  <c r="E3927" i="1" s="1"/>
  <c r="D3927" i="1"/>
  <c r="D4157" i="1"/>
  <c r="C4157" i="1"/>
  <c r="E4157" i="1" s="1"/>
  <c r="C4249" i="1"/>
  <c r="E4249" i="1" s="1"/>
  <c r="D4249" i="1"/>
  <c r="C4295" i="1"/>
  <c r="E4295" i="1" s="1"/>
  <c r="D4295" i="1"/>
  <c r="C3789" i="1"/>
  <c r="E3789" i="1" s="1"/>
  <c r="D3789" i="1"/>
  <c r="B4066" i="1"/>
  <c r="A4066" i="1"/>
  <c r="D4341" i="1"/>
  <c r="C4341" i="1"/>
  <c r="E4341" i="1" s="1"/>
  <c r="C4387" i="1"/>
  <c r="E4387" i="1" s="1"/>
  <c r="D4387" i="1"/>
  <c r="C3605" i="1"/>
  <c r="E3605" i="1" s="1"/>
  <c r="D3605" i="1"/>
  <c r="C3881" i="1"/>
  <c r="E3881" i="1" s="1"/>
  <c r="D3881" i="1"/>
  <c r="D3743" i="1"/>
  <c r="C3743" i="1"/>
  <c r="E3743" i="1" s="1"/>
  <c r="D4111" i="1"/>
  <c r="C4111" i="1"/>
  <c r="E4111" i="1" s="1"/>
  <c r="D3835" i="1"/>
  <c r="C3835" i="1"/>
  <c r="E3835" i="1" s="1"/>
  <c r="C5204" i="1"/>
  <c r="E5204" i="1" s="1"/>
  <c r="D5204" i="1"/>
  <c r="A5250" i="1"/>
  <c r="B5250" i="1"/>
  <c r="A5067" i="1"/>
  <c r="B5067" i="1"/>
  <c r="B4928" i="1"/>
  <c r="A4928" i="1"/>
  <c r="B4790" i="1"/>
  <c r="A4790" i="1"/>
  <c r="C4744" i="1"/>
  <c r="E4744" i="1" s="1"/>
  <c r="D4744" i="1"/>
  <c r="D4698" i="1"/>
  <c r="C4698" i="1"/>
  <c r="E4698" i="1" s="1"/>
  <c r="B5296" i="1"/>
  <c r="A5296" i="1"/>
  <c r="A4837" i="1"/>
  <c r="B4837" i="1"/>
  <c r="A4652" i="1"/>
  <c r="B4652" i="1"/>
  <c r="A4975" i="1"/>
  <c r="B4975" i="1"/>
  <c r="C5343" i="1"/>
  <c r="E5343" i="1" s="1"/>
  <c r="D5343" i="1"/>
  <c r="B5021" i="1"/>
  <c r="A5021" i="1"/>
  <c r="A5388" i="1"/>
  <c r="B5388" i="1"/>
  <c r="C5159" i="1"/>
  <c r="E5159" i="1" s="1"/>
  <c r="D5159" i="1"/>
  <c r="D4607" i="1" l="1"/>
  <c r="D4882" i="1"/>
  <c r="B4883" i="1" s="1"/>
  <c r="B5113" i="1"/>
  <c r="A5113" i="1"/>
  <c r="A4250" i="1"/>
  <c r="B4250" i="1"/>
  <c r="B3744" i="1"/>
  <c r="A3744" i="1"/>
  <c r="A3882" i="1"/>
  <c r="B3882" i="1"/>
  <c r="A4158" i="1"/>
  <c r="B4158" i="1"/>
  <c r="B3606" i="1"/>
  <c r="A3606" i="1"/>
  <c r="A3928" i="1"/>
  <c r="B3928" i="1"/>
  <c r="B4388" i="1"/>
  <c r="A4388" i="1"/>
  <c r="A4020" i="1"/>
  <c r="B4020" i="1"/>
  <c r="B4204" i="1"/>
  <c r="A4204" i="1"/>
  <c r="B4342" i="1"/>
  <c r="A4342" i="1"/>
  <c r="C4066" i="1"/>
  <c r="E4066" i="1" s="1"/>
  <c r="D4066" i="1"/>
  <c r="A3652" i="1"/>
  <c r="B3652" i="1"/>
  <c r="B3790" i="1"/>
  <c r="A3790" i="1"/>
  <c r="A3974" i="1"/>
  <c r="B3974" i="1"/>
  <c r="A3836" i="1"/>
  <c r="B3836" i="1"/>
  <c r="A4296" i="1"/>
  <c r="B4296" i="1"/>
  <c r="A3698" i="1"/>
  <c r="B3698" i="1"/>
  <c r="B4112" i="1"/>
  <c r="A4112" i="1"/>
  <c r="A5205" i="1"/>
  <c r="B5205" i="1"/>
  <c r="B4745" i="1"/>
  <c r="A4745" i="1"/>
  <c r="C4928" i="1"/>
  <c r="E4928" i="1" s="1"/>
  <c r="D4928" i="1"/>
  <c r="B4699" i="1"/>
  <c r="A4699" i="1"/>
  <c r="D4975" i="1"/>
  <c r="C4975" i="1"/>
  <c r="E4975" i="1" s="1"/>
  <c r="C4790" i="1"/>
  <c r="E4790" i="1" s="1"/>
  <c r="D4790" i="1"/>
  <c r="D4652" i="1"/>
  <c r="C4652" i="1"/>
  <c r="E4652" i="1" s="1"/>
  <c r="C5067" i="1"/>
  <c r="E5067" i="1" s="1"/>
  <c r="D5067" i="1"/>
  <c r="A5160" i="1"/>
  <c r="B5160" i="1"/>
  <c r="A5344" i="1"/>
  <c r="B5344" i="1"/>
  <c r="D5296" i="1"/>
  <c r="C5296" i="1"/>
  <c r="E5296" i="1" s="1"/>
  <c r="D5388" i="1"/>
  <c r="C5388" i="1"/>
  <c r="E5388" i="1" s="1"/>
  <c r="C5021" i="1"/>
  <c r="E5021" i="1" s="1"/>
  <c r="D5021" i="1"/>
  <c r="C4837" i="1"/>
  <c r="E4837" i="1" s="1"/>
  <c r="D4837" i="1"/>
  <c r="C5250" i="1"/>
  <c r="E5250" i="1" s="1"/>
  <c r="D5250" i="1"/>
  <c r="B4608" i="1" l="1"/>
  <c r="A4608" i="1"/>
  <c r="A4883" i="1"/>
  <c r="D4883" i="1" s="1"/>
  <c r="D5113" i="1"/>
  <c r="C5113" i="1"/>
  <c r="E5113" i="1" s="1"/>
  <c r="D4388" i="1"/>
  <c r="C4388" i="1"/>
  <c r="E4388" i="1" s="1"/>
  <c r="C3836" i="1"/>
  <c r="E3836" i="1" s="1"/>
  <c r="D3836" i="1"/>
  <c r="C3974" i="1"/>
  <c r="E3974" i="1" s="1"/>
  <c r="D3974" i="1"/>
  <c r="C3928" i="1"/>
  <c r="E3928" i="1" s="1"/>
  <c r="D3928" i="1"/>
  <c r="C3790" i="1"/>
  <c r="E3790" i="1" s="1"/>
  <c r="D3790" i="1"/>
  <c r="D3606" i="1"/>
  <c r="C3606" i="1"/>
  <c r="E3606" i="1" s="1"/>
  <c r="C3652" i="1"/>
  <c r="E3652" i="1" s="1"/>
  <c r="D3652" i="1"/>
  <c r="C4158" i="1"/>
  <c r="E4158" i="1" s="1"/>
  <c r="D4158" i="1"/>
  <c r="B4067" i="1"/>
  <c r="A4067" i="1"/>
  <c r="C3882" i="1"/>
  <c r="E3882" i="1" s="1"/>
  <c r="D3882" i="1"/>
  <c r="D4112" i="1"/>
  <c r="C4112" i="1"/>
  <c r="E4112" i="1" s="1"/>
  <c r="C4342" i="1"/>
  <c r="E4342" i="1" s="1"/>
  <c r="D4342" i="1"/>
  <c r="C3744" i="1"/>
  <c r="E3744" i="1" s="1"/>
  <c r="D3744" i="1"/>
  <c r="D4296" i="1"/>
  <c r="C4296" i="1"/>
  <c r="E4296" i="1" s="1"/>
  <c r="C4204" i="1"/>
  <c r="E4204" i="1" s="1"/>
  <c r="D4204" i="1"/>
  <c r="D4020" i="1"/>
  <c r="C4020" i="1"/>
  <c r="E4020" i="1" s="1"/>
  <c r="C3698" i="1"/>
  <c r="E3698" i="1" s="1"/>
  <c r="D3698" i="1"/>
  <c r="D4250" i="1"/>
  <c r="C4250" i="1"/>
  <c r="E4250" i="1" s="1"/>
  <c r="C5205" i="1"/>
  <c r="E5205" i="1" s="1"/>
  <c r="D5205" i="1"/>
  <c r="A5022" i="1"/>
  <c r="B5022" i="1"/>
  <c r="B5251" i="1"/>
  <c r="A5251" i="1"/>
  <c r="A4653" i="1"/>
  <c r="B4653" i="1"/>
  <c r="A4791" i="1"/>
  <c r="B4791" i="1"/>
  <c r="B5068" i="1"/>
  <c r="A5068" i="1"/>
  <c r="C4699" i="1"/>
  <c r="E4699" i="1" s="1"/>
  <c r="D4699" i="1"/>
  <c r="A4838" i="1"/>
  <c r="B4838" i="1"/>
  <c r="C5160" i="1"/>
  <c r="E5160" i="1" s="1"/>
  <c r="D5160" i="1"/>
  <c r="A5297" i="1"/>
  <c r="B5297" i="1"/>
  <c r="B4929" i="1"/>
  <c r="A4929" i="1"/>
  <c r="C5344" i="1"/>
  <c r="E5344" i="1" s="1"/>
  <c r="D5344" i="1"/>
  <c r="C4745" i="1"/>
  <c r="E4745" i="1" s="1"/>
  <c r="D4745" i="1"/>
  <c r="B5389" i="1"/>
  <c r="A5389" i="1"/>
  <c r="B4976" i="1"/>
  <c r="A4976" i="1"/>
  <c r="C4608" i="1" l="1"/>
  <c r="E4608" i="1" s="1"/>
  <c r="D4608" i="1"/>
  <c r="C4883" i="1"/>
  <c r="E4883" i="1" s="1"/>
  <c r="A4884" i="1" s="1"/>
  <c r="B5114" i="1"/>
  <c r="A5114" i="1"/>
  <c r="B4159" i="1"/>
  <c r="A4159" i="1"/>
  <c r="B4021" i="1"/>
  <c r="A4021" i="1"/>
  <c r="B4205" i="1"/>
  <c r="A4205" i="1"/>
  <c r="A3653" i="1"/>
  <c r="B3653" i="1"/>
  <c r="A4297" i="1"/>
  <c r="B4297" i="1"/>
  <c r="A3607" i="1"/>
  <c r="B3607" i="1"/>
  <c r="B3745" i="1"/>
  <c r="A3745" i="1"/>
  <c r="A3791" i="1"/>
  <c r="B3791" i="1"/>
  <c r="B4343" i="1"/>
  <c r="A4343" i="1"/>
  <c r="B3929" i="1"/>
  <c r="A3929" i="1"/>
  <c r="B3975" i="1"/>
  <c r="A3975" i="1"/>
  <c r="A4113" i="1"/>
  <c r="B4113" i="1"/>
  <c r="B3883" i="1"/>
  <c r="A3883" i="1"/>
  <c r="B3837" i="1"/>
  <c r="A3837" i="1"/>
  <c r="B4251" i="1"/>
  <c r="A4251" i="1"/>
  <c r="A3699" i="1"/>
  <c r="B3699" i="1"/>
  <c r="C4067" i="1"/>
  <c r="E4067" i="1" s="1"/>
  <c r="D4067" i="1"/>
  <c r="B4389" i="1"/>
  <c r="A4389" i="1"/>
  <c r="B5206" i="1"/>
  <c r="A5206" i="1"/>
  <c r="C5068" i="1"/>
  <c r="E5068" i="1" s="1"/>
  <c r="D5068" i="1"/>
  <c r="A4746" i="1"/>
  <c r="B4746" i="1"/>
  <c r="A5345" i="1"/>
  <c r="B5345" i="1"/>
  <c r="B4700" i="1"/>
  <c r="A4700" i="1"/>
  <c r="D4929" i="1"/>
  <c r="C4929" i="1"/>
  <c r="E4929" i="1" s="1"/>
  <c r="D5389" i="1"/>
  <c r="C5389" i="1"/>
  <c r="E5389" i="1" s="1"/>
  <c r="C4653" i="1"/>
  <c r="E4653" i="1" s="1"/>
  <c r="D4653" i="1"/>
  <c r="C4838" i="1"/>
  <c r="E4838" i="1" s="1"/>
  <c r="D4838" i="1"/>
  <c r="C5251" i="1"/>
  <c r="E5251" i="1" s="1"/>
  <c r="D5251" i="1"/>
  <c r="C4976" i="1"/>
  <c r="E4976" i="1" s="1"/>
  <c r="D4976" i="1"/>
  <c r="C5297" i="1"/>
  <c r="E5297" i="1" s="1"/>
  <c r="D5297" i="1"/>
  <c r="B5161" i="1"/>
  <c r="A5161" i="1"/>
  <c r="C4791" i="1"/>
  <c r="E4791" i="1" s="1"/>
  <c r="D4791" i="1"/>
  <c r="D5022" i="1"/>
  <c r="C5022" i="1"/>
  <c r="E5022" i="1" s="1"/>
  <c r="B4609" i="1" l="1"/>
  <c r="A4609" i="1"/>
  <c r="B4884" i="1"/>
  <c r="C4884" i="1" s="1"/>
  <c r="E4884" i="1" s="1"/>
  <c r="D5114" i="1"/>
  <c r="C5114" i="1"/>
  <c r="E5114" i="1" s="1"/>
  <c r="D3699" i="1"/>
  <c r="C3699" i="1"/>
  <c r="E3699" i="1" s="1"/>
  <c r="C3791" i="1"/>
  <c r="E3791" i="1" s="1"/>
  <c r="D3791" i="1"/>
  <c r="C4251" i="1"/>
  <c r="E4251" i="1" s="1"/>
  <c r="D4251" i="1"/>
  <c r="D3745" i="1"/>
  <c r="C3745" i="1"/>
  <c r="E3745" i="1" s="1"/>
  <c r="C3837" i="1"/>
  <c r="E3837" i="1" s="1"/>
  <c r="D3837" i="1"/>
  <c r="D3607" i="1"/>
  <c r="C3607" i="1"/>
  <c r="E3607" i="1" s="1"/>
  <c r="C3883" i="1"/>
  <c r="E3883" i="1" s="1"/>
  <c r="D3883" i="1"/>
  <c r="C4297" i="1"/>
  <c r="E4297" i="1" s="1"/>
  <c r="D4297" i="1"/>
  <c r="D4113" i="1"/>
  <c r="C4113" i="1"/>
  <c r="E4113" i="1" s="1"/>
  <c r="D3653" i="1"/>
  <c r="C3653" i="1"/>
  <c r="E3653" i="1" s="1"/>
  <c r="D3975" i="1"/>
  <c r="C3975" i="1"/>
  <c r="E3975" i="1" s="1"/>
  <c r="C4205" i="1"/>
  <c r="E4205" i="1" s="1"/>
  <c r="D4205" i="1"/>
  <c r="C4389" i="1"/>
  <c r="E4389" i="1" s="1"/>
  <c r="D4389" i="1"/>
  <c r="D3929" i="1"/>
  <c r="C3929" i="1"/>
  <c r="E3929" i="1" s="1"/>
  <c r="D4021" i="1"/>
  <c r="C4021" i="1"/>
  <c r="E4021" i="1" s="1"/>
  <c r="A4068" i="1"/>
  <c r="B4068" i="1"/>
  <c r="C4343" i="1"/>
  <c r="E4343" i="1" s="1"/>
  <c r="D4343" i="1"/>
  <c r="C4159" i="1"/>
  <c r="E4159" i="1" s="1"/>
  <c r="D4159" i="1"/>
  <c r="D5206" i="1"/>
  <c r="C5206" i="1"/>
  <c r="E5206" i="1" s="1"/>
  <c r="A4792" i="1"/>
  <c r="B4792" i="1"/>
  <c r="B4654" i="1"/>
  <c r="A4654" i="1"/>
  <c r="A5390" i="1"/>
  <c r="B5390" i="1"/>
  <c r="B5298" i="1"/>
  <c r="A5298" i="1"/>
  <c r="D5161" i="1"/>
  <c r="C5161" i="1"/>
  <c r="E5161" i="1" s="1"/>
  <c r="A4930" i="1"/>
  <c r="B4930" i="1"/>
  <c r="B4977" i="1"/>
  <c r="A4977" i="1"/>
  <c r="D5345" i="1"/>
  <c r="C5345" i="1"/>
  <c r="E5345" i="1" s="1"/>
  <c r="A5023" i="1"/>
  <c r="B5023" i="1"/>
  <c r="B5252" i="1"/>
  <c r="A5252" i="1"/>
  <c r="C4700" i="1"/>
  <c r="E4700" i="1" s="1"/>
  <c r="D4700" i="1"/>
  <c r="D4746" i="1"/>
  <c r="C4746" i="1"/>
  <c r="E4746" i="1" s="1"/>
  <c r="B4839" i="1"/>
  <c r="A4839" i="1"/>
  <c r="A5069" i="1"/>
  <c r="B5069" i="1"/>
  <c r="D4884" i="1"/>
  <c r="D4609" i="1" l="1"/>
  <c r="C4609" i="1"/>
  <c r="E4609" i="1" s="1"/>
  <c r="A5115" i="1"/>
  <c r="B5115" i="1"/>
  <c r="A4298" i="1"/>
  <c r="B4298" i="1"/>
  <c r="C4068" i="1"/>
  <c r="E4068" i="1" s="1"/>
  <c r="D4068" i="1"/>
  <c r="B3884" i="1"/>
  <c r="A3884" i="1"/>
  <c r="B4022" i="1"/>
  <c r="A4022" i="1"/>
  <c r="B3930" i="1"/>
  <c r="A3930" i="1"/>
  <c r="A3608" i="1"/>
  <c r="B3608" i="1"/>
  <c r="B4390" i="1"/>
  <c r="A4390" i="1"/>
  <c r="A3838" i="1"/>
  <c r="B3838" i="1"/>
  <c r="B4206" i="1"/>
  <c r="A4206" i="1"/>
  <c r="A3746" i="1"/>
  <c r="B3746" i="1"/>
  <c r="B4252" i="1"/>
  <c r="A4252" i="1"/>
  <c r="B3976" i="1"/>
  <c r="A3976" i="1"/>
  <c r="B4160" i="1"/>
  <c r="A4160" i="1"/>
  <c r="B3792" i="1"/>
  <c r="A3792" i="1"/>
  <c r="A3654" i="1"/>
  <c r="B3654" i="1"/>
  <c r="A4344" i="1"/>
  <c r="B4344" i="1"/>
  <c r="A4114" i="1"/>
  <c r="B4114" i="1"/>
  <c r="A3700" i="1"/>
  <c r="B3700" i="1"/>
  <c r="B5207" i="1"/>
  <c r="A5207" i="1"/>
  <c r="C5069" i="1"/>
  <c r="E5069" i="1" s="1"/>
  <c r="D5069" i="1"/>
  <c r="B5162" i="1"/>
  <c r="A5162" i="1"/>
  <c r="D4839" i="1"/>
  <c r="C4839" i="1"/>
  <c r="E4839" i="1" s="1"/>
  <c r="C5298" i="1"/>
  <c r="E5298" i="1" s="1"/>
  <c r="D5298" i="1"/>
  <c r="D5252" i="1"/>
  <c r="C5252" i="1"/>
  <c r="E5252" i="1" s="1"/>
  <c r="C5390" i="1"/>
  <c r="E5390" i="1" s="1"/>
  <c r="D5390" i="1"/>
  <c r="B5346" i="1"/>
  <c r="A5346" i="1"/>
  <c r="C4654" i="1"/>
  <c r="E4654" i="1" s="1"/>
  <c r="D4654" i="1"/>
  <c r="B4885" i="1"/>
  <c r="A4885" i="1"/>
  <c r="C4977" i="1"/>
  <c r="E4977" i="1" s="1"/>
  <c r="D4977" i="1"/>
  <c r="B4747" i="1"/>
  <c r="A4747" i="1"/>
  <c r="D4930" i="1"/>
  <c r="C4930" i="1"/>
  <c r="E4930" i="1" s="1"/>
  <c r="A4701" i="1"/>
  <c r="B4701" i="1"/>
  <c r="D5023" i="1"/>
  <c r="C5023" i="1"/>
  <c r="E5023" i="1" s="1"/>
  <c r="D4792" i="1"/>
  <c r="C4792" i="1"/>
  <c r="E4792" i="1" s="1"/>
  <c r="A4610" i="1" l="1"/>
  <c r="B4610" i="1"/>
  <c r="C5115" i="1"/>
  <c r="E5115" i="1" s="1"/>
  <c r="D5115" i="1"/>
  <c r="C3838" i="1"/>
  <c r="E3838" i="1" s="1"/>
  <c r="D3838" i="1"/>
  <c r="C4390" i="1"/>
  <c r="E4390" i="1" s="1"/>
  <c r="D4390" i="1"/>
  <c r="C3654" i="1"/>
  <c r="E3654" i="1" s="1"/>
  <c r="D3654" i="1"/>
  <c r="C3792" i="1"/>
  <c r="E3792" i="1" s="1"/>
  <c r="D3792" i="1"/>
  <c r="C3608" i="1"/>
  <c r="E3608" i="1" s="1"/>
  <c r="D3608" i="1"/>
  <c r="C4160" i="1"/>
  <c r="E4160" i="1" s="1"/>
  <c r="D4160" i="1"/>
  <c r="C3930" i="1"/>
  <c r="E3930" i="1" s="1"/>
  <c r="D3930" i="1"/>
  <c r="C3976" i="1"/>
  <c r="E3976" i="1" s="1"/>
  <c r="D3976" i="1"/>
  <c r="D4022" i="1"/>
  <c r="C4022" i="1"/>
  <c r="E4022" i="1" s="1"/>
  <c r="C4344" i="1"/>
  <c r="E4344" i="1" s="1"/>
  <c r="D4344" i="1"/>
  <c r="C4252" i="1"/>
  <c r="E4252" i="1" s="1"/>
  <c r="D4252" i="1"/>
  <c r="D3884" i="1"/>
  <c r="C3884" i="1"/>
  <c r="E3884" i="1" s="1"/>
  <c r="B4069" i="1"/>
  <c r="A4069" i="1"/>
  <c r="C3700" i="1"/>
  <c r="E3700" i="1" s="1"/>
  <c r="D3700" i="1"/>
  <c r="D3746" i="1"/>
  <c r="C3746" i="1"/>
  <c r="E3746" i="1" s="1"/>
  <c r="D4206" i="1"/>
  <c r="C4206" i="1"/>
  <c r="E4206" i="1" s="1"/>
  <c r="C4114" i="1"/>
  <c r="E4114" i="1" s="1"/>
  <c r="D4114" i="1"/>
  <c r="D4298" i="1"/>
  <c r="C4298" i="1"/>
  <c r="E4298" i="1" s="1"/>
  <c r="C5207" i="1"/>
  <c r="E5207" i="1" s="1"/>
  <c r="D5207" i="1"/>
  <c r="B5024" i="1"/>
  <c r="A5024" i="1"/>
  <c r="C5346" i="1"/>
  <c r="E5346" i="1" s="1"/>
  <c r="D5346" i="1"/>
  <c r="A5391" i="1"/>
  <c r="B5391" i="1"/>
  <c r="B4793" i="1"/>
  <c r="A4793" i="1"/>
  <c r="C4701" i="1"/>
  <c r="E4701" i="1" s="1"/>
  <c r="D4701" i="1"/>
  <c r="A5299" i="1"/>
  <c r="B5299" i="1"/>
  <c r="B4931" i="1"/>
  <c r="A4931" i="1"/>
  <c r="B4978" i="1"/>
  <c r="A4978" i="1"/>
  <c r="B4840" i="1"/>
  <c r="A4840" i="1"/>
  <c r="D4747" i="1"/>
  <c r="C4747" i="1"/>
  <c r="E4747" i="1" s="1"/>
  <c r="C4885" i="1"/>
  <c r="E4885" i="1" s="1"/>
  <c r="D4885" i="1"/>
  <c r="C5162" i="1"/>
  <c r="E5162" i="1" s="1"/>
  <c r="D5162" i="1"/>
  <c r="B5253" i="1"/>
  <c r="A5253" i="1"/>
  <c r="A4655" i="1"/>
  <c r="B4655" i="1"/>
  <c r="B5070" i="1"/>
  <c r="A5070" i="1"/>
  <c r="C4610" i="1" l="1"/>
  <c r="E4610" i="1" s="1"/>
  <c r="D4610" i="1"/>
  <c r="B5116" i="1"/>
  <c r="A5116" i="1"/>
  <c r="A3977" i="1"/>
  <c r="B3977" i="1"/>
  <c r="B3931" i="1"/>
  <c r="A3931" i="1"/>
  <c r="B3747" i="1"/>
  <c r="A3747" i="1"/>
  <c r="B3701" i="1"/>
  <c r="A3701" i="1"/>
  <c r="A4161" i="1"/>
  <c r="B4161" i="1"/>
  <c r="B4207" i="1"/>
  <c r="A4207" i="1"/>
  <c r="D4069" i="1"/>
  <c r="C4069" i="1"/>
  <c r="E4069" i="1" s="1"/>
  <c r="B3609" i="1"/>
  <c r="A3609" i="1"/>
  <c r="B3793" i="1"/>
  <c r="A3793" i="1"/>
  <c r="A3885" i="1"/>
  <c r="B3885" i="1"/>
  <c r="A4253" i="1"/>
  <c r="B4253" i="1"/>
  <c r="B3655" i="1"/>
  <c r="A3655" i="1"/>
  <c r="B4345" i="1"/>
  <c r="A4345" i="1"/>
  <c r="B4391" i="1"/>
  <c r="A4391" i="1"/>
  <c r="A4115" i="1"/>
  <c r="B4115" i="1"/>
  <c r="A3839" i="1"/>
  <c r="B3839" i="1"/>
  <c r="A4299" i="1"/>
  <c r="B4299" i="1"/>
  <c r="B4023" i="1"/>
  <c r="A4023" i="1"/>
  <c r="B5208" i="1"/>
  <c r="A5208" i="1"/>
  <c r="C4655" i="1"/>
  <c r="E4655" i="1" s="1"/>
  <c r="D4655" i="1"/>
  <c r="C5070" i="1"/>
  <c r="E5070" i="1" s="1"/>
  <c r="D5070" i="1"/>
  <c r="C5253" i="1"/>
  <c r="E5253" i="1" s="1"/>
  <c r="D5253" i="1"/>
  <c r="D5299" i="1"/>
  <c r="C5299" i="1"/>
  <c r="E5299" i="1" s="1"/>
  <c r="A4702" i="1"/>
  <c r="B4702" i="1"/>
  <c r="B4886" i="1"/>
  <c r="A4886" i="1"/>
  <c r="D5391" i="1"/>
  <c r="C5391" i="1"/>
  <c r="E5391" i="1" s="1"/>
  <c r="A5347" i="1"/>
  <c r="B5347" i="1"/>
  <c r="D4931" i="1"/>
  <c r="C4931" i="1"/>
  <c r="E4931" i="1" s="1"/>
  <c r="D4793" i="1"/>
  <c r="C4793" i="1"/>
  <c r="E4793" i="1" s="1"/>
  <c r="C4978" i="1"/>
  <c r="E4978" i="1" s="1"/>
  <c r="D4978" i="1"/>
  <c r="A5163" i="1"/>
  <c r="B5163" i="1"/>
  <c r="C4840" i="1"/>
  <c r="E4840" i="1" s="1"/>
  <c r="D4840" i="1"/>
  <c r="D5024" i="1"/>
  <c r="C5024" i="1"/>
  <c r="E5024" i="1" s="1"/>
  <c r="B4748" i="1"/>
  <c r="A4748" i="1"/>
  <c r="B4611" i="1" l="1"/>
  <c r="A4611" i="1"/>
  <c r="C5116" i="1"/>
  <c r="E5116" i="1" s="1"/>
  <c r="D5116" i="1"/>
  <c r="D3609" i="1"/>
  <c r="C3609" i="1"/>
  <c r="E3609" i="1" s="1"/>
  <c r="A4070" i="1"/>
  <c r="B4070" i="1"/>
  <c r="D4391" i="1"/>
  <c r="C4391" i="1"/>
  <c r="E4391" i="1" s="1"/>
  <c r="C4207" i="1"/>
  <c r="E4207" i="1" s="1"/>
  <c r="D4207" i="1"/>
  <c r="C4345" i="1"/>
  <c r="E4345" i="1" s="1"/>
  <c r="D4345" i="1"/>
  <c r="D4161" i="1"/>
  <c r="C4161" i="1"/>
  <c r="E4161" i="1" s="1"/>
  <c r="D4115" i="1"/>
  <c r="C4115" i="1"/>
  <c r="E4115" i="1" s="1"/>
  <c r="D3655" i="1"/>
  <c r="C3655" i="1"/>
  <c r="E3655" i="1" s="1"/>
  <c r="C3701" i="1"/>
  <c r="E3701" i="1" s="1"/>
  <c r="D3701" i="1"/>
  <c r="C3747" i="1"/>
  <c r="E3747" i="1" s="1"/>
  <c r="D3747" i="1"/>
  <c r="C3839" i="1"/>
  <c r="E3839" i="1" s="1"/>
  <c r="D3839" i="1"/>
  <c r="C4253" i="1"/>
  <c r="E4253" i="1" s="1"/>
  <c r="D4253" i="1"/>
  <c r="C4023" i="1"/>
  <c r="E4023" i="1" s="1"/>
  <c r="D4023" i="1"/>
  <c r="D3931" i="1"/>
  <c r="C3931" i="1"/>
  <c r="E3931" i="1" s="1"/>
  <c r="C3885" i="1"/>
  <c r="E3885" i="1" s="1"/>
  <c r="D3885" i="1"/>
  <c r="C3793" i="1"/>
  <c r="E3793" i="1" s="1"/>
  <c r="D3793" i="1"/>
  <c r="D4299" i="1"/>
  <c r="C4299" i="1"/>
  <c r="E4299" i="1" s="1"/>
  <c r="D3977" i="1"/>
  <c r="C3977" i="1"/>
  <c r="E3977" i="1" s="1"/>
  <c r="C5208" i="1"/>
  <c r="E5208" i="1" s="1"/>
  <c r="D5208" i="1"/>
  <c r="A5392" i="1"/>
  <c r="B5392" i="1"/>
  <c r="C5347" i="1"/>
  <c r="E5347" i="1" s="1"/>
  <c r="D5347" i="1"/>
  <c r="C4886" i="1"/>
  <c r="E4886" i="1" s="1"/>
  <c r="D4886" i="1"/>
  <c r="A4841" i="1"/>
  <c r="B4841" i="1"/>
  <c r="D5163" i="1"/>
  <c r="C5163" i="1"/>
  <c r="E5163" i="1" s="1"/>
  <c r="A5300" i="1"/>
  <c r="B5300" i="1"/>
  <c r="B4979" i="1"/>
  <c r="A4979" i="1"/>
  <c r="B5254" i="1"/>
  <c r="A5254" i="1"/>
  <c r="A5025" i="1"/>
  <c r="B5025" i="1"/>
  <c r="B5071" i="1"/>
  <c r="A5071" i="1"/>
  <c r="B4794" i="1"/>
  <c r="A4794" i="1"/>
  <c r="D4748" i="1"/>
  <c r="C4748" i="1"/>
  <c r="E4748" i="1" s="1"/>
  <c r="D4702" i="1"/>
  <c r="C4702" i="1"/>
  <c r="E4702" i="1" s="1"/>
  <c r="B4656" i="1"/>
  <c r="A4656" i="1"/>
  <c r="B4932" i="1"/>
  <c r="A4932" i="1"/>
  <c r="C4611" i="1" l="1"/>
  <c r="E4611" i="1" s="1"/>
  <c r="D4611" i="1"/>
  <c r="A5117" i="1"/>
  <c r="B5117" i="1"/>
  <c r="A3656" i="1"/>
  <c r="B3656" i="1"/>
  <c r="A4116" i="1"/>
  <c r="B4116" i="1"/>
  <c r="A3932" i="1"/>
  <c r="B3932" i="1"/>
  <c r="A4162" i="1"/>
  <c r="B4162" i="1"/>
  <c r="A3794" i="1"/>
  <c r="B3794" i="1"/>
  <c r="B4024" i="1"/>
  <c r="A4024" i="1"/>
  <c r="B4346" i="1"/>
  <c r="A4346" i="1"/>
  <c r="B4254" i="1"/>
  <c r="A4254" i="1"/>
  <c r="B4208" i="1"/>
  <c r="A4208" i="1"/>
  <c r="A3886" i="1"/>
  <c r="B3886" i="1"/>
  <c r="B3840" i="1"/>
  <c r="A3840" i="1"/>
  <c r="A4392" i="1"/>
  <c r="B4392" i="1"/>
  <c r="B3748" i="1"/>
  <c r="A3748" i="1"/>
  <c r="A3978" i="1"/>
  <c r="B3978" i="1"/>
  <c r="D4070" i="1"/>
  <c r="C4070" i="1"/>
  <c r="E4070" i="1" s="1"/>
  <c r="A3702" i="1"/>
  <c r="B3702" i="1"/>
  <c r="B4300" i="1"/>
  <c r="A4300" i="1"/>
  <c r="B3610" i="1"/>
  <c r="A3610" i="1"/>
  <c r="A5209" i="1"/>
  <c r="B5209" i="1"/>
  <c r="C4656" i="1"/>
  <c r="E4656" i="1" s="1"/>
  <c r="D4656" i="1"/>
  <c r="C5254" i="1"/>
  <c r="E5254" i="1" s="1"/>
  <c r="D5254" i="1"/>
  <c r="A4749" i="1"/>
  <c r="B4749" i="1"/>
  <c r="C4841" i="1"/>
  <c r="E4841" i="1" s="1"/>
  <c r="D4841" i="1"/>
  <c r="D4932" i="1"/>
  <c r="C4932" i="1"/>
  <c r="E4932" i="1" s="1"/>
  <c r="D4979" i="1"/>
  <c r="C4979" i="1"/>
  <c r="E4979" i="1" s="1"/>
  <c r="B4703" i="1"/>
  <c r="A4703" i="1"/>
  <c r="D4794" i="1"/>
  <c r="C4794" i="1"/>
  <c r="E4794" i="1" s="1"/>
  <c r="B4887" i="1"/>
  <c r="A4887" i="1"/>
  <c r="D5300" i="1"/>
  <c r="C5300" i="1"/>
  <c r="E5300" i="1" s="1"/>
  <c r="A5348" i="1"/>
  <c r="B5348" i="1"/>
  <c r="B5164" i="1"/>
  <c r="A5164" i="1"/>
  <c r="D5071" i="1"/>
  <c r="C5071" i="1"/>
  <c r="E5071" i="1" s="1"/>
  <c r="C5025" i="1"/>
  <c r="E5025" i="1" s="1"/>
  <c r="D5025" i="1"/>
  <c r="D5392" i="1"/>
  <c r="C5392" i="1"/>
  <c r="E5392" i="1" s="1"/>
  <c r="A4612" i="1" l="1"/>
  <c r="B4612" i="1"/>
  <c r="C5117" i="1"/>
  <c r="E5117" i="1" s="1"/>
  <c r="D5117" i="1"/>
  <c r="D4024" i="1"/>
  <c r="C4024" i="1"/>
  <c r="E4024" i="1" s="1"/>
  <c r="C4346" i="1"/>
  <c r="E4346" i="1" s="1"/>
  <c r="D4346" i="1"/>
  <c r="D3748" i="1"/>
  <c r="C3748" i="1"/>
  <c r="E3748" i="1" s="1"/>
  <c r="D3794" i="1"/>
  <c r="C3794" i="1"/>
  <c r="E3794" i="1" s="1"/>
  <c r="C4254" i="1"/>
  <c r="E4254" i="1" s="1"/>
  <c r="D4254" i="1"/>
  <c r="C4392" i="1"/>
  <c r="E4392" i="1" s="1"/>
  <c r="D4392" i="1"/>
  <c r="C4162" i="1"/>
  <c r="E4162" i="1" s="1"/>
  <c r="D4162" i="1"/>
  <c r="D3702" i="1"/>
  <c r="C3702" i="1"/>
  <c r="E3702" i="1" s="1"/>
  <c r="D3840" i="1"/>
  <c r="C3840" i="1"/>
  <c r="E3840" i="1" s="1"/>
  <c r="D3932" i="1"/>
  <c r="C3932" i="1"/>
  <c r="E3932" i="1" s="1"/>
  <c r="C3978" i="1"/>
  <c r="E3978" i="1" s="1"/>
  <c r="D3978" i="1"/>
  <c r="D3610" i="1"/>
  <c r="C3610" i="1"/>
  <c r="E3610" i="1" s="1"/>
  <c r="C3886" i="1"/>
  <c r="E3886" i="1" s="1"/>
  <c r="D3886" i="1"/>
  <c r="C4116" i="1"/>
  <c r="E4116" i="1" s="1"/>
  <c r="D4116" i="1"/>
  <c r="A4071" i="1"/>
  <c r="B4071" i="1"/>
  <c r="D4300" i="1"/>
  <c r="C4300" i="1"/>
  <c r="E4300" i="1" s="1"/>
  <c r="C4208" i="1"/>
  <c r="E4208" i="1" s="1"/>
  <c r="D4208" i="1"/>
  <c r="D3656" i="1"/>
  <c r="C3656" i="1"/>
  <c r="E3656" i="1" s="1"/>
  <c r="C5209" i="1"/>
  <c r="E5209" i="1" s="1"/>
  <c r="D5209" i="1"/>
  <c r="B5026" i="1"/>
  <c r="A5026" i="1"/>
  <c r="C4703" i="1"/>
  <c r="E4703" i="1" s="1"/>
  <c r="D4703" i="1"/>
  <c r="D5164" i="1"/>
  <c r="C5164" i="1"/>
  <c r="E5164" i="1" s="1"/>
  <c r="A4933" i="1"/>
  <c r="B4933" i="1"/>
  <c r="B4842" i="1"/>
  <c r="A4842" i="1"/>
  <c r="B4980" i="1"/>
  <c r="A4980" i="1"/>
  <c r="A4795" i="1"/>
  <c r="B4795" i="1"/>
  <c r="A5072" i="1"/>
  <c r="B5072" i="1"/>
  <c r="D5348" i="1"/>
  <c r="C5348" i="1"/>
  <c r="E5348" i="1" s="1"/>
  <c r="D4749" i="1"/>
  <c r="C4749" i="1"/>
  <c r="E4749" i="1" s="1"/>
  <c r="B5393" i="1"/>
  <c r="A5393" i="1"/>
  <c r="A5255" i="1"/>
  <c r="B5255" i="1"/>
  <c r="A5301" i="1"/>
  <c r="B5301" i="1"/>
  <c r="C4887" i="1"/>
  <c r="E4887" i="1" s="1"/>
  <c r="D4887" i="1"/>
  <c r="A4657" i="1"/>
  <c r="B4657" i="1"/>
  <c r="D4612" i="1" l="1"/>
  <c r="C4612" i="1"/>
  <c r="E4612" i="1" s="1"/>
  <c r="A5118" i="1"/>
  <c r="B5118" i="1"/>
  <c r="B3703" i="1"/>
  <c r="A3703" i="1"/>
  <c r="B4163" i="1"/>
  <c r="A4163" i="1"/>
  <c r="D4071" i="1"/>
  <c r="C4071" i="1"/>
  <c r="E4071" i="1" s="1"/>
  <c r="B4117" i="1"/>
  <c r="A4117" i="1"/>
  <c r="B4393" i="1"/>
  <c r="A4393" i="1"/>
  <c r="B3887" i="1"/>
  <c r="A3887" i="1"/>
  <c r="A4255" i="1"/>
  <c r="B4255" i="1"/>
  <c r="B3611" i="1"/>
  <c r="A3611" i="1"/>
  <c r="A3795" i="1"/>
  <c r="B3795" i="1"/>
  <c r="B4301" i="1"/>
  <c r="A4301" i="1"/>
  <c r="B3979" i="1"/>
  <c r="A3979" i="1"/>
  <c r="A3749" i="1"/>
  <c r="B3749" i="1"/>
  <c r="B4347" i="1"/>
  <c r="A4347" i="1"/>
  <c r="A3657" i="1"/>
  <c r="B3657" i="1"/>
  <c r="A3933" i="1"/>
  <c r="B3933" i="1"/>
  <c r="B4209" i="1"/>
  <c r="A4209" i="1"/>
  <c r="B3841" i="1"/>
  <c r="A3841" i="1"/>
  <c r="B4025" i="1"/>
  <c r="A4025" i="1"/>
  <c r="A5210" i="1"/>
  <c r="B5210" i="1"/>
  <c r="C4980" i="1"/>
  <c r="E4980" i="1" s="1"/>
  <c r="D4980" i="1"/>
  <c r="D4795" i="1"/>
  <c r="C4795" i="1"/>
  <c r="E4795" i="1" s="1"/>
  <c r="C5301" i="1"/>
  <c r="E5301" i="1" s="1"/>
  <c r="D5301" i="1"/>
  <c r="D4842" i="1"/>
  <c r="C4842" i="1"/>
  <c r="E4842" i="1" s="1"/>
  <c r="D5393" i="1"/>
  <c r="C5393" i="1"/>
  <c r="E5393" i="1" s="1"/>
  <c r="A4888" i="1"/>
  <c r="B4888" i="1"/>
  <c r="B4750" i="1"/>
  <c r="A4750" i="1"/>
  <c r="B5165" i="1"/>
  <c r="A5165" i="1"/>
  <c r="A4704" i="1"/>
  <c r="B4704" i="1"/>
  <c r="D4657" i="1"/>
  <c r="C4657" i="1"/>
  <c r="E4657" i="1" s="1"/>
  <c r="C5255" i="1"/>
  <c r="E5255" i="1" s="1"/>
  <c r="D5255" i="1"/>
  <c r="A5349" i="1"/>
  <c r="B5349" i="1"/>
  <c r="C5026" i="1"/>
  <c r="E5026" i="1" s="1"/>
  <c r="D5026" i="1"/>
  <c r="D4933" i="1"/>
  <c r="C4933" i="1"/>
  <c r="E4933" i="1" s="1"/>
  <c r="C5072" i="1"/>
  <c r="E5072" i="1" s="1"/>
  <c r="D5072" i="1"/>
  <c r="A4613" i="1" l="1"/>
  <c r="B4613" i="1"/>
  <c r="C5118" i="1"/>
  <c r="E5118" i="1" s="1"/>
  <c r="D5118" i="1"/>
  <c r="D4209" i="1"/>
  <c r="C4209" i="1"/>
  <c r="E4209" i="1" s="1"/>
  <c r="D3611" i="1"/>
  <c r="C3611" i="1"/>
  <c r="E3611" i="1" s="1"/>
  <c r="C3933" i="1"/>
  <c r="E3933" i="1" s="1"/>
  <c r="D3933" i="1"/>
  <c r="C4255" i="1"/>
  <c r="E4255" i="1" s="1"/>
  <c r="D4255" i="1"/>
  <c r="C3887" i="1"/>
  <c r="E3887" i="1" s="1"/>
  <c r="D3887" i="1"/>
  <c r="D3657" i="1"/>
  <c r="C3657" i="1"/>
  <c r="E3657" i="1" s="1"/>
  <c r="C4347" i="1"/>
  <c r="E4347" i="1" s="1"/>
  <c r="D4347" i="1"/>
  <c r="D4393" i="1"/>
  <c r="C4393" i="1"/>
  <c r="E4393" i="1" s="1"/>
  <c r="C4117" i="1"/>
  <c r="E4117" i="1" s="1"/>
  <c r="D4117" i="1"/>
  <c r="D3749" i="1"/>
  <c r="C3749" i="1"/>
  <c r="E3749" i="1" s="1"/>
  <c r="D3979" i="1"/>
  <c r="C3979" i="1"/>
  <c r="E3979" i="1" s="1"/>
  <c r="A4072" i="1"/>
  <c r="B4072" i="1"/>
  <c r="C4025" i="1"/>
  <c r="E4025" i="1" s="1"/>
  <c r="D4025" i="1"/>
  <c r="D4301" i="1"/>
  <c r="C4301" i="1"/>
  <c r="E4301" i="1" s="1"/>
  <c r="C4163" i="1"/>
  <c r="E4163" i="1" s="1"/>
  <c r="D4163" i="1"/>
  <c r="C3841" i="1"/>
  <c r="E3841" i="1" s="1"/>
  <c r="D3841" i="1"/>
  <c r="D3703" i="1"/>
  <c r="C3703" i="1"/>
  <c r="E3703" i="1" s="1"/>
  <c r="D3795" i="1"/>
  <c r="C3795" i="1"/>
  <c r="E3795" i="1" s="1"/>
  <c r="C5210" i="1"/>
  <c r="E5210" i="1" s="1"/>
  <c r="D5210" i="1"/>
  <c r="A4934" i="1"/>
  <c r="B4934" i="1"/>
  <c r="A5027" i="1"/>
  <c r="B5027" i="1"/>
  <c r="C4888" i="1"/>
  <c r="E4888" i="1" s="1"/>
  <c r="D4888" i="1"/>
  <c r="A5073" i="1"/>
  <c r="B5073" i="1"/>
  <c r="A5256" i="1"/>
  <c r="B5256" i="1"/>
  <c r="D5165" i="1"/>
  <c r="C5165" i="1"/>
  <c r="E5165" i="1" s="1"/>
  <c r="A4843" i="1"/>
  <c r="B4843" i="1"/>
  <c r="D4750" i="1"/>
  <c r="C4750" i="1"/>
  <c r="E4750" i="1" s="1"/>
  <c r="A5302" i="1"/>
  <c r="B5302" i="1"/>
  <c r="A4658" i="1"/>
  <c r="B4658" i="1"/>
  <c r="B5394" i="1"/>
  <c r="A5394" i="1"/>
  <c r="B4796" i="1"/>
  <c r="A4796" i="1"/>
  <c r="C5349" i="1"/>
  <c r="E5349" i="1" s="1"/>
  <c r="D5349" i="1"/>
  <c r="A4981" i="1"/>
  <c r="B4981" i="1"/>
  <c r="C4704" i="1"/>
  <c r="E4704" i="1" s="1"/>
  <c r="D4704" i="1"/>
  <c r="C4613" i="1" l="1"/>
  <c r="E4613" i="1" s="1"/>
  <c r="D4613" i="1"/>
  <c r="B5119" i="1"/>
  <c r="A5119" i="1"/>
  <c r="A3842" i="1"/>
  <c r="B3842" i="1"/>
  <c r="A4394" i="1"/>
  <c r="B4394" i="1"/>
  <c r="A4164" i="1"/>
  <c r="B4164" i="1"/>
  <c r="A4348" i="1"/>
  <c r="B4348" i="1"/>
  <c r="B4302" i="1"/>
  <c r="A4302" i="1"/>
  <c r="B3658" i="1"/>
  <c r="A3658" i="1"/>
  <c r="B4026" i="1"/>
  <c r="A4026" i="1"/>
  <c r="B3888" i="1"/>
  <c r="A3888" i="1"/>
  <c r="A4256" i="1"/>
  <c r="B4256" i="1"/>
  <c r="C4072" i="1"/>
  <c r="E4072" i="1" s="1"/>
  <c r="D4072" i="1"/>
  <c r="B3934" i="1"/>
  <c r="A3934" i="1"/>
  <c r="A3980" i="1"/>
  <c r="B3980" i="1"/>
  <c r="A3796" i="1"/>
  <c r="B3796" i="1"/>
  <c r="A3750" i="1"/>
  <c r="B3750" i="1"/>
  <c r="B3612" i="1"/>
  <c r="A3612" i="1"/>
  <c r="A4118" i="1"/>
  <c r="B4118" i="1"/>
  <c r="B3704" i="1"/>
  <c r="A3704" i="1"/>
  <c r="A4210" i="1"/>
  <c r="B4210" i="1"/>
  <c r="A5211" i="1"/>
  <c r="B5211" i="1"/>
  <c r="A5166" i="1"/>
  <c r="B5166" i="1"/>
  <c r="C4796" i="1"/>
  <c r="E4796" i="1" s="1"/>
  <c r="D4796" i="1"/>
  <c r="B4705" i="1"/>
  <c r="A4705" i="1"/>
  <c r="D4843" i="1"/>
  <c r="C4843" i="1"/>
  <c r="E4843" i="1" s="1"/>
  <c r="C5256" i="1"/>
  <c r="E5256" i="1" s="1"/>
  <c r="D5256" i="1"/>
  <c r="A4751" i="1"/>
  <c r="B4751" i="1"/>
  <c r="A4889" i="1"/>
  <c r="B4889" i="1"/>
  <c r="C4981" i="1"/>
  <c r="E4981" i="1" s="1"/>
  <c r="D4981" i="1"/>
  <c r="D5394" i="1"/>
  <c r="C5394" i="1"/>
  <c r="E5394" i="1" s="1"/>
  <c r="B5350" i="1"/>
  <c r="A5350" i="1"/>
  <c r="D4658" i="1"/>
  <c r="C4658" i="1"/>
  <c r="E4658" i="1" s="1"/>
  <c r="D5027" i="1"/>
  <c r="C5027" i="1"/>
  <c r="E5027" i="1" s="1"/>
  <c r="C5073" i="1"/>
  <c r="E5073" i="1" s="1"/>
  <c r="D5073" i="1"/>
  <c r="D5302" i="1"/>
  <c r="C5302" i="1"/>
  <c r="E5302" i="1" s="1"/>
  <c r="C4934" i="1"/>
  <c r="E4934" i="1" s="1"/>
  <c r="D4934" i="1"/>
  <c r="B4614" i="1" l="1"/>
  <c r="A4614" i="1"/>
  <c r="C5119" i="1"/>
  <c r="E5119" i="1" s="1"/>
  <c r="D5119" i="1"/>
  <c r="D4118" i="1"/>
  <c r="C4118" i="1"/>
  <c r="E4118" i="1" s="1"/>
  <c r="C4026" i="1"/>
  <c r="E4026" i="1" s="1"/>
  <c r="D4026" i="1"/>
  <c r="D3658" i="1"/>
  <c r="C3658" i="1"/>
  <c r="E3658" i="1" s="1"/>
  <c r="D3750" i="1"/>
  <c r="C3750" i="1"/>
  <c r="E3750" i="1" s="1"/>
  <c r="C4302" i="1"/>
  <c r="E4302" i="1" s="1"/>
  <c r="D4302" i="1"/>
  <c r="D3796" i="1"/>
  <c r="C3796" i="1"/>
  <c r="E3796" i="1" s="1"/>
  <c r="C3980" i="1"/>
  <c r="E3980" i="1" s="1"/>
  <c r="D3980" i="1"/>
  <c r="C4348" i="1"/>
  <c r="E4348" i="1" s="1"/>
  <c r="D4348" i="1"/>
  <c r="D3934" i="1"/>
  <c r="C3934" i="1"/>
  <c r="E3934" i="1" s="1"/>
  <c r="D4164" i="1"/>
  <c r="C4164" i="1"/>
  <c r="E4164" i="1" s="1"/>
  <c r="D3888" i="1"/>
  <c r="C3888" i="1"/>
  <c r="E3888" i="1" s="1"/>
  <c r="B4073" i="1"/>
  <c r="A4073" i="1"/>
  <c r="D3612" i="1"/>
  <c r="C3612" i="1"/>
  <c r="E3612" i="1" s="1"/>
  <c r="C4210" i="1"/>
  <c r="E4210" i="1" s="1"/>
  <c r="D4210" i="1"/>
  <c r="C4394" i="1"/>
  <c r="E4394" i="1" s="1"/>
  <c r="D4394" i="1"/>
  <c r="C3704" i="1"/>
  <c r="E3704" i="1" s="1"/>
  <c r="D3704" i="1"/>
  <c r="C4256" i="1"/>
  <c r="E4256" i="1" s="1"/>
  <c r="D4256" i="1"/>
  <c r="D3842" i="1"/>
  <c r="C3842" i="1"/>
  <c r="E3842" i="1" s="1"/>
  <c r="C5211" i="1"/>
  <c r="E5211" i="1" s="1"/>
  <c r="D5211" i="1"/>
  <c r="B5074" i="1"/>
  <c r="A5074" i="1"/>
  <c r="C4751" i="1"/>
  <c r="E4751" i="1" s="1"/>
  <c r="D4751" i="1"/>
  <c r="A5257" i="1"/>
  <c r="B5257" i="1"/>
  <c r="B5028" i="1"/>
  <c r="A5028" i="1"/>
  <c r="C4889" i="1"/>
  <c r="E4889" i="1" s="1"/>
  <c r="D4889" i="1"/>
  <c r="B4844" i="1"/>
  <c r="A4844" i="1"/>
  <c r="C5350" i="1"/>
  <c r="E5350" i="1" s="1"/>
  <c r="D5350" i="1"/>
  <c r="C4705" i="1"/>
  <c r="E4705" i="1" s="1"/>
  <c r="D4705" i="1"/>
  <c r="A4797" i="1"/>
  <c r="B4797" i="1"/>
  <c r="B4982" i="1"/>
  <c r="A4982" i="1"/>
  <c r="B5395" i="1"/>
  <c r="A5395" i="1"/>
  <c r="A4935" i="1"/>
  <c r="B4935" i="1"/>
  <c r="B4659" i="1"/>
  <c r="A4659" i="1"/>
  <c r="B5303" i="1"/>
  <c r="A5303" i="1"/>
  <c r="C5166" i="1"/>
  <c r="E5166" i="1" s="1"/>
  <c r="D5166" i="1"/>
  <c r="C4614" i="1" l="1"/>
  <c r="E4614" i="1" s="1"/>
  <c r="D4614" i="1"/>
  <c r="B5120" i="1"/>
  <c r="A5120" i="1"/>
  <c r="A3981" i="1"/>
  <c r="B3981" i="1"/>
  <c r="B4211" i="1"/>
  <c r="A4211" i="1"/>
  <c r="B4395" i="1"/>
  <c r="A4395" i="1"/>
  <c r="A3797" i="1"/>
  <c r="B3797" i="1"/>
  <c r="B4303" i="1"/>
  <c r="A4303" i="1"/>
  <c r="A3613" i="1"/>
  <c r="B3613" i="1"/>
  <c r="A4349" i="1"/>
  <c r="B4349" i="1"/>
  <c r="C4073" i="1"/>
  <c r="E4073" i="1" s="1"/>
  <c r="D4073" i="1"/>
  <c r="B3751" i="1"/>
  <c r="A3751" i="1"/>
  <c r="B3889" i="1"/>
  <c r="A3889" i="1"/>
  <c r="B3659" i="1"/>
  <c r="A3659" i="1"/>
  <c r="B4027" i="1"/>
  <c r="A4027" i="1"/>
  <c r="A3843" i="1"/>
  <c r="B3843" i="1"/>
  <c r="B4165" i="1"/>
  <c r="A4165" i="1"/>
  <c r="A3705" i="1"/>
  <c r="B3705" i="1"/>
  <c r="A4257" i="1"/>
  <c r="B4257" i="1"/>
  <c r="B3935" i="1"/>
  <c r="A3935" i="1"/>
  <c r="A4119" i="1"/>
  <c r="B4119" i="1"/>
  <c r="B5212" i="1"/>
  <c r="A5212" i="1"/>
  <c r="C5303" i="1"/>
  <c r="E5303" i="1" s="1"/>
  <c r="D5303" i="1"/>
  <c r="A5351" i="1"/>
  <c r="B5351" i="1"/>
  <c r="B5167" i="1"/>
  <c r="A5167" i="1"/>
  <c r="B4890" i="1"/>
  <c r="A4890" i="1"/>
  <c r="A4706" i="1"/>
  <c r="B4706" i="1"/>
  <c r="C5028" i="1"/>
  <c r="E5028" i="1" s="1"/>
  <c r="D5028" i="1"/>
  <c r="D5395" i="1"/>
  <c r="C5395" i="1"/>
  <c r="E5395" i="1" s="1"/>
  <c r="D4935" i="1"/>
  <c r="C4935" i="1"/>
  <c r="E4935" i="1" s="1"/>
  <c r="C5257" i="1"/>
  <c r="E5257" i="1" s="1"/>
  <c r="D5257" i="1"/>
  <c r="C4844" i="1"/>
  <c r="E4844" i="1" s="1"/>
  <c r="D4844" i="1"/>
  <c r="C4659" i="1"/>
  <c r="E4659" i="1" s="1"/>
  <c r="D4659" i="1"/>
  <c r="B4752" i="1"/>
  <c r="A4752" i="1"/>
  <c r="C5074" i="1"/>
  <c r="E5074" i="1" s="1"/>
  <c r="D5074" i="1"/>
  <c r="D4982" i="1"/>
  <c r="C4982" i="1"/>
  <c r="E4982" i="1" s="1"/>
  <c r="C4797" i="1"/>
  <c r="E4797" i="1" s="1"/>
  <c r="D4797" i="1"/>
  <c r="B4615" i="1" l="1"/>
  <c r="A4615" i="1"/>
  <c r="D5120" i="1"/>
  <c r="C5120" i="1"/>
  <c r="E5120" i="1" s="1"/>
  <c r="C3705" i="1"/>
  <c r="E3705" i="1" s="1"/>
  <c r="D3705" i="1"/>
  <c r="C4349" i="1"/>
  <c r="E4349" i="1" s="1"/>
  <c r="D4349" i="1"/>
  <c r="C4165" i="1"/>
  <c r="E4165" i="1" s="1"/>
  <c r="D4165" i="1"/>
  <c r="B4074" i="1"/>
  <c r="A4074" i="1"/>
  <c r="C3613" i="1"/>
  <c r="E3613" i="1" s="1"/>
  <c r="D3613" i="1"/>
  <c r="D4303" i="1"/>
  <c r="C4303" i="1"/>
  <c r="E4303" i="1" s="1"/>
  <c r="D3843" i="1"/>
  <c r="C3843" i="1"/>
  <c r="E3843" i="1" s="1"/>
  <c r="D4027" i="1"/>
  <c r="C4027" i="1"/>
  <c r="E4027" i="1" s="1"/>
  <c r="C4257" i="1"/>
  <c r="E4257" i="1" s="1"/>
  <c r="D4257" i="1"/>
  <c r="C3797" i="1"/>
  <c r="E3797" i="1" s="1"/>
  <c r="D3797" i="1"/>
  <c r="C3659" i="1"/>
  <c r="E3659" i="1" s="1"/>
  <c r="D3659" i="1"/>
  <c r="D4395" i="1"/>
  <c r="C4395" i="1"/>
  <c r="E4395" i="1" s="1"/>
  <c r="C3889" i="1"/>
  <c r="E3889" i="1" s="1"/>
  <c r="D3889" i="1"/>
  <c r="D4211" i="1"/>
  <c r="C4211" i="1"/>
  <c r="E4211" i="1" s="1"/>
  <c r="C4119" i="1"/>
  <c r="E4119" i="1" s="1"/>
  <c r="D4119" i="1"/>
  <c r="D3935" i="1"/>
  <c r="C3935" i="1"/>
  <c r="E3935" i="1" s="1"/>
  <c r="D3751" i="1"/>
  <c r="C3751" i="1"/>
  <c r="E3751" i="1" s="1"/>
  <c r="D3981" i="1"/>
  <c r="C3981" i="1"/>
  <c r="E3981" i="1" s="1"/>
  <c r="D5212" i="1"/>
  <c r="C5212" i="1"/>
  <c r="E5212" i="1" s="1"/>
  <c r="A4983" i="1"/>
  <c r="B4983" i="1"/>
  <c r="A5396" i="1"/>
  <c r="B5396" i="1"/>
  <c r="B5029" i="1"/>
  <c r="A5029" i="1"/>
  <c r="B4798" i="1"/>
  <c r="A4798" i="1"/>
  <c r="B4936" i="1"/>
  <c r="A4936" i="1"/>
  <c r="A5075" i="1"/>
  <c r="B5075" i="1"/>
  <c r="C4706" i="1"/>
  <c r="E4706" i="1" s="1"/>
  <c r="D4706" i="1"/>
  <c r="D4752" i="1"/>
  <c r="C4752" i="1"/>
  <c r="E4752" i="1" s="1"/>
  <c r="C4890" i="1"/>
  <c r="E4890" i="1" s="1"/>
  <c r="D4890" i="1"/>
  <c r="B4660" i="1"/>
  <c r="A4660" i="1"/>
  <c r="D5167" i="1"/>
  <c r="C5167" i="1"/>
  <c r="E5167" i="1" s="1"/>
  <c r="A4845" i="1"/>
  <c r="B4845" i="1"/>
  <c r="C5351" i="1"/>
  <c r="E5351" i="1" s="1"/>
  <c r="D5351" i="1"/>
  <c r="A5258" i="1"/>
  <c r="B5258" i="1"/>
  <c r="A5304" i="1"/>
  <c r="B5304" i="1"/>
  <c r="D4615" i="1" l="1"/>
  <c r="C4615" i="1"/>
  <c r="E4615" i="1" s="1"/>
  <c r="A5121" i="1"/>
  <c r="B5121" i="1"/>
  <c r="B3936" i="1"/>
  <c r="A3936" i="1"/>
  <c r="B4028" i="1"/>
  <c r="A4028" i="1"/>
  <c r="B4120" i="1"/>
  <c r="A4120" i="1"/>
  <c r="A3844" i="1"/>
  <c r="B3844" i="1"/>
  <c r="A4212" i="1"/>
  <c r="B4212" i="1"/>
  <c r="B4304" i="1"/>
  <c r="A4304" i="1"/>
  <c r="A3890" i="1"/>
  <c r="B3890" i="1"/>
  <c r="B3614" i="1"/>
  <c r="A3614" i="1"/>
  <c r="C4074" i="1"/>
  <c r="E4074" i="1" s="1"/>
  <c r="D4074" i="1"/>
  <c r="A4396" i="1"/>
  <c r="B4396" i="1"/>
  <c r="A3660" i="1"/>
  <c r="B3660" i="1"/>
  <c r="B4166" i="1"/>
  <c r="A4166" i="1"/>
  <c r="B3798" i="1"/>
  <c r="A3798" i="1"/>
  <c r="B4350" i="1"/>
  <c r="A4350" i="1"/>
  <c r="A3982" i="1"/>
  <c r="B3982" i="1"/>
  <c r="B4258" i="1"/>
  <c r="A4258" i="1"/>
  <c r="A3706" i="1"/>
  <c r="B3706" i="1"/>
  <c r="B3752" i="1"/>
  <c r="A3752" i="1"/>
  <c r="B5213" i="1"/>
  <c r="A5213" i="1"/>
  <c r="C5258" i="1"/>
  <c r="E5258" i="1" s="1"/>
  <c r="D5258" i="1"/>
  <c r="C5075" i="1"/>
  <c r="E5075" i="1" s="1"/>
  <c r="D5075" i="1"/>
  <c r="B5352" i="1"/>
  <c r="A5352" i="1"/>
  <c r="C4936" i="1"/>
  <c r="E4936" i="1" s="1"/>
  <c r="D4936" i="1"/>
  <c r="C4798" i="1"/>
  <c r="E4798" i="1" s="1"/>
  <c r="D4798" i="1"/>
  <c r="A5168" i="1"/>
  <c r="B5168" i="1"/>
  <c r="C4660" i="1"/>
  <c r="E4660" i="1" s="1"/>
  <c r="D4660" i="1"/>
  <c r="A4707" i="1"/>
  <c r="B4707" i="1"/>
  <c r="C4845" i="1"/>
  <c r="E4845" i="1" s="1"/>
  <c r="D4845" i="1"/>
  <c r="A4891" i="1"/>
  <c r="B4891" i="1"/>
  <c r="C5396" i="1"/>
  <c r="E5396" i="1" s="1"/>
  <c r="D5396" i="1"/>
  <c r="C5029" i="1"/>
  <c r="E5029" i="1" s="1"/>
  <c r="D5029" i="1"/>
  <c r="D5304" i="1"/>
  <c r="C5304" i="1"/>
  <c r="E5304" i="1" s="1"/>
  <c r="A4753" i="1"/>
  <c r="B4753" i="1"/>
  <c r="C4983" i="1"/>
  <c r="E4983" i="1" s="1"/>
  <c r="D4983" i="1"/>
  <c r="B4616" i="1" l="1"/>
  <c r="A4616" i="1"/>
  <c r="C5121" i="1"/>
  <c r="E5121" i="1" s="1"/>
  <c r="D5121" i="1"/>
  <c r="D3982" i="1"/>
  <c r="C3982" i="1"/>
  <c r="E3982" i="1" s="1"/>
  <c r="D3890" i="1"/>
  <c r="C3890" i="1"/>
  <c r="E3890" i="1" s="1"/>
  <c r="D4350" i="1"/>
  <c r="C4350" i="1"/>
  <c r="E4350" i="1" s="1"/>
  <c r="D4304" i="1"/>
  <c r="C4304" i="1"/>
  <c r="E4304" i="1" s="1"/>
  <c r="C3798" i="1"/>
  <c r="E3798" i="1" s="1"/>
  <c r="D3798" i="1"/>
  <c r="C4212" i="1"/>
  <c r="E4212" i="1" s="1"/>
  <c r="D4212" i="1"/>
  <c r="C4166" i="1"/>
  <c r="E4166" i="1" s="1"/>
  <c r="D4166" i="1"/>
  <c r="C3844" i="1"/>
  <c r="E3844" i="1" s="1"/>
  <c r="D3844" i="1"/>
  <c r="D4258" i="1"/>
  <c r="C4258" i="1"/>
  <c r="E4258" i="1" s="1"/>
  <c r="C4120" i="1"/>
  <c r="E4120" i="1" s="1"/>
  <c r="D4120" i="1"/>
  <c r="C3660" i="1"/>
  <c r="E3660" i="1" s="1"/>
  <c r="D3660" i="1"/>
  <c r="D3614" i="1"/>
  <c r="C3614" i="1"/>
  <c r="E3614" i="1" s="1"/>
  <c r="C3752" i="1"/>
  <c r="E3752" i="1" s="1"/>
  <c r="D3752" i="1"/>
  <c r="C4028" i="1"/>
  <c r="E4028" i="1" s="1"/>
  <c r="D4028" i="1"/>
  <c r="D4396" i="1"/>
  <c r="C4396" i="1"/>
  <c r="E4396" i="1" s="1"/>
  <c r="A4075" i="1"/>
  <c r="B4075" i="1"/>
  <c r="C3936" i="1"/>
  <c r="E3936" i="1" s="1"/>
  <c r="D3936" i="1"/>
  <c r="C3706" i="1"/>
  <c r="E3706" i="1" s="1"/>
  <c r="D3706" i="1"/>
  <c r="C5213" i="1"/>
  <c r="E5213" i="1" s="1"/>
  <c r="D5213" i="1"/>
  <c r="C4753" i="1"/>
  <c r="E4753" i="1" s="1"/>
  <c r="D4753" i="1"/>
  <c r="A4984" i="1"/>
  <c r="B4984" i="1"/>
  <c r="A5305" i="1"/>
  <c r="B5305" i="1"/>
  <c r="C5168" i="1"/>
  <c r="E5168" i="1" s="1"/>
  <c r="D5168" i="1"/>
  <c r="B5030" i="1"/>
  <c r="A5030" i="1"/>
  <c r="A4799" i="1"/>
  <c r="B4799" i="1"/>
  <c r="A4937" i="1"/>
  <c r="B4937" i="1"/>
  <c r="D5352" i="1"/>
  <c r="C5352" i="1"/>
  <c r="E5352" i="1" s="1"/>
  <c r="C4891" i="1"/>
  <c r="E4891" i="1" s="1"/>
  <c r="D4891" i="1"/>
  <c r="B5397" i="1"/>
  <c r="A5397" i="1"/>
  <c r="B4846" i="1"/>
  <c r="A4846" i="1"/>
  <c r="B5076" i="1"/>
  <c r="A5076" i="1"/>
  <c r="A4661" i="1"/>
  <c r="B4661" i="1"/>
  <c r="B5259" i="1"/>
  <c r="A5259" i="1"/>
  <c r="D4707" i="1"/>
  <c r="C4707" i="1"/>
  <c r="E4707" i="1" s="1"/>
  <c r="C4616" i="1" l="1"/>
  <c r="E4616" i="1" s="1"/>
  <c r="D4616" i="1"/>
  <c r="B5122" i="1"/>
  <c r="A5122" i="1"/>
  <c r="D4075" i="1"/>
  <c r="C4075" i="1"/>
  <c r="E4075" i="1" s="1"/>
  <c r="B4167" i="1"/>
  <c r="A4167" i="1"/>
  <c r="A4397" i="1"/>
  <c r="B4397" i="1"/>
  <c r="B3845" i="1"/>
  <c r="A3845" i="1"/>
  <c r="B4029" i="1"/>
  <c r="A4029" i="1"/>
  <c r="B4213" i="1"/>
  <c r="A4213" i="1"/>
  <c r="A3753" i="1"/>
  <c r="B3753" i="1"/>
  <c r="B3799" i="1"/>
  <c r="A3799" i="1"/>
  <c r="B3615" i="1"/>
  <c r="A3615" i="1"/>
  <c r="A4305" i="1"/>
  <c r="B4305" i="1"/>
  <c r="B3661" i="1"/>
  <c r="A3661" i="1"/>
  <c r="B4351" i="1"/>
  <c r="A4351" i="1"/>
  <c r="B3707" i="1"/>
  <c r="A3707" i="1"/>
  <c r="A4121" i="1"/>
  <c r="B4121" i="1"/>
  <c r="B3891" i="1"/>
  <c r="A3891" i="1"/>
  <c r="B3937" i="1"/>
  <c r="A3937" i="1"/>
  <c r="A4259" i="1"/>
  <c r="B4259" i="1"/>
  <c r="A3983" i="1"/>
  <c r="B3983" i="1"/>
  <c r="B5214" i="1"/>
  <c r="A5214" i="1"/>
  <c r="C4937" i="1"/>
  <c r="E4937" i="1" s="1"/>
  <c r="D4937" i="1"/>
  <c r="D4799" i="1"/>
  <c r="C4799" i="1"/>
  <c r="E4799" i="1" s="1"/>
  <c r="A5353" i="1"/>
  <c r="B5353" i="1"/>
  <c r="C4846" i="1"/>
  <c r="E4846" i="1" s="1"/>
  <c r="D4846" i="1"/>
  <c r="C5305" i="1"/>
  <c r="E5305" i="1" s="1"/>
  <c r="D5305" i="1"/>
  <c r="B5169" i="1"/>
  <c r="A5169" i="1"/>
  <c r="D5397" i="1"/>
  <c r="C5397" i="1"/>
  <c r="E5397" i="1" s="1"/>
  <c r="C4661" i="1"/>
  <c r="E4661" i="1" s="1"/>
  <c r="D4661" i="1"/>
  <c r="D5076" i="1"/>
  <c r="C5076" i="1"/>
  <c r="E5076" i="1" s="1"/>
  <c r="D4984" i="1"/>
  <c r="C4984" i="1"/>
  <c r="E4984" i="1" s="1"/>
  <c r="D5259" i="1"/>
  <c r="C5259" i="1"/>
  <c r="E5259" i="1" s="1"/>
  <c r="B4892" i="1"/>
  <c r="A4892" i="1"/>
  <c r="A4754" i="1"/>
  <c r="B4754" i="1"/>
  <c r="A4708" i="1"/>
  <c r="B4708" i="1"/>
  <c r="C5030" i="1"/>
  <c r="E5030" i="1" s="1"/>
  <c r="D5030" i="1"/>
  <c r="A4617" i="1" l="1"/>
  <c r="B4617" i="1"/>
  <c r="D5122" i="1"/>
  <c r="C5122" i="1"/>
  <c r="E5122" i="1" s="1"/>
  <c r="D3891" i="1"/>
  <c r="C3891" i="1"/>
  <c r="E3891" i="1" s="1"/>
  <c r="D3753" i="1"/>
  <c r="C3753" i="1"/>
  <c r="E3753" i="1" s="1"/>
  <c r="D4213" i="1"/>
  <c r="C4213" i="1"/>
  <c r="E4213" i="1" s="1"/>
  <c r="C4121" i="1"/>
  <c r="E4121" i="1" s="1"/>
  <c r="D4121" i="1"/>
  <c r="D3707" i="1"/>
  <c r="C3707" i="1"/>
  <c r="E3707" i="1" s="1"/>
  <c r="C4029" i="1"/>
  <c r="E4029" i="1" s="1"/>
  <c r="D4029" i="1"/>
  <c r="D4351" i="1"/>
  <c r="C4351" i="1"/>
  <c r="E4351" i="1" s="1"/>
  <c r="D3845" i="1"/>
  <c r="C3845" i="1"/>
  <c r="E3845" i="1" s="1"/>
  <c r="C3937" i="1"/>
  <c r="E3937" i="1" s="1"/>
  <c r="D3937" i="1"/>
  <c r="C3799" i="1"/>
  <c r="E3799" i="1" s="1"/>
  <c r="D3799" i="1"/>
  <c r="D3661" i="1"/>
  <c r="C3661" i="1"/>
  <c r="E3661" i="1" s="1"/>
  <c r="C4397" i="1"/>
  <c r="E4397" i="1" s="1"/>
  <c r="D4397" i="1"/>
  <c r="C4167" i="1"/>
  <c r="E4167" i="1" s="1"/>
  <c r="D4167" i="1"/>
  <c r="D3983" i="1"/>
  <c r="C3983" i="1"/>
  <c r="E3983" i="1" s="1"/>
  <c r="D4305" i="1"/>
  <c r="C4305" i="1"/>
  <c r="E4305" i="1" s="1"/>
  <c r="C3615" i="1"/>
  <c r="E3615" i="1" s="1"/>
  <c r="D3615" i="1"/>
  <c r="D4259" i="1"/>
  <c r="C4259" i="1"/>
  <c r="E4259" i="1" s="1"/>
  <c r="B4076" i="1"/>
  <c r="A4076" i="1"/>
  <c r="C5214" i="1"/>
  <c r="E5214" i="1" s="1"/>
  <c r="D5214" i="1"/>
  <c r="B5031" i="1"/>
  <c r="A5031" i="1"/>
  <c r="A5306" i="1"/>
  <c r="B5306" i="1"/>
  <c r="C4708" i="1"/>
  <c r="E4708" i="1" s="1"/>
  <c r="D4708" i="1"/>
  <c r="C4754" i="1"/>
  <c r="E4754" i="1" s="1"/>
  <c r="D4754" i="1"/>
  <c r="C4892" i="1"/>
  <c r="E4892" i="1" s="1"/>
  <c r="D4892" i="1"/>
  <c r="B4847" i="1"/>
  <c r="A4847" i="1"/>
  <c r="A5398" i="1"/>
  <c r="B5398" i="1"/>
  <c r="B5260" i="1"/>
  <c r="A5260" i="1"/>
  <c r="B4985" i="1"/>
  <c r="A4985" i="1"/>
  <c r="C5353" i="1"/>
  <c r="E5353" i="1" s="1"/>
  <c r="D5353" i="1"/>
  <c r="B5077" i="1"/>
  <c r="A5077" i="1"/>
  <c r="A4800" i="1"/>
  <c r="B4800" i="1"/>
  <c r="D5169" i="1"/>
  <c r="C5169" i="1"/>
  <c r="E5169" i="1" s="1"/>
  <c r="B4662" i="1"/>
  <c r="A4662" i="1"/>
  <c r="A4938" i="1"/>
  <c r="B4938" i="1"/>
  <c r="D4617" i="1" l="1"/>
  <c r="C4617" i="1"/>
  <c r="E4617" i="1" s="1"/>
  <c r="B5123" i="1"/>
  <c r="A5123" i="1"/>
  <c r="B3846" i="1"/>
  <c r="A3846" i="1"/>
  <c r="A4352" i="1"/>
  <c r="B4352" i="1"/>
  <c r="B3616" i="1"/>
  <c r="A3616" i="1"/>
  <c r="A4030" i="1"/>
  <c r="B4030" i="1"/>
  <c r="B3984" i="1"/>
  <c r="A3984" i="1"/>
  <c r="B4168" i="1"/>
  <c r="A4168" i="1"/>
  <c r="B3708" i="1"/>
  <c r="A3708" i="1"/>
  <c r="B4398" i="1"/>
  <c r="A4398" i="1"/>
  <c r="A4122" i="1"/>
  <c r="B4122" i="1"/>
  <c r="B4306" i="1"/>
  <c r="A4306" i="1"/>
  <c r="A3662" i="1"/>
  <c r="B3662" i="1"/>
  <c r="A4214" i="1"/>
  <c r="B4214" i="1"/>
  <c r="C4076" i="1"/>
  <c r="E4076" i="1" s="1"/>
  <c r="D4076" i="1"/>
  <c r="A3800" i="1"/>
  <c r="B3800" i="1"/>
  <c r="A3754" i="1"/>
  <c r="B3754" i="1"/>
  <c r="A3938" i="1"/>
  <c r="B3938" i="1"/>
  <c r="B4260" i="1"/>
  <c r="A4260" i="1"/>
  <c r="B3892" i="1"/>
  <c r="A3892" i="1"/>
  <c r="B5215" i="1"/>
  <c r="A5215" i="1"/>
  <c r="D4847" i="1"/>
  <c r="C4847" i="1"/>
  <c r="E4847" i="1" s="1"/>
  <c r="B5170" i="1"/>
  <c r="A5170" i="1"/>
  <c r="B4893" i="1"/>
  <c r="A4893" i="1"/>
  <c r="C4938" i="1"/>
  <c r="E4938" i="1" s="1"/>
  <c r="D4938" i="1"/>
  <c r="C5077" i="1"/>
  <c r="E5077" i="1" s="1"/>
  <c r="D5077" i="1"/>
  <c r="B4755" i="1"/>
  <c r="A4755" i="1"/>
  <c r="B4709" i="1"/>
  <c r="A4709" i="1"/>
  <c r="C4800" i="1"/>
  <c r="E4800" i="1" s="1"/>
  <c r="D4800" i="1"/>
  <c r="C4985" i="1"/>
  <c r="E4985" i="1" s="1"/>
  <c r="D4985" i="1"/>
  <c r="D4662" i="1"/>
  <c r="C4662" i="1"/>
  <c r="E4662" i="1" s="1"/>
  <c r="B5354" i="1"/>
  <c r="A5354" i="1"/>
  <c r="C5306" i="1"/>
  <c r="E5306" i="1" s="1"/>
  <c r="D5306" i="1"/>
  <c r="C5398" i="1"/>
  <c r="E5398" i="1" s="1"/>
  <c r="D5398" i="1"/>
  <c r="D5260" i="1"/>
  <c r="C5260" i="1"/>
  <c r="E5260" i="1" s="1"/>
  <c r="C5031" i="1"/>
  <c r="E5031" i="1" s="1"/>
  <c r="D5031" i="1"/>
  <c r="A4618" i="1" l="1"/>
  <c r="B4618" i="1"/>
  <c r="C5123" i="1"/>
  <c r="E5123" i="1" s="1"/>
  <c r="D5123" i="1"/>
  <c r="C3938" i="1"/>
  <c r="E3938" i="1" s="1"/>
  <c r="D3938" i="1"/>
  <c r="C3708" i="1"/>
  <c r="E3708" i="1" s="1"/>
  <c r="D3708" i="1"/>
  <c r="C4168" i="1"/>
  <c r="E4168" i="1" s="1"/>
  <c r="D4168" i="1"/>
  <c r="C3800" i="1"/>
  <c r="E3800" i="1" s="1"/>
  <c r="D3800" i="1"/>
  <c r="B4077" i="1"/>
  <c r="A4077" i="1"/>
  <c r="D3984" i="1"/>
  <c r="C3984" i="1"/>
  <c r="E3984" i="1" s="1"/>
  <c r="D3754" i="1"/>
  <c r="C3754" i="1"/>
  <c r="E3754" i="1" s="1"/>
  <c r="D4214" i="1"/>
  <c r="C4214" i="1"/>
  <c r="E4214" i="1" s="1"/>
  <c r="C4030" i="1"/>
  <c r="E4030" i="1" s="1"/>
  <c r="D4030" i="1"/>
  <c r="C3616" i="1"/>
  <c r="E3616" i="1" s="1"/>
  <c r="D3616" i="1"/>
  <c r="C4398" i="1"/>
  <c r="E4398" i="1" s="1"/>
  <c r="D4398" i="1"/>
  <c r="D3662" i="1"/>
  <c r="C3662" i="1"/>
  <c r="E3662" i="1" s="1"/>
  <c r="D3892" i="1"/>
  <c r="C3892" i="1"/>
  <c r="E3892" i="1" s="1"/>
  <c r="C4306" i="1"/>
  <c r="E4306" i="1" s="1"/>
  <c r="D4306" i="1"/>
  <c r="C4352" i="1"/>
  <c r="E4352" i="1" s="1"/>
  <c r="D4352" i="1"/>
  <c r="C4260" i="1"/>
  <c r="E4260" i="1" s="1"/>
  <c r="D4260" i="1"/>
  <c r="C3846" i="1"/>
  <c r="E3846" i="1" s="1"/>
  <c r="D3846" i="1"/>
  <c r="D4122" i="1"/>
  <c r="C4122" i="1"/>
  <c r="E4122" i="1" s="1"/>
  <c r="C5215" i="1"/>
  <c r="E5215" i="1" s="1"/>
  <c r="D5215" i="1"/>
  <c r="B5261" i="1"/>
  <c r="A5261" i="1"/>
  <c r="A5399" i="1"/>
  <c r="B5399" i="1"/>
  <c r="D4755" i="1"/>
  <c r="C4755" i="1"/>
  <c r="E4755" i="1" s="1"/>
  <c r="C4709" i="1"/>
  <c r="E4709" i="1" s="1"/>
  <c r="D4709" i="1"/>
  <c r="B5307" i="1"/>
  <c r="A5307" i="1"/>
  <c r="B5078" i="1"/>
  <c r="A5078" i="1"/>
  <c r="B5032" i="1"/>
  <c r="A5032" i="1"/>
  <c r="B4801" i="1"/>
  <c r="A4801" i="1"/>
  <c r="C5354" i="1"/>
  <c r="E5354" i="1" s="1"/>
  <c r="D5354" i="1"/>
  <c r="A4939" i="1"/>
  <c r="B4939" i="1"/>
  <c r="A4848" i="1"/>
  <c r="B4848" i="1"/>
  <c r="C4893" i="1"/>
  <c r="E4893" i="1" s="1"/>
  <c r="D4893" i="1"/>
  <c r="B4663" i="1"/>
  <c r="A4663" i="1"/>
  <c r="B4986" i="1"/>
  <c r="A4986" i="1"/>
  <c r="C5170" i="1"/>
  <c r="E5170" i="1" s="1"/>
  <c r="D5170" i="1"/>
  <c r="C4618" i="1" l="1"/>
  <c r="E4618" i="1" s="1"/>
  <c r="D4618" i="1"/>
  <c r="A5124" i="1"/>
  <c r="B5124" i="1"/>
  <c r="B4215" i="1"/>
  <c r="A4215" i="1"/>
  <c r="A4353" i="1"/>
  <c r="B4353" i="1"/>
  <c r="A3755" i="1"/>
  <c r="B3755" i="1"/>
  <c r="A4307" i="1"/>
  <c r="B4307" i="1"/>
  <c r="B3985" i="1"/>
  <c r="A3985" i="1"/>
  <c r="C4077" i="1"/>
  <c r="E4077" i="1" s="1"/>
  <c r="D4077" i="1"/>
  <c r="B3893" i="1"/>
  <c r="A3893" i="1"/>
  <c r="A4261" i="1"/>
  <c r="B4261" i="1"/>
  <c r="B3801" i="1"/>
  <c r="A3801" i="1"/>
  <c r="B3663" i="1"/>
  <c r="A3663" i="1"/>
  <c r="A4399" i="1"/>
  <c r="B4399" i="1"/>
  <c r="B4169" i="1"/>
  <c r="A4169" i="1"/>
  <c r="A3617" i="1"/>
  <c r="B3617" i="1"/>
  <c r="B3709" i="1"/>
  <c r="A3709" i="1"/>
  <c r="B4123" i="1"/>
  <c r="A4123" i="1"/>
  <c r="B3847" i="1"/>
  <c r="A3847" i="1"/>
  <c r="A4031" i="1"/>
  <c r="B4031" i="1"/>
  <c r="A3939" i="1"/>
  <c r="B3939" i="1"/>
  <c r="B5216" i="1"/>
  <c r="A5216" i="1"/>
  <c r="D5078" i="1"/>
  <c r="C5078" i="1"/>
  <c r="E5078" i="1" s="1"/>
  <c r="D5032" i="1"/>
  <c r="C5032" i="1"/>
  <c r="E5032" i="1" s="1"/>
  <c r="B5171" i="1"/>
  <c r="A5171" i="1"/>
  <c r="C4663" i="1"/>
  <c r="E4663" i="1" s="1"/>
  <c r="D4663" i="1"/>
  <c r="C5307" i="1"/>
  <c r="E5307" i="1" s="1"/>
  <c r="D5307" i="1"/>
  <c r="B4894" i="1"/>
  <c r="A4894" i="1"/>
  <c r="B4710" i="1"/>
  <c r="A4710" i="1"/>
  <c r="D4801" i="1"/>
  <c r="C4801" i="1"/>
  <c r="E4801" i="1" s="1"/>
  <c r="A4756" i="1"/>
  <c r="B4756" i="1"/>
  <c r="D4986" i="1"/>
  <c r="C4986" i="1"/>
  <c r="E4986" i="1" s="1"/>
  <c r="C4939" i="1"/>
  <c r="E4939" i="1" s="1"/>
  <c r="D4939" i="1"/>
  <c r="C5399" i="1"/>
  <c r="E5399" i="1" s="1"/>
  <c r="D5399" i="1"/>
  <c r="A5355" i="1"/>
  <c r="B5355" i="1"/>
  <c r="D5261" i="1"/>
  <c r="C5261" i="1"/>
  <c r="E5261" i="1" s="1"/>
  <c r="C4848" i="1"/>
  <c r="E4848" i="1" s="1"/>
  <c r="D4848" i="1"/>
  <c r="B4619" i="1" l="1"/>
  <c r="A4619" i="1"/>
  <c r="C5124" i="1"/>
  <c r="E5124" i="1" s="1"/>
  <c r="D5124" i="1"/>
  <c r="C4261" i="1"/>
  <c r="E4261" i="1" s="1"/>
  <c r="D4261" i="1"/>
  <c r="D4123" i="1"/>
  <c r="C4123" i="1"/>
  <c r="E4123" i="1" s="1"/>
  <c r="D3893" i="1"/>
  <c r="C3893" i="1"/>
  <c r="E3893" i="1" s="1"/>
  <c r="B4078" i="1"/>
  <c r="A4078" i="1"/>
  <c r="D3985" i="1"/>
  <c r="C3985" i="1"/>
  <c r="E3985" i="1" s="1"/>
  <c r="D3617" i="1"/>
  <c r="C3617" i="1"/>
  <c r="E3617" i="1" s="1"/>
  <c r="D3847" i="1"/>
  <c r="C3847" i="1"/>
  <c r="E3847" i="1" s="1"/>
  <c r="D3709" i="1"/>
  <c r="C3709" i="1"/>
  <c r="E3709" i="1" s="1"/>
  <c r="C4169" i="1"/>
  <c r="E4169" i="1" s="1"/>
  <c r="D4169" i="1"/>
  <c r="D4307" i="1"/>
  <c r="C4307" i="1"/>
  <c r="E4307" i="1" s="1"/>
  <c r="C4399" i="1"/>
  <c r="E4399" i="1" s="1"/>
  <c r="D4399" i="1"/>
  <c r="D3755" i="1"/>
  <c r="C3755" i="1"/>
  <c r="E3755" i="1" s="1"/>
  <c r="D3663" i="1"/>
  <c r="C3663" i="1"/>
  <c r="E3663" i="1" s="1"/>
  <c r="C3939" i="1"/>
  <c r="E3939" i="1" s="1"/>
  <c r="D3939" i="1"/>
  <c r="C4353" i="1"/>
  <c r="E4353" i="1" s="1"/>
  <c r="D4353" i="1"/>
  <c r="C3801" i="1"/>
  <c r="E3801" i="1" s="1"/>
  <c r="D3801" i="1"/>
  <c r="C4215" i="1"/>
  <c r="E4215" i="1" s="1"/>
  <c r="D4215" i="1"/>
  <c r="D4031" i="1"/>
  <c r="C4031" i="1"/>
  <c r="E4031" i="1" s="1"/>
  <c r="D5216" i="1"/>
  <c r="C5216" i="1"/>
  <c r="E5216" i="1" s="1"/>
  <c r="B5262" i="1"/>
  <c r="A5262" i="1"/>
  <c r="D4894" i="1"/>
  <c r="C4894" i="1"/>
  <c r="E4894" i="1" s="1"/>
  <c r="C5355" i="1"/>
  <c r="E5355" i="1" s="1"/>
  <c r="D5355" i="1"/>
  <c r="B5400" i="1"/>
  <c r="A5400" i="1"/>
  <c r="A5308" i="1"/>
  <c r="B5308" i="1"/>
  <c r="B4940" i="1"/>
  <c r="A4940" i="1"/>
  <c r="B4664" i="1"/>
  <c r="A4664" i="1"/>
  <c r="B4849" i="1"/>
  <c r="A4849" i="1"/>
  <c r="C5171" i="1"/>
  <c r="E5171" i="1" s="1"/>
  <c r="D5171" i="1"/>
  <c r="A4987" i="1"/>
  <c r="B4987" i="1"/>
  <c r="D4710" i="1"/>
  <c r="C4710" i="1"/>
  <c r="E4710" i="1" s="1"/>
  <c r="A5033" i="1"/>
  <c r="B5033" i="1"/>
  <c r="B4802" i="1"/>
  <c r="A4802" i="1"/>
  <c r="D4756" i="1"/>
  <c r="C4756" i="1"/>
  <c r="E4756" i="1" s="1"/>
  <c r="B5079" i="1"/>
  <c r="A5079" i="1"/>
  <c r="D4619" i="1" l="1"/>
  <c r="C4619" i="1"/>
  <c r="E4619" i="1" s="1"/>
  <c r="B5125" i="1"/>
  <c r="A5125" i="1"/>
  <c r="B3710" i="1"/>
  <c r="A3710" i="1"/>
  <c r="B4354" i="1"/>
  <c r="A4354" i="1"/>
  <c r="A3848" i="1"/>
  <c r="B3848" i="1"/>
  <c r="A3802" i="1"/>
  <c r="B3802" i="1"/>
  <c r="B3940" i="1"/>
  <c r="A3940" i="1"/>
  <c r="B3618" i="1"/>
  <c r="A3618" i="1"/>
  <c r="A3664" i="1"/>
  <c r="B3664" i="1"/>
  <c r="A3986" i="1"/>
  <c r="B3986" i="1"/>
  <c r="C4078" i="1"/>
  <c r="E4078" i="1" s="1"/>
  <c r="D4078" i="1"/>
  <c r="B3756" i="1"/>
  <c r="A3756" i="1"/>
  <c r="B4400" i="1"/>
  <c r="A4400" i="1"/>
  <c r="B3894" i="1"/>
  <c r="A3894" i="1"/>
  <c r="A4032" i="1"/>
  <c r="B4032" i="1"/>
  <c r="B4308" i="1"/>
  <c r="A4308" i="1"/>
  <c r="B4124" i="1"/>
  <c r="A4124" i="1"/>
  <c r="B4216" i="1"/>
  <c r="A4216" i="1"/>
  <c r="B4170" i="1"/>
  <c r="A4170" i="1"/>
  <c r="A4262" i="1"/>
  <c r="B4262" i="1"/>
  <c r="B5217" i="1"/>
  <c r="A5217" i="1"/>
  <c r="C4940" i="1"/>
  <c r="E4940" i="1" s="1"/>
  <c r="D4940" i="1"/>
  <c r="B4757" i="1"/>
  <c r="A4757" i="1"/>
  <c r="D5400" i="1"/>
  <c r="C5400" i="1"/>
  <c r="E5400" i="1" s="1"/>
  <c r="B5356" i="1"/>
  <c r="A5356" i="1"/>
  <c r="C4802" i="1"/>
  <c r="E4802" i="1" s="1"/>
  <c r="D4802" i="1"/>
  <c r="C5308" i="1"/>
  <c r="E5308" i="1" s="1"/>
  <c r="D5308" i="1"/>
  <c r="B4711" i="1"/>
  <c r="A4711" i="1"/>
  <c r="C5079" i="1"/>
  <c r="E5079" i="1" s="1"/>
  <c r="D5079" i="1"/>
  <c r="D4664" i="1"/>
  <c r="C4664" i="1"/>
  <c r="E4664" i="1" s="1"/>
  <c r="C4987" i="1"/>
  <c r="E4987" i="1" s="1"/>
  <c r="D4987" i="1"/>
  <c r="B4895" i="1"/>
  <c r="A4895" i="1"/>
  <c r="C5033" i="1"/>
  <c r="E5033" i="1" s="1"/>
  <c r="D5033" i="1"/>
  <c r="B5172" i="1"/>
  <c r="A5172" i="1"/>
  <c r="C5262" i="1"/>
  <c r="E5262" i="1" s="1"/>
  <c r="D5262" i="1"/>
  <c r="C4849" i="1"/>
  <c r="E4849" i="1" s="1"/>
  <c r="D4849" i="1"/>
  <c r="B4620" i="1" l="1"/>
  <c r="A4620" i="1"/>
  <c r="C5125" i="1"/>
  <c r="E5125" i="1" s="1"/>
  <c r="D5125" i="1"/>
  <c r="C3664" i="1"/>
  <c r="E3664" i="1" s="1"/>
  <c r="D3664" i="1"/>
  <c r="C4308" i="1"/>
  <c r="E4308" i="1" s="1"/>
  <c r="D4308" i="1"/>
  <c r="D3618" i="1"/>
  <c r="C3618" i="1"/>
  <c r="E3618" i="1" s="1"/>
  <c r="D3940" i="1"/>
  <c r="C3940" i="1"/>
  <c r="E3940" i="1" s="1"/>
  <c r="D4032" i="1"/>
  <c r="C4032" i="1"/>
  <c r="E4032" i="1" s="1"/>
  <c r="D4216" i="1"/>
  <c r="C4216" i="1"/>
  <c r="E4216" i="1" s="1"/>
  <c r="C3894" i="1"/>
  <c r="E3894" i="1" s="1"/>
  <c r="D3894" i="1"/>
  <c r="D3802" i="1"/>
  <c r="C3802" i="1"/>
  <c r="E3802" i="1" s="1"/>
  <c r="C4400" i="1"/>
  <c r="E4400" i="1" s="1"/>
  <c r="D4400" i="1"/>
  <c r="C3848" i="1"/>
  <c r="E3848" i="1" s="1"/>
  <c r="D3848" i="1"/>
  <c r="D3756" i="1"/>
  <c r="C3756" i="1"/>
  <c r="E3756" i="1" s="1"/>
  <c r="C4354" i="1"/>
  <c r="E4354" i="1" s="1"/>
  <c r="D4354" i="1"/>
  <c r="D4262" i="1"/>
  <c r="C4262" i="1"/>
  <c r="E4262" i="1" s="1"/>
  <c r="C3986" i="1"/>
  <c r="E3986" i="1" s="1"/>
  <c r="D3986" i="1"/>
  <c r="C4170" i="1"/>
  <c r="E4170" i="1" s="1"/>
  <c r="D4170" i="1"/>
  <c r="B4079" i="1"/>
  <c r="A4079" i="1"/>
  <c r="C3710" i="1"/>
  <c r="E3710" i="1" s="1"/>
  <c r="D3710" i="1"/>
  <c r="C4124" i="1"/>
  <c r="E4124" i="1" s="1"/>
  <c r="D4124" i="1"/>
  <c r="D5217" i="1"/>
  <c r="C5217" i="1"/>
  <c r="E5217" i="1" s="1"/>
  <c r="B4850" i="1"/>
  <c r="A4850" i="1"/>
  <c r="B5263" i="1"/>
  <c r="A5263" i="1"/>
  <c r="B5309" i="1"/>
  <c r="A5309" i="1"/>
  <c r="D5172" i="1"/>
  <c r="C5172" i="1"/>
  <c r="E5172" i="1" s="1"/>
  <c r="B4803" i="1"/>
  <c r="A4803" i="1"/>
  <c r="B5034" i="1"/>
  <c r="A5034" i="1"/>
  <c r="C5356" i="1"/>
  <c r="E5356" i="1" s="1"/>
  <c r="D5356" i="1"/>
  <c r="C4895" i="1"/>
  <c r="E4895" i="1" s="1"/>
  <c r="D4895" i="1"/>
  <c r="B4988" i="1"/>
  <c r="A4988" i="1"/>
  <c r="C4711" i="1"/>
  <c r="E4711" i="1" s="1"/>
  <c r="D4711" i="1"/>
  <c r="B5401" i="1"/>
  <c r="A5401" i="1"/>
  <c r="D4757" i="1"/>
  <c r="C4757" i="1"/>
  <c r="E4757" i="1" s="1"/>
  <c r="B4665" i="1"/>
  <c r="A4665" i="1"/>
  <c r="B5080" i="1"/>
  <c r="A5080" i="1"/>
  <c r="B4941" i="1"/>
  <c r="A4941" i="1"/>
  <c r="D4620" i="1" l="1"/>
  <c r="C4620" i="1"/>
  <c r="E4620" i="1" s="1"/>
  <c r="A5126" i="1"/>
  <c r="B5126" i="1"/>
  <c r="B3803" i="1"/>
  <c r="A3803" i="1"/>
  <c r="B4171" i="1"/>
  <c r="A4171" i="1"/>
  <c r="A3895" i="1"/>
  <c r="B3895" i="1"/>
  <c r="A3987" i="1"/>
  <c r="B3987" i="1"/>
  <c r="A4217" i="1"/>
  <c r="B4217" i="1"/>
  <c r="A4263" i="1"/>
  <c r="B4263" i="1"/>
  <c r="A4033" i="1"/>
  <c r="B4033" i="1"/>
  <c r="A4355" i="1"/>
  <c r="B4355" i="1"/>
  <c r="B3941" i="1"/>
  <c r="A3941" i="1"/>
  <c r="A3757" i="1"/>
  <c r="B3757" i="1"/>
  <c r="B3619" i="1"/>
  <c r="A3619" i="1"/>
  <c r="A4125" i="1"/>
  <c r="B4125" i="1"/>
  <c r="A3849" i="1"/>
  <c r="B3849" i="1"/>
  <c r="B4309" i="1"/>
  <c r="A4309" i="1"/>
  <c r="B3711" i="1"/>
  <c r="A3711" i="1"/>
  <c r="B4401" i="1"/>
  <c r="A4401" i="1"/>
  <c r="A3665" i="1"/>
  <c r="B3665" i="1"/>
  <c r="D4079" i="1"/>
  <c r="C4079" i="1"/>
  <c r="E4079" i="1" s="1"/>
  <c r="B5218" i="1"/>
  <c r="A5218" i="1"/>
  <c r="A5357" i="1"/>
  <c r="B5357" i="1"/>
  <c r="C5034" i="1"/>
  <c r="E5034" i="1" s="1"/>
  <c r="D5034" i="1"/>
  <c r="D5080" i="1"/>
  <c r="C5080" i="1"/>
  <c r="E5080" i="1" s="1"/>
  <c r="D4803" i="1"/>
  <c r="C4803" i="1"/>
  <c r="E4803" i="1" s="1"/>
  <c r="B4896" i="1"/>
  <c r="A4896" i="1"/>
  <c r="A5173" i="1"/>
  <c r="B5173" i="1"/>
  <c r="A4712" i="1"/>
  <c r="B4712" i="1"/>
  <c r="D5309" i="1"/>
  <c r="C5309" i="1"/>
  <c r="E5309" i="1" s="1"/>
  <c r="C4665" i="1"/>
  <c r="E4665" i="1" s="1"/>
  <c r="D4665" i="1"/>
  <c r="D4941" i="1"/>
  <c r="C4941" i="1"/>
  <c r="E4941" i="1" s="1"/>
  <c r="A4758" i="1"/>
  <c r="B4758" i="1"/>
  <c r="C4988" i="1"/>
  <c r="E4988" i="1" s="1"/>
  <c r="D4988" i="1"/>
  <c r="C5263" i="1"/>
  <c r="E5263" i="1" s="1"/>
  <c r="D5263" i="1"/>
  <c r="C5401" i="1"/>
  <c r="E5401" i="1" s="1"/>
  <c r="D5401" i="1"/>
  <c r="D4850" i="1"/>
  <c r="C4850" i="1"/>
  <c r="E4850" i="1" s="1"/>
  <c r="B4621" i="1" l="1"/>
  <c r="A4621" i="1"/>
  <c r="D5126" i="1"/>
  <c r="C5126" i="1"/>
  <c r="E5126" i="1" s="1"/>
  <c r="D4355" i="1"/>
  <c r="C4355" i="1"/>
  <c r="E4355" i="1" s="1"/>
  <c r="C3711" i="1"/>
  <c r="E3711" i="1" s="1"/>
  <c r="D3711" i="1"/>
  <c r="C4033" i="1"/>
  <c r="E4033" i="1" s="1"/>
  <c r="D4033" i="1"/>
  <c r="C4309" i="1"/>
  <c r="E4309" i="1" s="1"/>
  <c r="D4309" i="1"/>
  <c r="C4263" i="1"/>
  <c r="E4263" i="1" s="1"/>
  <c r="D4263" i="1"/>
  <c r="C3849" i="1"/>
  <c r="E3849" i="1" s="1"/>
  <c r="D3849" i="1"/>
  <c r="C4217" i="1"/>
  <c r="E4217" i="1" s="1"/>
  <c r="D4217" i="1"/>
  <c r="D4125" i="1"/>
  <c r="C4125" i="1"/>
  <c r="E4125" i="1" s="1"/>
  <c r="D3987" i="1"/>
  <c r="C3987" i="1"/>
  <c r="E3987" i="1" s="1"/>
  <c r="C3619" i="1"/>
  <c r="E3619" i="1" s="1"/>
  <c r="D3619" i="1"/>
  <c r="C4401" i="1"/>
  <c r="E4401" i="1" s="1"/>
  <c r="D4401" i="1"/>
  <c r="C3895" i="1"/>
  <c r="E3895" i="1" s="1"/>
  <c r="D3895" i="1"/>
  <c r="C4171" i="1"/>
  <c r="E4171" i="1" s="1"/>
  <c r="D4171" i="1"/>
  <c r="B4080" i="1"/>
  <c r="A4080" i="1"/>
  <c r="D3757" i="1"/>
  <c r="C3757" i="1"/>
  <c r="E3757" i="1" s="1"/>
  <c r="D3941" i="1"/>
  <c r="C3941" i="1"/>
  <c r="E3941" i="1" s="1"/>
  <c r="C3803" i="1"/>
  <c r="E3803" i="1" s="1"/>
  <c r="D3803" i="1"/>
  <c r="D3665" i="1"/>
  <c r="C3665" i="1"/>
  <c r="E3665" i="1" s="1"/>
  <c r="C5218" i="1"/>
  <c r="E5218" i="1" s="1"/>
  <c r="D5218" i="1"/>
  <c r="A5310" i="1"/>
  <c r="B5310" i="1"/>
  <c r="A4851" i="1"/>
  <c r="B4851" i="1"/>
  <c r="C5173" i="1"/>
  <c r="E5173" i="1" s="1"/>
  <c r="D5173" i="1"/>
  <c r="B5264" i="1"/>
  <c r="A5264" i="1"/>
  <c r="C4896" i="1"/>
  <c r="E4896" i="1" s="1"/>
  <c r="D4896" i="1"/>
  <c r="B4804" i="1"/>
  <c r="A4804" i="1"/>
  <c r="A5402" i="1"/>
  <c r="B5402" i="1"/>
  <c r="C4758" i="1"/>
  <c r="E4758" i="1" s="1"/>
  <c r="D4758" i="1"/>
  <c r="B5081" i="1"/>
  <c r="A5081" i="1"/>
  <c r="B4989" i="1"/>
  <c r="A4989" i="1"/>
  <c r="B5035" i="1"/>
  <c r="A5035" i="1"/>
  <c r="B4942" i="1"/>
  <c r="A4942" i="1"/>
  <c r="A4666" i="1"/>
  <c r="B4666" i="1"/>
  <c r="C4712" i="1"/>
  <c r="E4712" i="1" s="1"/>
  <c r="D4712" i="1"/>
  <c r="C5357" i="1"/>
  <c r="E5357" i="1" s="1"/>
  <c r="D5357" i="1"/>
  <c r="C4621" i="1" l="1"/>
  <c r="E4621" i="1" s="1"/>
  <c r="D4621" i="1"/>
  <c r="B5127" i="1"/>
  <c r="A5127" i="1"/>
  <c r="B3758" i="1"/>
  <c r="A3758" i="1"/>
  <c r="A4218" i="1"/>
  <c r="B4218" i="1"/>
  <c r="A4172" i="1"/>
  <c r="B4172" i="1"/>
  <c r="B4264" i="1"/>
  <c r="A4264" i="1"/>
  <c r="B3896" i="1"/>
  <c r="A3896" i="1"/>
  <c r="A4310" i="1"/>
  <c r="B4310" i="1"/>
  <c r="B4126" i="1"/>
  <c r="A4126" i="1"/>
  <c r="A4402" i="1"/>
  <c r="B4402" i="1"/>
  <c r="A4034" i="1"/>
  <c r="B4034" i="1"/>
  <c r="A3620" i="1"/>
  <c r="B3620" i="1"/>
  <c r="B3712" i="1"/>
  <c r="A3712" i="1"/>
  <c r="A3850" i="1"/>
  <c r="B3850" i="1"/>
  <c r="A3666" i="1"/>
  <c r="B3666" i="1"/>
  <c r="A3804" i="1"/>
  <c r="B3804" i="1"/>
  <c r="A3942" i="1"/>
  <c r="B3942" i="1"/>
  <c r="C4080" i="1"/>
  <c r="E4080" i="1" s="1"/>
  <c r="D4080" i="1"/>
  <c r="B3988" i="1"/>
  <c r="A3988" i="1"/>
  <c r="B4356" i="1"/>
  <c r="A4356" i="1"/>
  <c r="B5219" i="1"/>
  <c r="A5219" i="1"/>
  <c r="B4713" i="1"/>
  <c r="A4713" i="1"/>
  <c r="D4804" i="1"/>
  <c r="C4804" i="1"/>
  <c r="E4804" i="1" s="1"/>
  <c r="B4897" i="1"/>
  <c r="A4897" i="1"/>
  <c r="C4942" i="1"/>
  <c r="E4942" i="1" s="1"/>
  <c r="D4942" i="1"/>
  <c r="C5264" i="1"/>
  <c r="E5264" i="1" s="1"/>
  <c r="D5264" i="1"/>
  <c r="D5402" i="1"/>
  <c r="C5402" i="1"/>
  <c r="E5402" i="1" s="1"/>
  <c r="D4666" i="1"/>
  <c r="C4666" i="1"/>
  <c r="E4666" i="1" s="1"/>
  <c r="C5035" i="1"/>
  <c r="E5035" i="1" s="1"/>
  <c r="D5035" i="1"/>
  <c r="C4989" i="1"/>
  <c r="E4989" i="1" s="1"/>
  <c r="D4989" i="1"/>
  <c r="D4851" i="1"/>
  <c r="C4851" i="1"/>
  <c r="E4851" i="1" s="1"/>
  <c r="C5081" i="1"/>
  <c r="E5081" i="1" s="1"/>
  <c r="D5081" i="1"/>
  <c r="A5358" i="1"/>
  <c r="B5358" i="1"/>
  <c r="B5174" i="1"/>
  <c r="A5174" i="1"/>
  <c r="A4759" i="1"/>
  <c r="B4759" i="1"/>
  <c r="D5310" i="1"/>
  <c r="C5310" i="1"/>
  <c r="E5310" i="1" s="1"/>
  <c r="A4622" i="1" l="1"/>
  <c r="B4622" i="1"/>
  <c r="D5127" i="1"/>
  <c r="C5127" i="1"/>
  <c r="E5127" i="1" s="1"/>
  <c r="C3804" i="1"/>
  <c r="E3804" i="1" s="1"/>
  <c r="D3804" i="1"/>
  <c r="D4310" i="1"/>
  <c r="C4310" i="1"/>
  <c r="E4310" i="1" s="1"/>
  <c r="C3896" i="1"/>
  <c r="E3896" i="1" s="1"/>
  <c r="D3896" i="1"/>
  <c r="C3666" i="1"/>
  <c r="E3666" i="1" s="1"/>
  <c r="D3666" i="1"/>
  <c r="A4081" i="1"/>
  <c r="B4081" i="1"/>
  <c r="C4126" i="1"/>
  <c r="E4126" i="1" s="1"/>
  <c r="D4126" i="1"/>
  <c r="C4264" i="1"/>
  <c r="E4264" i="1" s="1"/>
  <c r="D4264" i="1"/>
  <c r="D3850" i="1"/>
  <c r="C3850" i="1"/>
  <c r="E3850" i="1" s="1"/>
  <c r="C3712" i="1"/>
  <c r="E3712" i="1" s="1"/>
  <c r="D3712" i="1"/>
  <c r="C4402" i="1"/>
  <c r="E4402" i="1" s="1"/>
  <c r="D4402" i="1"/>
  <c r="D3942" i="1"/>
  <c r="C3942" i="1"/>
  <c r="E3942" i="1" s="1"/>
  <c r="C4172" i="1"/>
  <c r="E4172" i="1" s="1"/>
  <c r="D4172" i="1"/>
  <c r="D4356" i="1"/>
  <c r="C4356" i="1"/>
  <c r="E4356" i="1" s="1"/>
  <c r="D3620" i="1"/>
  <c r="C3620" i="1"/>
  <c r="E3620" i="1" s="1"/>
  <c r="C4218" i="1"/>
  <c r="E4218" i="1" s="1"/>
  <c r="D4218" i="1"/>
  <c r="C3988" i="1"/>
  <c r="E3988" i="1" s="1"/>
  <c r="D3988" i="1"/>
  <c r="C3758" i="1"/>
  <c r="E3758" i="1" s="1"/>
  <c r="D3758" i="1"/>
  <c r="C4034" i="1"/>
  <c r="E4034" i="1" s="1"/>
  <c r="D4034" i="1"/>
  <c r="C5219" i="1"/>
  <c r="E5219" i="1" s="1"/>
  <c r="D5219" i="1"/>
  <c r="D5174" i="1"/>
  <c r="C5174" i="1"/>
  <c r="E5174" i="1" s="1"/>
  <c r="B5403" i="1"/>
  <c r="A5403" i="1"/>
  <c r="A5036" i="1"/>
  <c r="B5036" i="1"/>
  <c r="B5265" i="1"/>
  <c r="A5265" i="1"/>
  <c r="B4943" i="1"/>
  <c r="A4943" i="1"/>
  <c r="A5082" i="1"/>
  <c r="B5082" i="1"/>
  <c r="C4897" i="1"/>
  <c r="E4897" i="1" s="1"/>
  <c r="D4897" i="1"/>
  <c r="D4759" i="1"/>
  <c r="C4759" i="1"/>
  <c r="E4759" i="1" s="1"/>
  <c r="C5358" i="1"/>
  <c r="E5358" i="1" s="1"/>
  <c r="D5358" i="1"/>
  <c r="B5311" i="1"/>
  <c r="A5311" i="1"/>
  <c r="B4852" i="1"/>
  <c r="A4852" i="1"/>
  <c r="A4805" i="1"/>
  <c r="B4805" i="1"/>
  <c r="B4667" i="1"/>
  <c r="A4667" i="1"/>
  <c r="A4990" i="1"/>
  <c r="B4990" i="1"/>
  <c r="D4713" i="1"/>
  <c r="C4713" i="1"/>
  <c r="E4713" i="1" s="1"/>
  <c r="D4622" i="1" l="1"/>
  <c r="C4622" i="1"/>
  <c r="E4622" i="1" s="1"/>
  <c r="B5128" i="1"/>
  <c r="A5128" i="1"/>
  <c r="B3851" i="1"/>
  <c r="A3851" i="1"/>
  <c r="A4357" i="1"/>
  <c r="B4357" i="1"/>
  <c r="C4081" i="1"/>
  <c r="E4081" i="1" s="1"/>
  <c r="D4081" i="1"/>
  <c r="A3989" i="1"/>
  <c r="B3989" i="1"/>
  <c r="A4173" i="1"/>
  <c r="B4173" i="1"/>
  <c r="A3667" i="1"/>
  <c r="B3667" i="1"/>
  <c r="B4265" i="1"/>
  <c r="A4265" i="1"/>
  <c r="B3897" i="1"/>
  <c r="A3897" i="1"/>
  <c r="B4127" i="1"/>
  <c r="A4127" i="1"/>
  <c r="A3943" i="1"/>
  <c r="B3943" i="1"/>
  <c r="B4219" i="1"/>
  <c r="A4219" i="1"/>
  <c r="B4403" i="1"/>
  <c r="A4403" i="1"/>
  <c r="B4311" i="1"/>
  <c r="A4311" i="1"/>
  <c r="A4035" i="1"/>
  <c r="B4035" i="1"/>
  <c r="B3759" i="1"/>
  <c r="A3759" i="1"/>
  <c r="A3713" i="1"/>
  <c r="B3713" i="1"/>
  <c r="A3805" i="1"/>
  <c r="B3805" i="1"/>
  <c r="A3621" i="1"/>
  <c r="B3621" i="1"/>
  <c r="B5220" i="1"/>
  <c r="A5220" i="1"/>
  <c r="B4898" i="1"/>
  <c r="A4898" i="1"/>
  <c r="D5311" i="1"/>
  <c r="C5311" i="1"/>
  <c r="E5311" i="1" s="1"/>
  <c r="D4805" i="1"/>
  <c r="C4805" i="1"/>
  <c r="E4805" i="1" s="1"/>
  <c r="D5036" i="1"/>
  <c r="C5036" i="1"/>
  <c r="E5036" i="1" s="1"/>
  <c r="B5359" i="1"/>
  <c r="A5359" i="1"/>
  <c r="C5403" i="1"/>
  <c r="E5403" i="1" s="1"/>
  <c r="D5403" i="1"/>
  <c r="B4714" i="1"/>
  <c r="A4714" i="1"/>
  <c r="C4990" i="1"/>
  <c r="E4990" i="1" s="1"/>
  <c r="D4990" i="1"/>
  <c r="C4943" i="1"/>
  <c r="E4943" i="1" s="1"/>
  <c r="D4943" i="1"/>
  <c r="D5265" i="1"/>
  <c r="C5265" i="1"/>
  <c r="E5265" i="1" s="1"/>
  <c r="D5082" i="1"/>
  <c r="C5082" i="1"/>
  <c r="E5082" i="1" s="1"/>
  <c r="D4667" i="1"/>
  <c r="C4667" i="1"/>
  <c r="E4667" i="1" s="1"/>
  <c r="D4852" i="1"/>
  <c r="C4852" i="1"/>
  <c r="E4852" i="1" s="1"/>
  <c r="B4760" i="1"/>
  <c r="A4760" i="1"/>
  <c r="A5175" i="1"/>
  <c r="B5175" i="1"/>
  <c r="A4623" i="1" l="1"/>
  <c r="B4623" i="1"/>
  <c r="C5128" i="1"/>
  <c r="E5128" i="1" s="1"/>
  <c r="D5128" i="1"/>
  <c r="C4035" i="1"/>
  <c r="E4035" i="1" s="1"/>
  <c r="D4035" i="1"/>
  <c r="C3759" i="1"/>
  <c r="E3759" i="1" s="1"/>
  <c r="D3759" i="1"/>
  <c r="C4173" i="1"/>
  <c r="E4173" i="1" s="1"/>
  <c r="D4173" i="1"/>
  <c r="C4403" i="1"/>
  <c r="E4403" i="1" s="1"/>
  <c r="D4403" i="1"/>
  <c r="C3667" i="1"/>
  <c r="E3667" i="1" s="1"/>
  <c r="D3667" i="1"/>
  <c r="C3989" i="1"/>
  <c r="E3989" i="1" s="1"/>
  <c r="D3989" i="1"/>
  <c r="D3713" i="1"/>
  <c r="C3713" i="1"/>
  <c r="E3713" i="1" s="1"/>
  <c r="B4082" i="1"/>
  <c r="A4082" i="1"/>
  <c r="C4311" i="1"/>
  <c r="E4311" i="1" s="1"/>
  <c r="D4311" i="1"/>
  <c r="D4219" i="1"/>
  <c r="C4219" i="1"/>
  <c r="E4219" i="1" s="1"/>
  <c r="D3897" i="1"/>
  <c r="C3897" i="1"/>
  <c r="E3897" i="1" s="1"/>
  <c r="D3621" i="1"/>
  <c r="C3621" i="1"/>
  <c r="E3621" i="1" s="1"/>
  <c r="D3943" i="1"/>
  <c r="C3943" i="1"/>
  <c r="E3943" i="1" s="1"/>
  <c r="C4357" i="1"/>
  <c r="E4357" i="1" s="1"/>
  <c r="D4357" i="1"/>
  <c r="C4265" i="1"/>
  <c r="E4265" i="1" s="1"/>
  <c r="D4265" i="1"/>
  <c r="C4127" i="1"/>
  <c r="E4127" i="1" s="1"/>
  <c r="D4127" i="1"/>
  <c r="D3851" i="1"/>
  <c r="C3851" i="1"/>
  <c r="E3851" i="1" s="1"/>
  <c r="C3805" i="1"/>
  <c r="E3805" i="1" s="1"/>
  <c r="D3805" i="1"/>
  <c r="C5220" i="1"/>
  <c r="E5220" i="1" s="1"/>
  <c r="D5220" i="1"/>
  <c r="C4760" i="1"/>
  <c r="E4760" i="1" s="1"/>
  <c r="D4760" i="1"/>
  <c r="C4714" i="1"/>
  <c r="E4714" i="1" s="1"/>
  <c r="D4714" i="1"/>
  <c r="B5404" i="1"/>
  <c r="A5404" i="1"/>
  <c r="B4853" i="1"/>
  <c r="A4853" i="1"/>
  <c r="C5359" i="1"/>
  <c r="E5359" i="1" s="1"/>
  <c r="D5359" i="1"/>
  <c r="B5083" i="1"/>
  <c r="A5083" i="1"/>
  <c r="A5037" i="1"/>
  <c r="B5037" i="1"/>
  <c r="A4668" i="1"/>
  <c r="B4668" i="1"/>
  <c r="A5266" i="1"/>
  <c r="B5266" i="1"/>
  <c r="B4806" i="1"/>
  <c r="A4806" i="1"/>
  <c r="C5175" i="1"/>
  <c r="E5175" i="1" s="1"/>
  <c r="D5175" i="1"/>
  <c r="B4944" i="1"/>
  <c r="A4944" i="1"/>
  <c r="A5312" i="1"/>
  <c r="B5312" i="1"/>
  <c r="A4991" i="1"/>
  <c r="B4991" i="1"/>
  <c r="C4898" i="1"/>
  <c r="E4898" i="1" s="1"/>
  <c r="D4898" i="1"/>
  <c r="C4623" i="1" l="1"/>
  <c r="E4623" i="1" s="1"/>
  <c r="D4623" i="1"/>
  <c r="A5129" i="1"/>
  <c r="B5129" i="1"/>
  <c r="B3714" i="1"/>
  <c r="A3714" i="1"/>
  <c r="D4082" i="1"/>
  <c r="C4082" i="1"/>
  <c r="E4082" i="1" s="1"/>
  <c r="B4266" i="1"/>
  <c r="A4266" i="1"/>
  <c r="B3668" i="1"/>
  <c r="A3668" i="1"/>
  <c r="A3944" i="1"/>
  <c r="B3944" i="1"/>
  <c r="B4128" i="1"/>
  <c r="A4128" i="1"/>
  <c r="B4404" i="1"/>
  <c r="A4404" i="1"/>
  <c r="A3990" i="1"/>
  <c r="B3990" i="1"/>
  <c r="B3622" i="1"/>
  <c r="A3622" i="1"/>
  <c r="A4174" i="1"/>
  <c r="B4174" i="1"/>
  <c r="B4358" i="1"/>
  <c r="A4358" i="1"/>
  <c r="A3898" i="1"/>
  <c r="B3898" i="1"/>
  <c r="B3806" i="1"/>
  <c r="A3806" i="1"/>
  <c r="B3760" i="1"/>
  <c r="A3760" i="1"/>
  <c r="B4220" i="1"/>
  <c r="A4220" i="1"/>
  <c r="B4312" i="1"/>
  <c r="A4312" i="1"/>
  <c r="B4036" i="1"/>
  <c r="A4036" i="1"/>
  <c r="A3852" i="1"/>
  <c r="B3852" i="1"/>
  <c r="B5221" i="1"/>
  <c r="A5221" i="1"/>
  <c r="B4899" i="1"/>
  <c r="A4899" i="1"/>
  <c r="C4806" i="1"/>
  <c r="E4806" i="1" s="1"/>
  <c r="D4806" i="1"/>
  <c r="D5404" i="1"/>
  <c r="C5404" i="1"/>
  <c r="E5404" i="1" s="1"/>
  <c r="C5083" i="1"/>
  <c r="E5083" i="1" s="1"/>
  <c r="D5083" i="1"/>
  <c r="D5037" i="1"/>
  <c r="C5037" i="1"/>
  <c r="E5037" i="1" s="1"/>
  <c r="C4991" i="1"/>
  <c r="E4991" i="1" s="1"/>
  <c r="D4991" i="1"/>
  <c r="A5176" i="1"/>
  <c r="B5176" i="1"/>
  <c r="A4715" i="1"/>
  <c r="B4715" i="1"/>
  <c r="D4853" i="1"/>
  <c r="C4853" i="1"/>
  <c r="E4853" i="1" s="1"/>
  <c r="C5266" i="1"/>
  <c r="E5266" i="1" s="1"/>
  <c r="D5266" i="1"/>
  <c r="C5312" i="1"/>
  <c r="E5312" i="1" s="1"/>
  <c r="D5312" i="1"/>
  <c r="B4761" i="1"/>
  <c r="A4761" i="1"/>
  <c r="B5360" i="1"/>
  <c r="A5360" i="1"/>
  <c r="D4944" i="1"/>
  <c r="C4944" i="1"/>
  <c r="E4944" i="1" s="1"/>
  <c r="D4668" i="1"/>
  <c r="C4668" i="1"/>
  <c r="E4668" i="1" s="1"/>
  <c r="B4624" i="1" l="1"/>
  <c r="A4624" i="1"/>
  <c r="D5129" i="1"/>
  <c r="C5129" i="1"/>
  <c r="E5129" i="1" s="1"/>
  <c r="D3944" i="1"/>
  <c r="C3944" i="1"/>
  <c r="E3944" i="1" s="1"/>
  <c r="D4312" i="1"/>
  <c r="C4312" i="1"/>
  <c r="E4312" i="1" s="1"/>
  <c r="D3668" i="1"/>
  <c r="C3668" i="1"/>
  <c r="E3668" i="1" s="1"/>
  <c r="D3760" i="1"/>
  <c r="C3760" i="1"/>
  <c r="E3760" i="1" s="1"/>
  <c r="C3898" i="1"/>
  <c r="E3898" i="1" s="1"/>
  <c r="D3898" i="1"/>
  <c r="D4128" i="1"/>
  <c r="C4128" i="1"/>
  <c r="E4128" i="1" s="1"/>
  <c r="D4358" i="1"/>
  <c r="C4358" i="1"/>
  <c r="E4358" i="1" s="1"/>
  <c r="C4266" i="1"/>
  <c r="E4266" i="1" s="1"/>
  <c r="D4266" i="1"/>
  <c r="D4404" i="1"/>
  <c r="C4404" i="1"/>
  <c r="E4404" i="1" s="1"/>
  <c r="D3852" i="1"/>
  <c r="C3852" i="1"/>
  <c r="E3852" i="1" s="1"/>
  <c r="C4174" i="1"/>
  <c r="E4174" i="1" s="1"/>
  <c r="D4174" i="1"/>
  <c r="B4083" i="1"/>
  <c r="A4083" i="1"/>
  <c r="C3990" i="1"/>
  <c r="E3990" i="1" s="1"/>
  <c r="D3990" i="1"/>
  <c r="D4220" i="1"/>
  <c r="C4220" i="1"/>
  <c r="E4220" i="1" s="1"/>
  <c r="C4036" i="1"/>
  <c r="E4036" i="1" s="1"/>
  <c r="D4036" i="1"/>
  <c r="C3622" i="1"/>
  <c r="E3622" i="1" s="1"/>
  <c r="D3622" i="1"/>
  <c r="D3714" i="1"/>
  <c r="C3714" i="1"/>
  <c r="E3714" i="1" s="1"/>
  <c r="D3806" i="1"/>
  <c r="C3806" i="1"/>
  <c r="E3806" i="1" s="1"/>
  <c r="D5221" i="1"/>
  <c r="C5221" i="1"/>
  <c r="E5221" i="1" s="1"/>
  <c r="A4992" i="1"/>
  <c r="B4992" i="1"/>
  <c r="C5360" i="1"/>
  <c r="E5360" i="1" s="1"/>
  <c r="D5360" i="1"/>
  <c r="A5038" i="1"/>
  <c r="B5038" i="1"/>
  <c r="C4761" i="1"/>
  <c r="E4761" i="1" s="1"/>
  <c r="D4761" i="1"/>
  <c r="B4945" i="1"/>
  <c r="A4945" i="1"/>
  <c r="B5313" i="1"/>
  <c r="A5313" i="1"/>
  <c r="B5084" i="1"/>
  <c r="A5084" i="1"/>
  <c r="B5267" i="1"/>
  <c r="A5267" i="1"/>
  <c r="D5176" i="1"/>
  <c r="C5176" i="1"/>
  <c r="E5176" i="1" s="1"/>
  <c r="B5405" i="1"/>
  <c r="A5405" i="1"/>
  <c r="A4807" i="1"/>
  <c r="B4807" i="1"/>
  <c r="B4854" i="1"/>
  <c r="A4854" i="1"/>
  <c r="B4669" i="1"/>
  <c r="A4669" i="1"/>
  <c r="C4899" i="1"/>
  <c r="E4899" i="1" s="1"/>
  <c r="D4899" i="1"/>
  <c r="D4715" i="1"/>
  <c r="C4715" i="1"/>
  <c r="E4715" i="1" s="1"/>
  <c r="D4624" i="1" l="1"/>
  <c r="C4624" i="1"/>
  <c r="E4624" i="1" s="1"/>
  <c r="B5130" i="1"/>
  <c r="A5130" i="1"/>
  <c r="B4359" i="1"/>
  <c r="A4359" i="1"/>
  <c r="B4221" i="1"/>
  <c r="A4221" i="1"/>
  <c r="B4129" i="1"/>
  <c r="A4129" i="1"/>
  <c r="B3991" i="1"/>
  <c r="A3991" i="1"/>
  <c r="A3899" i="1"/>
  <c r="B3899" i="1"/>
  <c r="A4267" i="1"/>
  <c r="B4267" i="1"/>
  <c r="C4083" i="1"/>
  <c r="E4083" i="1" s="1"/>
  <c r="D4083" i="1"/>
  <c r="B3761" i="1"/>
  <c r="A3761" i="1"/>
  <c r="A4175" i="1"/>
  <c r="B4175" i="1"/>
  <c r="A3669" i="1"/>
  <c r="B3669" i="1"/>
  <c r="A4037" i="1"/>
  <c r="B4037" i="1"/>
  <c r="B3807" i="1"/>
  <c r="A3807" i="1"/>
  <c r="B3853" i="1"/>
  <c r="A3853" i="1"/>
  <c r="A4313" i="1"/>
  <c r="B4313" i="1"/>
  <c r="B3623" i="1"/>
  <c r="A3623" i="1"/>
  <c r="B3715" i="1"/>
  <c r="A3715" i="1"/>
  <c r="B4405" i="1"/>
  <c r="A4405" i="1"/>
  <c r="B3945" i="1"/>
  <c r="A3945" i="1"/>
  <c r="A5222" i="1"/>
  <c r="B5222" i="1"/>
  <c r="C5267" i="1"/>
  <c r="E5267" i="1" s="1"/>
  <c r="D5267" i="1"/>
  <c r="C5313" i="1"/>
  <c r="E5313" i="1" s="1"/>
  <c r="D5313" i="1"/>
  <c r="B4900" i="1"/>
  <c r="A4900" i="1"/>
  <c r="D4854" i="1"/>
  <c r="C4854" i="1"/>
  <c r="E4854" i="1" s="1"/>
  <c r="D4945" i="1"/>
  <c r="C4945" i="1"/>
  <c r="E4945" i="1" s="1"/>
  <c r="C5084" i="1"/>
  <c r="E5084" i="1" s="1"/>
  <c r="D5084" i="1"/>
  <c r="B4762" i="1"/>
  <c r="A4762" i="1"/>
  <c r="B4716" i="1"/>
  <c r="A4716" i="1"/>
  <c r="C4669" i="1"/>
  <c r="E4669" i="1" s="1"/>
  <c r="D4669" i="1"/>
  <c r="C4807" i="1"/>
  <c r="E4807" i="1" s="1"/>
  <c r="D4807" i="1"/>
  <c r="C5405" i="1"/>
  <c r="E5405" i="1" s="1"/>
  <c r="D5405" i="1"/>
  <c r="D5038" i="1"/>
  <c r="C5038" i="1"/>
  <c r="E5038" i="1" s="1"/>
  <c r="B5361" i="1"/>
  <c r="A5361" i="1"/>
  <c r="B5177" i="1"/>
  <c r="A5177" i="1"/>
  <c r="D4992" i="1"/>
  <c r="C4992" i="1"/>
  <c r="E4992" i="1" s="1"/>
  <c r="B4625" i="1" l="1"/>
  <c r="A4625" i="1"/>
  <c r="D5130" i="1"/>
  <c r="C5130" i="1"/>
  <c r="E5130" i="1" s="1"/>
  <c r="C3623" i="1"/>
  <c r="E3623" i="1" s="1"/>
  <c r="D3623" i="1"/>
  <c r="C4313" i="1"/>
  <c r="E4313" i="1" s="1"/>
  <c r="D4313" i="1"/>
  <c r="D4267" i="1"/>
  <c r="C4267" i="1"/>
  <c r="E4267" i="1" s="1"/>
  <c r="D3899" i="1"/>
  <c r="C3899" i="1"/>
  <c r="E3899" i="1" s="1"/>
  <c r="D3807" i="1"/>
  <c r="C3807" i="1"/>
  <c r="E3807" i="1" s="1"/>
  <c r="C3991" i="1"/>
  <c r="E3991" i="1" s="1"/>
  <c r="D3991" i="1"/>
  <c r="D4129" i="1"/>
  <c r="C4129" i="1"/>
  <c r="E4129" i="1" s="1"/>
  <c r="D3761" i="1"/>
  <c r="C3761" i="1"/>
  <c r="E3761" i="1" s="1"/>
  <c r="D4037" i="1"/>
  <c r="C4037" i="1"/>
  <c r="E4037" i="1" s="1"/>
  <c r="C3945" i="1"/>
  <c r="E3945" i="1" s="1"/>
  <c r="D3945" i="1"/>
  <c r="C4221" i="1"/>
  <c r="E4221" i="1" s="1"/>
  <c r="D4221" i="1"/>
  <c r="D3669" i="1"/>
  <c r="C3669" i="1"/>
  <c r="E3669" i="1" s="1"/>
  <c r="C3715" i="1"/>
  <c r="E3715" i="1" s="1"/>
  <c r="D3715" i="1"/>
  <c r="D3853" i="1"/>
  <c r="C3853" i="1"/>
  <c r="E3853" i="1" s="1"/>
  <c r="C4405" i="1"/>
  <c r="E4405" i="1" s="1"/>
  <c r="D4405" i="1"/>
  <c r="D4359" i="1"/>
  <c r="C4359" i="1"/>
  <c r="E4359" i="1" s="1"/>
  <c r="A4084" i="1"/>
  <c r="B4084" i="1"/>
  <c r="D4175" i="1"/>
  <c r="C4175" i="1"/>
  <c r="E4175" i="1" s="1"/>
  <c r="C5222" i="1"/>
  <c r="E5222" i="1" s="1"/>
  <c r="D5222" i="1"/>
  <c r="C5361" i="1"/>
  <c r="E5361" i="1" s="1"/>
  <c r="D5361" i="1"/>
  <c r="A5085" i="1"/>
  <c r="B5085" i="1"/>
  <c r="C4716" i="1"/>
  <c r="E4716" i="1" s="1"/>
  <c r="D4716" i="1"/>
  <c r="D5177" i="1"/>
  <c r="C5177" i="1"/>
  <c r="E5177" i="1" s="1"/>
  <c r="A4946" i="1"/>
  <c r="B4946" i="1"/>
  <c r="B4855" i="1"/>
  <c r="A4855" i="1"/>
  <c r="B5406" i="1"/>
  <c r="A5406" i="1"/>
  <c r="C4900" i="1"/>
  <c r="E4900" i="1" s="1"/>
  <c r="D4900" i="1"/>
  <c r="C4762" i="1"/>
  <c r="E4762" i="1" s="1"/>
  <c r="D4762" i="1"/>
  <c r="A4993" i="1"/>
  <c r="B4993" i="1"/>
  <c r="B4808" i="1"/>
  <c r="A4808" i="1"/>
  <c r="B5314" i="1"/>
  <c r="A5314" i="1"/>
  <c r="B5039" i="1"/>
  <c r="A5039" i="1"/>
  <c r="B4670" i="1"/>
  <c r="A4670" i="1"/>
  <c r="B5268" i="1"/>
  <c r="A5268" i="1"/>
  <c r="C4625" i="1" l="1"/>
  <c r="E4625" i="1" s="1"/>
  <c r="D4625" i="1"/>
  <c r="A5131" i="1"/>
  <c r="B5131" i="1"/>
  <c r="B4130" i="1"/>
  <c r="A4130" i="1"/>
  <c r="B3992" i="1"/>
  <c r="A3992" i="1"/>
  <c r="A3854" i="1"/>
  <c r="B3854" i="1"/>
  <c r="A3716" i="1"/>
  <c r="B3716" i="1"/>
  <c r="A3808" i="1"/>
  <c r="B3808" i="1"/>
  <c r="B4360" i="1"/>
  <c r="A4360" i="1"/>
  <c r="B3670" i="1"/>
  <c r="A3670" i="1"/>
  <c r="B3900" i="1"/>
  <c r="A3900" i="1"/>
  <c r="B4222" i="1"/>
  <c r="A4222" i="1"/>
  <c r="B4406" i="1"/>
  <c r="A4406" i="1"/>
  <c r="B4268" i="1"/>
  <c r="A4268" i="1"/>
  <c r="B3946" i="1"/>
  <c r="A3946" i="1"/>
  <c r="A4314" i="1"/>
  <c r="B4314" i="1"/>
  <c r="B3762" i="1"/>
  <c r="A3762" i="1"/>
  <c r="B4176" i="1"/>
  <c r="A4176" i="1"/>
  <c r="B3624" i="1"/>
  <c r="A3624" i="1"/>
  <c r="D4084" i="1"/>
  <c r="C4084" i="1"/>
  <c r="E4084" i="1" s="1"/>
  <c r="A4038" i="1"/>
  <c r="B4038" i="1"/>
  <c r="A5223" i="1"/>
  <c r="B5223" i="1"/>
  <c r="C4670" i="1"/>
  <c r="E4670" i="1" s="1"/>
  <c r="D4670" i="1"/>
  <c r="D4855" i="1"/>
  <c r="C4855" i="1"/>
  <c r="E4855" i="1" s="1"/>
  <c r="D5039" i="1"/>
  <c r="C5039" i="1"/>
  <c r="E5039" i="1" s="1"/>
  <c r="D4946" i="1"/>
  <c r="C4946" i="1"/>
  <c r="E4946" i="1" s="1"/>
  <c r="D4808" i="1"/>
  <c r="C4808" i="1"/>
  <c r="E4808" i="1" s="1"/>
  <c r="C5268" i="1"/>
  <c r="E5268" i="1" s="1"/>
  <c r="D5268" i="1"/>
  <c r="D5314" i="1"/>
  <c r="C5314" i="1"/>
  <c r="E5314" i="1" s="1"/>
  <c r="A5178" i="1"/>
  <c r="B5178" i="1"/>
  <c r="A4717" i="1"/>
  <c r="B4717" i="1"/>
  <c r="C4993" i="1"/>
  <c r="E4993" i="1" s="1"/>
  <c r="D4993" i="1"/>
  <c r="B4763" i="1"/>
  <c r="A4763" i="1"/>
  <c r="C5406" i="1"/>
  <c r="E5406" i="1" s="1"/>
  <c r="D5406" i="1"/>
  <c r="C5085" i="1"/>
  <c r="E5085" i="1" s="1"/>
  <c r="D5085" i="1"/>
  <c r="B4901" i="1"/>
  <c r="A4901" i="1"/>
  <c r="B5362" i="1"/>
  <c r="A5362" i="1"/>
  <c r="B4626" i="1" l="1"/>
  <c r="A4626" i="1"/>
  <c r="D5131" i="1"/>
  <c r="C5131" i="1"/>
  <c r="E5131" i="1" s="1"/>
  <c r="C3624" i="1"/>
  <c r="E3624" i="1" s="1"/>
  <c r="D3624" i="1"/>
  <c r="D4314" i="1"/>
  <c r="C4314" i="1"/>
  <c r="E4314" i="1" s="1"/>
  <c r="C3808" i="1"/>
  <c r="E3808" i="1" s="1"/>
  <c r="D3808" i="1"/>
  <c r="C3946" i="1"/>
  <c r="E3946" i="1" s="1"/>
  <c r="D3946" i="1"/>
  <c r="D4176" i="1"/>
  <c r="C4176" i="1"/>
  <c r="E4176" i="1" s="1"/>
  <c r="D3716" i="1"/>
  <c r="C3716" i="1"/>
  <c r="E3716" i="1" s="1"/>
  <c r="C3670" i="1"/>
  <c r="E3670" i="1" s="1"/>
  <c r="D3670" i="1"/>
  <c r="C4360" i="1"/>
  <c r="E4360" i="1" s="1"/>
  <c r="D4360" i="1"/>
  <c r="D4268" i="1"/>
  <c r="C4268" i="1"/>
  <c r="E4268" i="1" s="1"/>
  <c r="D3854" i="1"/>
  <c r="C3854" i="1"/>
  <c r="E3854" i="1" s="1"/>
  <c r="D4406" i="1"/>
  <c r="C4406" i="1"/>
  <c r="E4406" i="1" s="1"/>
  <c r="D3992" i="1"/>
  <c r="C3992" i="1"/>
  <c r="E3992" i="1" s="1"/>
  <c r="C3900" i="1"/>
  <c r="E3900" i="1" s="1"/>
  <c r="D3900" i="1"/>
  <c r="C4038" i="1"/>
  <c r="E4038" i="1" s="1"/>
  <c r="D4038" i="1"/>
  <c r="C3762" i="1"/>
  <c r="E3762" i="1" s="1"/>
  <c r="D3762" i="1"/>
  <c r="D4222" i="1"/>
  <c r="C4222" i="1"/>
  <c r="E4222" i="1" s="1"/>
  <c r="D4130" i="1"/>
  <c r="C4130" i="1"/>
  <c r="E4130" i="1" s="1"/>
  <c r="A4085" i="1"/>
  <c r="B4085" i="1"/>
  <c r="C5223" i="1"/>
  <c r="E5223" i="1" s="1"/>
  <c r="D5223" i="1"/>
  <c r="C5178" i="1"/>
  <c r="E5178" i="1" s="1"/>
  <c r="D5178" i="1"/>
  <c r="C4901" i="1"/>
  <c r="E4901" i="1" s="1"/>
  <c r="D4901" i="1"/>
  <c r="A5269" i="1"/>
  <c r="B5269" i="1"/>
  <c r="A5086" i="1"/>
  <c r="B5086" i="1"/>
  <c r="A4809" i="1"/>
  <c r="B4809" i="1"/>
  <c r="B5407" i="1"/>
  <c r="A5407" i="1"/>
  <c r="B4947" i="1"/>
  <c r="A4947" i="1"/>
  <c r="C4763" i="1"/>
  <c r="E4763" i="1" s="1"/>
  <c r="D4763" i="1"/>
  <c r="A5040" i="1"/>
  <c r="B5040" i="1"/>
  <c r="B4994" i="1"/>
  <c r="A4994" i="1"/>
  <c r="A5315" i="1"/>
  <c r="B5315" i="1"/>
  <c r="A4856" i="1"/>
  <c r="B4856" i="1"/>
  <c r="C5362" i="1"/>
  <c r="E5362" i="1" s="1"/>
  <c r="D5362" i="1"/>
  <c r="A4671" i="1"/>
  <c r="B4671" i="1"/>
  <c r="D4717" i="1"/>
  <c r="C4717" i="1"/>
  <c r="E4717" i="1" s="1"/>
  <c r="C4626" i="1" l="1"/>
  <c r="E4626" i="1" s="1"/>
  <c r="D4626" i="1"/>
  <c r="A5132" i="1"/>
  <c r="B5132" i="1"/>
  <c r="B3717" i="1"/>
  <c r="A3717" i="1"/>
  <c r="B3901" i="1"/>
  <c r="A3901" i="1"/>
  <c r="A4223" i="1"/>
  <c r="B4223" i="1"/>
  <c r="B4177" i="1"/>
  <c r="A4177" i="1"/>
  <c r="A4361" i="1"/>
  <c r="B4361" i="1"/>
  <c r="B4039" i="1"/>
  <c r="A4039" i="1"/>
  <c r="A3947" i="1"/>
  <c r="B3947" i="1"/>
  <c r="B3993" i="1"/>
  <c r="A3993" i="1"/>
  <c r="B3809" i="1"/>
  <c r="A3809" i="1"/>
  <c r="B3763" i="1"/>
  <c r="A3763" i="1"/>
  <c r="A4407" i="1"/>
  <c r="B4407" i="1"/>
  <c r="A3671" i="1"/>
  <c r="B3671" i="1"/>
  <c r="C4085" i="1"/>
  <c r="E4085" i="1" s="1"/>
  <c r="D4085" i="1"/>
  <c r="A3855" i="1"/>
  <c r="B3855" i="1"/>
  <c r="A4315" i="1"/>
  <c r="B4315" i="1"/>
  <c r="A3625" i="1"/>
  <c r="B3625" i="1"/>
  <c r="A4131" i="1"/>
  <c r="B4131" i="1"/>
  <c r="B4269" i="1"/>
  <c r="A4269" i="1"/>
  <c r="B5224" i="1"/>
  <c r="A5224" i="1"/>
  <c r="C4809" i="1"/>
  <c r="E4809" i="1" s="1"/>
  <c r="D4809" i="1"/>
  <c r="D4856" i="1"/>
  <c r="C4856" i="1"/>
  <c r="E4856" i="1" s="1"/>
  <c r="C5086" i="1"/>
  <c r="E5086" i="1" s="1"/>
  <c r="D5086" i="1"/>
  <c r="C4947" i="1"/>
  <c r="E4947" i="1" s="1"/>
  <c r="D4947" i="1"/>
  <c r="C5315" i="1"/>
  <c r="E5315" i="1" s="1"/>
  <c r="D5315" i="1"/>
  <c r="C5269" i="1"/>
  <c r="E5269" i="1" s="1"/>
  <c r="D5269" i="1"/>
  <c r="D5407" i="1"/>
  <c r="C5407" i="1"/>
  <c r="E5407" i="1" s="1"/>
  <c r="D4994" i="1"/>
  <c r="C4994" i="1"/>
  <c r="E4994" i="1" s="1"/>
  <c r="A5363" i="1"/>
  <c r="B5363" i="1"/>
  <c r="C4671" i="1"/>
  <c r="E4671" i="1" s="1"/>
  <c r="D4671" i="1"/>
  <c r="B4902" i="1"/>
  <c r="A4902" i="1"/>
  <c r="C5040" i="1"/>
  <c r="E5040" i="1" s="1"/>
  <c r="D5040" i="1"/>
  <c r="B4718" i="1"/>
  <c r="A4718" i="1"/>
  <c r="A4764" i="1"/>
  <c r="B4764" i="1"/>
  <c r="B5179" i="1"/>
  <c r="A5179" i="1"/>
  <c r="A4627" i="1" l="1"/>
  <c r="B4627" i="1"/>
  <c r="C5132" i="1"/>
  <c r="E5132" i="1" s="1"/>
  <c r="D5132" i="1"/>
  <c r="C3947" i="1"/>
  <c r="E3947" i="1" s="1"/>
  <c r="D3947" i="1"/>
  <c r="C4039" i="1"/>
  <c r="E4039" i="1" s="1"/>
  <c r="D4039" i="1"/>
  <c r="C3855" i="1"/>
  <c r="E3855" i="1" s="1"/>
  <c r="D3855" i="1"/>
  <c r="A4086" i="1"/>
  <c r="B4086" i="1"/>
  <c r="C3993" i="1"/>
  <c r="E3993" i="1" s="1"/>
  <c r="D3993" i="1"/>
  <c r="D4361" i="1"/>
  <c r="C4361" i="1"/>
  <c r="E4361" i="1" s="1"/>
  <c r="D3625" i="1"/>
  <c r="C3625" i="1"/>
  <c r="E3625" i="1" s="1"/>
  <c r="D4315" i="1"/>
  <c r="C4315" i="1"/>
  <c r="E4315" i="1" s="1"/>
  <c r="C4177" i="1"/>
  <c r="E4177" i="1" s="1"/>
  <c r="D4177" i="1"/>
  <c r="D3671" i="1"/>
  <c r="C3671" i="1"/>
  <c r="E3671" i="1" s="1"/>
  <c r="D4407" i="1"/>
  <c r="C4407" i="1"/>
  <c r="E4407" i="1" s="1"/>
  <c r="D4223" i="1"/>
  <c r="C4223" i="1"/>
  <c r="E4223" i="1" s="1"/>
  <c r="C4269" i="1"/>
  <c r="E4269" i="1" s="1"/>
  <c r="D4269" i="1"/>
  <c r="C3763" i="1"/>
  <c r="E3763" i="1" s="1"/>
  <c r="D3763" i="1"/>
  <c r="C3901" i="1"/>
  <c r="E3901" i="1" s="1"/>
  <c r="D3901" i="1"/>
  <c r="D3809" i="1"/>
  <c r="C3809" i="1"/>
  <c r="E3809" i="1" s="1"/>
  <c r="C3717" i="1"/>
  <c r="E3717" i="1" s="1"/>
  <c r="D3717" i="1"/>
  <c r="D4131" i="1"/>
  <c r="C4131" i="1"/>
  <c r="E4131" i="1" s="1"/>
  <c r="C5224" i="1"/>
  <c r="E5224" i="1" s="1"/>
  <c r="D5224" i="1"/>
  <c r="D4764" i="1"/>
  <c r="C4764" i="1"/>
  <c r="E4764" i="1" s="1"/>
  <c r="B5041" i="1"/>
  <c r="A5041" i="1"/>
  <c r="B5316" i="1"/>
  <c r="A5316" i="1"/>
  <c r="A4995" i="1"/>
  <c r="B4995" i="1"/>
  <c r="D4902" i="1"/>
  <c r="C4902" i="1"/>
  <c r="E4902" i="1" s="1"/>
  <c r="B4948" i="1"/>
  <c r="A4948" i="1"/>
  <c r="D4718" i="1"/>
  <c r="C4718" i="1"/>
  <c r="E4718" i="1" s="1"/>
  <c r="B4672" i="1"/>
  <c r="A4672" i="1"/>
  <c r="B5087" i="1"/>
  <c r="A5087" i="1"/>
  <c r="B5408" i="1"/>
  <c r="A5408" i="1"/>
  <c r="C5179" i="1"/>
  <c r="E5179" i="1" s="1"/>
  <c r="D5179" i="1"/>
  <c r="A5270" i="1"/>
  <c r="B5270" i="1"/>
  <c r="D5363" i="1"/>
  <c r="C5363" i="1"/>
  <c r="E5363" i="1" s="1"/>
  <c r="B4857" i="1"/>
  <c r="A4857" i="1"/>
  <c r="B4810" i="1"/>
  <c r="A4810" i="1"/>
  <c r="C4627" i="1" l="1"/>
  <c r="E4627" i="1" s="1"/>
  <c r="D4627" i="1"/>
  <c r="B5133" i="1"/>
  <c r="A5133" i="1"/>
  <c r="A3626" i="1"/>
  <c r="B3626" i="1"/>
  <c r="B3810" i="1"/>
  <c r="A3810" i="1"/>
  <c r="B4362" i="1"/>
  <c r="A4362" i="1"/>
  <c r="B4270" i="1"/>
  <c r="A4270" i="1"/>
  <c r="A3994" i="1"/>
  <c r="B3994" i="1"/>
  <c r="B3902" i="1"/>
  <c r="A3902" i="1"/>
  <c r="B4224" i="1"/>
  <c r="A4224" i="1"/>
  <c r="D4086" i="1"/>
  <c r="C4086" i="1"/>
  <c r="E4086" i="1" s="1"/>
  <c r="B3856" i="1"/>
  <c r="A3856" i="1"/>
  <c r="A4408" i="1"/>
  <c r="B4408" i="1"/>
  <c r="A3764" i="1"/>
  <c r="B3764" i="1"/>
  <c r="B4040" i="1"/>
  <c r="A4040" i="1"/>
  <c r="B4316" i="1"/>
  <c r="A4316" i="1"/>
  <c r="A4132" i="1"/>
  <c r="B4132" i="1"/>
  <c r="B3672" i="1"/>
  <c r="A3672" i="1"/>
  <c r="A3718" i="1"/>
  <c r="B3718" i="1"/>
  <c r="B4178" i="1"/>
  <c r="A4178" i="1"/>
  <c r="A3948" i="1"/>
  <c r="B3948" i="1"/>
  <c r="A5225" i="1"/>
  <c r="B5225" i="1"/>
  <c r="D4672" i="1"/>
  <c r="C4672" i="1"/>
  <c r="E4672" i="1" s="1"/>
  <c r="D4810" i="1"/>
  <c r="C4810" i="1"/>
  <c r="E4810" i="1" s="1"/>
  <c r="C4948" i="1"/>
  <c r="E4948" i="1" s="1"/>
  <c r="D4948" i="1"/>
  <c r="D5270" i="1"/>
  <c r="C5270" i="1"/>
  <c r="E5270" i="1" s="1"/>
  <c r="C4995" i="1"/>
  <c r="E4995" i="1" s="1"/>
  <c r="D4995" i="1"/>
  <c r="B5180" i="1"/>
  <c r="A5180" i="1"/>
  <c r="C5316" i="1"/>
  <c r="E5316" i="1" s="1"/>
  <c r="D5316" i="1"/>
  <c r="B5364" i="1"/>
  <c r="A5364" i="1"/>
  <c r="C4857" i="1"/>
  <c r="E4857" i="1" s="1"/>
  <c r="D4857" i="1"/>
  <c r="D5408" i="1"/>
  <c r="C5408" i="1"/>
  <c r="E5408" i="1" s="1"/>
  <c r="C5041" i="1"/>
  <c r="E5041" i="1" s="1"/>
  <c r="D5041" i="1"/>
  <c r="A4903" i="1"/>
  <c r="B4903" i="1"/>
  <c r="C5087" i="1"/>
  <c r="E5087" i="1" s="1"/>
  <c r="D5087" i="1"/>
  <c r="B4719" i="1"/>
  <c r="A4719" i="1"/>
  <c r="A4765" i="1"/>
  <c r="B4765" i="1"/>
  <c r="A4628" i="1" l="1"/>
  <c r="B4628" i="1"/>
  <c r="D5133" i="1"/>
  <c r="C5133" i="1"/>
  <c r="E5133" i="1" s="1"/>
  <c r="D3672" i="1"/>
  <c r="C3672" i="1"/>
  <c r="E3672" i="1" s="1"/>
  <c r="C4224" i="1"/>
  <c r="E4224" i="1" s="1"/>
  <c r="D4224" i="1"/>
  <c r="C3902" i="1"/>
  <c r="E3902" i="1" s="1"/>
  <c r="D3902" i="1"/>
  <c r="D4316" i="1"/>
  <c r="C4316" i="1"/>
  <c r="E4316" i="1" s="1"/>
  <c r="C3994" i="1"/>
  <c r="E3994" i="1" s="1"/>
  <c r="D3994" i="1"/>
  <c r="C4040" i="1"/>
  <c r="E4040" i="1" s="1"/>
  <c r="D4040" i="1"/>
  <c r="D4270" i="1"/>
  <c r="C4270" i="1"/>
  <c r="E4270" i="1" s="1"/>
  <c r="D4362" i="1"/>
  <c r="C4362" i="1"/>
  <c r="E4362" i="1" s="1"/>
  <c r="D3764" i="1"/>
  <c r="C3764" i="1"/>
  <c r="E3764" i="1" s="1"/>
  <c r="D3718" i="1"/>
  <c r="C3718" i="1"/>
  <c r="E3718" i="1" s="1"/>
  <c r="C3810" i="1"/>
  <c r="E3810" i="1" s="1"/>
  <c r="D3810" i="1"/>
  <c r="D4132" i="1"/>
  <c r="C4132" i="1"/>
  <c r="E4132" i="1" s="1"/>
  <c r="D3948" i="1"/>
  <c r="C3948" i="1"/>
  <c r="E3948" i="1" s="1"/>
  <c r="C4408" i="1"/>
  <c r="E4408" i="1" s="1"/>
  <c r="D4408" i="1"/>
  <c r="C4178" i="1"/>
  <c r="E4178" i="1" s="1"/>
  <c r="D4178" i="1"/>
  <c r="D3856" i="1"/>
  <c r="C3856" i="1"/>
  <c r="E3856" i="1" s="1"/>
  <c r="B4087" i="1"/>
  <c r="A4087" i="1"/>
  <c r="C3626" i="1"/>
  <c r="E3626" i="1" s="1"/>
  <c r="D3626" i="1"/>
  <c r="D5225" i="1"/>
  <c r="C5225" i="1"/>
  <c r="E5225" i="1" s="1"/>
  <c r="C4765" i="1"/>
  <c r="E4765" i="1" s="1"/>
  <c r="D4765" i="1"/>
  <c r="D4719" i="1"/>
  <c r="C4719" i="1"/>
  <c r="E4719" i="1" s="1"/>
  <c r="A5317" i="1"/>
  <c r="B5317" i="1"/>
  <c r="B5088" i="1"/>
  <c r="A5088" i="1"/>
  <c r="C5180" i="1"/>
  <c r="E5180" i="1" s="1"/>
  <c r="D5180" i="1"/>
  <c r="A4996" i="1"/>
  <c r="B4996" i="1"/>
  <c r="C4903" i="1"/>
  <c r="E4903" i="1" s="1"/>
  <c r="D4903" i="1"/>
  <c r="D5364" i="1"/>
  <c r="C5364" i="1"/>
  <c r="E5364" i="1" s="1"/>
  <c r="A5042" i="1"/>
  <c r="B5042" i="1"/>
  <c r="B5271" i="1"/>
  <c r="A5271" i="1"/>
  <c r="B4949" i="1"/>
  <c r="A4949" i="1"/>
  <c r="B5409" i="1"/>
  <c r="A5409" i="1"/>
  <c r="A4858" i="1"/>
  <c r="B4858" i="1"/>
  <c r="B4811" i="1"/>
  <c r="A4811" i="1"/>
  <c r="A4673" i="1"/>
  <c r="B4673" i="1"/>
  <c r="D4628" i="1" l="1"/>
  <c r="C4628" i="1"/>
  <c r="E4628" i="1" s="1"/>
  <c r="B5134" i="1"/>
  <c r="A5134" i="1"/>
  <c r="B3857" i="1"/>
  <c r="A3857" i="1"/>
  <c r="A4363" i="1"/>
  <c r="B4363" i="1"/>
  <c r="A4179" i="1"/>
  <c r="B4179" i="1"/>
  <c r="A4271" i="1"/>
  <c r="B4271" i="1"/>
  <c r="A4409" i="1"/>
  <c r="B4409" i="1"/>
  <c r="B4041" i="1"/>
  <c r="A4041" i="1"/>
  <c r="B3995" i="1"/>
  <c r="A3995" i="1"/>
  <c r="B3949" i="1"/>
  <c r="A3949" i="1"/>
  <c r="B4133" i="1"/>
  <c r="A4133" i="1"/>
  <c r="A4317" i="1"/>
  <c r="B4317" i="1"/>
  <c r="B3811" i="1"/>
  <c r="A3811" i="1"/>
  <c r="B3903" i="1"/>
  <c r="A3903" i="1"/>
  <c r="A3627" i="1"/>
  <c r="B3627" i="1"/>
  <c r="A4225" i="1"/>
  <c r="B4225" i="1"/>
  <c r="B3719" i="1"/>
  <c r="A3719" i="1"/>
  <c r="D4087" i="1"/>
  <c r="C4087" i="1"/>
  <c r="E4087" i="1" s="1"/>
  <c r="A3765" i="1"/>
  <c r="B3765" i="1"/>
  <c r="B3673" i="1"/>
  <c r="A3673" i="1"/>
  <c r="B5226" i="1"/>
  <c r="A5226" i="1"/>
  <c r="D4673" i="1"/>
  <c r="C4673" i="1"/>
  <c r="E4673" i="1" s="1"/>
  <c r="B5181" i="1"/>
  <c r="A5181" i="1"/>
  <c r="C5409" i="1"/>
  <c r="E5409" i="1" s="1"/>
  <c r="D5409" i="1"/>
  <c r="C5088" i="1"/>
  <c r="E5088" i="1" s="1"/>
  <c r="D5088" i="1"/>
  <c r="A5365" i="1"/>
  <c r="B5365" i="1"/>
  <c r="D4996" i="1"/>
  <c r="C4996" i="1"/>
  <c r="E4996" i="1" s="1"/>
  <c r="B4904" i="1"/>
  <c r="A4904" i="1"/>
  <c r="D4949" i="1"/>
  <c r="C4949" i="1"/>
  <c r="E4949" i="1" s="1"/>
  <c r="C5317" i="1"/>
  <c r="E5317" i="1" s="1"/>
  <c r="D5317" i="1"/>
  <c r="C4858" i="1"/>
  <c r="E4858" i="1" s="1"/>
  <c r="D4858" i="1"/>
  <c r="D5271" i="1"/>
  <c r="C5271" i="1"/>
  <c r="E5271" i="1" s="1"/>
  <c r="B4720" i="1"/>
  <c r="A4720" i="1"/>
  <c r="C4811" i="1"/>
  <c r="E4811" i="1" s="1"/>
  <c r="D4811" i="1"/>
  <c r="A4766" i="1"/>
  <c r="B4766" i="1"/>
  <c r="D5042" i="1"/>
  <c r="C5042" i="1"/>
  <c r="E5042" i="1" s="1"/>
  <c r="A4629" i="1" l="1"/>
  <c r="B4629" i="1"/>
  <c r="C5134" i="1"/>
  <c r="E5134" i="1" s="1"/>
  <c r="D5134" i="1"/>
  <c r="D4041" i="1"/>
  <c r="C4041" i="1"/>
  <c r="E4041" i="1" s="1"/>
  <c r="D3627" i="1"/>
  <c r="C3627" i="1"/>
  <c r="E3627" i="1" s="1"/>
  <c r="C4409" i="1"/>
  <c r="E4409" i="1" s="1"/>
  <c r="D4409" i="1"/>
  <c r="D3903" i="1"/>
  <c r="C3903" i="1"/>
  <c r="E3903" i="1" s="1"/>
  <c r="C4271" i="1"/>
  <c r="E4271" i="1" s="1"/>
  <c r="D4271" i="1"/>
  <c r="C3811" i="1"/>
  <c r="E3811" i="1" s="1"/>
  <c r="D3811" i="1"/>
  <c r="B4088" i="1"/>
  <c r="A4088" i="1"/>
  <c r="D4225" i="1"/>
  <c r="C4225" i="1"/>
  <c r="E4225" i="1" s="1"/>
  <c r="C4179" i="1"/>
  <c r="E4179" i="1" s="1"/>
  <c r="D4179" i="1"/>
  <c r="D3995" i="1"/>
  <c r="C3995" i="1"/>
  <c r="E3995" i="1" s="1"/>
  <c r="C3673" i="1"/>
  <c r="E3673" i="1" s="1"/>
  <c r="D3673" i="1"/>
  <c r="D4317" i="1"/>
  <c r="C4317" i="1"/>
  <c r="E4317" i="1" s="1"/>
  <c r="D4363" i="1"/>
  <c r="C4363" i="1"/>
  <c r="E4363" i="1" s="1"/>
  <c r="C4133" i="1"/>
  <c r="E4133" i="1" s="1"/>
  <c r="D4133" i="1"/>
  <c r="C3857" i="1"/>
  <c r="E3857" i="1" s="1"/>
  <c r="D3857" i="1"/>
  <c r="C3949" i="1"/>
  <c r="E3949" i="1" s="1"/>
  <c r="D3949" i="1"/>
  <c r="C3719" i="1"/>
  <c r="E3719" i="1" s="1"/>
  <c r="D3719" i="1"/>
  <c r="D3765" i="1"/>
  <c r="C3765" i="1"/>
  <c r="E3765" i="1" s="1"/>
  <c r="C5226" i="1"/>
  <c r="E5226" i="1" s="1"/>
  <c r="D5226" i="1"/>
  <c r="A5043" i="1"/>
  <c r="B5043" i="1"/>
  <c r="B4812" i="1"/>
  <c r="A4812" i="1"/>
  <c r="C4904" i="1"/>
  <c r="E4904" i="1" s="1"/>
  <c r="D4904" i="1"/>
  <c r="A4997" i="1"/>
  <c r="B4997" i="1"/>
  <c r="C4720" i="1"/>
  <c r="E4720" i="1" s="1"/>
  <c r="D4720" i="1"/>
  <c r="A5410" i="1"/>
  <c r="B5410" i="1"/>
  <c r="D4766" i="1"/>
  <c r="C4766" i="1"/>
  <c r="E4766" i="1" s="1"/>
  <c r="B5089" i="1"/>
  <c r="A5089" i="1"/>
  <c r="A5272" i="1"/>
  <c r="B5272" i="1"/>
  <c r="B4859" i="1"/>
  <c r="A4859" i="1"/>
  <c r="D5181" i="1"/>
  <c r="C5181" i="1"/>
  <c r="E5181" i="1" s="1"/>
  <c r="C5365" i="1"/>
  <c r="E5365" i="1" s="1"/>
  <c r="D5365" i="1"/>
  <c r="A4950" i="1"/>
  <c r="B4950" i="1"/>
  <c r="A5318" i="1"/>
  <c r="B5318" i="1"/>
  <c r="B4674" i="1"/>
  <c r="A4674" i="1"/>
  <c r="C4629" i="1" l="1"/>
  <c r="E4629" i="1" s="1"/>
  <c r="D4629" i="1"/>
  <c r="A5135" i="1"/>
  <c r="B5135" i="1"/>
  <c r="A3950" i="1"/>
  <c r="B3950" i="1"/>
  <c r="B4226" i="1"/>
  <c r="A4226" i="1"/>
  <c r="A3858" i="1"/>
  <c r="B3858" i="1"/>
  <c r="C4088" i="1"/>
  <c r="E4088" i="1" s="1"/>
  <c r="D4088" i="1"/>
  <c r="A4134" i="1"/>
  <c r="B4134" i="1"/>
  <c r="A3812" i="1"/>
  <c r="B3812" i="1"/>
  <c r="A4272" i="1"/>
  <c r="B4272" i="1"/>
  <c r="B4364" i="1"/>
  <c r="A4364" i="1"/>
  <c r="B4318" i="1"/>
  <c r="A4318" i="1"/>
  <c r="A3904" i="1"/>
  <c r="B3904" i="1"/>
  <c r="B3674" i="1"/>
  <c r="A3674" i="1"/>
  <c r="B4410" i="1"/>
  <c r="A4410" i="1"/>
  <c r="B3766" i="1"/>
  <c r="A3766" i="1"/>
  <c r="B3996" i="1"/>
  <c r="A3996" i="1"/>
  <c r="B3628" i="1"/>
  <c r="A3628" i="1"/>
  <c r="A3720" i="1"/>
  <c r="B3720" i="1"/>
  <c r="B4180" i="1"/>
  <c r="A4180" i="1"/>
  <c r="A4042" i="1"/>
  <c r="B4042" i="1"/>
  <c r="B5227" i="1"/>
  <c r="A5227" i="1"/>
  <c r="C5318" i="1"/>
  <c r="E5318" i="1" s="1"/>
  <c r="D5318" i="1"/>
  <c r="A4721" i="1"/>
  <c r="B4721" i="1"/>
  <c r="D4812" i="1"/>
  <c r="C4812" i="1"/>
  <c r="E4812" i="1" s="1"/>
  <c r="C4950" i="1"/>
  <c r="E4950" i="1" s="1"/>
  <c r="D4950" i="1"/>
  <c r="A4905" i="1"/>
  <c r="B4905" i="1"/>
  <c r="D5272" i="1"/>
  <c r="C5272" i="1"/>
  <c r="E5272" i="1" s="1"/>
  <c r="B4767" i="1"/>
  <c r="A4767" i="1"/>
  <c r="C5410" i="1"/>
  <c r="E5410" i="1" s="1"/>
  <c r="D5410" i="1"/>
  <c r="A5366" i="1"/>
  <c r="B5366" i="1"/>
  <c r="B5182" i="1"/>
  <c r="A5182" i="1"/>
  <c r="C5089" i="1"/>
  <c r="E5089" i="1" s="1"/>
  <c r="D5089" i="1"/>
  <c r="C4674" i="1"/>
  <c r="E4674" i="1" s="1"/>
  <c r="D4674" i="1"/>
  <c r="C4997" i="1"/>
  <c r="E4997" i="1" s="1"/>
  <c r="D4997" i="1"/>
  <c r="D4859" i="1"/>
  <c r="C4859" i="1"/>
  <c r="E4859" i="1" s="1"/>
  <c r="C5043" i="1"/>
  <c r="E5043" i="1" s="1"/>
  <c r="D5043" i="1"/>
  <c r="A4630" i="1" l="1"/>
  <c r="B4630" i="1"/>
  <c r="D5135" i="1"/>
  <c r="C5135" i="1"/>
  <c r="E5135" i="1" s="1"/>
  <c r="D4364" i="1"/>
  <c r="C4364" i="1"/>
  <c r="E4364" i="1" s="1"/>
  <c r="C3996" i="1"/>
  <c r="E3996" i="1" s="1"/>
  <c r="D3996" i="1"/>
  <c r="C3812" i="1"/>
  <c r="E3812" i="1" s="1"/>
  <c r="D3812" i="1"/>
  <c r="C3766" i="1"/>
  <c r="E3766" i="1" s="1"/>
  <c r="D3766" i="1"/>
  <c r="C4134" i="1"/>
  <c r="E4134" i="1" s="1"/>
  <c r="D4134" i="1"/>
  <c r="D4410" i="1"/>
  <c r="C4410" i="1"/>
  <c r="E4410" i="1" s="1"/>
  <c r="A4089" i="1"/>
  <c r="B4089" i="1"/>
  <c r="D3674" i="1"/>
  <c r="C3674" i="1"/>
  <c r="E3674" i="1" s="1"/>
  <c r="C3858" i="1"/>
  <c r="E3858" i="1" s="1"/>
  <c r="D3858" i="1"/>
  <c r="C3628" i="1"/>
  <c r="E3628" i="1" s="1"/>
  <c r="D3628" i="1"/>
  <c r="C4226" i="1"/>
  <c r="E4226" i="1" s="1"/>
  <c r="D4226" i="1"/>
  <c r="C4042" i="1"/>
  <c r="E4042" i="1" s="1"/>
  <c r="D4042" i="1"/>
  <c r="C3904" i="1"/>
  <c r="E3904" i="1" s="1"/>
  <c r="D3904" i="1"/>
  <c r="D4180" i="1"/>
  <c r="C4180" i="1"/>
  <c r="E4180" i="1" s="1"/>
  <c r="D4318" i="1"/>
  <c r="C4318" i="1"/>
  <c r="E4318" i="1" s="1"/>
  <c r="D3720" i="1"/>
  <c r="C3720" i="1"/>
  <c r="E3720" i="1" s="1"/>
  <c r="C4272" i="1"/>
  <c r="E4272" i="1" s="1"/>
  <c r="D4272" i="1"/>
  <c r="C3950" i="1"/>
  <c r="E3950" i="1" s="1"/>
  <c r="D3950" i="1"/>
  <c r="D5227" i="1"/>
  <c r="C5227" i="1"/>
  <c r="E5227" i="1" s="1"/>
  <c r="A4860" i="1"/>
  <c r="B4860" i="1"/>
  <c r="A4998" i="1"/>
  <c r="B4998" i="1"/>
  <c r="D4905" i="1"/>
  <c r="C4905" i="1"/>
  <c r="E4905" i="1" s="1"/>
  <c r="B5044" i="1"/>
  <c r="A5044" i="1"/>
  <c r="B5273" i="1"/>
  <c r="A5273" i="1"/>
  <c r="B4675" i="1"/>
  <c r="A4675" i="1"/>
  <c r="A4951" i="1"/>
  <c r="B4951" i="1"/>
  <c r="D5182" i="1"/>
  <c r="C5182" i="1"/>
  <c r="E5182" i="1" s="1"/>
  <c r="D4721" i="1"/>
  <c r="C4721" i="1"/>
  <c r="E4721" i="1" s="1"/>
  <c r="A5319" i="1"/>
  <c r="B5319" i="1"/>
  <c r="C5366" i="1"/>
  <c r="E5366" i="1" s="1"/>
  <c r="D5366" i="1"/>
  <c r="C4767" i="1"/>
  <c r="E4767" i="1" s="1"/>
  <c r="D4767" i="1"/>
  <c r="A5090" i="1"/>
  <c r="B5090" i="1"/>
  <c r="A5411" i="1"/>
  <c r="B5411" i="1"/>
  <c r="A4813" i="1"/>
  <c r="B4813" i="1"/>
  <c r="D4630" i="1" l="1"/>
  <c r="C4630" i="1"/>
  <c r="E4630" i="1" s="1"/>
  <c r="A5136" i="1"/>
  <c r="B5136" i="1"/>
  <c r="A3721" i="1"/>
  <c r="B3721" i="1"/>
  <c r="B3675" i="1"/>
  <c r="A3675" i="1"/>
  <c r="A4319" i="1"/>
  <c r="B4319" i="1"/>
  <c r="C4089" i="1"/>
  <c r="E4089" i="1" s="1"/>
  <c r="D4089" i="1"/>
  <c r="B4181" i="1"/>
  <c r="A4181" i="1"/>
  <c r="B4411" i="1"/>
  <c r="A4411" i="1"/>
  <c r="B3905" i="1"/>
  <c r="A3905" i="1"/>
  <c r="B4135" i="1"/>
  <c r="A4135" i="1"/>
  <c r="A3951" i="1"/>
  <c r="B3951" i="1"/>
  <c r="B3997" i="1"/>
  <c r="A3997" i="1"/>
  <c r="B4043" i="1"/>
  <c r="A4043" i="1"/>
  <c r="B3767" i="1"/>
  <c r="A3767" i="1"/>
  <c r="B3629" i="1"/>
  <c r="A3629" i="1"/>
  <c r="B4227" i="1"/>
  <c r="A4227" i="1"/>
  <c r="A3813" i="1"/>
  <c r="B3813" i="1"/>
  <c r="A4273" i="1"/>
  <c r="B4273" i="1"/>
  <c r="A3859" i="1"/>
  <c r="B3859" i="1"/>
  <c r="B4365" i="1"/>
  <c r="A4365" i="1"/>
  <c r="A5228" i="1"/>
  <c r="B5228" i="1"/>
  <c r="C4951" i="1"/>
  <c r="E4951" i="1" s="1"/>
  <c r="D4951" i="1"/>
  <c r="C5411" i="1"/>
  <c r="E5411" i="1" s="1"/>
  <c r="D5411" i="1"/>
  <c r="C4813" i="1"/>
  <c r="E4813" i="1" s="1"/>
  <c r="D4813" i="1"/>
  <c r="D4675" i="1"/>
  <c r="C4675" i="1"/>
  <c r="E4675" i="1" s="1"/>
  <c r="C5273" i="1"/>
  <c r="E5273" i="1" s="1"/>
  <c r="D5273" i="1"/>
  <c r="B4768" i="1"/>
  <c r="A4768" i="1"/>
  <c r="D5044" i="1"/>
  <c r="C5044" i="1"/>
  <c r="E5044" i="1" s="1"/>
  <c r="B5367" i="1"/>
  <c r="A5367" i="1"/>
  <c r="B5183" i="1"/>
  <c r="A5183" i="1"/>
  <c r="B4906" i="1"/>
  <c r="A4906" i="1"/>
  <c r="C5319" i="1"/>
  <c r="E5319" i="1" s="1"/>
  <c r="D5319" i="1"/>
  <c r="D4998" i="1"/>
  <c r="C4998" i="1"/>
  <c r="E4998" i="1" s="1"/>
  <c r="C5090" i="1"/>
  <c r="E5090" i="1" s="1"/>
  <c r="D5090" i="1"/>
  <c r="A4722" i="1"/>
  <c r="B4722" i="1"/>
  <c r="C4860" i="1"/>
  <c r="E4860" i="1" s="1"/>
  <c r="D4860" i="1"/>
  <c r="B4631" i="1" l="1"/>
  <c r="A4631" i="1"/>
  <c r="C5136" i="1"/>
  <c r="E5136" i="1" s="1"/>
  <c r="D5136" i="1"/>
  <c r="C4135" i="1"/>
  <c r="E4135" i="1" s="1"/>
  <c r="D4135" i="1"/>
  <c r="C4227" i="1"/>
  <c r="E4227" i="1" s="1"/>
  <c r="D4227" i="1"/>
  <c r="D4411" i="1"/>
  <c r="C4411" i="1"/>
  <c r="E4411" i="1" s="1"/>
  <c r="D3629" i="1"/>
  <c r="C3629" i="1"/>
  <c r="E3629" i="1" s="1"/>
  <c r="C4181" i="1"/>
  <c r="E4181" i="1" s="1"/>
  <c r="D4181" i="1"/>
  <c r="B4090" i="1"/>
  <c r="A4090" i="1"/>
  <c r="D4043" i="1"/>
  <c r="C4043" i="1"/>
  <c r="E4043" i="1" s="1"/>
  <c r="C4273" i="1"/>
  <c r="E4273" i="1" s="1"/>
  <c r="D4273" i="1"/>
  <c r="D3905" i="1"/>
  <c r="C3905" i="1"/>
  <c r="E3905" i="1" s="1"/>
  <c r="C4319" i="1"/>
  <c r="E4319" i="1" s="1"/>
  <c r="D4319" i="1"/>
  <c r="D3813" i="1"/>
  <c r="C3813" i="1"/>
  <c r="E3813" i="1" s="1"/>
  <c r="D4365" i="1"/>
  <c r="C4365" i="1"/>
  <c r="E4365" i="1" s="1"/>
  <c r="C3997" i="1"/>
  <c r="E3997" i="1" s="1"/>
  <c r="D3997" i="1"/>
  <c r="D3675" i="1"/>
  <c r="C3675" i="1"/>
  <c r="E3675" i="1" s="1"/>
  <c r="C3767" i="1"/>
  <c r="E3767" i="1" s="1"/>
  <c r="D3767" i="1"/>
  <c r="D3859" i="1"/>
  <c r="C3859" i="1"/>
  <c r="E3859" i="1" s="1"/>
  <c r="D3951" i="1"/>
  <c r="C3951" i="1"/>
  <c r="E3951" i="1" s="1"/>
  <c r="C3721" i="1"/>
  <c r="E3721" i="1" s="1"/>
  <c r="D3721" i="1"/>
  <c r="D5228" i="1"/>
  <c r="C5228" i="1"/>
  <c r="E5228" i="1" s="1"/>
  <c r="D4768" i="1"/>
  <c r="C4768" i="1"/>
  <c r="E4768" i="1" s="1"/>
  <c r="C4722" i="1"/>
  <c r="E4722" i="1" s="1"/>
  <c r="D4722" i="1"/>
  <c r="B4861" i="1"/>
  <c r="A4861" i="1"/>
  <c r="B5091" i="1"/>
  <c r="A5091" i="1"/>
  <c r="A5274" i="1"/>
  <c r="B5274" i="1"/>
  <c r="B5320" i="1"/>
  <c r="A5320" i="1"/>
  <c r="B4814" i="1"/>
  <c r="A4814" i="1"/>
  <c r="A5045" i="1"/>
  <c r="B5045" i="1"/>
  <c r="C5183" i="1"/>
  <c r="E5183" i="1" s="1"/>
  <c r="D5183" i="1"/>
  <c r="B5412" i="1"/>
  <c r="A5412" i="1"/>
  <c r="A4999" i="1"/>
  <c r="B4999" i="1"/>
  <c r="C4906" i="1"/>
  <c r="E4906" i="1" s="1"/>
  <c r="D4906" i="1"/>
  <c r="A4676" i="1"/>
  <c r="B4676" i="1"/>
  <c r="C5367" i="1"/>
  <c r="E5367" i="1" s="1"/>
  <c r="D5367" i="1"/>
  <c r="A4952" i="1"/>
  <c r="B4952" i="1"/>
  <c r="C4631" i="1" l="1"/>
  <c r="E4631" i="1" s="1"/>
  <c r="D4631" i="1"/>
  <c r="B5137" i="1"/>
  <c r="A5137" i="1"/>
  <c r="A3860" i="1"/>
  <c r="B3860" i="1"/>
  <c r="A3768" i="1"/>
  <c r="B3768" i="1"/>
  <c r="B4044" i="1"/>
  <c r="A4044" i="1"/>
  <c r="C4090" i="1"/>
  <c r="E4090" i="1" s="1"/>
  <c r="D4090" i="1"/>
  <c r="A4274" i="1"/>
  <c r="B4274" i="1"/>
  <c r="A3676" i="1"/>
  <c r="B3676" i="1"/>
  <c r="A3998" i="1"/>
  <c r="B3998" i="1"/>
  <c r="B4182" i="1"/>
  <c r="A4182" i="1"/>
  <c r="B4366" i="1"/>
  <c r="A4366" i="1"/>
  <c r="B3630" i="1"/>
  <c r="A3630" i="1"/>
  <c r="A3814" i="1"/>
  <c r="B3814" i="1"/>
  <c r="B4412" i="1"/>
  <c r="A4412" i="1"/>
  <c r="A3722" i="1"/>
  <c r="B3722" i="1"/>
  <c r="A4320" i="1"/>
  <c r="B4320" i="1"/>
  <c r="A4228" i="1"/>
  <c r="B4228" i="1"/>
  <c r="B4136" i="1"/>
  <c r="A4136" i="1"/>
  <c r="A3952" i="1"/>
  <c r="B3952" i="1"/>
  <c r="A3906" i="1"/>
  <c r="B3906" i="1"/>
  <c r="B5229" i="1"/>
  <c r="A5229" i="1"/>
  <c r="C5320" i="1"/>
  <c r="E5320" i="1" s="1"/>
  <c r="D5320" i="1"/>
  <c r="C4814" i="1"/>
  <c r="E4814" i="1" s="1"/>
  <c r="D4814" i="1"/>
  <c r="D5045" i="1"/>
  <c r="C5045" i="1"/>
  <c r="E5045" i="1" s="1"/>
  <c r="C4999" i="1"/>
  <c r="E4999" i="1" s="1"/>
  <c r="D4999" i="1"/>
  <c r="B4907" i="1"/>
  <c r="A4907" i="1"/>
  <c r="C5412" i="1"/>
  <c r="E5412" i="1" s="1"/>
  <c r="D5412" i="1"/>
  <c r="A4723" i="1"/>
  <c r="B4723" i="1"/>
  <c r="D4952" i="1"/>
  <c r="C4952" i="1"/>
  <c r="E4952" i="1" s="1"/>
  <c r="D4676" i="1"/>
  <c r="C4676" i="1"/>
  <c r="E4676" i="1" s="1"/>
  <c r="B5368" i="1"/>
  <c r="A5368" i="1"/>
  <c r="C4861" i="1"/>
  <c r="E4861" i="1" s="1"/>
  <c r="D4861" i="1"/>
  <c r="A5184" i="1"/>
  <c r="B5184" i="1"/>
  <c r="C5274" i="1"/>
  <c r="E5274" i="1" s="1"/>
  <c r="D5274" i="1"/>
  <c r="C5091" i="1"/>
  <c r="E5091" i="1" s="1"/>
  <c r="D5091" i="1"/>
  <c r="A4769" i="1"/>
  <c r="B4769" i="1"/>
  <c r="A4632" i="1" l="1"/>
  <c r="B4632" i="1"/>
  <c r="C5137" i="1"/>
  <c r="E5137" i="1" s="1"/>
  <c r="D5137" i="1"/>
  <c r="D4228" i="1"/>
  <c r="C4228" i="1"/>
  <c r="E4228" i="1" s="1"/>
  <c r="D3998" i="1"/>
  <c r="C3998" i="1"/>
  <c r="E3998" i="1" s="1"/>
  <c r="C4136" i="1"/>
  <c r="E4136" i="1" s="1"/>
  <c r="D4136" i="1"/>
  <c r="C4320" i="1"/>
  <c r="E4320" i="1" s="1"/>
  <c r="D4320" i="1"/>
  <c r="C3676" i="1"/>
  <c r="E3676" i="1" s="1"/>
  <c r="D3676" i="1"/>
  <c r="C3722" i="1"/>
  <c r="E3722" i="1" s="1"/>
  <c r="D3722" i="1"/>
  <c r="D4274" i="1"/>
  <c r="C4274" i="1"/>
  <c r="E4274" i="1" s="1"/>
  <c r="B4091" i="1"/>
  <c r="A4091" i="1"/>
  <c r="D4044" i="1"/>
  <c r="C4044" i="1"/>
  <c r="E4044" i="1" s="1"/>
  <c r="C4412" i="1"/>
  <c r="E4412" i="1" s="1"/>
  <c r="D4412" i="1"/>
  <c r="D3814" i="1"/>
  <c r="C3814" i="1"/>
  <c r="E3814" i="1" s="1"/>
  <c r="C3630" i="1"/>
  <c r="E3630" i="1" s="1"/>
  <c r="D3630" i="1"/>
  <c r="D4182" i="1"/>
  <c r="C4182" i="1"/>
  <c r="E4182" i="1" s="1"/>
  <c r="D3906" i="1"/>
  <c r="C3906" i="1"/>
  <c r="E3906" i="1" s="1"/>
  <c r="C3768" i="1"/>
  <c r="E3768" i="1" s="1"/>
  <c r="D3768" i="1"/>
  <c r="D4366" i="1"/>
  <c r="C4366" i="1"/>
  <c r="E4366" i="1" s="1"/>
  <c r="C3952" i="1"/>
  <c r="E3952" i="1" s="1"/>
  <c r="D3952" i="1"/>
  <c r="D3860" i="1"/>
  <c r="C3860" i="1"/>
  <c r="E3860" i="1" s="1"/>
  <c r="C5229" i="1"/>
  <c r="E5229" i="1" s="1"/>
  <c r="D5229" i="1"/>
  <c r="A5092" i="1"/>
  <c r="B5092" i="1"/>
  <c r="A5413" i="1"/>
  <c r="B5413" i="1"/>
  <c r="A5275" i="1"/>
  <c r="B5275" i="1"/>
  <c r="C4907" i="1"/>
  <c r="E4907" i="1" s="1"/>
  <c r="D4907" i="1"/>
  <c r="D4769" i="1"/>
  <c r="C4769" i="1"/>
  <c r="E4769" i="1" s="1"/>
  <c r="B5000" i="1"/>
  <c r="A5000" i="1"/>
  <c r="C5184" i="1"/>
  <c r="E5184" i="1" s="1"/>
  <c r="D5184" i="1"/>
  <c r="B5046" i="1"/>
  <c r="A5046" i="1"/>
  <c r="D5368" i="1"/>
  <c r="C5368" i="1"/>
  <c r="E5368" i="1" s="1"/>
  <c r="A4815" i="1"/>
  <c r="B4815" i="1"/>
  <c r="B5321" i="1"/>
  <c r="A5321" i="1"/>
  <c r="C4723" i="1"/>
  <c r="E4723" i="1" s="1"/>
  <c r="D4723" i="1"/>
  <c r="A4862" i="1"/>
  <c r="B4862" i="1"/>
  <c r="B4677" i="1"/>
  <c r="A4677" i="1"/>
  <c r="A4953" i="1"/>
  <c r="B4953" i="1"/>
  <c r="D4632" i="1" l="1"/>
  <c r="C4632" i="1"/>
  <c r="E4632" i="1" s="1"/>
  <c r="A5138" i="1"/>
  <c r="B5138" i="1"/>
  <c r="B3769" i="1"/>
  <c r="A3769" i="1"/>
  <c r="A4275" i="1"/>
  <c r="B4275" i="1"/>
  <c r="B3723" i="1"/>
  <c r="A3723" i="1"/>
  <c r="B3907" i="1"/>
  <c r="A3907" i="1"/>
  <c r="B3677" i="1"/>
  <c r="A3677" i="1"/>
  <c r="B4183" i="1"/>
  <c r="A4183" i="1"/>
  <c r="B3631" i="1"/>
  <c r="A3631" i="1"/>
  <c r="A4321" i="1"/>
  <c r="B4321" i="1"/>
  <c r="C4091" i="1"/>
  <c r="E4091" i="1" s="1"/>
  <c r="D4091" i="1"/>
  <c r="A4137" i="1"/>
  <c r="B4137" i="1"/>
  <c r="A4367" i="1"/>
  <c r="B4367" i="1"/>
  <c r="A3815" i="1"/>
  <c r="B3815" i="1"/>
  <c r="B4413" i="1"/>
  <c r="A4413" i="1"/>
  <c r="B3861" i="1"/>
  <c r="A3861" i="1"/>
  <c r="B3999" i="1"/>
  <c r="A3999" i="1"/>
  <c r="A3953" i="1"/>
  <c r="B3953" i="1"/>
  <c r="B4045" i="1"/>
  <c r="A4045" i="1"/>
  <c r="B4229" i="1"/>
  <c r="A4229" i="1"/>
  <c r="B5230" i="1"/>
  <c r="A5230" i="1"/>
  <c r="A5185" i="1"/>
  <c r="B5185" i="1"/>
  <c r="D4953" i="1"/>
  <c r="C4953" i="1"/>
  <c r="E4953" i="1" s="1"/>
  <c r="C5046" i="1"/>
  <c r="E5046" i="1" s="1"/>
  <c r="D5046" i="1"/>
  <c r="B4770" i="1"/>
  <c r="A4770" i="1"/>
  <c r="D5321" i="1"/>
  <c r="C5321" i="1"/>
  <c r="E5321" i="1" s="1"/>
  <c r="D5000" i="1"/>
  <c r="C5000" i="1"/>
  <c r="E5000" i="1" s="1"/>
  <c r="C4862" i="1"/>
  <c r="E4862" i="1" s="1"/>
  <c r="D4862" i="1"/>
  <c r="C5275" i="1"/>
  <c r="E5275" i="1" s="1"/>
  <c r="D5275" i="1"/>
  <c r="B4908" i="1"/>
  <c r="A4908" i="1"/>
  <c r="A4724" i="1"/>
  <c r="B4724" i="1"/>
  <c r="D4815" i="1"/>
  <c r="C4815" i="1"/>
  <c r="E4815" i="1" s="1"/>
  <c r="D5413" i="1"/>
  <c r="C5413" i="1"/>
  <c r="E5413" i="1" s="1"/>
  <c r="C4677" i="1"/>
  <c r="E4677" i="1" s="1"/>
  <c r="D4677" i="1"/>
  <c r="B5369" i="1"/>
  <c r="A5369" i="1"/>
  <c r="C5092" i="1"/>
  <c r="E5092" i="1" s="1"/>
  <c r="D5092" i="1"/>
  <c r="A4633" i="1" l="1"/>
  <c r="B4633" i="1"/>
  <c r="C5138" i="1"/>
  <c r="E5138" i="1" s="1"/>
  <c r="D5138" i="1"/>
  <c r="D4321" i="1"/>
  <c r="C4321" i="1"/>
  <c r="E4321" i="1" s="1"/>
  <c r="D3999" i="1"/>
  <c r="C3999" i="1"/>
  <c r="E3999" i="1" s="1"/>
  <c r="D3631" i="1"/>
  <c r="C3631" i="1"/>
  <c r="E3631" i="1" s="1"/>
  <c r="D3861" i="1"/>
  <c r="C3861" i="1"/>
  <c r="E3861" i="1" s="1"/>
  <c r="D4183" i="1"/>
  <c r="C4183" i="1"/>
  <c r="E4183" i="1" s="1"/>
  <c r="C4413" i="1"/>
  <c r="E4413" i="1" s="1"/>
  <c r="D4413" i="1"/>
  <c r="D3677" i="1"/>
  <c r="C3677" i="1"/>
  <c r="E3677" i="1" s="1"/>
  <c r="D3907" i="1"/>
  <c r="C3907" i="1"/>
  <c r="E3907" i="1" s="1"/>
  <c r="C3815" i="1"/>
  <c r="E3815" i="1" s="1"/>
  <c r="D3815" i="1"/>
  <c r="C3723" i="1"/>
  <c r="E3723" i="1" s="1"/>
  <c r="D3723" i="1"/>
  <c r="C4367" i="1"/>
  <c r="E4367" i="1" s="1"/>
  <c r="D4367" i="1"/>
  <c r="D4229" i="1"/>
  <c r="C4229" i="1"/>
  <c r="E4229" i="1" s="1"/>
  <c r="C4137" i="1"/>
  <c r="E4137" i="1" s="1"/>
  <c r="D4137" i="1"/>
  <c r="C4275" i="1"/>
  <c r="E4275" i="1" s="1"/>
  <c r="D4275" i="1"/>
  <c r="C4045" i="1"/>
  <c r="E4045" i="1" s="1"/>
  <c r="D4045" i="1"/>
  <c r="A4092" i="1"/>
  <c r="B4092" i="1"/>
  <c r="C3769" i="1"/>
  <c r="E3769" i="1" s="1"/>
  <c r="D3769" i="1"/>
  <c r="C3953" i="1"/>
  <c r="E3953" i="1" s="1"/>
  <c r="D3953" i="1"/>
  <c r="D5230" i="1"/>
  <c r="C5230" i="1"/>
  <c r="E5230" i="1" s="1"/>
  <c r="B5001" i="1"/>
  <c r="A5001" i="1"/>
  <c r="B4678" i="1"/>
  <c r="A4678" i="1"/>
  <c r="A4863" i="1"/>
  <c r="B4863" i="1"/>
  <c r="A4816" i="1"/>
  <c r="B4816" i="1"/>
  <c r="B5047" i="1"/>
  <c r="A5047" i="1"/>
  <c r="A5093" i="1"/>
  <c r="B5093" i="1"/>
  <c r="A5322" i="1"/>
  <c r="B5322" i="1"/>
  <c r="C4724" i="1"/>
  <c r="E4724" i="1" s="1"/>
  <c r="D4724" i="1"/>
  <c r="B5414" i="1"/>
  <c r="A5414" i="1"/>
  <c r="C4908" i="1"/>
  <c r="E4908" i="1" s="1"/>
  <c r="D4908" i="1"/>
  <c r="C5369" i="1"/>
  <c r="E5369" i="1" s="1"/>
  <c r="D5369" i="1"/>
  <c r="B4954" i="1"/>
  <c r="A4954" i="1"/>
  <c r="C4770" i="1"/>
  <c r="E4770" i="1" s="1"/>
  <c r="D4770" i="1"/>
  <c r="B5276" i="1"/>
  <c r="A5276" i="1"/>
  <c r="C5185" i="1"/>
  <c r="E5185" i="1" s="1"/>
  <c r="D5185" i="1"/>
  <c r="D4633" i="1" l="1"/>
  <c r="C4633" i="1"/>
  <c r="E4633" i="1" s="1"/>
  <c r="B5139" i="1"/>
  <c r="A5139" i="1"/>
  <c r="B3908" i="1"/>
  <c r="A3908" i="1"/>
  <c r="B4046" i="1"/>
  <c r="A4046" i="1"/>
  <c r="B3678" i="1"/>
  <c r="A3678" i="1"/>
  <c r="B4276" i="1"/>
  <c r="A4276" i="1"/>
  <c r="B4414" i="1"/>
  <c r="A4414" i="1"/>
  <c r="C4092" i="1"/>
  <c r="E4092" i="1" s="1"/>
  <c r="D4092" i="1"/>
  <c r="B4138" i="1"/>
  <c r="A4138" i="1"/>
  <c r="A4184" i="1"/>
  <c r="B4184" i="1"/>
  <c r="A4230" i="1"/>
  <c r="B4230" i="1"/>
  <c r="A3862" i="1"/>
  <c r="B3862" i="1"/>
  <c r="A4368" i="1"/>
  <c r="B4368" i="1"/>
  <c r="A3632" i="1"/>
  <c r="B3632" i="1"/>
  <c r="B3954" i="1"/>
  <c r="A3954" i="1"/>
  <c r="A3724" i="1"/>
  <c r="B3724" i="1"/>
  <c r="B4000" i="1"/>
  <c r="A4000" i="1"/>
  <c r="A3770" i="1"/>
  <c r="B3770" i="1"/>
  <c r="B3816" i="1"/>
  <c r="A3816" i="1"/>
  <c r="A4322" i="1"/>
  <c r="B4322" i="1"/>
  <c r="B5231" i="1"/>
  <c r="A5231" i="1"/>
  <c r="D5093" i="1"/>
  <c r="C5093" i="1"/>
  <c r="E5093" i="1" s="1"/>
  <c r="B4771" i="1"/>
  <c r="A4771" i="1"/>
  <c r="D5047" i="1"/>
  <c r="C5047" i="1"/>
  <c r="E5047" i="1" s="1"/>
  <c r="C4954" i="1"/>
  <c r="E4954" i="1" s="1"/>
  <c r="D4954" i="1"/>
  <c r="D5322" i="1"/>
  <c r="C5322" i="1"/>
  <c r="E5322" i="1" s="1"/>
  <c r="C4863" i="1"/>
  <c r="E4863" i="1" s="1"/>
  <c r="D4863" i="1"/>
  <c r="D5276" i="1"/>
  <c r="C5276" i="1"/>
  <c r="E5276" i="1" s="1"/>
  <c r="C5414" i="1"/>
  <c r="E5414" i="1" s="1"/>
  <c r="D5414" i="1"/>
  <c r="C4678" i="1"/>
  <c r="E4678" i="1" s="1"/>
  <c r="D4678" i="1"/>
  <c r="A5186" i="1"/>
  <c r="B5186" i="1"/>
  <c r="C4816" i="1"/>
  <c r="E4816" i="1" s="1"/>
  <c r="D4816" i="1"/>
  <c r="B4725" i="1"/>
  <c r="A4725" i="1"/>
  <c r="C5001" i="1"/>
  <c r="E5001" i="1" s="1"/>
  <c r="D5001" i="1"/>
  <c r="A5370" i="1"/>
  <c r="B5370" i="1"/>
  <c r="B4909" i="1"/>
  <c r="A4909" i="1"/>
  <c r="A4634" i="1" l="1"/>
  <c r="B4634" i="1"/>
  <c r="D5139" i="1"/>
  <c r="C5139" i="1"/>
  <c r="E5139" i="1" s="1"/>
  <c r="C4000" i="1"/>
  <c r="E4000" i="1" s="1"/>
  <c r="D4000" i="1"/>
  <c r="C4138" i="1"/>
  <c r="E4138" i="1" s="1"/>
  <c r="D4138" i="1"/>
  <c r="B4093" i="1"/>
  <c r="A4093" i="1"/>
  <c r="C3954" i="1"/>
  <c r="E3954" i="1" s="1"/>
  <c r="D3954" i="1"/>
  <c r="D4414" i="1"/>
  <c r="C4414" i="1"/>
  <c r="E4414" i="1" s="1"/>
  <c r="D3770" i="1"/>
  <c r="C3770" i="1"/>
  <c r="E3770" i="1" s="1"/>
  <c r="C4276" i="1"/>
  <c r="E4276" i="1" s="1"/>
  <c r="D4276" i="1"/>
  <c r="D3632" i="1"/>
  <c r="C3632" i="1"/>
  <c r="E3632" i="1" s="1"/>
  <c r="D3678" i="1"/>
  <c r="C3678" i="1"/>
  <c r="E3678" i="1" s="1"/>
  <c r="C4368" i="1"/>
  <c r="E4368" i="1" s="1"/>
  <c r="D4368" i="1"/>
  <c r="C3724" i="1"/>
  <c r="E3724" i="1" s="1"/>
  <c r="D3724" i="1"/>
  <c r="D4046" i="1"/>
  <c r="C4046" i="1"/>
  <c r="E4046" i="1" s="1"/>
  <c r="D4322" i="1"/>
  <c r="C4322" i="1"/>
  <c r="E4322" i="1" s="1"/>
  <c r="C3862" i="1"/>
  <c r="E3862" i="1" s="1"/>
  <c r="D3862" i="1"/>
  <c r="D4184" i="1"/>
  <c r="C4184" i="1"/>
  <c r="E4184" i="1" s="1"/>
  <c r="C3816" i="1"/>
  <c r="E3816" i="1" s="1"/>
  <c r="D3816" i="1"/>
  <c r="C3908" i="1"/>
  <c r="E3908" i="1" s="1"/>
  <c r="D3908" i="1"/>
  <c r="D4230" i="1"/>
  <c r="C4230" i="1"/>
  <c r="E4230" i="1" s="1"/>
  <c r="D5231" i="1"/>
  <c r="C5231" i="1"/>
  <c r="E5231" i="1" s="1"/>
  <c r="D5370" i="1"/>
  <c r="C5370" i="1"/>
  <c r="E5370" i="1" s="1"/>
  <c r="A5002" i="1"/>
  <c r="B5002" i="1"/>
  <c r="B4864" i="1"/>
  <c r="A4864" i="1"/>
  <c r="D4725" i="1"/>
  <c r="C4725" i="1"/>
  <c r="E4725" i="1" s="1"/>
  <c r="A5277" i="1"/>
  <c r="B5277" i="1"/>
  <c r="B4955" i="1"/>
  <c r="A4955" i="1"/>
  <c r="C4909" i="1"/>
  <c r="E4909" i="1" s="1"/>
  <c r="D4909" i="1"/>
  <c r="B4817" i="1"/>
  <c r="A4817" i="1"/>
  <c r="D5186" i="1"/>
  <c r="C5186" i="1"/>
  <c r="E5186" i="1" s="1"/>
  <c r="B5048" i="1"/>
  <c r="A5048" i="1"/>
  <c r="B4679" i="1"/>
  <c r="A4679" i="1"/>
  <c r="D4771" i="1"/>
  <c r="C4771" i="1"/>
  <c r="E4771" i="1" s="1"/>
  <c r="B5415" i="1"/>
  <c r="A5415" i="1"/>
  <c r="A5323" i="1"/>
  <c r="B5323" i="1"/>
  <c r="B5094" i="1"/>
  <c r="A5094" i="1"/>
  <c r="C4634" i="1" l="1"/>
  <c r="E4634" i="1" s="1"/>
  <c r="D4634" i="1"/>
  <c r="A5140" i="1"/>
  <c r="B5140" i="1"/>
  <c r="B3633" i="1"/>
  <c r="A3633" i="1"/>
  <c r="B4277" i="1"/>
  <c r="A4277" i="1"/>
  <c r="A4185" i="1"/>
  <c r="B4185" i="1"/>
  <c r="B3863" i="1"/>
  <c r="A3863" i="1"/>
  <c r="B3771" i="1"/>
  <c r="A3771" i="1"/>
  <c r="A3817" i="1"/>
  <c r="B3817" i="1"/>
  <c r="A4323" i="1"/>
  <c r="B4323" i="1"/>
  <c r="B4415" i="1"/>
  <c r="A4415" i="1"/>
  <c r="B3955" i="1"/>
  <c r="A3955" i="1"/>
  <c r="A4047" i="1"/>
  <c r="B4047" i="1"/>
  <c r="B3725" i="1"/>
  <c r="A3725" i="1"/>
  <c r="D4093" i="1"/>
  <c r="C4093" i="1"/>
  <c r="E4093" i="1" s="1"/>
  <c r="A4369" i="1"/>
  <c r="B4369" i="1"/>
  <c r="B4139" i="1"/>
  <c r="A4139" i="1"/>
  <c r="A4231" i="1"/>
  <c r="B4231" i="1"/>
  <c r="B3909" i="1"/>
  <c r="A3909" i="1"/>
  <c r="B4001" i="1"/>
  <c r="A4001" i="1"/>
  <c r="B3679" i="1"/>
  <c r="A3679" i="1"/>
  <c r="A5232" i="1"/>
  <c r="B5232" i="1"/>
  <c r="B4772" i="1"/>
  <c r="A4772" i="1"/>
  <c r="B4726" i="1"/>
  <c r="A4726" i="1"/>
  <c r="C5323" i="1"/>
  <c r="E5323" i="1" s="1"/>
  <c r="D5323" i="1"/>
  <c r="C4679" i="1"/>
  <c r="E4679" i="1" s="1"/>
  <c r="D4679" i="1"/>
  <c r="C4864" i="1"/>
  <c r="E4864" i="1" s="1"/>
  <c r="D4864" i="1"/>
  <c r="B4910" i="1"/>
  <c r="A4910" i="1"/>
  <c r="C5415" i="1"/>
  <c r="E5415" i="1" s="1"/>
  <c r="D5415" i="1"/>
  <c r="D4955" i="1"/>
  <c r="C4955" i="1"/>
  <c r="E4955" i="1" s="1"/>
  <c r="D5048" i="1"/>
  <c r="C5048" i="1"/>
  <c r="E5048" i="1" s="1"/>
  <c r="C5094" i="1"/>
  <c r="E5094" i="1" s="1"/>
  <c r="D5094" i="1"/>
  <c r="D5277" i="1"/>
  <c r="C5277" i="1"/>
  <c r="E5277" i="1" s="1"/>
  <c r="C5002" i="1"/>
  <c r="E5002" i="1" s="1"/>
  <c r="D5002" i="1"/>
  <c r="B5187" i="1"/>
  <c r="A5187" i="1"/>
  <c r="D4817" i="1"/>
  <c r="C4817" i="1"/>
  <c r="E4817" i="1" s="1"/>
  <c r="B5371" i="1"/>
  <c r="A5371" i="1"/>
  <c r="A4635" i="1" l="1"/>
  <c r="B4635" i="1"/>
  <c r="C5140" i="1"/>
  <c r="E5140" i="1" s="1"/>
  <c r="D5140" i="1"/>
  <c r="D4415" i="1"/>
  <c r="C4415" i="1"/>
  <c r="E4415" i="1" s="1"/>
  <c r="D4231" i="1"/>
  <c r="C4231" i="1"/>
  <c r="E4231" i="1" s="1"/>
  <c r="C4323" i="1"/>
  <c r="E4323" i="1" s="1"/>
  <c r="D4323" i="1"/>
  <c r="C4139" i="1"/>
  <c r="E4139" i="1" s="1"/>
  <c r="D4139" i="1"/>
  <c r="D3817" i="1"/>
  <c r="C3817" i="1"/>
  <c r="E3817" i="1" s="1"/>
  <c r="D3771" i="1"/>
  <c r="C3771" i="1"/>
  <c r="E3771" i="1" s="1"/>
  <c r="D4369" i="1"/>
  <c r="C4369" i="1"/>
  <c r="E4369" i="1" s="1"/>
  <c r="C3863" i="1"/>
  <c r="E3863" i="1" s="1"/>
  <c r="D3863" i="1"/>
  <c r="A4094" i="1"/>
  <c r="B4094" i="1"/>
  <c r="D3725" i="1"/>
  <c r="C3725" i="1"/>
  <c r="E3725" i="1" s="1"/>
  <c r="D4185" i="1"/>
  <c r="C4185" i="1"/>
  <c r="E4185" i="1" s="1"/>
  <c r="D3679" i="1"/>
  <c r="C3679" i="1"/>
  <c r="E3679" i="1" s="1"/>
  <c r="C4277" i="1"/>
  <c r="E4277" i="1" s="1"/>
  <c r="D4277" i="1"/>
  <c r="C3909" i="1"/>
  <c r="E3909" i="1" s="1"/>
  <c r="D3909" i="1"/>
  <c r="C4047" i="1"/>
  <c r="E4047" i="1" s="1"/>
  <c r="D4047" i="1"/>
  <c r="D4001" i="1"/>
  <c r="C4001" i="1"/>
  <c r="E4001" i="1" s="1"/>
  <c r="D3955" i="1"/>
  <c r="C3955" i="1"/>
  <c r="E3955" i="1" s="1"/>
  <c r="D3633" i="1"/>
  <c r="C3633" i="1"/>
  <c r="E3633" i="1" s="1"/>
  <c r="D5232" i="1"/>
  <c r="C5232" i="1"/>
  <c r="E5232" i="1" s="1"/>
  <c r="B5416" i="1"/>
  <c r="A5416" i="1"/>
  <c r="B4865" i="1"/>
  <c r="A4865" i="1"/>
  <c r="B5003" i="1"/>
  <c r="A5003" i="1"/>
  <c r="B4680" i="1"/>
  <c r="A4680" i="1"/>
  <c r="C5371" i="1"/>
  <c r="E5371" i="1" s="1"/>
  <c r="D5371" i="1"/>
  <c r="B4818" i="1"/>
  <c r="A4818" i="1"/>
  <c r="C4910" i="1"/>
  <c r="E4910" i="1" s="1"/>
  <c r="D4910" i="1"/>
  <c r="A5324" i="1"/>
  <c r="B5324" i="1"/>
  <c r="A5278" i="1"/>
  <c r="B5278" i="1"/>
  <c r="B4956" i="1"/>
  <c r="A4956" i="1"/>
  <c r="B5095" i="1"/>
  <c r="A5095" i="1"/>
  <c r="C4726" i="1"/>
  <c r="E4726" i="1" s="1"/>
  <c r="D4726" i="1"/>
  <c r="D4772" i="1"/>
  <c r="C4772" i="1"/>
  <c r="E4772" i="1" s="1"/>
  <c r="C5187" i="1"/>
  <c r="E5187" i="1" s="1"/>
  <c r="D5187" i="1"/>
  <c r="B5049" i="1"/>
  <c r="A5049" i="1"/>
  <c r="C4635" i="1" l="1"/>
  <c r="E4635" i="1" s="1"/>
  <c r="D4635" i="1"/>
  <c r="B5141" i="1"/>
  <c r="A5141" i="1"/>
  <c r="A3864" i="1"/>
  <c r="B3864" i="1"/>
  <c r="B4048" i="1"/>
  <c r="A4048" i="1"/>
  <c r="A4370" i="1"/>
  <c r="B4370" i="1"/>
  <c r="A3910" i="1"/>
  <c r="B3910" i="1"/>
  <c r="A3772" i="1"/>
  <c r="B3772" i="1"/>
  <c r="A4278" i="1"/>
  <c r="B4278" i="1"/>
  <c r="B3818" i="1"/>
  <c r="A3818" i="1"/>
  <c r="B4002" i="1"/>
  <c r="A4002" i="1"/>
  <c r="B4140" i="1"/>
  <c r="A4140" i="1"/>
  <c r="A3680" i="1"/>
  <c r="B3680" i="1"/>
  <c r="A4324" i="1"/>
  <c r="B4324" i="1"/>
  <c r="B4186" i="1"/>
  <c r="A4186" i="1"/>
  <c r="A3634" i="1"/>
  <c r="B3634" i="1"/>
  <c r="B3726" i="1"/>
  <c r="A3726" i="1"/>
  <c r="A4232" i="1"/>
  <c r="B4232" i="1"/>
  <c r="A3956" i="1"/>
  <c r="B3956" i="1"/>
  <c r="D4094" i="1"/>
  <c r="C4094" i="1"/>
  <c r="E4094" i="1" s="1"/>
  <c r="B4416" i="1"/>
  <c r="A4416" i="1"/>
  <c r="B5233" i="1"/>
  <c r="A5233" i="1"/>
  <c r="D5049" i="1"/>
  <c r="C5049" i="1"/>
  <c r="E5049" i="1" s="1"/>
  <c r="D5324" i="1"/>
  <c r="C5324" i="1"/>
  <c r="E5324" i="1" s="1"/>
  <c r="B5188" i="1"/>
  <c r="A5188" i="1"/>
  <c r="B4911" i="1"/>
  <c r="A4911" i="1"/>
  <c r="A4727" i="1"/>
  <c r="B4727" i="1"/>
  <c r="C4818" i="1"/>
  <c r="E4818" i="1" s="1"/>
  <c r="D4818" i="1"/>
  <c r="B5372" i="1"/>
  <c r="A5372" i="1"/>
  <c r="C5095" i="1"/>
  <c r="E5095" i="1" s="1"/>
  <c r="D5095" i="1"/>
  <c r="C5003" i="1"/>
  <c r="E5003" i="1" s="1"/>
  <c r="D5003" i="1"/>
  <c r="B4773" i="1"/>
  <c r="A4773" i="1"/>
  <c r="D4680" i="1"/>
  <c r="C4680" i="1"/>
  <c r="E4680" i="1" s="1"/>
  <c r="C4956" i="1"/>
  <c r="E4956" i="1" s="1"/>
  <c r="D4956" i="1"/>
  <c r="D4865" i="1"/>
  <c r="C4865" i="1"/>
  <c r="E4865" i="1" s="1"/>
  <c r="D5416" i="1"/>
  <c r="C5416" i="1"/>
  <c r="E5416" i="1" s="1"/>
  <c r="C5278" i="1"/>
  <c r="E5278" i="1" s="1"/>
  <c r="D5278" i="1"/>
  <c r="A4636" i="1" l="1"/>
  <c r="B4636" i="1"/>
  <c r="C5141" i="1"/>
  <c r="E5141" i="1" s="1"/>
  <c r="D5141" i="1"/>
  <c r="D3818" i="1"/>
  <c r="C3818" i="1"/>
  <c r="E3818" i="1" s="1"/>
  <c r="C4232" i="1"/>
  <c r="E4232" i="1" s="1"/>
  <c r="D4232" i="1"/>
  <c r="D3726" i="1"/>
  <c r="C3726" i="1"/>
  <c r="E3726" i="1" s="1"/>
  <c r="D4278" i="1"/>
  <c r="C4278" i="1"/>
  <c r="E4278" i="1" s="1"/>
  <c r="D3634" i="1"/>
  <c r="C3634" i="1"/>
  <c r="E3634" i="1" s="1"/>
  <c r="D3772" i="1"/>
  <c r="C3772" i="1"/>
  <c r="E3772" i="1" s="1"/>
  <c r="D4186" i="1"/>
  <c r="C4186" i="1"/>
  <c r="E4186" i="1" s="1"/>
  <c r="C3956" i="1"/>
  <c r="E3956" i="1" s="1"/>
  <c r="D3956" i="1"/>
  <c r="D3910" i="1"/>
  <c r="C3910" i="1"/>
  <c r="E3910" i="1" s="1"/>
  <c r="D4324" i="1"/>
  <c r="C4324" i="1"/>
  <c r="E4324" i="1" s="1"/>
  <c r="D4370" i="1"/>
  <c r="C4370" i="1"/>
  <c r="E4370" i="1" s="1"/>
  <c r="C4416" i="1"/>
  <c r="E4416" i="1" s="1"/>
  <c r="D4416" i="1"/>
  <c r="C4048" i="1"/>
  <c r="E4048" i="1" s="1"/>
  <c r="D4048" i="1"/>
  <c r="D4002" i="1"/>
  <c r="C4002" i="1"/>
  <c r="E4002" i="1" s="1"/>
  <c r="C3680" i="1"/>
  <c r="E3680" i="1" s="1"/>
  <c r="D3680" i="1"/>
  <c r="C4140" i="1"/>
  <c r="E4140" i="1" s="1"/>
  <c r="D4140" i="1"/>
  <c r="B4095" i="1"/>
  <c r="A4095" i="1"/>
  <c r="C3864" i="1"/>
  <c r="E3864" i="1" s="1"/>
  <c r="D3864" i="1"/>
  <c r="C5233" i="1"/>
  <c r="E5233" i="1" s="1"/>
  <c r="D5233" i="1"/>
  <c r="D5372" i="1"/>
  <c r="C5372" i="1"/>
  <c r="E5372" i="1" s="1"/>
  <c r="B4957" i="1"/>
  <c r="A4957" i="1"/>
  <c r="A4819" i="1"/>
  <c r="B4819" i="1"/>
  <c r="C4727" i="1"/>
  <c r="E4727" i="1" s="1"/>
  <c r="D4727" i="1"/>
  <c r="A5417" i="1"/>
  <c r="B5417" i="1"/>
  <c r="D4911" i="1"/>
  <c r="C4911" i="1"/>
  <c r="E4911" i="1" s="1"/>
  <c r="A4681" i="1"/>
  <c r="B4681" i="1"/>
  <c r="D4773" i="1"/>
  <c r="C4773" i="1"/>
  <c r="E4773" i="1" s="1"/>
  <c r="D5188" i="1"/>
  <c r="C5188" i="1"/>
  <c r="E5188" i="1" s="1"/>
  <c r="B4866" i="1"/>
  <c r="A4866" i="1"/>
  <c r="B5004" i="1"/>
  <c r="A5004" i="1"/>
  <c r="B5279" i="1"/>
  <c r="A5279" i="1"/>
  <c r="A5325" i="1"/>
  <c r="B5325" i="1"/>
  <c r="B5096" i="1"/>
  <c r="A5096" i="1"/>
  <c r="A5050" i="1"/>
  <c r="B5050" i="1"/>
  <c r="D4636" i="1" l="1"/>
  <c r="C4636" i="1"/>
  <c r="E4636" i="1" s="1"/>
  <c r="A5142" i="1"/>
  <c r="B5142" i="1"/>
  <c r="A3957" i="1"/>
  <c r="B3957" i="1"/>
  <c r="A3681" i="1"/>
  <c r="B3681" i="1"/>
  <c r="B4187" i="1"/>
  <c r="A4187" i="1"/>
  <c r="B4003" i="1"/>
  <c r="A4003" i="1"/>
  <c r="A3773" i="1"/>
  <c r="B3773" i="1"/>
  <c r="A4049" i="1"/>
  <c r="B4049" i="1"/>
  <c r="A3635" i="1"/>
  <c r="B3635" i="1"/>
  <c r="B4417" i="1"/>
  <c r="A4417" i="1"/>
  <c r="A4279" i="1"/>
  <c r="B4279" i="1"/>
  <c r="B4371" i="1"/>
  <c r="A4371" i="1"/>
  <c r="A3727" i="1"/>
  <c r="B3727" i="1"/>
  <c r="B3865" i="1"/>
  <c r="A3865" i="1"/>
  <c r="A4233" i="1"/>
  <c r="B4233" i="1"/>
  <c r="B4141" i="1"/>
  <c r="A4141" i="1"/>
  <c r="B4325" i="1"/>
  <c r="A4325" i="1"/>
  <c r="D4095" i="1"/>
  <c r="C4095" i="1"/>
  <c r="E4095" i="1" s="1"/>
  <c r="B3911" i="1"/>
  <c r="A3911" i="1"/>
  <c r="A3819" i="1"/>
  <c r="B3819" i="1"/>
  <c r="B5234" i="1"/>
  <c r="A5234" i="1"/>
  <c r="D4681" i="1"/>
  <c r="C4681" i="1"/>
  <c r="E4681" i="1" s="1"/>
  <c r="C5050" i="1"/>
  <c r="E5050" i="1" s="1"/>
  <c r="D5050" i="1"/>
  <c r="C5096" i="1"/>
  <c r="E5096" i="1" s="1"/>
  <c r="D5096" i="1"/>
  <c r="A4728" i="1"/>
  <c r="B4728" i="1"/>
  <c r="C5325" i="1"/>
  <c r="E5325" i="1" s="1"/>
  <c r="D5325" i="1"/>
  <c r="C4866" i="1"/>
  <c r="E4866" i="1" s="1"/>
  <c r="D4866" i="1"/>
  <c r="D5279" i="1"/>
  <c r="C5279" i="1"/>
  <c r="E5279" i="1" s="1"/>
  <c r="C5417" i="1"/>
  <c r="E5417" i="1" s="1"/>
  <c r="D5417" i="1"/>
  <c r="C4819" i="1"/>
  <c r="E4819" i="1" s="1"/>
  <c r="D4819" i="1"/>
  <c r="A4912" i="1"/>
  <c r="B4912" i="1"/>
  <c r="C5004" i="1"/>
  <c r="E5004" i="1" s="1"/>
  <c r="D5004" i="1"/>
  <c r="D4957" i="1"/>
  <c r="C4957" i="1"/>
  <c r="E4957" i="1" s="1"/>
  <c r="A5189" i="1"/>
  <c r="B5189" i="1"/>
  <c r="B4774" i="1"/>
  <c r="A4774" i="1"/>
  <c r="A5373" i="1"/>
  <c r="B5373" i="1"/>
  <c r="B4637" i="1" l="1"/>
  <c r="A4637" i="1"/>
  <c r="C5142" i="1"/>
  <c r="E5142" i="1" s="1"/>
  <c r="D5142" i="1"/>
  <c r="D3635" i="1"/>
  <c r="C3635" i="1"/>
  <c r="E3635" i="1" s="1"/>
  <c r="D4141" i="1"/>
  <c r="C4141" i="1"/>
  <c r="E4141" i="1" s="1"/>
  <c r="C4049" i="1"/>
  <c r="E4049" i="1" s="1"/>
  <c r="D4049" i="1"/>
  <c r="C4233" i="1"/>
  <c r="E4233" i="1" s="1"/>
  <c r="D4233" i="1"/>
  <c r="C3773" i="1"/>
  <c r="E3773" i="1" s="1"/>
  <c r="D3773" i="1"/>
  <c r="D3865" i="1"/>
  <c r="C3865" i="1"/>
  <c r="E3865" i="1" s="1"/>
  <c r="D4003" i="1"/>
  <c r="C4003" i="1"/>
  <c r="E4003" i="1" s="1"/>
  <c r="D4187" i="1"/>
  <c r="C4187" i="1"/>
  <c r="E4187" i="1" s="1"/>
  <c r="D3727" i="1"/>
  <c r="C3727" i="1"/>
  <c r="E3727" i="1" s="1"/>
  <c r="C4371" i="1"/>
  <c r="E4371" i="1" s="1"/>
  <c r="D4371" i="1"/>
  <c r="B4096" i="1"/>
  <c r="A4096" i="1"/>
  <c r="C4325" i="1"/>
  <c r="E4325" i="1" s="1"/>
  <c r="D4325" i="1"/>
  <c r="C3819" i="1"/>
  <c r="E3819" i="1" s="1"/>
  <c r="D3819" i="1"/>
  <c r="D3681" i="1"/>
  <c r="C3681" i="1"/>
  <c r="E3681" i="1" s="1"/>
  <c r="C4417" i="1"/>
  <c r="E4417" i="1" s="1"/>
  <c r="D4417" i="1"/>
  <c r="D3911" i="1"/>
  <c r="C3911" i="1"/>
  <c r="E3911" i="1" s="1"/>
  <c r="C4279" i="1"/>
  <c r="E4279" i="1" s="1"/>
  <c r="D4279" i="1"/>
  <c r="C3957" i="1"/>
  <c r="E3957" i="1" s="1"/>
  <c r="D3957" i="1"/>
  <c r="C5234" i="1"/>
  <c r="E5234" i="1" s="1"/>
  <c r="D5234" i="1"/>
  <c r="B5326" i="1"/>
  <c r="A5326" i="1"/>
  <c r="B5418" i="1"/>
  <c r="A5418" i="1"/>
  <c r="C5189" i="1"/>
  <c r="E5189" i="1" s="1"/>
  <c r="D5189" i="1"/>
  <c r="A5280" i="1"/>
  <c r="B5280" i="1"/>
  <c r="A4958" i="1"/>
  <c r="B4958" i="1"/>
  <c r="C4728" i="1"/>
  <c r="E4728" i="1" s="1"/>
  <c r="D4728" i="1"/>
  <c r="D5373" i="1"/>
  <c r="C5373" i="1"/>
  <c r="E5373" i="1" s="1"/>
  <c r="D4774" i="1"/>
  <c r="C4774" i="1"/>
  <c r="E4774" i="1" s="1"/>
  <c r="B5005" i="1"/>
  <c r="A5005" i="1"/>
  <c r="A5097" i="1"/>
  <c r="B5097" i="1"/>
  <c r="A5051" i="1"/>
  <c r="B5051" i="1"/>
  <c r="C4912" i="1"/>
  <c r="E4912" i="1" s="1"/>
  <c r="D4912" i="1"/>
  <c r="B4820" i="1"/>
  <c r="A4820" i="1"/>
  <c r="A4867" i="1"/>
  <c r="B4867" i="1"/>
  <c r="B4682" i="1"/>
  <c r="A4682" i="1"/>
  <c r="C4637" i="1" l="1"/>
  <c r="E4637" i="1" s="1"/>
  <c r="D4637" i="1"/>
  <c r="A5143" i="1"/>
  <c r="B5143" i="1"/>
  <c r="B4188" i="1"/>
  <c r="A4188" i="1"/>
  <c r="B4418" i="1"/>
  <c r="A4418" i="1"/>
  <c r="A4004" i="1"/>
  <c r="B4004" i="1"/>
  <c r="A3682" i="1"/>
  <c r="B3682" i="1"/>
  <c r="B3866" i="1"/>
  <c r="A3866" i="1"/>
  <c r="B3912" i="1"/>
  <c r="A3912" i="1"/>
  <c r="A3820" i="1"/>
  <c r="B3820" i="1"/>
  <c r="A3774" i="1"/>
  <c r="B3774" i="1"/>
  <c r="A4326" i="1"/>
  <c r="B4326" i="1"/>
  <c r="A4234" i="1"/>
  <c r="B4234" i="1"/>
  <c r="D4096" i="1"/>
  <c r="C4096" i="1"/>
  <c r="E4096" i="1" s="1"/>
  <c r="A4050" i="1"/>
  <c r="B4050" i="1"/>
  <c r="A3958" i="1"/>
  <c r="B3958" i="1"/>
  <c r="B4372" i="1"/>
  <c r="A4372" i="1"/>
  <c r="B4142" i="1"/>
  <c r="A4142" i="1"/>
  <c r="A4280" i="1"/>
  <c r="B4280" i="1"/>
  <c r="B3728" i="1"/>
  <c r="A3728" i="1"/>
  <c r="B3636" i="1"/>
  <c r="A3636" i="1"/>
  <c r="A5235" i="1"/>
  <c r="B5235" i="1"/>
  <c r="A4913" i="1"/>
  <c r="B4913" i="1"/>
  <c r="A5190" i="1"/>
  <c r="B5190" i="1"/>
  <c r="B4729" i="1"/>
  <c r="A4729" i="1"/>
  <c r="C5418" i="1"/>
  <c r="E5418" i="1" s="1"/>
  <c r="D5418" i="1"/>
  <c r="C5097" i="1"/>
  <c r="E5097" i="1" s="1"/>
  <c r="D5097" i="1"/>
  <c r="A5374" i="1"/>
  <c r="B5374" i="1"/>
  <c r="D4867" i="1"/>
  <c r="C4867" i="1"/>
  <c r="E4867" i="1" s="1"/>
  <c r="D5005" i="1"/>
  <c r="C5005" i="1"/>
  <c r="E5005" i="1" s="1"/>
  <c r="D5326" i="1"/>
  <c r="C5326" i="1"/>
  <c r="E5326" i="1" s="1"/>
  <c r="D4958" i="1"/>
  <c r="C4958" i="1"/>
  <c r="E4958" i="1" s="1"/>
  <c r="D5280" i="1"/>
  <c r="C5280" i="1"/>
  <c r="E5280" i="1" s="1"/>
  <c r="C5051" i="1"/>
  <c r="E5051" i="1" s="1"/>
  <c r="D5051" i="1"/>
  <c r="D4682" i="1"/>
  <c r="C4682" i="1"/>
  <c r="E4682" i="1" s="1"/>
  <c r="C4820" i="1"/>
  <c r="E4820" i="1" s="1"/>
  <c r="D4820" i="1"/>
  <c r="B4775" i="1"/>
  <c r="A4775" i="1"/>
  <c r="B4638" i="1" l="1"/>
  <c r="A4638" i="1"/>
  <c r="C5143" i="1"/>
  <c r="E5143" i="1" s="1"/>
  <c r="D5143" i="1"/>
  <c r="D3820" i="1"/>
  <c r="C3820" i="1"/>
  <c r="E3820" i="1" s="1"/>
  <c r="D4372" i="1"/>
  <c r="C4372" i="1"/>
  <c r="E4372" i="1" s="1"/>
  <c r="C3912" i="1"/>
  <c r="E3912" i="1" s="1"/>
  <c r="D3912" i="1"/>
  <c r="C3866" i="1"/>
  <c r="E3866" i="1" s="1"/>
  <c r="D3866" i="1"/>
  <c r="D3958" i="1"/>
  <c r="C3958" i="1"/>
  <c r="E3958" i="1" s="1"/>
  <c r="C4326" i="1"/>
  <c r="E4326" i="1" s="1"/>
  <c r="D4326" i="1"/>
  <c r="D3774" i="1"/>
  <c r="C3774" i="1"/>
  <c r="E3774" i="1" s="1"/>
  <c r="C4050" i="1"/>
  <c r="E4050" i="1" s="1"/>
  <c r="D4050" i="1"/>
  <c r="C3682" i="1"/>
  <c r="E3682" i="1" s="1"/>
  <c r="D3682" i="1"/>
  <c r="C4142" i="1"/>
  <c r="E4142" i="1" s="1"/>
  <c r="D4142" i="1"/>
  <c r="B4097" i="1"/>
  <c r="A4097" i="1"/>
  <c r="C4004" i="1"/>
  <c r="E4004" i="1" s="1"/>
  <c r="D4004" i="1"/>
  <c r="D3636" i="1"/>
  <c r="C3636" i="1"/>
  <c r="E3636" i="1" s="1"/>
  <c r="C4418" i="1"/>
  <c r="E4418" i="1" s="1"/>
  <c r="D4418" i="1"/>
  <c r="C4234" i="1"/>
  <c r="E4234" i="1" s="1"/>
  <c r="D4234" i="1"/>
  <c r="C4280" i="1"/>
  <c r="E4280" i="1" s="1"/>
  <c r="D4280" i="1"/>
  <c r="C3728" i="1"/>
  <c r="E3728" i="1" s="1"/>
  <c r="D3728" i="1"/>
  <c r="C4188" i="1"/>
  <c r="E4188" i="1" s="1"/>
  <c r="D4188" i="1"/>
  <c r="C5235" i="1"/>
  <c r="E5235" i="1" s="1"/>
  <c r="D5235" i="1"/>
  <c r="A4821" i="1"/>
  <c r="B4821" i="1"/>
  <c r="C5374" i="1"/>
  <c r="E5374" i="1" s="1"/>
  <c r="D5374" i="1"/>
  <c r="B5098" i="1"/>
  <c r="A5098" i="1"/>
  <c r="A5052" i="1"/>
  <c r="B5052" i="1"/>
  <c r="A5419" i="1"/>
  <c r="B5419" i="1"/>
  <c r="B4683" i="1"/>
  <c r="A4683" i="1"/>
  <c r="C4729" i="1"/>
  <c r="E4729" i="1" s="1"/>
  <c r="D4729" i="1"/>
  <c r="A5006" i="1"/>
  <c r="B5006" i="1"/>
  <c r="A5281" i="1"/>
  <c r="B5281" i="1"/>
  <c r="B4959" i="1"/>
  <c r="A4959" i="1"/>
  <c r="D5190" i="1"/>
  <c r="C5190" i="1"/>
  <c r="E5190" i="1" s="1"/>
  <c r="B4868" i="1"/>
  <c r="A4868" i="1"/>
  <c r="C4775" i="1"/>
  <c r="E4775" i="1" s="1"/>
  <c r="D4775" i="1"/>
  <c r="B5327" i="1"/>
  <c r="A5327" i="1"/>
  <c r="D4913" i="1"/>
  <c r="C4913" i="1"/>
  <c r="E4913" i="1" s="1"/>
  <c r="D4638" i="1" l="1"/>
  <c r="C4638" i="1"/>
  <c r="E4638" i="1" s="1"/>
  <c r="A5144" i="1"/>
  <c r="B5144" i="1"/>
  <c r="B4281" i="1"/>
  <c r="A4281" i="1"/>
  <c r="B4051" i="1"/>
  <c r="A4051" i="1"/>
  <c r="A4235" i="1"/>
  <c r="B4235" i="1"/>
  <c r="B3775" i="1"/>
  <c r="A3775" i="1"/>
  <c r="A4419" i="1"/>
  <c r="B4419" i="1"/>
  <c r="B4327" i="1"/>
  <c r="A4327" i="1"/>
  <c r="A3637" i="1"/>
  <c r="B3637" i="1"/>
  <c r="A3959" i="1"/>
  <c r="B3959" i="1"/>
  <c r="A4005" i="1"/>
  <c r="B4005" i="1"/>
  <c r="A3867" i="1"/>
  <c r="B3867" i="1"/>
  <c r="D4097" i="1"/>
  <c r="C4097" i="1"/>
  <c r="E4097" i="1" s="1"/>
  <c r="B3913" i="1"/>
  <c r="A3913" i="1"/>
  <c r="A4189" i="1"/>
  <c r="B4189" i="1"/>
  <c r="B4143" i="1"/>
  <c r="A4143" i="1"/>
  <c r="B4373" i="1"/>
  <c r="A4373" i="1"/>
  <c r="A3729" i="1"/>
  <c r="B3729" i="1"/>
  <c r="B3683" i="1"/>
  <c r="A3683" i="1"/>
  <c r="B3821" i="1"/>
  <c r="A3821" i="1"/>
  <c r="A5236" i="1"/>
  <c r="B5236" i="1"/>
  <c r="B4730" i="1"/>
  <c r="A4730" i="1"/>
  <c r="C5327" i="1"/>
  <c r="E5327" i="1" s="1"/>
  <c r="D5327" i="1"/>
  <c r="C4683" i="1"/>
  <c r="E4683" i="1" s="1"/>
  <c r="D4683" i="1"/>
  <c r="C4868" i="1"/>
  <c r="E4868" i="1" s="1"/>
  <c r="D4868" i="1"/>
  <c r="D5419" i="1"/>
  <c r="C5419" i="1"/>
  <c r="E5419" i="1" s="1"/>
  <c r="C5052" i="1"/>
  <c r="E5052" i="1" s="1"/>
  <c r="D5052" i="1"/>
  <c r="B4776" i="1"/>
  <c r="A4776" i="1"/>
  <c r="B5375" i="1"/>
  <c r="A5375" i="1"/>
  <c r="B4914" i="1"/>
  <c r="A4914" i="1"/>
  <c r="D4959" i="1"/>
  <c r="C4959" i="1"/>
  <c r="E4959" i="1" s="1"/>
  <c r="C5281" i="1"/>
  <c r="E5281" i="1" s="1"/>
  <c r="D5281" i="1"/>
  <c r="B5191" i="1"/>
  <c r="A5191" i="1"/>
  <c r="C5098" i="1"/>
  <c r="E5098" i="1" s="1"/>
  <c r="D5098" i="1"/>
  <c r="C5006" i="1"/>
  <c r="E5006" i="1" s="1"/>
  <c r="D5006" i="1"/>
  <c r="D4821" i="1"/>
  <c r="C4821" i="1"/>
  <c r="E4821" i="1" s="1"/>
  <c r="A4639" i="1" l="1"/>
  <c r="B4639" i="1"/>
  <c r="C5144" i="1"/>
  <c r="E5144" i="1" s="1"/>
  <c r="D5144" i="1"/>
  <c r="C4373" i="1"/>
  <c r="E4373" i="1" s="1"/>
  <c r="D4373" i="1"/>
  <c r="D3637" i="1"/>
  <c r="C3637" i="1"/>
  <c r="E3637" i="1" s="1"/>
  <c r="C4143" i="1"/>
  <c r="E4143" i="1" s="1"/>
  <c r="D4143" i="1"/>
  <c r="C3729" i="1"/>
  <c r="E3729" i="1" s="1"/>
  <c r="D3729" i="1"/>
  <c r="D4189" i="1"/>
  <c r="C4189" i="1"/>
  <c r="E4189" i="1" s="1"/>
  <c r="C4419" i="1"/>
  <c r="E4419" i="1" s="1"/>
  <c r="D4419" i="1"/>
  <c r="C3913" i="1"/>
  <c r="E3913" i="1" s="1"/>
  <c r="D3913" i="1"/>
  <c r="C3775" i="1"/>
  <c r="E3775" i="1" s="1"/>
  <c r="D3775" i="1"/>
  <c r="D4327" i="1"/>
  <c r="C4327" i="1"/>
  <c r="E4327" i="1" s="1"/>
  <c r="A4098" i="1"/>
  <c r="B4098" i="1"/>
  <c r="C4235" i="1"/>
  <c r="E4235" i="1" s="1"/>
  <c r="D4235" i="1"/>
  <c r="D3821" i="1"/>
  <c r="C3821" i="1"/>
  <c r="E3821" i="1" s="1"/>
  <c r="D4051" i="1"/>
  <c r="C4051" i="1"/>
  <c r="E4051" i="1" s="1"/>
  <c r="C3959" i="1"/>
  <c r="E3959" i="1" s="1"/>
  <c r="D3959" i="1"/>
  <c r="C3867" i="1"/>
  <c r="E3867" i="1" s="1"/>
  <c r="D3867" i="1"/>
  <c r="D3683" i="1"/>
  <c r="C3683" i="1"/>
  <c r="E3683" i="1" s="1"/>
  <c r="C4281" i="1"/>
  <c r="E4281" i="1" s="1"/>
  <c r="D4281" i="1"/>
  <c r="C4005" i="1"/>
  <c r="E4005" i="1" s="1"/>
  <c r="D4005" i="1"/>
  <c r="C5236" i="1"/>
  <c r="E5236" i="1" s="1"/>
  <c r="D5236" i="1"/>
  <c r="B5007" i="1"/>
  <c r="A5007" i="1"/>
  <c r="B5053" i="1"/>
  <c r="A5053" i="1"/>
  <c r="B5099" i="1"/>
  <c r="A5099" i="1"/>
  <c r="A5420" i="1"/>
  <c r="B5420" i="1"/>
  <c r="C4776" i="1"/>
  <c r="E4776" i="1" s="1"/>
  <c r="D4776" i="1"/>
  <c r="C5191" i="1"/>
  <c r="E5191" i="1" s="1"/>
  <c r="D5191" i="1"/>
  <c r="B4869" i="1"/>
  <c r="A4869" i="1"/>
  <c r="A4684" i="1"/>
  <c r="B4684" i="1"/>
  <c r="B4960" i="1"/>
  <c r="A4960" i="1"/>
  <c r="A4822" i="1"/>
  <c r="B4822" i="1"/>
  <c r="C4914" i="1"/>
  <c r="E4914" i="1" s="1"/>
  <c r="D4914" i="1"/>
  <c r="A5328" i="1"/>
  <c r="B5328" i="1"/>
  <c r="D5375" i="1"/>
  <c r="C5375" i="1"/>
  <c r="E5375" i="1" s="1"/>
  <c r="C4730" i="1"/>
  <c r="E4730" i="1" s="1"/>
  <c r="D4730" i="1"/>
  <c r="A5282" i="1"/>
  <c r="B5282" i="1"/>
  <c r="D4639" i="1" l="1"/>
  <c r="C4639" i="1"/>
  <c r="E4639" i="1" s="1"/>
  <c r="A5145" i="1"/>
  <c r="B5145" i="1"/>
  <c r="B3684" i="1"/>
  <c r="A3684" i="1"/>
  <c r="B3868" i="1"/>
  <c r="A3868" i="1"/>
  <c r="B3914" i="1"/>
  <c r="A3914" i="1"/>
  <c r="B3960" i="1"/>
  <c r="A3960" i="1"/>
  <c r="A4420" i="1"/>
  <c r="B4420" i="1"/>
  <c r="A4052" i="1"/>
  <c r="B4052" i="1"/>
  <c r="B4190" i="1"/>
  <c r="A4190" i="1"/>
  <c r="B3730" i="1"/>
  <c r="A3730" i="1"/>
  <c r="B3822" i="1"/>
  <c r="A3822" i="1"/>
  <c r="B4236" i="1"/>
  <c r="A4236" i="1"/>
  <c r="B4144" i="1"/>
  <c r="A4144" i="1"/>
  <c r="B3776" i="1"/>
  <c r="A3776" i="1"/>
  <c r="B4006" i="1"/>
  <c r="A4006" i="1"/>
  <c r="D4098" i="1"/>
  <c r="C4098" i="1"/>
  <c r="E4098" i="1" s="1"/>
  <c r="B3638" i="1"/>
  <c r="A3638" i="1"/>
  <c r="A4282" i="1"/>
  <c r="B4282" i="1"/>
  <c r="A4374" i="1"/>
  <c r="B4374" i="1"/>
  <c r="B4328" i="1"/>
  <c r="A4328" i="1"/>
  <c r="B5237" i="1"/>
  <c r="A5237" i="1"/>
  <c r="B5192" i="1"/>
  <c r="A5192" i="1"/>
  <c r="D4869" i="1"/>
  <c r="C4869" i="1"/>
  <c r="E4869" i="1" s="1"/>
  <c r="B4777" i="1"/>
  <c r="A4777" i="1"/>
  <c r="C5282" i="1"/>
  <c r="E5282" i="1" s="1"/>
  <c r="D5282" i="1"/>
  <c r="A4731" i="1"/>
  <c r="B4731" i="1"/>
  <c r="D5420" i="1"/>
  <c r="C5420" i="1"/>
  <c r="E5420" i="1" s="1"/>
  <c r="C5099" i="1"/>
  <c r="E5099" i="1" s="1"/>
  <c r="D5099" i="1"/>
  <c r="A5376" i="1"/>
  <c r="B5376" i="1"/>
  <c r="D5053" i="1"/>
  <c r="C5053" i="1"/>
  <c r="E5053" i="1" s="1"/>
  <c r="C4822" i="1"/>
  <c r="E4822" i="1" s="1"/>
  <c r="D4822" i="1"/>
  <c r="A4915" i="1"/>
  <c r="B4915" i="1"/>
  <c r="D4960" i="1"/>
  <c r="C4960" i="1"/>
  <c r="E4960" i="1" s="1"/>
  <c r="D5007" i="1"/>
  <c r="C5007" i="1"/>
  <c r="E5007" i="1" s="1"/>
  <c r="D4684" i="1"/>
  <c r="C4684" i="1"/>
  <c r="E4684" i="1" s="1"/>
  <c r="D5328" i="1"/>
  <c r="C5328" i="1"/>
  <c r="E5328" i="1" s="1"/>
  <c r="B4640" i="1" l="1"/>
  <c r="A4640" i="1"/>
  <c r="C5145" i="1"/>
  <c r="E5145" i="1" s="1"/>
  <c r="D5145" i="1"/>
  <c r="C4282" i="1"/>
  <c r="E4282" i="1" s="1"/>
  <c r="D4282" i="1"/>
  <c r="D3638" i="1"/>
  <c r="C3638" i="1"/>
  <c r="E3638" i="1" s="1"/>
  <c r="C4190" i="1"/>
  <c r="E4190" i="1" s="1"/>
  <c r="D4190" i="1"/>
  <c r="B4099" i="1"/>
  <c r="A4099" i="1"/>
  <c r="C4052" i="1"/>
  <c r="E4052" i="1" s="1"/>
  <c r="D4052" i="1"/>
  <c r="D4006" i="1"/>
  <c r="C4006" i="1"/>
  <c r="E4006" i="1" s="1"/>
  <c r="D4420" i="1"/>
  <c r="C4420" i="1"/>
  <c r="E4420" i="1" s="1"/>
  <c r="D3776" i="1"/>
  <c r="C3776" i="1"/>
  <c r="E3776" i="1" s="1"/>
  <c r="C3960" i="1"/>
  <c r="E3960" i="1" s="1"/>
  <c r="D3960" i="1"/>
  <c r="D4144" i="1"/>
  <c r="C4144" i="1"/>
  <c r="E4144" i="1" s="1"/>
  <c r="C3914" i="1"/>
  <c r="E3914" i="1" s="1"/>
  <c r="D3914" i="1"/>
  <c r="C4328" i="1"/>
  <c r="E4328" i="1" s="1"/>
  <c r="D4328" i="1"/>
  <c r="D4236" i="1"/>
  <c r="C4236" i="1"/>
  <c r="E4236" i="1" s="1"/>
  <c r="D3868" i="1"/>
  <c r="C3868" i="1"/>
  <c r="E3868" i="1" s="1"/>
  <c r="D3730" i="1"/>
  <c r="C3730" i="1"/>
  <c r="E3730" i="1" s="1"/>
  <c r="D3822" i="1"/>
  <c r="C3822" i="1"/>
  <c r="E3822" i="1" s="1"/>
  <c r="C3684" i="1"/>
  <c r="E3684" i="1" s="1"/>
  <c r="D3684" i="1"/>
  <c r="C4374" i="1"/>
  <c r="E4374" i="1" s="1"/>
  <c r="D4374" i="1"/>
  <c r="D5237" i="1"/>
  <c r="C5237" i="1"/>
  <c r="E5237" i="1" s="1"/>
  <c r="B4685" i="1"/>
  <c r="A4685" i="1"/>
  <c r="D5376" i="1"/>
  <c r="C5376" i="1"/>
  <c r="E5376" i="1" s="1"/>
  <c r="B5100" i="1"/>
  <c r="A5100" i="1"/>
  <c r="A5008" i="1"/>
  <c r="B5008" i="1"/>
  <c r="B5421" i="1"/>
  <c r="A5421" i="1"/>
  <c r="A5329" i="1"/>
  <c r="B5329" i="1"/>
  <c r="B5283" i="1"/>
  <c r="A5283" i="1"/>
  <c r="D4731" i="1"/>
  <c r="C4731" i="1"/>
  <c r="E4731" i="1" s="1"/>
  <c r="B4823" i="1"/>
  <c r="A4823" i="1"/>
  <c r="C4777" i="1"/>
  <c r="E4777" i="1" s="1"/>
  <c r="D4777" i="1"/>
  <c r="A4961" i="1"/>
  <c r="B4961" i="1"/>
  <c r="A4870" i="1"/>
  <c r="B4870" i="1"/>
  <c r="C4915" i="1"/>
  <c r="E4915" i="1" s="1"/>
  <c r="D4915" i="1"/>
  <c r="C5192" i="1"/>
  <c r="E5192" i="1" s="1"/>
  <c r="D5192" i="1"/>
  <c r="A5054" i="1"/>
  <c r="B5054" i="1"/>
  <c r="D4640" i="1" l="1"/>
  <c r="C4640" i="1"/>
  <c r="E4640" i="1" s="1"/>
  <c r="B5146" i="1"/>
  <c r="A5146" i="1"/>
  <c r="B3823" i="1"/>
  <c r="A3823" i="1"/>
  <c r="A3777" i="1"/>
  <c r="B3777" i="1"/>
  <c r="A3731" i="1"/>
  <c r="B3731" i="1"/>
  <c r="B4421" i="1"/>
  <c r="A4421" i="1"/>
  <c r="A3869" i="1"/>
  <c r="B3869" i="1"/>
  <c r="B4007" i="1"/>
  <c r="A4007" i="1"/>
  <c r="B4053" i="1"/>
  <c r="A4053" i="1"/>
  <c r="A4237" i="1"/>
  <c r="B4237" i="1"/>
  <c r="A4329" i="1"/>
  <c r="B4329" i="1"/>
  <c r="C4099" i="1"/>
  <c r="E4099" i="1" s="1"/>
  <c r="D4099" i="1"/>
  <c r="B3915" i="1"/>
  <c r="A3915" i="1"/>
  <c r="A4191" i="1"/>
  <c r="B4191" i="1"/>
  <c r="B4375" i="1"/>
  <c r="A4375" i="1"/>
  <c r="A4145" i="1"/>
  <c r="B4145" i="1"/>
  <c r="B3639" i="1"/>
  <c r="A3639" i="1"/>
  <c r="A3685" i="1"/>
  <c r="B3685" i="1"/>
  <c r="B3961" i="1"/>
  <c r="A3961" i="1"/>
  <c r="A4283" i="1"/>
  <c r="B4283" i="1"/>
  <c r="B5238" i="1"/>
  <c r="A5238" i="1"/>
  <c r="B4916" i="1"/>
  <c r="A4916" i="1"/>
  <c r="C5329" i="1"/>
  <c r="E5329" i="1" s="1"/>
  <c r="D5329" i="1"/>
  <c r="C5421" i="1"/>
  <c r="E5421" i="1" s="1"/>
  <c r="D5421" i="1"/>
  <c r="B5193" i="1"/>
  <c r="A5193" i="1"/>
  <c r="D4870" i="1"/>
  <c r="C4870" i="1"/>
  <c r="E4870" i="1" s="1"/>
  <c r="C5100" i="1"/>
  <c r="E5100" i="1" s="1"/>
  <c r="D5100" i="1"/>
  <c r="C5054" i="1"/>
  <c r="E5054" i="1" s="1"/>
  <c r="D5054" i="1"/>
  <c r="D4961" i="1"/>
  <c r="C4961" i="1"/>
  <c r="E4961" i="1" s="1"/>
  <c r="B5377" i="1"/>
  <c r="A5377" i="1"/>
  <c r="B4732" i="1"/>
  <c r="A4732" i="1"/>
  <c r="D5283" i="1"/>
  <c r="C5283" i="1"/>
  <c r="E5283" i="1" s="1"/>
  <c r="B4778" i="1"/>
  <c r="A4778" i="1"/>
  <c r="C4823" i="1"/>
  <c r="E4823" i="1" s="1"/>
  <c r="D4823" i="1"/>
  <c r="D4685" i="1"/>
  <c r="C4685" i="1"/>
  <c r="E4685" i="1" s="1"/>
  <c r="C5008" i="1"/>
  <c r="E5008" i="1" s="1"/>
  <c r="D5008" i="1"/>
  <c r="B4641" i="1" l="1"/>
  <c r="A4641" i="1"/>
  <c r="C5146" i="1"/>
  <c r="E5146" i="1" s="1"/>
  <c r="D5146" i="1"/>
  <c r="C3685" i="1"/>
  <c r="E3685" i="1" s="1"/>
  <c r="D3685" i="1"/>
  <c r="D4237" i="1"/>
  <c r="C4237" i="1"/>
  <c r="E4237" i="1" s="1"/>
  <c r="D3639" i="1"/>
  <c r="C3639" i="1"/>
  <c r="E3639" i="1" s="1"/>
  <c r="D4053" i="1"/>
  <c r="C4053" i="1"/>
  <c r="E4053" i="1" s="1"/>
  <c r="D4007" i="1"/>
  <c r="C4007" i="1"/>
  <c r="E4007" i="1" s="1"/>
  <c r="D4145" i="1"/>
  <c r="C4145" i="1"/>
  <c r="E4145" i="1" s="1"/>
  <c r="C4375" i="1"/>
  <c r="E4375" i="1" s="1"/>
  <c r="D4375" i="1"/>
  <c r="D3869" i="1"/>
  <c r="C3869" i="1"/>
  <c r="E3869" i="1" s="1"/>
  <c r="D4421" i="1"/>
  <c r="C4421" i="1"/>
  <c r="E4421" i="1" s="1"/>
  <c r="C4191" i="1"/>
  <c r="E4191" i="1" s="1"/>
  <c r="D4191" i="1"/>
  <c r="C3915" i="1"/>
  <c r="E3915" i="1" s="1"/>
  <c r="D3915" i="1"/>
  <c r="C3731" i="1"/>
  <c r="E3731" i="1" s="1"/>
  <c r="D3731" i="1"/>
  <c r="A4100" i="1"/>
  <c r="B4100" i="1"/>
  <c r="C4283" i="1"/>
  <c r="E4283" i="1" s="1"/>
  <c r="D4283" i="1"/>
  <c r="D3777" i="1"/>
  <c r="C3777" i="1"/>
  <c r="E3777" i="1" s="1"/>
  <c r="D3961" i="1"/>
  <c r="C3961" i="1"/>
  <c r="E3961" i="1" s="1"/>
  <c r="D3823" i="1"/>
  <c r="C3823" i="1"/>
  <c r="E3823" i="1" s="1"/>
  <c r="C4329" i="1"/>
  <c r="E4329" i="1" s="1"/>
  <c r="D4329" i="1"/>
  <c r="C5238" i="1"/>
  <c r="E5238" i="1" s="1"/>
  <c r="D5238" i="1"/>
  <c r="B4686" i="1"/>
  <c r="A4686" i="1"/>
  <c r="B4824" i="1"/>
  <c r="A4824" i="1"/>
  <c r="C4778" i="1"/>
  <c r="E4778" i="1" s="1"/>
  <c r="D4778" i="1"/>
  <c r="A5009" i="1"/>
  <c r="B5009" i="1"/>
  <c r="B5284" i="1"/>
  <c r="A5284" i="1"/>
  <c r="C4732" i="1"/>
  <c r="E4732" i="1" s="1"/>
  <c r="D4732" i="1"/>
  <c r="B5422" i="1"/>
  <c r="A5422" i="1"/>
  <c r="A5101" i="1"/>
  <c r="B5101" i="1"/>
  <c r="C5377" i="1"/>
  <c r="E5377" i="1" s="1"/>
  <c r="D5377" i="1"/>
  <c r="B5330" i="1"/>
  <c r="A5330" i="1"/>
  <c r="A5055" i="1"/>
  <c r="B5055" i="1"/>
  <c r="C4916" i="1"/>
  <c r="E4916" i="1" s="1"/>
  <c r="D4916" i="1"/>
  <c r="A4871" i="1"/>
  <c r="B4871" i="1"/>
  <c r="C5193" i="1"/>
  <c r="E5193" i="1" s="1"/>
  <c r="D5193" i="1"/>
  <c r="A4962" i="1"/>
  <c r="B4962" i="1"/>
  <c r="C4641" i="1" l="1"/>
  <c r="E4641" i="1" s="1"/>
  <c r="D4641" i="1"/>
  <c r="B5147" i="1"/>
  <c r="A5147" i="1"/>
  <c r="A3962" i="1"/>
  <c r="B3962" i="1"/>
  <c r="A3870" i="1"/>
  <c r="B3870" i="1"/>
  <c r="B4376" i="1"/>
  <c r="A4376" i="1"/>
  <c r="A3778" i="1"/>
  <c r="B3778" i="1"/>
  <c r="B4284" i="1"/>
  <c r="A4284" i="1"/>
  <c r="A4146" i="1"/>
  <c r="B4146" i="1"/>
  <c r="C4100" i="1"/>
  <c r="E4100" i="1" s="1"/>
  <c r="D4100" i="1"/>
  <c r="A4008" i="1"/>
  <c r="B4008" i="1"/>
  <c r="B3732" i="1"/>
  <c r="A3732" i="1"/>
  <c r="B4054" i="1"/>
  <c r="A4054" i="1"/>
  <c r="B3916" i="1"/>
  <c r="A3916" i="1"/>
  <c r="B3640" i="1"/>
  <c r="A3640" i="1"/>
  <c r="B4330" i="1"/>
  <c r="A4330" i="1"/>
  <c r="A4192" i="1"/>
  <c r="B4192" i="1"/>
  <c r="B4238" i="1"/>
  <c r="A4238" i="1"/>
  <c r="B3686" i="1"/>
  <c r="A3686" i="1"/>
  <c r="B3824" i="1"/>
  <c r="A3824" i="1"/>
  <c r="B4422" i="1"/>
  <c r="A4422" i="1"/>
  <c r="B5239" i="1"/>
  <c r="A5239" i="1"/>
  <c r="C5284" i="1"/>
  <c r="E5284" i="1" s="1"/>
  <c r="D5284" i="1"/>
  <c r="C4871" i="1"/>
  <c r="E4871" i="1" s="1"/>
  <c r="D4871" i="1"/>
  <c r="B4917" i="1"/>
  <c r="A4917" i="1"/>
  <c r="C5422" i="1"/>
  <c r="E5422" i="1" s="1"/>
  <c r="D5422" i="1"/>
  <c r="C4962" i="1"/>
  <c r="E4962" i="1" s="1"/>
  <c r="D4962" i="1"/>
  <c r="B5194" i="1"/>
  <c r="A5194" i="1"/>
  <c r="C5009" i="1"/>
  <c r="E5009" i="1" s="1"/>
  <c r="D5009" i="1"/>
  <c r="C5330" i="1"/>
  <c r="E5330" i="1" s="1"/>
  <c r="D5330" i="1"/>
  <c r="A5378" i="1"/>
  <c r="B5378" i="1"/>
  <c r="C4824" i="1"/>
  <c r="E4824" i="1" s="1"/>
  <c r="D4824" i="1"/>
  <c r="A4779" i="1"/>
  <c r="B4779" i="1"/>
  <c r="B4733" i="1"/>
  <c r="A4733" i="1"/>
  <c r="C4686" i="1"/>
  <c r="E4686" i="1" s="1"/>
  <c r="D4686" i="1"/>
  <c r="D5055" i="1"/>
  <c r="C5055" i="1"/>
  <c r="E5055" i="1" s="1"/>
  <c r="D5101" i="1"/>
  <c r="C5101" i="1"/>
  <c r="E5101" i="1" s="1"/>
  <c r="B4642" i="1" l="1"/>
  <c r="A4642" i="1"/>
  <c r="C5147" i="1"/>
  <c r="E5147" i="1" s="1"/>
  <c r="D5147" i="1"/>
  <c r="C4008" i="1"/>
  <c r="E4008" i="1" s="1"/>
  <c r="D4008" i="1"/>
  <c r="B4101" i="1"/>
  <c r="A4101" i="1"/>
  <c r="D4192" i="1"/>
  <c r="C4192" i="1"/>
  <c r="E4192" i="1" s="1"/>
  <c r="D4146" i="1"/>
  <c r="C4146" i="1"/>
  <c r="E4146" i="1" s="1"/>
  <c r="D4330" i="1"/>
  <c r="C4330" i="1"/>
  <c r="E4330" i="1" s="1"/>
  <c r="C4284" i="1"/>
  <c r="E4284" i="1" s="1"/>
  <c r="D4284" i="1"/>
  <c r="D3686" i="1"/>
  <c r="C3686" i="1"/>
  <c r="E3686" i="1" s="1"/>
  <c r="C4238" i="1"/>
  <c r="E4238" i="1" s="1"/>
  <c r="D4238" i="1"/>
  <c r="C3640" i="1"/>
  <c r="E3640" i="1" s="1"/>
  <c r="D3640" i="1"/>
  <c r="C3778" i="1"/>
  <c r="E3778" i="1" s="1"/>
  <c r="D3778" i="1"/>
  <c r="C3916" i="1"/>
  <c r="E3916" i="1" s="1"/>
  <c r="D3916" i="1"/>
  <c r="D4376" i="1"/>
  <c r="C4376" i="1"/>
  <c r="E4376" i="1" s="1"/>
  <c r="D4422" i="1"/>
  <c r="C4422" i="1"/>
  <c r="E4422" i="1" s="1"/>
  <c r="D4054" i="1"/>
  <c r="C4054" i="1"/>
  <c r="E4054" i="1" s="1"/>
  <c r="C3870" i="1"/>
  <c r="E3870" i="1" s="1"/>
  <c r="D3870" i="1"/>
  <c r="C3824" i="1"/>
  <c r="E3824" i="1" s="1"/>
  <c r="D3824" i="1"/>
  <c r="C3732" i="1"/>
  <c r="E3732" i="1" s="1"/>
  <c r="D3732" i="1"/>
  <c r="D3962" i="1"/>
  <c r="C3962" i="1"/>
  <c r="E3962" i="1" s="1"/>
  <c r="C5239" i="1"/>
  <c r="E5239" i="1" s="1"/>
  <c r="D5239" i="1"/>
  <c r="A5056" i="1"/>
  <c r="B5056" i="1"/>
  <c r="A4687" i="1"/>
  <c r="B4687" i="1"/>
  <c r="C5194" i="1"/>
  <c r="E5194" i="1" s="1"/>
  <c r="D5194" i="1"/>
  <c r="C4733" i="1"/>
  <c r="E4733" i="1" s="1"/>
  <c r="D4733" i="1"/>
  <c r="B4963" i="1"/>
  <c r="A4963" i="1"/>
  <c r="B5423" i="1"/>
  <c r="A5423" i="1"/>
  <c r="C4779" i="1"/>
  <c r="E4779" i="1" s="1"/>
  <c r="D4779" i="1"/>
  <c r="A4825" i="1"/>
  <c r="B4825" i="1"/>
  <c r="C4917" i="1"/>
  <c r="E4917" i="1" s="1"/>
  <c r="D4917" i="1"/>
  <c r="B5102" i="1"/>
  <c r="A5102" i="1"/>
  <c r="A4872" i="1"/>
  <c r="B4872" i="1"/>
  <c r="A5331" i="1"/>
  <c r="B5331" i="1"/>
  <c r="B5285" i="1"/>
  <c r="A5285" i="1"/>
  <c r="B5010" i="1"/>
  <c r="A5010" i="1"/>
  <c r="C5378" i="1"/>
  <c r="E5378" i="1" s="1"/>
  <c r="D5378" i="1"/>
  <c r="C4642" i="1" l="1"/>
  <c r="E4642" i="1" s="1"/>
  <c r="D4642" i="1"/>
  <c r="A5148" i="1"/>
  <c r="B5148" i="1"/>
  <c r="A3871" i="1"/>
  <c r="B3871" i="1"/>
  <c r="B3687" i="1"/>
  <c r="A3687" i="1"/>
  <c r="B4285" i="1"/>
  <c r="A4285" i="1"/>
  <c r="A4055" i="1"/>
  <c r="B4055" i="1"/>
  <c r="B3825" i="1"/>
  <c r="A3825" i="1"/>
  <c r="B4423" i="1"/>
  <c r="A4423" i="1"/>
  <c r="B4331" i="1"/>
  <c r="A4331" i="1"/>
  <c r="B4377" i="1"/>
  <c r="A4377" i="1"/>
  <c r="A4147" i="1"/>
  <c r="B4147" i="1"/>
  <c r="B3917" i="1"/>
  <c r="A3917" i="1"/>
  <c r="A4193" i="1"/>
  <c r="B4193" i="1"/>
  <c r="B4239" i="1"/>
  <c r="A4239" i="1"/>
  <c r="B3779" i="1"/>
  <c r="A3779" i="1"/>
  <c r="D4101" i="1"/>
  <c r="C4101" i="1"/>
  <c r="E4101" i="1" s="1"/>
  <c r="A3963" i="1"/>
  <c r="B3963" i="1"/>
  <c r="A3733" i="1"/>
  <c r="B3733" i="1"/>
  <c r="A3641" i="1"/>
  <c r="B3641" i="1"/>
  <c r="A4009" i="1"/>
  <c r="B4009" i="1"/>
  <c r="A5240" i="1"/>
  <c r="B5240" i="1"/>
  <c r="D5285" i="1"/>
  <c r="C5285" i="1"/>
  <c r="E5285" i="1" s="1"/>
  <c r="D4963" i="1"/>
  <c r="C4963" i="1"/>
  <c r="E4963" i="1" s="1"/>
  <c r="B4734" i="1"/>
  <c r="A4734" i="1"/>
  <c r="B5379" i="1"/>
  <c r="A5379" i="1"/>
  <c r="D5010" i="1"/>
  <c r="C5010" i="1"/>
  <c r="E5010" i="1" s="1"/>
  <c r="B4918" i="1"/>
  <c r="A4918" i="1"/>
  <c r="B4780" i="1"/>
  <c r="A4780" i="1"/>
  <c r="C5423" i="1"/>
  <c r="E5423" i="1" s="1"/>
  <c r="D5423" i="1"/>
  <c r="C4687" i="1"/>
  <c r="E4687" i="1" s="1"/>
  <c r="D4687" i="1"/>
  <c r="D5331" i="1"/>
  <c r="C5331" i="1"/>
  <c r="E5331" i="1" s="1"/>
  <c r="D5102" i="1"/>
  <c r="C5102" i="1"/>
  <c r="E5102" i="1" s="1"/>
  <c r="B5195" i="1"/>
  <c r="A5195" i="1"/>
  <c r="D4872" i="1"/>
  <c r="C4872" i="1"/>
  <c r="E4872" i="1" s="1"/>
  <c r="D4825" i="1"/>
  <c r="C4825" i="1"/>
  <c r="E4825" i="1" s="1"/>
  <c r="C5056" i="1"/>
  <c r="E5056" i="1" s="1"/>
  <c r="D5056" i="1"/>
  <c r="B4643" i="1" l="1"/>
  <c r="A4643" i="1"/>
  <c r="D5148" i="1"/>
  <c r="C5148" i="1"/>
  <c r="E5148" i="1" s="1"/>
  <c r="D3733" i="1"/>
  <c r="C3733" i="1"/>
  <c r="E3733" i="1" s="1"/>
  <c r="D4331" i="1"/>
  <c r="C4331" i="1"/>
  <c r="E4331" i="1" s="1"/>
  <c r="C3963" i="1"/>
  <c r="E3963" i="1" s="1"/>
  <c r="D3963" i="1"/>
  <c r="C4423" i="1"/>
  <c r="E4423" i="1" s="1"/>
  <c r="D4423" i="1"/>
  <c r="B4102" i="1"/>
  <c r="A4102" i="1"/>
  <c r="C3779" i="1"/>
  <c r="E3779" i="1" s="1"/>
  <c r="D3779" i="1"/>
  <c r="D3825" i="1"/>
  <c r="C3825" i="1"/>
  <c r="E3825" i="1" s="1"/>
  <c r="D4377" i="1"/>
  <c r="C4377" i="1"/>
  <c r="E4377" i="1" s="1"/>
  <c r="D4239" i="1"/>
  <c r="C4239" i="1"/>
  <c r="E4239" i="1" s="1"/>
  <c r="C4055" i="1"/>
  <c r="E4055" i="1" s="1"/>
  <c r="D4055" i="1"/>
  <c r="D4285" i="1"/>
  <c r="C4285" i="1"/>
  <c r="E4285" i="1" s="1"/>
  <c r="C4193" i="1"/>
  <c r="E4193" i="1" s="1"/>
  <c r="D4193" i="1"/>
  <c r="C3917" i="1"/>
  <c r="E3917" i="1" s="1"/>
  <c r="D3917" i="1"/>
  <c r="C3687" i="1"/>
  <c r="E3687" i="1" s="1"/>
  <c r="D3687" i="1"/>
  <c r="C4009" i="1"/>
  <c r="E4009" i="1" s="1"/>
  <c r="D4009" i="1"/>
  <c r="C3641" i="1"/>
  <c r="E3641" i="1" s="1"/>
  <c r="D3641" i="1"/>
  <c r="D4147" i="1"/>
  <c r="C4147" i="1"/>
  <c r="E4147" i="1" s="1"/>
  <c r="D3871" i="1"/>
  <c r="C3871" i="1"/>
  <c r="E3871" i="1" s="1"/>
  <c r="C5240" i="1"/>
  <c r="E5240" i="1" s="1"/>
  <c r="D5240" i="1"/>
  <c r="B4826" i="1"/>
  <c r="A4826" i="1"/>
  <c r="A4873" i="1"/>
  <c r="B4873" i="1"/>
  <c r="B5011" i="1"/>
  <c r="A5011" i="1"/>
  <c r="C5195" i="1"/>
  <c r="E5195" i="1" s="1"/>
  <c r="D5195" i="1"/>
  <c r="C5379" i="1"/>
  <c r="E5379" i="1" s="1"/>
  <c r="D5379" i="1"/>
  <c r="C4918" i="1"/>
  <c r="E4918" i="1" s="1"/>
  <c r="D4918" i="1"/>
  <c r="A5103" i="1"/>
  <c r="B5103" i="1"/>
  <c r="C4734" i="1"/>
  <c r="E4734" i="1" s="1"/>
  <c r="D4734" i="1"/>
  <c r="B5332" i="1"/>
  <c r="A5332" i="1"/>
  <c r="A5057" i="1"/>
  <c r="B5057" i="1"/>
  <c r="B4688" i="1"/>
  <c r="A4688" i="1"/>
  <c r="C4780" i="1"/>
  <c r="E4780" i="1" s="1"/>
  <c r="D4780" i="1"/>
  <c r="B4964" i="1"/>
  <c r="A4964" i="1"/>
  <c r="B5424" i="1"/>
  <c r="A5424" i="1"/>
  <c r="B5286" i="1"/>
  <c r="A5286" i="1"/>
  <c r="C4643" i="1" l="1"/>
  <c r="E4643" i="1" s="1"/>
  <c r="D4643" i="1"/>
  <c r="B5149" i="1"/>
  <c r="A5149" i="1"/>
  <c r="A4378" i="1"/>
  <c r="B4378" i="1"/>
  <c r="B4010" i="1"/>
  <c r="A4010" i="1"/>
  <c r="B3826" i="1"/>
  <c r="A3826" i="1"/>
  <c r="B3688" i="1"/>
  <c r="A3688" i="1"/>
  <c r="A3780" i="1"/>
  <c r="B3780" i="1"/>
  <c r="A3918" i="1"/>
  <c r="B3918" i="1"/>
  <c r="C4102" i="1"/>
  <c r="E4102" i="1" s="1"/>
  <c r="D4102" i="1"/>
  <c r="B4194" i="1"/>
  <c r="A4194" i="1"/>
  <c r="B4424" i="1"/>
  <c r="A4424" i="1"/>
  <c r="A3964" i="1"/>
  <c r="B3964" i="1"/>
  <c r="B4286" i="1"/>
  <c r="A4286" i="1"/>
  <c r="B3642" i="1"/>
  <c r="A3642" i="1"/>
  <c r="A4056" i="1"/>
  <c r="B4056" i="1"/>
  <c r="A3872" i="1"/>
  <c r="B3872" i="1"/>
  <c r="B4332" i="1"/>
  <c r="A4332" i="1"/>
  <c r="B4148" i="1"/>
  <c r="A4148" i="1"/>
  <c r="A4240" i="1"/>
  <c r="B4240" i="1"/>
  <c r="B3734" i="1"/>
  <c r="A3734" i="1"/>
  <c r="A5241" i="1"/>
  <c r="B5241" i="1"/>
  <c r="A4919" i="1"/>
  <c r="B4919" i="1"/>
  <c r="A5380" i="1"/>
  <c r="B5380" i="1"/>
  <c r="A5196" i="1"/>
  <c r="B5196" i="1"/>
  <c r="C5103" i="1"/>
  <c r="E5103" i="1" s="1"/>
  <c r="D5103" i="1"/>
  <c r="D5286" i="1"/>
  <c r="C5286" i="1"/>
  <c r="E5286" i="1" s="1"/>
  <c r="C5011" i="1"/>
  <c r="E5011" i="1" s="1"/>
  <c r="D5011" i="1"/>
  <c r="B4781" i="1"/>
  <c r="A4781" i="1"/>
  <c r="C5332" i="1"/>
  <c r="E5332" i="1" s="1"/>
  <c r="D5332" i="1"/>
  <c r="C5424" i="1"/>
  <c r="E5424" i="1" s="1"/>
  <c r="D5424" i="1"/>
  <c r="C5057" i="1"/>
  <c r="E5057" i="1" s="1"/>
  <c r="D5057" i="1"/>
  <c r="C4873" i="1"/>
  <c r="E4873" i="1" s="1"/>
  <c r="D4873" i="1"/>
  <c r="D4688" i="1"/>
  <c r="C4688" i="1"/>
  <c r="E4688" i="1" s="1"/>
  <c r="B4735" i="1"/>
  <c r="A4735" i="1"/>
  <c r="D4826" i="1"/>
  <c r="C4826" i="1"/>
  <c r="E4826" i="1" s="1"/>
  <c r="D4964" i="1"/>
  <c r="C4964" i="1"/>
  <c r="E4964" i="1" s="1"/>
  <c r="B4644" i="1" l="1"/>
  <c r="A4644" i="1"/>
  <c r="D5149" i="1"/>
  <c r="C5149" i="1"/>
  <c r="E5149" i="1" s="1"/>
  <c r="B4103" i="1"/>
  <c r="A4103" i="1"/>
  <c r="D4194" i="1"/>
  <c r="C4194" i="1"/>
  <c r="E4194" i="1" s="1"/>
  <c r="C3872" i="1"/>
  <c r="E3872" i="1" s="1"/>
  <c r="D3872" i="1"/>
  <c r="D3918" i="1"/>
  <c r="C3918" i="1"/>
  <c r="E3918" i="1" s="1"/>
  <c r="C4056" i="1"/>
  <c r="E4056" i="1" s="1"/>
  <c r="D4056" i="1"/>
  <c r="D3780" i="1"/>
  <c r="C3780" i="1"/>
  <c r="E3780" i="1" s="1"/>
  <c r="C3642" i="1"/>
  <c r="E3642" i="1" s="1"/>
  <c r="D3642" i="1"/>
  <c r="C3688" i="1"/>
  <c r="E3688" i="1" s="1"/>
  <c r="D3688" i="1"/>
  <c r="C4286" i="1"/>
  <c r="E4286" i="1" s="1"/>
  <c r="D4286" i="1"/>
  <c r="D3826" i="1"/>
  <c r="C3826" i="1"/>
  <c r="E3826" i="1" s="1"/>
  <c r="C4148" i="1"/>
  <c r="E4148" i="1" s="1"/>
  <c r="D4148" i="1"/>
  <c r="C3734" i="1"/>
  <c r="E3734" i="1" s="1"/>
  <c r="D3734" i="1"/>
  <c r="C4010" i="1"/>
  <c r="E4010" i="1" s="1"/>
  <c r="D4010" i="1"/>
  <c r="D3964" i="1"/>
  <c r="C3964" i="1"/>
  <c r="E3964" i="1" s="1"/>
  <c r="D4332" i="1"/>
  <c r="C4332" i="1"/>
  <c r="E4332" i="1" s="1"/>
  <c r="D4424" i="1"/>
  <c r="C4424" i="1"/>
  <c r="E4424" i="1" s="1"/>
  <c r="C4240" i="1"/>
  <c r="E4240" i="1" s="1"/>
  <c r="D4240" i="1"/>
  <c r="D4378" i="1"/>
  <c r="C4378" i="1"/>
  <c r="E4378" i="1" s="1"/>
  <c r="C5241" i="1"/>
  <c r="E5241" i="1" s="1"/>
  <c r="D5241" i="1"/>
  <c r="B4965" i="1"/>
  <c r="A4965" i="1"/>
  <c r="C4781" i="1"/>
  <c r="E4781" i="1" s="1"/>
  <c r="D4781" i="1"/>
  <c r="D4735" i="1"/>
  <c r="C4735" i="1"/>
  <c r="E4735" i="1" s="1"/>
  <c r="A5012" i="1"/>
  <c r="B5012" i="1"/>
  <c r="A4827" i="1"/>
  <c r="B4827" i="1"/>
  <c r="A5287" i="1"/>
  <c r="B5287" i="1"/>
  <c r="A4874" i="1"/>
  <c r="B4874" i="1"/>
  <c r="B4689" i="1"/>
  <c r="A4689" i="1"/>
  <c r="D5196" i="1"/>
  <c r="C5196" i="1"/>
  <c r="E5196" i="1" s="1"/>
  <c r="A5058" i="1"/>
  <c r="B5058" i="1"/>
  <c r="A5333" i="1"/>
  <c r="B5333" i="1"/>
  <c r="D5380" i="1"/>
  <c r="C5380" i="1"/>
  <c r="E5380" i="1" s="1"/>
  <c r="A5425" i="1"/>
  <c r="B5425" i="1"/>
  <c r="A5104" i="1"/>
  <c r="B5104" i="1"/>
  <c r="C4919" i="1"/>
  <c r="E4919" i="1" s="1"/>
  <c r="D4919" i="1"/>
  <c r="D4644" i="1" l="1"/>
  <c r="C4644" i="1"/>
  <c r="E4644" i="1" s="1"/>
  <c r="B5150" i="1"/>
  <c r="A5150" i="1"/>
  <c r="A4333" i="1"/>
  <c r="B4333" i="1"/>
  <c r="A3689" i="1"/>
  <c r="B3689" i="1"/>
  <c r="B3965" i="1"/>
  <c r="A3965" i="1"/>
  <c r="B3781" i="1"/>
  <c r="A3781" i="1"/>
  <c r="B4011" i="1"/>
  <c r="A4011" i="1"/>
  <c r="B4057" i="1"/>
  <c r="A4057" i="1"/>
  <c r="A3735" i="1"/>
  <c r="B3735" i="1"/>
  <c r="B3643" i="1"/>
  <c r="A3643" i="1"/>
  <c r="B3919" i="1"/>
  <c r="A3919" i="1"/>
  <c r="A4149" i="1"/>
  <c r="B4149" i="1"/>
  <c r="B3873" i="1"/>
  <c r="A3873" i="1"/>
  <c r="A4425" i="1"/>
  <c r="B4425" i="1"/>
  <c r="B4379" i="1"/>
  <c r="A4379" i="1"/>
  <c r="A3827" i="1"/>
  <c r="B3827" i="1"/>
  <c r="B4195" i="1"/>
  <c r="A4195" i="1"/>
  <c r="B4241" i="1"/>
  <c r="A4241" i="1"/>
  <c r="A4287" i="1"/>
  <c r="B4287" i="1"/>
  <c r="D4103" i="1"/>
  <c r="C4103" i="1"/>
  <c r="E4103" i="1" s="1"/>
  <c r="B5242" i="1"/>
  <c r="A5242" i="1"/>
  <c r="B4920" i="1"/>
  <c r="A4920" i="1"/>
  <c r="D5425" i="1"/>
  <c r="C5425" i="1"/>
  <c r="E5425" i="1" s="1"/>
  <c r="C4827" i="1"/>
  <c r="E4827" i="1" s="1"/>
  <c r="D4827" i="1"/>
  <c r="A5381" i="1"/>
  <c r="B5381" i="1"/>
  <c r="D5333" i="1"/>
  <c r="C5333" i="1"/>
  <c r="E5333" i="1" s="1"/>
  <c r="D5012" i="1"/>
  <c r="C5012" i="1"/>
  <c r="E5012" i="1" s="1"/>
  <c r="B4736" i="1"/>
  <c r="A4736" i="1"/>
  <c r="C4874" i="1"/>
  <c r="E4874" i="1" s="1"/>
  <c r="D4874" i="1"/>
  <c r="C5287" i="1"/>
  <c r="E5287" i="1" s="1"/>
  <c r="D5287" i="1"/>
  <c r="A4782" i="1"/>
  <c r="B4782" i="1"/>
  <c r="C5104" i="1"/>
  <c r="E5104" i="1" s="1"/>
  <c r="D5104" i="1"/>
  <c r="C4689" i="1"/>
  <c r="E4689" i="1" s="1"/>
  <c r="D4689" i="1"/>
  <c r="C4965" i="1"/>
  <c r="E4965" i="1" s="1"/>
  <c r="D4965" i="1"/>
  <c r="C5058" i="1"/>
  <c r="E5058" i="1" s="1"/>
  <c r="D5058" i="1"/>
  <c r="A5197" i="1"/>
  <c r="B5197" i="1"/>
  <c r="B4645" i="1" l="1"/>
  <c r="A4645" i="1"/>
  <c r="C5150" i="1"/>
  <c r="E5150" i="1" s="1"/>
  <c r="D5150" i="1"/>
  <c r="D3735" i="1"/>
  <c r="C3735" i="1"/>
  <c r="E3735" i="1" s="1"/>
  <c r="C3827" i="1"/>
  <c r="E3827" i="1" s="1"/>
  <c r="D3827" i="1"/>
  <c r="D4379" i="1"/>
  <c r="C4379" i="1"/>
  <c r="E4379" i="1" s="1"/>
  <c r="D4011" i="1"/>
  <c r="C4011" i="1"/>
  <c r="E4011" i="1" s="1"/>
  <c r="C4241" i="1"/>
  <c r="E4241" i="1" s="1"/>
  <c r="D4241" i="1"/>
  <c r="C4195" i="1"/>
  <c r="E4195" i="1" s="1"/>
  <c r="D4195" i="1"/>
  <c r="D3781" i="1"/>
  <c r="C3781" i="1"/>
  <c r="E3781" i="1" s="1"/>
  <c r="D4425" i="1"/>
  <c r="C4425" i="1"/>
  <c r="E4425" i="1" s="1"/>
  <c r="C4057" i="1"/>
  <c r="E4057" i="1" s="1"/>
  <c r="D4057" i="1"/>
  <c r="C3873" i="1"/>
  <c r="E3873" i="1" s="1"/>
  <c r="D3873" i="1"/>
  <c r="C3965" i="1"/>
  <c r="E3965" i="1" s="1"/>
  <c r="D3965" i="1"/>
  <c r="B4104" i="1"/>
  <c r="A4104" i="1"/>
  <c r="C4149" i="1"/>
  <c r="E4149" i="1" s="1"/>
  <c r="D4149" i="1"/>
  <c r="C3689" i="1"/>
  <c r="E3689" i="1" s="1"/>
  <c r="D3689" i="1"/>
  <c r="D3643" i="1"/>
  <c r="C3643" i="1"/>
  <c r="E3643" i="1" s="1"/>
  <c r="D3919" i="1"/>
  <c r="C3919" i="1"/>
  <c r="E3919" i="1" s="1"/>
  <c r="C4287" i="1"/>
  <c r="E4287" i="1" s="1"/>
  <c r="D4287" i="1"/>
  <c r="C4333" i="1"/>
  <c r="E4333" i="1" s="1"/>
  <c r="D4333" i="1"/>
  <c r="D5242" i="1"/>
  <c r="C5242" i="1"/>
  <c r="E5242" i="1" s="1"/>
  <c r="C5197" i="1"/>
  <c r="D5197" i="1"/>
  <c r="B5059" i="1"/>
  <c r="A5059" i="1"/>
  <c r="A5013" i="1"/>
  <c r="B5013" i="1"/>
  <c r="A5334" i="1"/>
  <c r="B5334" i="1"/>
  <c r="B4690" i="1"/>
  <c r="A4690" i="1"/>
  <c r="B5105" i="1"/>
  <c r="A5105" i="1"/>
  <c r="A4828" i="1"/>
  <c r="B4828" i="1"/>
  <c r="D4736" i="1"/>
  <c r="C4736" i="1"/>
  <c r="E4736" i="1" s="1"/>
  <c r="D4782" i="1"/>
  <c r="C4782" i="1"/>
  <c r="E4782" i="1" s="1"/>
  <c r="B5288" i="1"/>
  <c r="A5288" i="1"/>
  <c r="C5381" i="1"/>
  <c r="D5381" i="1"/>
  <c r="A5426" i="1"/>
  <c r="B5426" i="1"/>
  <c r="B4966" i="1"/>
  <c r="A4966" i="1"/>
  <c r="B4875" i="1"/>
  <c r="A4875" i="1"/>
  <c r="C4920" i="1"/>
  <c r="E4920" i="1" s="1"/>
  <c r="D4920" i="1"/>
  <c r="C4645" i="1" l="1"/>
  <c r="D4645" i="1"/>
  <c r="B5151" i="1"/>
  <c r="A5151" i="1"/>
  <c r="A3644" i="1"/>
  <c r="B3644" i="1"/>
  <c r="A3782" i="1"/>
  <c r="B3782" i="1"/>
  <c r="A3690" i="1"/>
  <c r="B3690" i="1"/>
  <c r="B4196" i="1"/>
  <c r="A4196" i="1"/>
  <c r="A4150" i="1"/>
  <c r="B4150" i="1"/>
  <c r="A4242" i="1"/>
  <c r="B4242" i="1"/>
  <c r="D4104" i="1"/>
  <c r="C4104" i="1"/>
  <c r="E4104" i="1" s="1"/>
  <c r="B4012" i="1"/>
  <c r="A4012" i="1"/>
  <c r="A3966" i="1"/>
  <c r="B3966" i="1"/>
  <c r="A4426" i="1"/>
  <c r="B4426" i="1"/>
  <c r="A4380" i="1"/>
  <c r="B4380" i="1"/>
  <c r="A3920" i="1"/>
  <c r="B3920" i="1"/>
  <c r="B4334" i="1"/>
  <c r="A4334" i="1"/>
  <c r="A3874" i="1"/>
  <c r="B3874" i="1"/>
  <c r="A3828" i="1"/>
  <c r="B3828" i="1"/>
  <c r="A4288" i="1"/>
  <c r="B4288" i="1"/>
  <c r="A4058" i="1"/>
  <c r="B4058" i="1"/>
  <c r="A3736" i="1"/>
  <c r="B3736" i="1"/>
  <c r="A5243" i="1"/>
  <c r="B5243" i="1"/>
  <c r="D4875" i="1"/>
  <c r="C4875" i="1"/>
  <c r="C5105" i="1"/>
  <c r="D5105" i="1"/>
  <c r="C4690" i="1"/>
  <c r="E4690" i="1" s="1"/>
  <c r="D4690" i="1"/>
  <c r="C4557" i="1"/>
  <c r="E4557" i="1" s="1"/>
  <c r="E5381" i="1"/>
  <c r="D5334" i="1"/>
  <c r="C5334" i="1"/>
  <c r="E5334" i="1" s="1"/>
  <c r="D5288" i="1"/>
  <c r="C5288" i="1"/>
  <c r="E5288" i="1" s="1"/>
  <c r="C4828" i="1"/>
  <c r="E4828" i="1" s="1"/>
  <c r="D4828" i="1"/>
  <c r="C5013" i="1"/>
  <c r="D5013" i="1"/>
  <c r="C4966" i="1"/>
  <c r="E4966" i="1" s="1"/>
  <c r="D4966" i="1"/>
  <c r="D5059" i="1"/>
  <c r="C5059" i="1"/>
  <c r="C5426" i="1"/>
  <c r="E5426" i="1" s="1"/>
  <c r="D5426" i="1"/>
  <c r="A4783" i="1"/>
  <c r="B4783" i="1"/>
  <c r="A4921" i="1"/>
  <c r="B4921" i="1"/>
  <c r="A4737" i="1"/>
  <c r="B4737" i="1"/>
  <c r="E5197" i="1"/>
  <c r="C4553" i="1"/>
  <c r="E4553" i="1" s="1"/>
  <c r="C4541" i="1" l="1"/>
  <c r="E4541" i="1" s="1"/>
  <c r="E4645" i="1"/>
  <c r="C5151" i="1"/>
  <c r="D5151" i="1"/>
  <c r="A4105" i="1"/>
  <c r="B4105" i="1"/>
  <c r="C3874" i="1"/>
  <c r="E3874" i="1" s="1"/>
  <c r="D3874" i="1"/>
  <c r="D4242" i="1"/>
  <c r="C4242" i="1"/>
  <c r="E4242" i="1" s="1"/>
  <c r="C4334" i="1"/>
  <c r="E4334" i="1" s="1"/>
  <c r="D4334" i="1"/>
  <c r="C4150" i="1"/>
  <c r="E4150" i="1" s="1"/>
  <c r="D4150" i="1"/>
  <c r="D4288" i="1"/>
  <c r="C4288" i="1"/>
  <c r="E4288" i="1" s="1"/>
  <c r="C4196" i="1"/>
  <c r="E4196" i="1" s="1"/>
  <c r="D4196" i="1"/>
  <c r="C3920" i="1"/>
  <c r="E3920" i="1" s="1"/>
  <c r="D3920" i="1"/>
  <c r="C4012" i="1"/>
  <c r="E4012" i="1" s="1"/>
  <c r="D4012" i="1"/>
  <c r="C3828" i="1"/>
  <c r="E3828" i="1" s="1"/>
  <c r="D3828" i="1"/>
  <c r="D4380" i="1"/>
  <c r="C4380" i="1"/>
  <c r="E4380" i="1" s="1"/>
  <c r="C3690" i="1"/>
  <c r="E3690" i="1" s="1"/>
  <c r="D3690" i="1"/>
  <c r="C3736" i="1"/>
  <c r="E3736" i="1" s="1"/>
  <c r="D3736" i="1"/>
  <c r="C4426" i="1"/>
  <c r="E4426" i="1" s="1"/>
  <c r="D4426" i="1"/>
  <c r="C3782" i="1"/>
  <c r="E3782" i="1" s="1"/>
  <c r="D3782" i="1"/>
  <c r="D4058" i="1"/>
  <c r="C4058" i="1"/>
  <c r="E4058" i="1" s="1"/>
  <c r="D3966" i="1"/>
  <c r="C3966" i="1"/>
  <c r="E3966" i="1" s="1"/>
  <c r="C3644" i="1"/>
  <c r="E3644" i="1" s="1"/>
  <c r="D3644" i="1"/>
  <c r="D5243" i="1"/>
  <c r="C5243" i="1"/>
  <c r="C4921" i="1"/>
  <c r="D4921" i="1"/>
  <c r="A5335" i="1"/>
  <c r="B5335" i="1"/>
  <c r="B5289" i="1"/>
  <c r="A5289" i="1"/>
  <c r="C4737" i="1"/>
  <c r="D4737" i="1"/>
  <c r="A4691" i="1"/>
  <c r="B4691" i="1"/>
  <c r="C4550" i="1"/>
  <c r="E4550" i="1" s="1"/>
  <c r="E5059" i="1"/>
  <c r="A5427" i="1"/>
  <c r="B5427" i="1"/>
  <c r="C4783" i="1"/>
  <c r="D4783" i="1"/>
  <c r="A4967" i="1"/>
  <c r="B4967" i="1"/>
  <c r="C4551" i="1"/>
  <c r="E4551" i="1" s="1"/>
  <c r="E5105" i="1"/>
  <c r="C4546" i="1"/>
  <c r="E4546" i="1" s="1"/>
  <c r="E4875" i="1"/>
  <c r="A4829" i="1"/>
  <c r="B4829" i="1"/>
  <c r="C4549" i="1"/>
  <c r="E4549" i="1" s="1"/>
  <c r="E5013" i="1"/>
  <c r="C4552" i="1" l="1"/>
  <c r="E4552" i="1" s="1"/>
  <c r="E5151" i="1"/>
  <c r="A3783" i="1"/>
  <c r="B3783" i="1"/>
  <c r="B4197" i="1"/>
  <c r="A4197" i="1"/>
  <c r="A4427" i="1"/>
  <c r="B4427" i="1"/>
  <c r="A4059" i="1"/>
  <c r="B4059" i="1"/>
  <c r="A4289" i="1"/>
  <c r="B4289" i="1"/>
  <c r="B3737" i="1"/>
  <c r="A3737" i="1"/>
  <c r="A4151" i="1"/>
  <c r="B4151" i="1"/>
  <c r="A3691" i="1"/>
  <c r="B3691" i="1"/>
  <c r="B4335" i="1"/>
  <c r="A4335" i="1"/>
  <c r="B4381" i="1"/>
  <c r="A4381" i="1"/>
  <c r="B4243" i="1"/>
  <c r="A4243" i="1"/>
  <c r="B3645" i="1"/>
  <c r="A3645" i="1"/>
  <c r="B3829" i="1"/>
  <c r="A3829" i="1"/>
  <c r="B3875" i="1"/>
  <c r="A3875" i="1"/>
  <c r="A3921" i="1"/>
  <c r="B3921" i="1"/>
  <c r="B4013" i="1"/>
  <c r="A4013" i="1"/>
  <c r="A3967" i="1"/>
  <c r="B3967" i="1"/>
  <c r="C4105" i="1"/>
  <c r="D4105" i="1"/>
  <c r="E5243" i="1"/>
  <c r="C4554" i="1"/>
  <c r="E4554" i="1" s="1"/>
  <c r="C4544" i="1"/>
  <c r="E4544" i="1" s="1"/>
  <c r="E4783" i="1"/>
  <c r="D5427" i="1"/>
  <c r="C5427" i="1"/>
  <c r="D4829" i="1"/>
  <c r="C4829" i="1"/>
  <c r="C4543" i="1"/>
  <c r="E4543" i="1" s="1"/>
  <c r="E4737" i="1"/>
  <c r="D5289" i="1"/>
  <c r="C5289" i="1"/>
  <c r="D5335" i="1"/>
  <c r="C5335" i="1"/>
  <c r="D4691" i="1"/>
  <c r="C4691" i="1"/>
  <c r="D4967" i="1"/>
  <c r="C4967" i="1"/>
  <c r="C4547" i="1"/>
  <c r="E4547" i="1" s="1"/>
  <c r="E4921" i="1"/>
  <c r="D3737" i="1" l="1"/>
  <c r="C3737" i="1"/>
  <c r="C3829" i="1"/>
  <c r="D3829" i="1"/>
  <c r="C4289" i="1"/>
  <c r="D4289" i="1"/>
  <c r="C3645" i="1"/>
  <c r="D3645" i="1"/>
  <c r="D4013" i="1"/>
  <c r="C4013" i="1"/>
  <c r="D4151" i="1"/>
  <c r="C4151" i="1"/>
  <c r="D4059" i="1"/>
  <c r="C4059" i="1"/>
  <c r="C4243" i="1"/>
  <c r="D4243" i="1"/>
  <c r="C3875" i="1"/>
  <c r="D3875" i="1"/>
  <c r="C4427" i="1"/>
  <c r="D4427" i="1"/>
  <c r="D4381" i="1"/>
  <c r="C4381" i="1"/>
  <c r="C4197" i="1"/>
  <c r="D4197" i="1"/>
  <c r="C3691" i="1"/>
  <c r="D3691" i="1"/>
  <c r="C3921" i="1"/>
  <c r="D3921" i="1"/>
  <c r="E4105" i="1"/>
  <c r="C3551" i="1"/>
  <c r="E3551" i="1" s="1"/>
  <c r="C4335" i="1"/>
  <c r="D4335" i="1"/>
  <c r="C3967" i="1"/>
  <c r="D3967" i="1"/>
  <c r="D3783" i="1"/>
  <c r="C3783" i="1"/>
  <c r="E4691" i="1"/>
  <c r="C4542" i="1"/>
  <c r="E4542" i="1" s="1"/>
  <c r="C4556" i="1"/>
  <c r="E4556" i="1" s="1"/>
  <c r="E5335" i="1"/>
  <c r="C4545" i="1"/>
  <c r="E4545" i="1" s="1"/>
  <c r="E4829" i="1"/>
  <c r="C4558" i="1"/>
  <c r="E4558" i="1" s="1"/>
  <c r="E5427" i="1"/>
  <c r="E4967" i="1"/>
  <c r="C4548" i="1"/>
  <c r="E4548" i="1" s="1"/>
  <c r="C4555" i="1"/>
  <c r="E4555" i="1" s="1"/>
  <c r="E5289" i="1"/>
  <c r="K74" i="1"/>
  <c r="A73" i="1" s="1"/>
  <c r="E4243" i="1" l="1"/>
  <c r="C3554" i="1"/>
  <c r="E3554" i="1" s="1"/>
  <c r="E4059" i="1"/>
  <c r="C3550" i="1"/>
  <c r="E3550" i="1" s="1"/>
  <c r="C3552" i="1"/>
  <c r="E3552" i="1" s="1"/>
  <c r="E4151" i="1"/>
  <c r="E4335" i="1"/>
  <c r="C3556" i="1"/>
  <c r="E3556" i="1" s="1"/>
  <c r="C3549" i="1"/>
  <c r="E3549" i="1" s="1"/>
  <c r="E4013" i="1"/>
  <c r="E3921" i="1"/>
  <c r="C3547" i="1"/>
  <c r="E3547" i="1" s="1"/>
  <c r="C3553" i="1"/>
  <c r="E3553" i="1" s="1"/>
  <c r="E4197" i="1"/>
  <c r="E3645" i="1"/>
  <c r="C3541" i="1"/>
  <c r="E3541" i="1" s="1"/>
  <c r="E3691" i="1"/>
  <c r="C3542" i="1"/>
  <c r="E3542" i="1" s="1"/>
  <c r="C3555" i="1"/>
  <c r="E3555" i="1" s="1"/>
  <c r="E4289" i="1"/>
  <c r="E3783" i="1"/>
  <c r="C3544" i="1"/>
  <c r="E3544" i="1" s="1"/>
  <c r="E4427" i="1"/>
  <c r="C3558" i="1"/>
  <c r="E3558" i="1" s="1"/>
  <c r="C3545" i="1"/>
  <c r="E3545" i="1" s="1"/>
  <c r="E3829" i="1"/>
  <c r="C3557" i="1"/>
  <c r="E3557" i="1" s="1"/>
  <c r="E4381" i="1"/>
  <c r="C3543" i="1"/>
  <c r="E3543" i="1" s="1"/>
  <c r="E3737" i="1"/>
  <c r="E3967" i="1"/>
  <c r="C3548" i="1"/>
  <c r="E3548" i="1" s="1"/>
  <c r="C3546" i="1"/>
  <c r="E3546" i="1" s="1"/>
  <c r="E3875" i="1"/>
  <c r="B4508" i="1"/>
  <c r="B4509" i="1" s="1"/>
  <c r="D7067" i="1"/>
  <c r="J71" i="9" s="1"/>
  <c r="G110" i="6" l="1"/>
  <c r="AC110" i="6" s="1"/>
  <c r="AD110" i="6" s="1"/>
  <c r="G115" i="6"/>
  <c r="AC115" i="6" s="1"/>
  <c r="AD115" i="6" s="1"/>
  <c r="G123" i="6"/>
  <c r="AC123" i="6" s="1"/>
  <c r="AD123" i="6" s="1"/>
  <c r="G117" i="6"/>
  <c r="AC117" i="6" s="1"/>
  <c r="AD117" i="6" s="1"/>
  <c r="G131" i="6"/>
  <c r="AC131" i="6" s="1"/>
  <c r="AD131" i="6" s="1"/>
  <c r="G130" i="6"/>
  <c r="AC130" i="6" s="1"/>
  <c r="AD130" i="6" s="1"/>
  <c r="G114" i="6"/>
  <c r="AC114" i="6" s="1"/>
  <c r="AD114" i="6" s="1"/>
  <c r="G129" i="6"/>
  <c r="AC129" i="6" s="1"/>
  <c r="AD129" i="6" s="1"/>
  <c r="G148" i="6"/>
  <c r="AC148" i="6" s="1"/>
  <c r="AD148" i="6" s="1"/>
  <c r="G150" i="6"/>
  <c r="AC150" i="6" s="1"/>
  <c r="AD150" i="6" s="1"/>
  <c r="G154" i="6"/>
  <c r="AC154" i="6" s="1"/>
  <c r="AD154" i="6" s="1"/>
  <c r="G166" i="6"/>
  <c r="AC166" i="6" s="1"/>
  <c r="AD166" i="6" s="1"/>
  <c r="G173" i="6"/>
  <c r="AC173" i="6" s="1"/>
  <c r="AD173" i="6" s="1"/>
  <c r="G179" i="6"/>
  <c r="AC179" i="6" s="1"/>
  <c r="AD179" i="6" s="1"/>
  <c r="G182" i="6"/>
  <c r="AC182" i="6" s="1"/>
  <c r="AD182" i="6" s="1"/>
  <c r="G194" i="6"/>
  <c r="AC194" i="6" s="1"/>
  <c r="AD194" i="6" s="1"/>
  <c r="K22" i="1"/>
  <c r="G119" i="6"/>
  <c r="AC119" i="6" s="1"/>
  <c r="AD119" i="6" s="1"/>
  <c r="G125" i="6"/>
  <c r="AC125" i="6" s="1"/>
  <c r="AD125" i="6" s="1"/>
  <c r="G138" i="6"/>
  <c r="AC138" i="6" s="1"/>
  <c r="AD138" i="6" s="1"/>
  <c r="G140" i="6"/>
  <c r="AC140" i="6" s="1"/>
  <c r="AD140" i="6" s="1"/>
  <c r="G149" i="6"/>
  <c r="AC149" i="6" s="1"/>
  <c r="AD149" i="6" s="1"/>
  <c r="G165" i="6"/>
  <c r="AC165" i="6" s="1"/>
  <c r="AD165" i="6" s="1"/>
  <c r="G172" i="6"/>
  <c r="AC172" i="6" s="1"/>
  <c r="AD172" i="6" s="1"/>
  <c r="G174" i="6"/>
  <c r="AC174" i="6" s="1"/>
  <c r="AD174" i="6" s="1"/>
  <c r="G183" i="6"/>
  <c r="AC183" i="6" s="1"/>
  <c r="AD183" i="6" s="1"/>
  <c r="G118" i="6"/>
  <c r="AC118" i="6" s="1"/>
  <c r="AD118" i="6" s="1"/>
  <c r="G124" i="6"/>
  <c r="AC124" i="6" s="1"/>
  <c r="AD124" i="6" s="1"/>
  <c r="G167" i="6"/>
  <c r="AC167" i="6" s="1"/>
  <c r="AD167" i="6" s="1"/>
  <c r="G134" i="6"/>
  <c r="AC134" i="6" s="1"/>
  <c r="G151" i="6"/>
  <c r="AC151" i="6" s="1"/>
  <c r="AD151" i="6" s="1"/>
  <c r="G113" i="6"/>
  <c r="AC113" i="6" s="1"/>
  <c r="AD113" i="6" s="1"/>
  <c r="G121" i="6"/>
  <c r="AC121" i="6" s="1"/>
  <c r="AD121" i="6" s="1"/>
  <c r="G133" i="6"/>
  <c r="AC133" i="6" s="1"/>
  <c r="AD133" i="6" s="1"/>
  <c r="G135" i="6"/>
  <c r="AC135" i="6" s="1"/>
  <c r="AD135" i="6" s="1"/>
  <c r="G164" i="6"/>
  <c r="AC164" i="6" s="1"/>
  <c r="AD164" i="6" s="1"/>
  <c r="G187" i="6"/>
  <c r="AC187" i="6" s="1"/>
  <c r="AD187" i="6" s="1"/>
  <c r="G189" i="6"/>
  <c r="AC189" i="6" s="1"/>
  <c r="AD189" i="6" s="1"/>
  <c r="G200" i="6"/>
  <c r="AC200" i="6" s="1"/>
  <c r="AD200" i="6" s="1"/>
  <c r="G202" i="6"/>
  <c r="AC202" i="6" s="1"/>
  <c r="AD202" i="6" s="1"/>
  <c r="G109" i="6"/>
  <c r="AC109" i="6" s="1"/>
  <c r="AD109" i="6" s="1"/>
  <c r="G111" i="6"/>
  <c r="AC111" i="6" s="1"/>
  <c r="AD111" i="6" s="1"/>
  <c r="G132" i="6"/>
  <c r="AC132" i="6" s="1"/>
  <c r="AD132" i="6" s="1"/>
  <c r="G142" i="6"/>
  <c r="AC142" i="6" s="1"/>
  <c r="AD142" i="6" s="1"/>
  <c r="G128" i="6"/>
  <c r="AC128" i="6" s="1"/>
  <c r="AD128" i="6" s="1"/>
  <c r="G116" i="6"/>
  <c r="AC116" i="6" s="1"/>
  <c r="AD116" i="6" s="1"/>
  <c r="G127" i="6"/>
  <c r="AC127" i="6" s="1"/>
  <c r="AD127" i="6" s="1"/>
  <c r="G141" i="6"/>
  <c r="AC141" i="6" s="1"/>
  <c r="AD141" i="6" s="1"/>
  <c r="G143" i="6"/>
  <c r="AC143" i="6" s="1"/>
  <c r="AD143" i="6" s="1"/>
  <c r="G155" i="6"/>
  <c r="AC155" i="6" s="1"/>
  <c r="AD155" i="6" s="1"/>
  <c r="G157" i="6"/>
  <c r="AC157" i="6" s="1"/>
  <c r="AD157" i="6" s="1"/>
  <c r="G156" i="6"/>
  <c r="AC156" i="6" s="1"/>
  <c r="AD156" i="6" s="1"/>
  <c r="G158" i="6"/>
  <c r="AC158" i="6" s="1"/>
  <c r="AD158" i="6" s="1"/>
  <c r="G163" i="6"/>
  <c r="AC163" i="6" s="1"/>
  <c r="AD163" i="6" s="1"/>
  <c r="G112" i="6"/>
  <c r="AC112" i="6" s="1"/>
  <c r="AD112" i="6" s="1"/>
  <c r="G146" i="6"/>
  <c r="AC146" i="6" s="1"/>
  <c r="AD146" i="6" s="1"/>
  <c r="G152" i="6"/>
  <c r="AC152" i="6" s="1"/>
  <c r="AD152" i="6" s="1"/>
  <c r="G178" i="6"/>
  <c r="AC178" i="6" s="1"/>
  <c r="AD178" i="6" s="1"/>
  <c r="G210" i="6"/>
  <c r="AC210" i="6" s="1"/>
  <c r="AD210" i="6" s="1"/>
  <c r="G177" i="6"/>
  <c r="AC177" i="6" s="1"/>
  <c r="AD177" i="6" s="1"/>
  <c r="G185" i="6"/>
  <c r="AC185" i="6" s="1"/>
  <c r="AD185" i="6" s="1"/>
  <c r="G188" i="6"/>
  <c r="AC188" i="6" s="1"/>
  <c r="AD188" i="6" s="1"/>
  <c r="G145" i="6"/>
  <c r="AC145" i="6" s="1"/>
  <c r="AD145" i="6" s="1"/>
  <c r="G180" i="6"/>
  <c r="AC180" i="6" s="1"/>
  <c r="AD180" i="6" s="1"/>
  <c r="G139" i="6"/>
  <c r="AC139" i="6" s="1"/>
  <c r="AD139" i="6" s="1"/>
  <c r="G160" i="6"/>
  <c r="AC160" i="6" s="1"/>
  <c r="AD160" i="6" s="1"/>
  <c r="G171" i="6"/>
  <c r="AC171" i="6" s="1"/>
  <c r="AD171" i="6" s="1"/>
  <c r="G136" i="6"/>
  <c r="AC136" i="6" s="1"/>
  <c r="AD136" i="6" s="1"/>
  <c r="G169" i="6"/>
  <c r="AC169" i="6" s="1"/>
  <c r="AD169" i="6" s="1"/>
  <c r="G144" i="6"/>
  <c r="AC144" i="6" s="1"/>
  <c r="AD144" i="6" s="1"/>
  <c r="G153" i="6"/>
  <c r="AC153" i="6" s="1"/>
  <c r="AD153" i="6" s="1"/>
  <c r="G126" i="6"/>
  <c r="AC126" i="6" s="1"/>
  <c r="AD126" i="6" s="1"/>
  <c r="G137" i="6"/>
  <c r="AC137" i="6" s="1"/>
  <c r="AD137" i="6" s="1"/>
  <c r="G120" i="6"/>
  <c r="AC120" i="6" s="1"/>
  <c r="AD120" i="6" s="1"/>
  <c r="G161" i="6"/>
  <c r="AC161" i="6" s="1"/>
  <c r="AD161" i="6" s="1"/>
  <c r="G175" i="6"/>
  <c r="AC175" i="6" s="1"/>
  <c r="AD175" i="6" s="1"/>
  <c r="G192" i="6"/>
  <c r="AC192" i="6" s="1"/>
  <c r="AD192" i="6" s="1"/>
  <c r="G195" i="6"/>
  <c r="AC195" i="6" s="1"/>
  <c r="AD195" i="6" s="1"/>
  <c r="G205" i="6"/>
  <c r="AC205" i="6" s="1"/>
  <c r="AD205" i="6" s="1"/>
  <c r="G147" i="6"/>
  <c r="AC147" i="6" s="1"/>
  <c r="AD147" i="6" s="1"/>
  <c r="G190" i="6"/>
  <c r="AC190" i="6" s="1"/>
  <c r="AD190" i="6" s="1"/>
  <c r="G196" i="6"/>
  <c r="AC196" i="6" s="1"/>
  <c r="AD196" i="6" s="1"/>
  <c r="G207" i="6"/>
  <c r="AC207" i="6" s="1"/>
  <c r="AD207" i="6" s="1"/>
  <c r="G181" i="6"/>
  <c r="AC181" i="6" s="1"/>
  <c r="AD181" i="6" s="1"/>
  <c r="G204" i="6"/>
  <c r="AC204" i="6" s="1"/>
  <c r="AD204" i="6" s="1"/>
  <c r="G186" i="6"/>
  <c r="AC186" i="6" s="1"/>
  <c r="AD186" i="6" s="1"/>
  <c r="G199" i="6"/>
  <c r="AC199" i="6" s="1"/>
  <c r="AD199" i="6" s="1"/>
  <c r="G201" i="6"/>
  <c r="AC201" i="6" s="1"/>
  <c r="AD201" i="6" s="1"/>
  <c r="G176" i="6"/>
  <c r="AC176" i="6" s="1"/>
  <c r="AD176" i="6" s="1"/>
  <c r="G191" i="6"/>
  <c r="AC191" i="6" s="1"/>
  <c r="AD191" i="6" s="1"/>
  <c r="G193" i="6"/>
  <c r="AC193" i="6" s="1"/>
  <c r="AD193" i="6" s="1"/>
  <c r="G184" i="6"/>
  <c r="AC184" i="6" s="1"/>
  <c r="AD184" i="6" s="1"/>
  <c r="G209" i="6"/>
  <c r="AC209" i="6" s="1"/>
  <c r="AD209" i="6" s="1"/>
  <c r="G170" i="6"/>
  <c r="AC170" i="6" s="1"/>
  <c r="AD170" i="6" s="1"/>
  <c r="G159" i="6"/>
  <c r="AC159" i="6" s="1"/>
  <c r="AD159" i="6" s="1"/>
  <c r="G206" i="6"/>
  <c r="AC206" i="6" s="1"/>
  <c r="AD206" i="6" s="1"/>
  <c r="G208" i="6"/>
  <c r="AC208" i="6" s="1"/>
  <c r="AD208" i="6" s="1"/>
  <c r="G162" i="6"/>
  <c r="AC162" i="6" s="1"/>
  <c r="AD162" i="6" s="1"/>
  <c r="G198" i="6"/>
  <c r="AC198" i="6" s="1"/>
  <c r="AD198" i="6" s="1"/>
  <c r="G203" i="6"/>
  <c r="AC203" i="6" s="1"/>
  <c r="AD203" i="6" s="1"/>
  <c r="G122" i="6"/>
  <c r="AC122" i="6" s="1"/>
  <c r="AD122" i="6" s="1"/>
  <c r="G168" i="6"/>
  <c r="AC168" i="6" s="1"/>
  <c r="AD168" i="6" s="1"/>
  <c r="G211" i="6"/>
  <c r="AC211" i="6" s="1"/>
  <c r="AD211" i="6" s="1"/>
  <c r="G197" i="6"/>
  <c r="AC197" i="6" s="1"/>
  <c r="AD197" i="6" s="1"/>
  <c r="K80" i="1"/>
  <c r="N17" i="1"/>
  <c r="N16" i="1"/>
  <c r="F7070" i="1"/>
  <c r="D7070" i="1"/>
  <c r="B3508" i="1"/>
  <c r="B3509" i="1" s="1"/>
  <c r="AD134" i="6" l="1"/>
  <c r="Q22" i="1"/>
  <c r="K83" i="1"/>
</calcChain>
</file>

<file path=xl/sharedStrings.xml><?xml version="1.0" encoding="utf-8"?>
<sst xmlns="http://schemas.openxmlformats.org/spreadsheetml/2006/main" count="2205" uniqueCount="716">
  <si>
    <t>Steel Beam Design</t>
  </si>
  <si>
    <t>kN/m</t>
  </si>
  <si>
    <t>Member Loading → Maximum Moment</t>
  </si>
  <si>
    <t>Member</t>
  </si>
  <si>
    <t>Span (m)</t>
  </si>
  <si>
    <t>Type</t>
  </si>
  <si>
    <t>P1 (kN)</t>
  </si>
  <si>
    <t>a1 from left (m)</t>
  </si>
  <si>
    <t>P2 (kN)</t>
  </si>
  <si>
    <t>a2 from left (m)</t>
  </si>
  <si>
    <t>P3 (kN)</t>
  </si>
  <si>
    <t>a3 from left (m)</t>
  </si>
  <si>
    <t>P4 (kN)</t>
  </si>
  <si>
    <t>a4 from left (m)</t>
  </si>
  <si>
    <t>UDL w (kN/m)</t>
  </si>
  <si>
    <t>Moment (kNm)</t>
  </si>
  <si>
    <t>Simply Supported</t>
  </si>
  <si>
    <t>Moment = maximum |M| over the whole beam, including support moments. Units: kNm.</t>
  </si>
  <si>
    <t>kNm</t>
  </si>
  <si>
    <t>E =</t>
  </si>
  <si>
    <t>N/mm²</t>
  </si>
  <si>
    <t>Deflection limit: L /</t>
  </si>
  <si>
    <t>cm⁴</t>
  </si>
  <si>
    <t>Deflection Equations</t>
  </si>
  <si>
    <t>L/360 — Verified Short-form Equations</t>
  </si>
  <si>
    <t>Simply supported beams. Equal point loads are equally spaced.</t>
  </si>
  <si>
    <t>E (N/mm²)</t>
  </si>
  <si>
    <t>Units: L in m; P and W in kN; I in cm⁴.</t>
  </si>
  <si>
    <t>Loading</t>
  </si>
  <si>
    <t>δ coefficient α</t>
  </si>
  <si>
    <t>Exact k</t>
  </si>
  <si>
    <t>Image k</t>
  </si>
  <si>
    <t>Short form</t>
  </si>
  <si>
    <t>1 centre load P</t>
  </si>
  <si>
    <t>2 loads of P/2 at thirds</t>
  </si>
  <si>
    <t>3 loads of P/3 at quarters</t>
  </si>
  <si>
    <t>4 loads of P/4 at fifths</t>
  </si>
  <si>
    <t>UDL, total load W</t>
  </si>
  <si>
    <t>P = total point load. With n points, each individual load = P/n.</t>
  </si>
  <si>
    <t>W = total UDL load = wL. Lower-case w is line load in kN/m.</t>
  </si>
  <si>
    <t>δ = αPL³/(EI) and δallow = L/360</t>
  </si>
  <si>
    <t>I[cm⁴] = α × 360 × 10⁵ / E × P[kN] × L[m]²</t>
  </si>
  <si>
    <t>UDL: I = 2.286585… WL² = 2.286585… wL³ ≈ 2.29wL³</t>
  </si>
  <si>
    <t>The image coefficients are correct to 2 decimals if P/W mean TOTAL load.</t>
  </si>
  <si>
    <t>For the design sheet’s w in kN/m, use wL³, not wL².</t>
  </si>
  <si>
    <t>Calculation uses the full-precision coefficient. Displayed shorthand is rounded.</t>
  </si>
  <si>
    <t>Source: user-provided L/360 coefficient image and Deflection Equations.</t>
  </si>
  <si>
    <t>Moment Calculation — exact superposition, constant EI</t>
  </si>
  <si>
    <t>M(x) = Mleft + RA·x − w·x²/2 − Σ Pi·MAX(0,x−ai); check load points, ends and zero-shear points.</t>
  </si>
  <si>
    <t>Member table row 16</t>
  </si>
  <si>
    <t>L</t>
  </si>
  <si>
    <t>P1</t>
  </si>
  <si>
    <t>a1</t>
  </si>
  <si>
    <t>P2</t>
  </si>
  <si>
    <t>a2</t>
  </si>
  <si>
    <t>P3</t>
  </si>
  <si>
    <t>a3</t>
  </si>
  <si>
    <t>P4</t>
  </si>
  <si>
    <t>a4</t>
  </si>
  <si>
    <t>w</t>
  </si>
  <si>
    <t>Input valid</t>
  </si>
  <si>
    <t>Mleft</t>
  </si>
  <si>
    <t>Mright</t>
  </si>
  <si>
    <t>RA</t>
  </si>
  <si>
    <t>Max |M|</t>
  </si>
  <si>
    <t>Sorted x</t>
  </si>
  <si>
    <t>M(x)</t>
  </si>
  <si>
    <t>Interval end</t>
  </si>
  <si>
    <t>Zero shear x</t>
  </si>
  <si>
    <t>M(zero shear)</t>
  </si>
  <si>
    <t>Member table row 17</t>
  </si>
  <si>
    <t>Member table row 18</t>
  </si>
  <si>
    <t>Member table row 19</t>
  </si>
  <si>
    <t>Member table row 20</t>
  </si>
  <si>
    <t>Member table row 21</t>
  </si>
  <si>
    <t>Member table row 22</t>
  </si>
  <si>
    <t>Member table row 23</t>
  </si>
  <si>
    <t>Member table row 24</t>
  </si>
  <si>
    <t>Member table row 25</t>
  </si>
  <si>
    <t>Member table row 26</t>
  </si>
  <si>
    <t>Member table row 27</t>
  </si>
  <si>
    <t>Member table row 28</t>
  </si>
  <si>
    <t>Member table row 29</t>
  </si>
  <si>
    <t>Member table row 30</t>
  </si>
  <si>
    <t>Member table row 31</t>
  </si>
  <si>
    <t>Member table row 32</t>
  </si>
  <si>
    <t>Member table row 33</t>
  </si>
  <si>
    <t>Maximum Moment Reference</t>
  </si>
  <si>
    <t>Source: https://mechanicalc.com/reference/beam-deflection-tables</t>
  </si>
  <si>
    <t>F: individual force (kN); w: line load (kN/m); L, a, b: m; M0: applied couple (kNm).</t>
  </si>
  <si>
    <t>Max |M| is the largest magnitude. Positive = sagging; negative = hogging. x is from the left end.</t>
  </si>
  <si>
    <t>Support / load case</t>
  </si>
  <si>
    <t>Max |M| (kNm)</t>
  </si>
  <si>
    <t>Location</t>
  </si>
  <si>
    <t>Signed moments / conditions</t>
  </si>
  <si>
    <t>Cantilever — tip force</t>
  </si>
  <si>
    <t>FL</t>
  </si>
  <si>
    <t>Fixed end</t>
  </si>
  <si>
    <t>M = −FL</t>
  </si>
  <si>
    <t>Cantilever — force at a</t>
  </si>
  <si>
    <t>Fa</t>
  </si>
  <si>
    <t>M = −Fa; derived from source M(x).</t>
  </si>
  <si>
    <t>Cantilever — full UDL</t>
  </si>
  <si>
    <t>wL² / 2</t>
  </si>
  <si>
    <t>M = −wL²/2</t>
  </si>
  <si>
    <t>Cantilever — triangular load</t>
  </si>
  <si>
    <t>w1 L² / 6</t>
  </si>
  <si>
    <t>w1 at fixed end, tapering to zero at free end.</t>
  </si>
  <si>
    <t>Cantilever — tip couple</t>
  </si>
  <si>
    <t>|M0|</t>
  </si>
  <si>
    <t>Entire span</t>
  </si>
  <si>
    <t>M = −M0 for source loading direction.</t>
  </si>
  <si>
    <t>Simply Supported — force at a</t>
  </si>
  <si>
    <t>Fab / L</t>
  </si>
  <si>
    <t>x = a</t>
  </si>
  <si>
    <t>b = L − a</t>
  </si>
  <si>
    <t>Simply Supported — centre force</t>
  </si>
  <si>
    <t>FL / 4</t>
  </si>
  <si>
    <t>x = L/2</t>
  </si>
  <si>
    <t>Positive midspan moment.</t>
  </si>
  <si>
    <t>Simply Supported — two equal forces</t>
  </si>
  <si>
    <t>a ≤ x ≤ L−a</t>
  </si>
  <si>
    <t>Each force = F, at a and L−a; a ≤ L/2.</t>
  </si>
  <si>
    <t>Simply Supported — full UDL</t>
  </si>
  <si>
    <t>wL² / 8</t>
  </si>
  <si>
    <t>Simply Supported — two end couples</t>
  </si>
  <si>
    <t>Opposite applied end couples; constant M = M0.</t>
  </si>
  <si>
    <t>Simply Supported — left end couple</t>
  </si>
  <si>
    <t>x = 0</t>
  </si>
  <si>
    <t>M = M0 at left end, for source direction.</t>
  </si>
  <si>
    <t>Simply Supported — centre couple</t>
  </si>
  <si>
    <t>|M0| / 2</t>
  </si>
  <si>
    <t>Either side of L/2</t>
  </si>
  <si>
    <t>Moments +M0/2 and −M0/2 across the couple.</t>
  </si>
  <si>
    <t>Fixed-Fixed — centre force</t>
  </si>
  <si>
    <t>FL / 8</t>
  </si>
  <si>
    <t>Ends and centre</t>
  </si>
  <si>
    <t>Ends: −FL/8; centre: +FL/8.</t>
  </si>
  <si>
    <t>Fixed-Fixed — full UDL</t>
  </si>
  <si>
    <t>wL² / 12</t>
  </si>
  <si>
    <t>Both fixed ends</t>
  </si>
  <si>
    <t>Ends: −wL²/12; centre: +wL²/24.</t>
  </si>
  <si>
    <t>Member table supports up to four downward point forces plus full-span UDL, acting together.</t>
  </si>
  <si>
    <t>For combined loading, signed moment diagrams are superposed before finding max |M|; individual maxima are not added.</t>
  </si>
  <si>
    <t>Triangular loading and applied couples are reference-only: the member table has no inputs for these loads.</t>
  </si>
  <si>
    <t>Fixed-Fixed assumes a straight, prismatic beam with constant EI, no support settlement and linear elastic response.</t>
  </si>
  <si>
    <t>Beam loading View — select input row</t>
  </si>
  <si>
    <t>Sketch source row</t>
  </si>
  <si>
    <t>a1 (m)</t>
  </si>
  <si>
    <t>a2 (m)</t>
  </si>
  <si>
    <t>a3 (m)</t>
  </si>
  <si>
    <t>a4 (m)</t>
  </si>
  <si>
    <t>UDL (kN/m)</t>
  </si>
  <si>
    <t>Arrow positions follow a / Span exactly. P labels show force and distance from the left end A.</t>
  </si>
  <si>
    <t>UDL covers the full span. Arrow heights are schematic and do not represent force magnitude.</t>
  </si>
  <si>
    <t>Cantilever: A fixed, B free. Simply Supported: A pin, B roller. Fixed-Fixed: both ends fixed.</t>
  </si>
  <si>
    <t>Sketch coordinates — formula-linked geometry (x = distance / Span)</t>
  </si>
  <si>
    <t>Beam</t>
  </si>
  <si>
    <t>Y</t>
  </si>
  <si>
    <t>Label</t>
  </si>
  <si>
    <t>A pin</t>
  </si>
  <si>
    <t>B roller</t>
  </si>
  <si>
    <t>Roller base</t>
  </si>
  <si>
    <t>A fixed</t>
  </si>
  <si>
    <t>B fixed</t>
  </si>
  <si>
    <t>UDL top</t>
  </si>
  <si>
    <t>UDL 0</t>
  </si>
  <si>
    <t>UDL 1</t>
  </si>
  <si>
    <t>UDL 2</t>
  </si>
  <si>
    <t>UDL 3</t>
  </si>
  <si>
    <t>UDL 4</t>
  </si>
  <si>
    <t>UDL 5</t>
  </si>
  <si>
    <t>UDL 6</t>
  </si>
  <si>
    <t>UDL 7</t>
  </si>
  <si>
    <t>UDL 8</t>
  </si>
  <si>
    <t>UDL 9</t>
  </si>
  <si>
    <t>UDL 10</t>
  </si>
  <si>
    <t>Span</t>
  </si>
  <si>
    <t>Left extension</t>
  </si>
  <si>
    <t>Right extension</t>
  </si>
  <si>
    <t>Member</t>
    <phoneticPr fontId="6" type="noConversion"/>
  </si>
  <si>
    <t>Select a Member name beside the chart in Steel Beam Design.</t>
    <phoneticPr fontId="6" type="noConversion"/>
  </si>
  <si>
    <t>m</t>
    <phoneticPr fontId="6" type="noConversion"/>
  </si>
  <si>
    <t>DL =</t>
    <phoneticPr fontId="6" type="noConversion"/>
  </si>
  <si>
    <t>kPa</t>
    <phoneticPr fontId="6" type="noConversion"/>
  </si>
  <si>
    <t>LL =</t>
    <phoneticPr fontId="6" type="noConversion"/>
  </si>
  <si>
    <t>Source: Steel Member Checking.xls — Data sheet. Properties and units retained from source.</t>
  </si>
  <si>
    <t>Family</t>
  </si>
  <si>
    <t>Size</t>
  </si>
  <si>
    <t>Wt kg/m</t>
  </si>
  <si>
    <t>D mm</t>
  </si>
  <si>
    <t>B mm</t>
  </si>
  <si>
    <t>t mm</t>
  </si>
  <si>
    <t>T mm</t>
  </si>
  <si>
    <t>r mm</t>
  </si>
  <si>
    <t>d mm</t>
  </si>
  <si>
    <t>b/T</t>
  </si>
  <si>
    <t>d/t</t>
  </si>
  <si>
    <t>C mm</t>
  </si>
  <si>
    <t>N mm</t>
  </si>
  <si>
    <t>n mm</t>
  </si>
  <si>
    <t>Surface m²/m</t>
  </si>
  <si>
    <t>Surface m²/t</t>
  </si>
  <si>
    <t>Ix cm⁴</t>
  </si>
  <si>
    <t>Iy cm⁴</t>
  </si>
  <si>
    <t>rx cm</t>
  </si>
  <si>
    <t>ry cm</t>
  </si>
  <si>
    <t>Zx cm³</t>
  </si>
  <si>
    <t>Zy cm³</t>
  </si>
  <si>
    <t>Sx cm³</t>
  </si>
  <si>
    <t>Sy cm³</t>
  </si>
  <si>
    <t>u</t>
  </si>
  <si>
    <t>x</t>
  </si>
  <si>
    <t>H dm⁶</t>
  </si>
  <si>
    <t>J cm⁴</t>
  </si>
  <si>
    <t>A cm²</t>
  </si>
  <si>
    <t>Universal Column</t>
  </si>
  <si>
    <t>356x406x634</t>
  </si>
  <si>
    <t>356x406x551</t>
  </si>
  <si>
    <t>356x406x467</t>
  </si>
  <si>
    <t>356x406x393</t>
  </si>
  <si>
    <t>356x406x340</t>
  </si>
  <si>
    <t>356x406x287</t>
  </si>
  <si>
    <t>356x406x235</t>
  </si>
  <si>
    <t>356x368x202</t>
  </si>
  <si>
    <t>356x368x177</t>
  </si>
  <si>
    <t>356x368x153</t>
  </si>
  <si>
    <t>356x369x129</t>
  </si>
  <si>
    <t>305x305x283</t>
  </si>
  <si>
    <t>305x305x240</t>
  </si>
  <si>
    <t>305x305x198</t>
  </si>
  <si>
    <t>305x305x158</t>
  </si>
  <si>
    <t>305x305x137</t>
  </si>
  <si>
    <t>305x305x118</t>
  </si>
  <si>
    <t>305x305x97</t>
  </si>
  <si>
    <t>254x254x167</t>
  </si>
  <si>
    <t>254x254x132</t>
  </si>
  <si>
    <t>254x254x107</t>
  </si>
  <si>
    <t>254x254x89</t>
  </si>
  <si>
    <t>254x254x73</t>
  </si>
  <si>
    <t>203x203x86</t>
  </si>
  <si>
    <t>203x203x71</t>
  </si>
  <si>
    <t>203x203x60</t>
  </si>
  <si>
    <t>203x203x52</t>
  </si>
  <si>
    <t>203x203x46</t>
  </si>
  <si>
    <t>152x152x37</t>
  </si>
  <si>
    <t>152x152x30</t>
  </si>
  <si>
    <t>152x152x23</t>
  </si>
  <si>
    <t>Universal Beam</t>
  </si>
  <si>
    <t>914x419x388</t>
  </si>
  <si>
    <t>914x419x343</t>
  </si>
  <si>
    <t>914x305x289</t>
  </si>
  <si>
    <t>914x305x253</t>
  </si>
  <si>
    <t>914x305x224</t>
  </si>
  <si>
    <t>914x305x201</t>
  </si>
  <si>
    <t>1.4.7</t>
  </si>
  <si>
    <t>838x292x226</t>
  </si>
  <si>
    <t>838x292x194</t>
  </si>
  <si>
    <t>838x292x176</t>
  </si>
  <si>
    <t>762x267x197</t>
  </si>
  <si>
    <t>762x267x173</t>
  </si>
  <si>
    <t>762x267x147</t>
  </si>
  <si>
    <t>762x267x134</t>
  </si>
  <si>
    <t>686x254x170</t>
  </si>
  <si>
    <t>686x254x152</t>
  </si>
  <si>
    <t>686x254x140</t>
  </si>
  <si>
    <t>686x254x125</t>
  </si>
  <si>
    <t>610x305x238</t>
  </si>
  <si>
    <t>610x305x179</t>
  </si>
  <si>
    <t>610x305x149</t>
  </si>
  <si>
    <t>610x229x140</t>
  </si>
  <si>
    <t>610x229x125</t>
  </si>
  <si>
    <t>610x229x113</t>
  </si>
  <si>
    <t>610x229x101</t>
  </si>
  <si>
    <t>533x210x122</t>
  </si>
  <si>
    <t>533x210x109</t>
  </si>
  <si>
    <t>533x210x101</t>
  </si>
  <si>
    <t>533x210x92</t>
  </si>
  <si>
    <t>533x210x82</t>
  </si>
  <si>
    <t>457x191x98</t>
  </si>
  <si>
    <t>457x191x89</t>
  </si>
  <si>
    <t>457x191x82</t>
  </si>
  <si>
    <t>457x191x74</t>
  </si>
  <si>
    <t>457x191x67</t>
  </si>
  <si>
    <t>457x152x82</t>
  </si>
  <si>
    <t>457x152x74</t>
  </si>
  <si>
    <t>457x152x67</t>
  </si>
  <si>
    <t>457x152x60</t>
  </si>
  <si>
    <t>457x152x52</t>
  </si>
  <si>
    <t>406x178x74</t>
  </si>
  <si>
    <t>406x178x67</t>
  </si>
  <si>
    <t>406x178x60</t>
  </si>
  <si>
    <t>406x178x54</t>
  </si>
  <si>
    <t>406x140x46</t>
  </si>
  <si>
    <t>406x140x36</t>
  </si>
  <si>
    <t>356x171x67</t>
  </si>
  <si>
    <t>356x171x57</t>
  </si>
  <si>
    <t>356x171x51</t>
  </si>
  <si>
    <t>356x171x45</t>
  </si>
  <si>
    <t>356x127x39</t>
  </si>
  <si>
    <t>356x127x33</t>
  </si>
  <si>
    <t>305x165x54</t>
  </si>
  <si>
    <t>305x165x46</t>
  </si>
  <si>
    <t>305x165x40</t>
  </si>
  <si>
    <t>305x127x48</t>
  </si>
  <si>
    <t>305x127x42</t>
  </si>
  <si>
    <t>305x127x37</t>
  </si>
  <si>
    <t>305x102x33</t>
  </si>
  <si>
    <t>305x102x28</t>
  </si>
  <si>
    <t>305x102x25</t>
  </si>
  <si>
    <t>254x146x43</t>
  </si>
  <si>
    <t>254x146x37</t>
  </si>
  <si>
    <t>254x146x31</t>
  </si>
  <si>
    <t>254x102x28</t>
  </si>
  <si>
    <t>254x102x25</t>
  </si>
  <si>
    <t>254x102x22</t>
  </si>
  <si>
    <t>203x133x30</t>
  </si>
  <si>
    <t>203x133x25</t>
  </si>
  <si>
    <t>203x102x23</t>
  </si>
  <si>
    <t>178x102x19</t>
  </si>
  <si>
    <t>152x89x16</t>
  </si>
  <si>
    <t>127x76x13</t>
  </si>
  <si>
    <t>UC Member Size</t>
  </si>
  <si>
    <t>UB Member Size</t>
  </si>
  <si>
    <t>UC — Sectional properties</t>
  </si>
  <si>
    <t>Wt =</t>
  </si>
  <si>
    <t>kg/m</t>
  </si>
  <si>
    <t>C =</t>
  </si>
  <si>
    <t>mm</t>
  </si>
  <si>
    <t>Sx =</t>
  </si>
  <si>
    <t>cm³</t>
  </si>
  <si>
    <t>D =</t>
  </si>
  <si>
    <t>N =</t>
  </si>
  <si>
    <t>Sy =</t>
  </si>
  <si>
    <t>B =</t>
  </si>
  <si>
    <t>n =</t>
  </si>
  <si>
    <t>u =</t>
  </si>
  <si>
    <t>t =</t>
  </si>
  <si>
    <t>Ix =</t>
  </si>
  <si>
    <t>x =</t>
  </si>
  <si>
    <t>T =</t>
  </si>
  <si>
    <t>Iy =</t>
  </si>
  <si>
    <t>H =</t>
  </si>
  <si>
    <t>dm⁶</t>
  </si>
  <si>
    <t>r =</t>
  </si>
  <si>
    <t>rx =</t>
  </si>
  <si>
    <t>cm</t>
  </si>
  <si>
    <t>J =</t>
  </si>
  <si>
    <t>d =</t>
  </si>
  <si>
    <t>ry =</t>
  </si>
  <si>
    <t>A =</t>
  </si>
  <si>
    <t>cm²</t>
  </si>
  <si>
    <t>b/T =</t>
  </si>
  <si>
    <t>Zx =</t>
  </si>
  <si>
    <t>Svx =</t>
  </si>
  <si>
    <t>d/t =</t>
  </si>
  <si>
    <t>Zy =</t>
  </si>
  <si>
    <t>Svy =</t>
  </si>
  <si>
    <t>Hp/A =</t>
  </si>
  <si>
    <t>m⁻¹</t>
  </si>
  <si>
    <t>UB — Sectional properties</t>
  </si>
  <si>
    <t>Thickness ≤ mm</t>
  </si>
  <si>
    <t>S235</t>
  </si>
  <si>
    <t>S275</t>
  </si>
  <si>
    <t>S355</t>
  </si>
  <si>
    <t>S460</t>
  </si>
  <si>
    <t>UC source capacity</t>
  </si>
  <si>
    <t>UC</t>
  </si>
  <si>
    <t>UB</t>
  </si>
  <si>
    <t>Steel grade</t>
  </si>
  <si>
    <t>Max thickness mm</t>
  </si>
  <si>
    <t>py N/mm²</t>
  </si>
  <si>
    <t>epsilon</t>
  </si>
  <si>
    <t>Flange threshold</t>
  </si>
  <si>
    <t>Web threshold</t>
  </si>
  <si>
    <t>Av mm²</t>
  </si>
  <si>
    <t>Vc kN</t>
  </si>
  <si>
    <t>V kN</t>
  </si>
  <si>
    <t>rho</t>
  </si>
  <si>
    <t>Svx cm³</t>
  </si>
  <si>
    <t>Svy cm³</t>
  </si>
  <si>
    <t>Mcx kNm</t>
  </si>
  <si>
    <t>Mcy kNm</t>
  </si>
  <si>
    <t>Source: Steel Member Checking.xls — UC!P10,P33:P35,P42:P47,P51,P53.</t>
  </si>
  <si>
    <t>Outside shear capacity / slender-section range: no moment capacity reported.</t>
  </si>
  <si>
    <t>Steel Grade</t>
  </si>
  <si>
    <t>UC — Mcy</t>
  </si>
  <si>
    <t>UB — Mcy</t>
  </si>
  <si>
    <t>Blank capacity: check grade/thickness, shear capacity or slender-section applicability.</t>
  </si>
  <si>
    <t>UC options</t>
  </si>
  <si>
    <t>UB options</t>
  </si>
  <si>
    <t/>
  </si>
  <si>
    <t>Deflection Equations — merged support data</t>
  </si>
  <si>
    <t>Moment Calculation — merged support data</t>
  </si>
  <si>
    <t>Max Moment Reference — merged support data</t>
  </si>
  <si>
    <t>P5 (kN)</t>
  </si>
  <si>
    <t>a5 from left (m)</t>
  </si>
  <si>
    <t>Five-point + UDL beam: signed moment integration and stationary-point search, constant EI.</t>
  </si>
  <si>
    <t>Q=EIδ in kN·m³. Partition at point loads and M=0; slope roots solved by 45 bisection steps.</t>
  </si>
  <si>
    <t>ML</t>
  </si>
  <si>
    <t>Qmax</t>
  </si>
  <si>
    <t>Valid inputs</t>
  </si>
  <si>
    <t>MR</t>
  </si>
  <si>
    <t>P1–P5 act downwards; a1–a5 are measured from the LEFT end. Blank load cells = 0.</t>
    <phoneticPr fontId="6" type="noConversion"/>
  </si>
  <si>
    <t>Five Equal Point Loads — Short-form Required I</t>
  </si>
  <si>
    <t>P = TOTAL of five equal point loads; each load = P/5. P: kN; L: m; E: N/mm²; Ireq: cm⁴.</t>
  </si>
  <si>
    <t>Simply Supported / Fixed-Fixed: loads at L/6, 2L/6, 3L/6, 4L/6, 5L/6.</t>
  </si>
  <si>
    <t>Cantilever: loads at L/5, 2L/5, 3L/5, 4L/5, L from the FIXED end (includes the free end).</t>
  </si>
  <si>
    <t>E (linked to Design Assumption)</t>
  </si>
  <si>
    <t>Support condition</t>
  </si>
  <si>
    <t>α in δmax = αPL³/(EI)</t>
  </si>
  <si>
    <t>L/180</t>
  </si>
  <si>
    <t>L/200</t>
  </si>
  <si>
    <t>L/360</t>
  </si>
  <si>
    <t>L/500</t>
  </si>
  <si>
    <t>Max. deflection at</t>
  </si>
  <si>
    <t>Midspan</t>
  </si>
  <si>
    <t>Fixed-Fixed</t>
  </si>
  <si>
    <t>Cantilever</t>
  </si>
  <si>
    <t>Free end</t>
  </si>
  <si>
    <t>Exact calculation: Ireq = α × n × 10⁵ / E × P × L², for a deflection limit L/n. Display coefficients are rounded.</t>
  </si>
  <si>
    <t>At E = 205,000 and L/360: Simply Supported 2.682926829 PL²; Fixed-Fixed 0.548780488 PL²; Cantilever 28.097560976 PL².</t>
  </si>
  <si>
    <t>Derivation: add the five deflections at the same point, then impose δmax ≤ L/n.</t>
  </si>
  <si>
    <t>Simply Supported α = 11/720; Fixed-Fixed α = 11/720 − 7/576 = 1/320; Cantilever α = 4/25.</t>
  </si>
  <si>
    <t>Applies only to the stated equal loads and positions; no UDL and no composite factor of 2.8.</t>
  </si>
  <si>
    <t>Reference: user-provided deflection equations and simplified tables; five-load coefficients derived by superposition.</t>
  </si>
  <si>
    <t>Dynamic short form: exact five-equal-load coefficient when geometry matches; otherwise exact current-load coefficient.</t>
  </si>
  <si>
    <t>I minimum =</t>
    <phoneticPr fontId="6" type="noConversion"/>
  </si>
  <si>
    <t>cm⁴</t>
    <phoneticPr fontId="6" type="noConversion"/>
  </si>
  <si>
    <t>S355</t>
    <phoneticPr fontId="6" type="noConversion"/>
  </si>
  <si>
    <t>M require = M / 1.6</t>
    <phoneticPr fontId="6" type="noConversion"/>
  </si>
  <si>
    <t>Ireq = I minimum / 2.8</t>
    <phoneticPr fontId="6" type="noConversion"/>
  </si>
  <si>
    <t>UC — M provide (Mcx)</t>
    <phoneticPr fontId="6" type="noConversion"/>
  </si>
  <si>
    <t>UB — M provide (Mcx)</t>
    <phoneticPr fontId="6" type="noConversion"/>
  </si>
  <si>
    <t>UC — I provide = Ixx</t>
    <phoneticPr fontId="6" type="noConversion"/>
  </si>
  <si>
    <t>UB — I provide = Ixx</t>
    <phoneticPr fontId="6" type="noConversion"/>
  </si>
  <si>
    <t>Provide / Require check</t>
  </si>
  <si>
    <t>m</t>
  </si>
  <si>
    <t>Y =</t>
  </si>
  <si>
    <t>°</t>
  </si>
  <si>
    <t>Angle</t>
    <phoneticPr fontId="6" type="noConversion"/>
  </si>
  <si>
    <t>Number of SB1</t>
  </si>
  <si>
    <t>SB1</t>
    <phoneticPr fontId="6" type="noConversion"/>
  </si>
  <si>
    <t>SB2</t>
  </si>
  <si>
    <t>SB1 Design Assumption</t>
    <phoneticPr fontId="6" type="noConversion"/>
  </si>
  <si>
    <t>SB1 — Moment design</t>
    <phoneticPr fontId="6" type="noConversion"/>
  </si>
  <si>
    <t>SB1 Moment = table moment</t>
    <phoneticPr fontId="6" type="noConversion"/>
  </si>
  <si>
    <t>SB1 — Deflection / Required I</t>
    <phoneticPr fontId="6" type="noConversion"/>
  </si>
  <si>
    <t>SB2 — Moment design</t>
    <phoneticPr fontId="6" type="noConversion"/>
  </si>
  <si>
    <t>SB2 Moment = table moment</t>
    <phoneticPr fontId="6" type="noConversion"/>
  </si>
  <si>
    <t>SB2 — Deflection / Required I</t>
    <phoneticPr fontId="6" type="noConversion"/>
  </si>
  <si>
    <t>SB1 Moment utilisation</t>
    <phoneticPr fontId="6" type="noConversion"/>
  </si>
  <si>
    <t>SB1 I utilisation</t>
    <phoneticPr fontId="6" type="noConversion"/>
  </si>
  <si>
    <t>SB2 Moment utilisation</t>
  </si>
  <si>
    <t>SB2 I utilisation</t>
  </si>
  <si>
    <t>SB1 — M provide (UC / UB)</t>
    <phoneticPr fontId="6" type="noConversion"/>
  </si>
  <si>
    <t>SB2 — M provide (UC / UB)</t>
    <phoneticPr fontId="6" type="noConversion"/>
  </si>
  <si>
    <t>Item / Formula</t>
  </si>
  <si>
    <t>Moment, M = member table moment (kNm)</t>
  </si>
  <si>
    <t>M require = M / 1.6 (kNm)</t>
  </si>
  <si>
    <t>M provide — S355</t>
  </si>
  <si>
    <t>UC M provide (Mcx), kNm</t>
  </si>
  <si>
    <t>UB M provide (Mcx), kNm</t>
  </si>
  <si>
    <t>M provide = py × effective section modulus / 1000</t>
  </si>
  <si>
    <t>Effective modulus includes section classification and shear reduction.</t>
  </si>
  <si>
    <t>Deflection / Required I</t>
  </si>
  <si>
    <t>Moment and I checks use the selected UC / UB sections for each member.</t>
  </si>
  <si>
    <t>SB1</t>
  </si>
  <si>
    <r>
      <t xml:space="preserve">Moment check: Provide </t>
    </r>
    <r>
      <rPr>
        <sz val="11"/>
        <rFont val="Carlito"/>
      </rPr>
      <t>≥</t>
    </r>
    <r>
      <rPr>
        <sz val="11"/>
        <rFont val="Arial"/>
        <family val="2"/>
      </rPr>
      <t xml:space="preserve"> Require </t>
    </r>
    <r>
      <rPr>
        <sz val="11"/>
        <rFont val="Carlito"/>
      </rPr>
      <t>→</t>
    </r>
    <r>
      <rPr>
        <sz val="11"/>
        <rFont val="Arial"/>
        <family val="2"/>
      </rPr>
      <t xml:space="preserve"> OK</t>
    </r>
  </si>
  <si>
    <r>
      <t>I minimum (cm</t>
    </r>
    <r>
      <rPr>
        <sz val="11"/>
        <rFont val="Carlito"/>
      </rPr>
      <t>⁴</t>
    </r>
    <r>
      <rPr>
        <sz val="11"/>
        <rFont val="Arial"/>
        <family val="2"/>
      </rPr>
      <t>)</t>
    </r>
  </si>
  <si>
    <r>
      <t>I require = I minimum / 2.8 (cm</t>
    </r>
    <r>
      <rPr>
        <sz val="11"/>
        <rFont val="Carlito"/>
      </rPr>
      <t>⁴</t>
    </r>
    <r>
      <rPr>
        <sz val="11"/>
        <rFont val="Arial"/>
        <family val="2"/>
      </rPr>
      <t>)</t>
    </r>
  </si>
  <si>
    <r>
      <t>UC I provide = Ixx (cm</t>
    </r>
    <r>
      <rPr>
        <sz val="11"/>
        <rFont val="Carlito"/>
      </rPr>
      <t>⁴</t>
    </r>
    <r>
      <rPr>
        <sz val="11"/>
        <rFont val="Arial"/>
        <family val="2"/>
      </rPr>
      <t>)</t>
    </r>
  </si>
  <si>
    <r>
      <t>UB I provide = Ixx (cm</t>
    </r>
    <r>
      <rPr>
        <sz val="11"/>
        <rFont val="Carlito"/>
      </rPr>
      <t>⁴</t>
    </r>
    <r>
      <rPr>
        <sz val="11"/>
        <rFont val="Arial"/>
        <family val="2"/>
      </rPr>
      <t>)</t>
    </r>
  </si>
  <si>
    <r>
      <t xml:space="preserve">I check: Provide </t>
    </r>
    <r>
      <rPr>
        <sz val="11"/>
        <rFont val="Carlito"/>
      </rPr>
      <t>≥</t>
    </r>
    <r>
      <rPr>
        <sz val="11"/>
        <rFont val="Arial"/>
        <family val="2"/>
      </rPr>
      <t xml:space="preserve"> Require </t>
    </r>
    <r>
      <rPr>
        <sz val="11"/>
        <rFont val="Carlito"/>
      </rPr>
      <t>→</t>
    </r>
    <r>
      <rPr>
        <sz val="11"/>
        <rFont val="Arial"/>
        <family val="2"/>
      </rPr>
      <t xml:space="preserve"> OK</t>
    </r>
  </si>
  <si>
    <t>Framing Plan</t>
    <phoneticPr fontId="6" type="noConversion"/>
  </si>
  <si>
    <t>SB2 live point load: SB1 w_live L / 2 (kN)</t>
  </si>
  <si>
    <t>Equal point load deflection coefficient, n=0..5</t>
  </si>
  <si>
    <t>LL (kN)
each point</t>
  </si>
  <si>
    <t>X1 =</t>
    <phoneticPr fontId="6" type="noConversion"/>
  </si>
  <si>
    <t>X2 =</t>
  </si>
  <si>
    <t>CSB3</t>
  </si>
  <si>
    <t>Number of SB1 at Cantilever Portion</t>
  </si>
  <si>
    <t>Simply Supported Portion: load width = S</t>
    <phoneticPr fontId="6" type="noConversion"/>
  </si>
  <si>
    <t>Cantilever Portion: load width = SC</t>
  </si>
  <si>
    <t>Simply Supported SB1 w = (1.4DL + 1.6LL) × S</t>
    <phoneticPr fontId="6" type="noConversion"/>
  </si>
  <si>
    <t>Table Type = beam design support: SB1/SB2 simply supported; CSB3 cantilever. Top Type controls framing layout.</t>
    <phoneticPr fontId="6" type="noConversion"/>
  </si>
  <si>
    <t>UDL LL (kN/m)</t>
    <phoneticPr fontId="6" type="noConversion"/>
  </si>
  <si>
    <t>CSB3 Moment utilisation</t>
  </si>
  <si>
    <t>CSB3 I utilisation</t>
  </si>
  <si>
    <t>Live load used: w (kN/m) / P per point (kN)</t>
    <phoneticPr fontId="6" type="noConversion"/>
  </si>
  <si>
    <t>Main geometry and type valid</t>
  </si>
  <si>
    <t>DL and LL valid</t>
  </si>
  <si>
    <t>Cantilever geometry valid</t>
  </si>
  <si>
    <t>Main factored model valid</t>
  </si>
  <si>
    <t>SB1 envelope model valid</t>
  </si>
  <si>
    <t>SB1 live model valid</t>
  </si>
  <si>
    <t>CSB3 factored model valid</t>
  </si>
  <si>
    <t>Cantilever internal SB1 factored UDL</t>
  </si>
  <si>
    <t>Cantilever internal SB1 live UDL</t>
  </si>
  <si>
    <t>py: N/mm²; S, Z, Sv: cm³; Mc: kNm. High shear: rho = (2V/Vc - 1)^2; full precision.</t>
    <phoneticPr fontId="6" type="noConversion"/>
  </si>
  <si>
    <t>P_live = each SB2 live point load (kN); L = SB2 span (m); Imin: cm⁴.</t>
    <phoneticPr fontId="6" type="noConversion"/>
  </si>
  <si>
    <t>I minimum uses live load only. Full-precision coefficients are used; displayed coefficients are rounded.</t>
    <phoneticPr fontId="6" type="noConversion"/>
  </si>
  <si>
    <t>Main I calculations apply to SB1 UDL, equal equally spaced SB2 points, and the stated CSB3 loading only.</t>
    <phoneticPr fontId="6" type="noConversion"/>
  </si>
  <si>
    <t>90°: boundary width = (S + SC)/2; cantilever internal SB1 width = SC. SB1 includes both in its load envelope.</t>
    <phoneticPr fontId="6" type="noConversion"/>
  </si>
  <si>
    <t>Design assumptions retained: M require = M/1.6; I require = I minimum/2.8. SB1 uses one design span.</t>
    <phoneticPr fontId="6" type="noConversion"/>
  </si>
  <si>
    <t>Section checks only: lateral restraint, connections and composite action require separate verification. Design angles: 0° or 90°.</t>
    <phoneticPr fontId="6" type="noConversion"/>
  </si>
  <si>
    <t>Corrections: D44, R46, V46 from KYH UB table; R30 from KYH H-column table (checked 2026-09-11).</t>
  </si>
  <si>
    <t>Sources: https://kyh.com.hk/en/products01a.php ; https://www.kyh.com.hk/en/products01c.php</t>
  </si>
  <si>
    <t>P end (kN)</t>
    <phoneticPr fontId="6" type="noConversion"/>
  </si>
  <si>
    <t>LL end (kN)</t>
    <phoneticPr fontId="6" type="noConversion"/>
  </si>
  <si>
    <t>CSB3 end beam is additional to the internal count. End loads R28/S28 act at X2; M includes P_end × X2.</t>
    <phoneticPr fontId="6" type="noConversion"/>
  </si>
  <si>
    <t>CSB3 live deflection includes the end load: δend = P_end,live L³/(3EI). Other live-load contributions are added.</t>
    <phoneticPr fontId="6" type="noConversion"/>
  </si>
  <si>
    <t>CSB3 end beam is fixed in the layout, excluded from H6 count. No separate self-weight entered.</t>
  </si>
  <si>
    <t>End-load deflection contribution to Imin, cm4</t>
  </si>
  <si>
    <t>SB2 critical loading multiplier</t>
  </si>
  <si>
    <t>SB1 uses the largest portion UDL and one table span. SB2 uses main-portion reactions with its critical loading factor.</t>
    <phoneticPr fontId="6" type="noConversion"/>
  </si>
  <si>
    <t>End beam: with no cantilever SB1, no transferred point loads; CSB3 uses UDL width Y/2. Otherwise: 90簞 uses SC/2 ? Y/2; 0簞 shares internal SB1 end reactions.</t>
    <phoneticPr fontId="6" type="noConversion"/>
  </si>
  <si>
    <t>SB2 point load = main SB1 reaction ? k. k = 2 only for Cantilever framing, angle 0簞, and cantilever-portion SB1 count &gt;= 1; otherwise k = 1. Live load uses the same k.</t>
    <phoneticPr fontId="6" type="noConversion"/>
  </si>
  <si>
    <t>Candidate selection: existing section-capacity method; minimum kg/m within preferred family.</t>
  </si>
  <si>
    <t>Ix cm4</t>
  </si>
  <si>
    <t>M require</t>
  </si>
  <si>
    <t>I require</t>
  </si>
  <si>
    <t>Grade</t>
  </si>
  <si>
    <t>Thickness</t>
  </si>
  <si>
    <t>py</t>
  </si>
  <si>
    <t>Av</t>
  </si>
  <si>
    <t>Vc</t>
  </si>
  <si>
    <t>V</t>
  </si>
  <si>
    <t>Zx</t>
  </si>
  <si>
    <t>Zy</t>
  </si>
  <si>
    <t>Sx</t>
  </si>
  <si>
    <t>Sy</t>
  </si>
  <si>
    <t>Svx</t>
  </si>
  <si>
    <t>Svy</t>
  </si>
  <si>
    <t>Mcx</t>
  </si>
  <si>
    <t>Mcy</t>
  </si>
  <si>
    <t>M utilisation</t>
  </si>
  <si>
    <t>I utilisation</t>
  </si>
  <si>
    <t>Eligible</t>
  </si>
  <si>
    <t>Moment</t>
  </si>
  <si>
    <t>Manual UC / UB comparison (automatic selections below)</t>
    <phoneticPr fontId="6" type="noConversion"/>
  </si>
  <si>
    <t>Automatic member selections | M utilisation and I utilisation &lt;= 95%</t>
  </si>
  <si>
    <t>Selected section</t>
  </si>
  <si>
    <t>M require (kNm)</t>
  </si>
  <si>
    <t>M capacity (kNm)</t>
  </si>
  <si>
    <t>I require (cm4)</t>
  </si>
  <si>
    <t>I provided (cm4)</t>
  </si>
  <si>
    <t>Status</t>
  </si>
  <si>
    <t>SB1: UC first; UB fallback. SB2 / CSB3: UC only. Lightest passing section in the permitted family.</t>
  </si>
  <si>
    <t>OK</t>
    <phoneticPr fontId="6" type="noConversion"/>
  </si>
  <si>
    <t>Not active</t>
    <phoneticPr fontId="6" type="noConversion"/>
  </si>
  <si>
    <t>203x203x52</t>
    <phoneticPr fontId="6" type="noConversion"/>
  </si>
  <si>
    <t>254x102x25</t>
    <phoneticPr fontId="6" type="noConversion"/>
  </si>
  <si>
    <t>Simply Supported|10||2.5|90|1|0|7|5|360|360|180|205000|S355</t>
    <phoneticPr fontId="6" type="noConversion"/>
  </si>
  <si>
    <t>Beam Loading View - select member</t>
    <phoneticPr fontId="6" type="noConversion"/>
  </si>
  <si>
    <t>Stories</t>
  </si>
  <si>
    <t>Column Design</t>
  </si>
  <si>
    <t>Column design inputs and calculations to follow.</t>
  </si>
  <si>
    <t>Dead load factor</t>
  </si>
  <si>
    <t>Imposed load factor</t>
  </si>
  <si>
    <t>Column load accumulation</t>
  </si>
  <si>
    <t>Floor</t>
  </si>
  <si>
    <t>Usage</t>
  </si>
  <si>
    <t>D.L. (kPa)</t>
  </si>
  <si>
    <t>L.L. (kPa)</t>
  </si>
  <si>
    <t>Tributary Area (m²)</t>
  </si>
  <si>
    <t>No. of Floors</t>
  </si>
  <si>
    <t>Factored Load (kN)</t>
  </si>
  <si>
    <t>LL group key (auto)</t>
  </si>
  <si>
    <t>Check</t>
  </si>
  <si>
    <t>6/F</t>
  </si>
  <si>
    <t>E&amp;M</t>
  </si>
  <si>
    <t>5/F</t>
  </si>
  <si>
    <t>Office</t>
  </si>
  <si>
    <t>Shop</t>
  </si>
  <si>
    <t>G/F</t>
  </si>
  <si>
    <t>B1/F–B2/F</t>
  </si>
  <si>
    <t>Car Park</t>
  </si>
  <si>
    <t>Σ</t>
  </si>
  <si>
    <t>Imposed load by use — HK Code of Practice 2011 (2021 Edition)</t>
    <phoneticPr fontId="6" type="noConversion"/>
  </si>
  <si>
    <t>Same qk values are combined. Use the LL group key in the column-loading sheet to link the imposed load.</t>
    <phoneticPr fontId="6" type="noConversion"/>
  </si>
  <si>
    <t>Official source: https://www.bd.gov.hk/doc/en/resources/codes-and-references/code-and-design-manuals/DIL2011e.pdf</t>
    <phoneticPr fontId="6" type="noConversion"/>
  </si>
  <si>
    <t>qk = uniformly distributed imposed load. Qk and special actions remain use-specific and are shown in the notes.</t>
    <phoneticPr fontId="6" type="noConversion"/>
  </si>
  <si>
    <t>LL group key</t>
    <phoneticPr fontId="6" type="noConversion"/>
  </si>
  <si>
    <t>Combined usage (same qk)</t>
    <phoneticPr fontId="6" type="noConversion"/>
  </si>
  <si>
    <t>qk (kPa)</t>
    <phoneticPr fontId="6" type="noConversion"/>
  </si>
  <si>
    <t>Qk (kN) / use details</t>
    <phoneticPr fontId="6" type="noConversion"/>
  </si>
  <si>
    <t>Special rule / scope</t>
    <phoneticPr fontId="6" type="noConversion"/>
  </si>
  <si>
    <t>HK Code clause</t>
    <phoneticPr fontId="6" type="noConversion"/>
  </si>
  <si>
    <t>Official source URL</t>
    <phoneticPr fontId="6" type="noConversion"/>
  </si>
  <si>
    <t>LL-2.0</t>
    <phoneticPr fontId="6" type="noConversion"/>
  </si>
  <si>
    <t>Residential / dormitory / hotel guest room; Inaccessible maintenance roof; Accessible roof / roof serving a specified use</t>
    <phoneticPr fontId="6" type="noConversion"/>
  </si>
  <si>
    <t>Residential / dormitory / hotel guest room: 2 kN; Inaccessible maintenance roof: 1.5 kN; Accessible roof / roof serving a specified use: 1.5 kN</t>
    <phoneticPr fontId="6" type="noConversion"/>
  </si>
  <si>
    <t>Residential rooms use 2.0 kPa. Roof values remain subject to roof slope/access provisions.</t>
    <phoneticPr fontId="6" type="noConversion"/>
  </si>
  <si>
    <t>Table 3.2, Class 1; Section 3.7, roof provisions</t>
    <phoneticPr fontId="6" type="noConversion"/>
  </si>
  <si>
    <t>https://www.bd.gov.hk/doc/en/resources/codes-and-references/code-and-design-manuals/DIL2011e.pdf</t>
    <phoneticPr fontId="6" type="noConversion"/>
  </si>
  <si>
    <t>LL-2.5</t>
    <phoneticPr fontId="6" type="noConversion"/>
  </si>
  <si>
    <t>Medical consulting / X-ray room</t>
    <phoneticPr fontId="6" type="noConversion"/>
  </si>
  <si>
    <t>Medical consulting / X-ray room: 3 kN</t>
    <phoneticPr fontId="6" type="noConversion"/>
  </si>
  <si>
    <t>Medical consulting/X-ray rooms.</t>
    <phoneticPr fontId="6" type="noConversion"/>
  </si>
  <si>
    <t>Table 3.2, Class 2</t>
    <phoneticPr fontId="6" type="noConversion"/>
  </si>
  <si>
    <t>LL-3.0</t>
    <phoneticPr fontId="6" type="noConversion"/>
  </si>
  <si>
    <t>Office; Classroom / lecture / tutorial room; Laboratory / light workroom; Private car park (vehicles ≤3,000 kg); Balcony / terrace / access platform; Lightweight electrical / electronic installation</t>
    <phoneticPr fontId="6" type="noConversion"/>
  </si>
  <si>
    <t>Office: 4.5 kN; Classroom / lecture / tutorial room: 4.5 kN; Laboratory / light workroom: 4.5 kN; Private car park (vehicles ≤3,000 kg): 20 kN; Balcony / terrace / access platform: —; Lightweight electrical / electronic installation: 4.5 kN</t>
    <phoneticPr fontId="6" type="noConversion"/>
  </si>
  <si>
    <t>Car-park Qk differs from office/lab values; balconies also have a separate 2.0 kN/m edge line load.</t>
    <phoneticPr fontId="6" type="noConversion"/>
  </si>
  <si>
    <t>Table 3.2, Class 2; Table 3.2, Class 3A; Table 3.5, Class 6A; Section 3.8, stairs/balconies/platforms</t>
    <phoneticPr fontId="6" type="noConversion"/>
  </si>
  <si>
    <t>LL-4.0</t>
    <phoneticPr fontId="6" type="noConversion"/>
  </si>
  <si>
    <t>Cafe / restaurant / F&amp;B</t>
    <phoneticPr fontId="6" type="noConversion"/>
  </si>
  <si>
    <t>Cafe / restaurant / F&amp;B: 4.5 kN</t>
    <phoneticPr fontId="6" type="noConversion"/>
  </si>
  <si>
    <t>Non-domestic kitchens and restaurants use the relevant Class 3A entry.</t>
    <phoneticPr fontId="6" type="noConversion"/>
  </si>
  <si>
    <t>Table 3.2, Class 3A</t>
    <phoneticPr fontId="6" type="noConversion"/>
  </si>
  <si>
    <t>LL-5.0</t>
    <phoneticPr fontId="6" type="noConversion"/>
  </si>
  <si>
    <t>Office storage / filing; Shop / retail / market; Public hall / assembly / exhibition; Gymnasium / ball court / sports hall; Art gallery / museum / exhibition; Refuge floor / assembly area; Library room; Public landscape roof / roof garden; Light workshop / light industrial</t>
    <phoneticPr fontId="6" type="noConversion"/>
  </si>
  <si>
    <t>Office storage / filing: 4.5 kN; Shop / retail / market: 4.5 kN; Public hall / assembly / exhibition: 4.5 kN; Gymnasium / ball court / sports hall: 4.5 kN; Art gallery / museum / exhibition: 4.5 kN; Refuge floor / assembly area: 4.5 kN; Library room: 4.5 kN; Public landscape roof / roof garden: 4.5 kN; Light workshop / light industrial: 9 kN</t>
    <phoneticPr fontId="6" type="noConversion"/>
  </si>
  <si>
    <t>Public, retail, sports, exhibition and storage-type uses may require separate crowd/storage checks.</t>
    <phoneticPr fontId="6" type="noConversion"/>
  </si>
  <si>
    <t>Table 3.2, Class 5; Table 3.2, Class 4; Table 3.2, Classes 3B–3C; Table 3.2, Class 3D; Table 3.2, Class 3C; Section 3.7 and Table 3.2</t>
    <phoneticPr fontId="6" type="noConversion"/>
  </si>
  <si>
    <t>LL-7.5</t>
    <phoneticPr fontId="6" type="noConversion"/>
  </si>
  <si>
    <t>Stage / TV studio; E&amp;M / plant / boiler / fan / motor room; Medium workshop / factory</t>
    <phoneticPr fontId="6" type="noConversion"/>
  </si>
  <si>
    <t>Stage / TV studio: 9 kN; E&amp;M / plant / boiler / fan / motor room: 9 kN; Medium workshop / factory: 9 kN</t>
    <phoneticPr fontId="6" type="noConversion"/>
  </si>
  <si>
    <t>Plant, stage and medium-workshop equipment reactions may govern in addition to qk.</t>
    <phoneticPr fontId="6" type="noConversion"/>
  </si>
  <si>
    <t>Table 3.2, Class 5</t>
    <phoneticPr fontId="6" type="noConversion"/>
  </si>
  <si>
    <t>LL-SPECIAL</t>
    <phoneticPr fontId="6" type="noConversion"/>
  </si>
  <si>
    <t>Library stack room; General storage / warehouse; Traffic / loading / unloading area; Heavy vehicles (&gt;24,000 kg); Industrial / workshop (intensity to be confirmed); Supercomputing equipment; Aircraft hangar / aircraft wheel-load area; Swimming pool / tank contents; Landscape roof / lawn / soil build-up; Unspecified use — project assessment required</t>
    <phoneticPr fontId="6" type="noConversion"/>
  </si>
  <si>
    <t>Library stack room: —; General storage / warehouse: —; Traffic / loading / unloading area: —; Heavy vehicles (&gt;24,000 kg): 80 kN; Industrial / workshop (intensity to be confirmed): —; Supercomputing equipment: —; Aircraft hangar / aircraft wheel-load area: —; Swimming pool / tank contents: —; Landscape roof / lawn / soil build-up: —; Unspecified use — project assessment required: —</t>
    <phoneticPr fontId="6" type="noConversion"/>
  </si>
  <si>
    <t>No single qk: storage height/goods, vehicle class and loaded length, aircraft wheel loads, equipment reactions, water depth and soil depth must be confirmed.</t>
    <phoneticPr fontId="6" type="noConversion"/>
  </si>
  <si>
    <t>Table 3.2, Class 5; Section 3.6, Tables 3.5–3.6; Table 3.2 plus project-specific equipment; Project-specific; check traffic/vehicle provisions by analogy only; Dead/imposed contents and project-specific liquid actions; Section 3.7 plus dead-load calculation; Section 3.2 / Section 4</t>
    <phoneticPr fontId="6" type="noConversion"/>
  </si>
  <si>
    <t>Shared Usage lookup - A to Z; special uses require project-specific LL.</t>
    <phoneticPr fontId="6" type="noConversion"/>
  </si>
  <si>
    <t>Usage input</t>
    <phoneticPr fontId="6" type="noConversion"/>
  </si>
  <si>
    <t>Accessible roof</t>
    <phoneticPr fontId="6" type="noConversion"/>
  </si>
  <si>
    <t>Aircraft hangar</t>
    <phoneticPr fontId="6" type="noConversion"/>
  </si>
  <si>
    <t>Balcony / terrace</t>
    <phoneticPr fontId="6" type="noConversion"/>
  </si>
  <si>
    <t>Cafe / Restaurant</t>
    <phoneticPr fontId="6" type="noConversion"/>
  </si>
  <si>
    <t>Car Park</t>
    <phoneticPr fontId="6" type="noConversion"/>
  </si>
  <si>
    <t>Cinema</t>
    <phoneticPr fontId="6" type="noConversion"/>
  </si>
  <si>
    <t>Cinema retained from previous TC dropdown; confirm applicable imposed load and enter LL manually.</t>
    <phoneticPr fontId="6" type="noConversion"/>
  </si>
  <si>
    <t>Classroom</t>
    <phoneticPr fontId="6" type="noConversion"/>
  </si>
  <si>
    <t>Data / electrical</t>
    <phoneticPr fontId="6" type="noConversion"/>
  </si>
  <si>
    <t>Dormitory</t>
    <phoneticPr fontId="6" type="noConversion"/>
  </si>
  <si>
    <t>E&amp;M</t>
    <phoneticPr fontId="6" type="noConversion"/>
  </si>
  <si>
    <t>Exhibition / gallery</t>
    <phoneticPr fontId="6" type="noConversion"/>
  </si>
  <si>
    <t>Hall / assembly</t>
    <phoneticPr fontId="6" type="noConversion"/>
  </si>
  <si>
    <t>Heavy vehicles</t>
    <phoneticPr fontId="6" type="noConversion"/>
  </si>
  <si>
    <t>Hotel guest room</t>
    <phoneticPr fontId="6" type="noConversion"/>
  </si>
  <si>
    <t>Industrial</t>
    <phoneticPr fontId="6" type="noConversion"/>
  </si>
  <si>
    <t>Laboratory</t>
    <phoneticPr fontId="6" type="noConversion"/>
  </si>
  <si>
    <t>Landscape / lawn</t>
    <phoneticPr fontId="6" type="noConversion"/>
  </si>
  <si>
    <t>Library</t>
    <phoneticPr fontId="6" type="noConversion"/>
  </si>
  <si>
    <t>Light workshop</t>
    <phoneticPr fontId="6" type="noConversion"/>
  </si>
  <si>
    <t>Medical / X-ray</t>
    <phoneticPr fontId="6" type="noConversion"/>
  </si>
  <si>
    <t>Medium workshop</t>
    <phoneticPr fontId="6" type="noConversion"/>
  </si>
  <si>
    <t>Office</t>
    <phoneticPr fontId="6" type="noConversion"/>
  </si>
  <si>
    <t>Plant room</t>
    <phoneticPr fontId="6" type="noConversion"/>
  </si>
  <si>
    <t>Refuge floor</t>
    <phoneticPr fontId="6" type="noConversion"/>
  </si>
  <si>
    <t>Residential</t>
    <phoneticPr fontId="6" type="noConversion"/>
  </si>
  <si>
    <t>Retail / market</t>
    <phoneticPr fontId="6" type="noConversion"/>
  </si>
  <si>
    <t>Roof</t>
    <phoneticPr fontId="6" type="noConversion"/>
  </si>
  <si>
    <t>Roof garden</t>
    <phoneticPr fontId="6" type="noConversion"/>
  </si>
  <si>
    <t>Shop</t>
    <phoneticPr fontId="6" type="noConversion"/>
  </si>
  <si>
    <t>Sports hall</t>
    <phoneticPr fontId="6" type="noConversion"/>
  </si>
  <si>
    <t>Stage / TV studio</t>
    <phoneticPr fontId="6" type="noConversion"/>
  </si>
  <si>
    <t>Storage / warehouse</t>
    <phoneticPr fontId="6" type="noConversion"/>
  </si>
  <si>
    <t>Supercomputing</t>
    <phoneticPr fontId="6" type="noConversion"/>
  </si>
  <si>
    <t>Swimming pool / tank</t>
    <phoneticPr fontId="6" type="noConversion"/>
  </si>
  <si>
    <t>Traffic / loading</t>
    <phoneticPr fontId="6" type="noConversion"/>
  </si>
  <si>
    <t>Unspecified</t>
    <phoneticPr fontId="6" type="noConversion"/>
  </si>
  <si>
    <t>S.D.L. (kPa)</t>
    <phoneticPr fontId="37" type="noConversion"/>
  </si>
  <si>
    <t>B (m)</t>
    <phoneticPr fontId="37" type="noConversion"/>
  </si>
  <si>
    <t>D (m)</t>
    <phoneticPr fontId="37" type="noConversion"/>
  </si>
  <si>
    <t>1/F–6/F</t>
    <phoneticPr fontId="6" type="noConversion"/>
  </si>
  <si>
    <t>Floor examples: R/F, G/F, 5/F, 1/F-6/F, B1/F-B2/F. No. of Floors and Stories calculate automatically.</t>
  </si>
  <si>
    <t>R/F</t>
    <phoneticPr fontId="6" type="noConversion"/>
  </si>
  <si>
    <t>Wind load factor</t>
  </si>
  <si>
    <t>Tributary Area = B x D. Factored load = Area x Floors x [1.4 x (DL + SDL) + 1.6 x LL] x Wind load factor.</t>
    <phoneticPr fontId="6" type="noConversion"/>
  </si>
  <si>
    <t>Compression capacity</t>
  </si>
  <si>
    <t>Column B (mm)</t>
  </si>
  <si>
    <t>Column D (mm)</t>
  </si>
  <si>
    <t>fcu (N/mm²)</t>
  </si>
  <si>
    <t>py (N/mm²)</t>
  </si>
  <si>
    <t>Steel A (mm²)</t>
  </si>
  <si>
    <t>Concrete Ac (mm²)</t>
  </si>
  <si>
    <t>Pcp (kN)</t>
  </si>
  <si>
    <r>
      <t>Pcp = (A × py + 0.45 × Ac × fcu) / 1000; Ac = B × D − A. Section Data area: cm² × 100 →</t>
    </r>
    <r>
      <rPr>
        <sz val="9"/>
        <rFont val="Carlito"/>
        <family val="2"/>
      </rPr>
      <t xml:space="preserve"> mm².</t>
    </r>
  </si>
  <si>
    <t>UC section</t>
  </si>
  <si>
    <t>Steel Contribution Ratio δis</t>
  </si>
  <si>
    <r>
      <t xml:space="preserve">0.2 </t>
    </r>
    <r>
      <rPr>
        <sz val="10"/>
        <rFont val="Carlito"/>
      </rPr>
      <t>≤</t>
    </r>
    <r>
      <rPr>
        <sz val="10"/>
        <rFont val="Carlito"/>
        <family val="2"/>
      </rPr>
      <t xml:space="preserve"> δis </t>
    </r>
    <r>
      <rPr>
        <sz val="10"/>
        <rFont val="Carlito"/>
      </rPr>
      <t>≤</t>
    </r>
    <r>
      <rPr>
        <sz val="10"/>
        <rFont val="Carlito"/>
        <family val="2"/>
      </rPr>
      <t xml:space="preserve"> 0.9</t>
    </r>
  </si>
  <si>
    <t>Pcp &gt; Sum of loading</t>
  </si>
  <si>
    <t>Column design</t>
  </si>
  <si>
    <t>i) SB1</t>
  </si>
  <si>
    <t>Loading assumption</t>
  </si>
  <si>
    <t>DL =</t>
  </si>
  <si>
    <t>kPa</t>
  </si>
  <si>
    <t>LL =</t>
  </si>
  <si>
    <t>Load width =</t>
  </si>
  <si>
    <t>W = (1.4DL + 1.6LL) × load width</t>
  </si>
  <si>
    <t>Composite slab action:</t>
  </si>
  <si>
    <t>Ireq = Imin / 2.8</t>
  </si>
  <si>
    <t>Mreq = Mmax / 1.6</t>
  </si>
  <si>
    <t>ii) SB2</t>
  </si>
  <si>
    <t>iii) CSB3</t>
  </si>
  <si>
    <t>Imin = n × 10⁵/E × [wlive L³/8 + ΣPlive a²(3L−a)/(6L) + Pend,live L²/3]</t>
  </si>
  <si>
    <t>iv) Composite Column</t>
  </si>
  <si>
    <t>DL (kPa)</t>
  </si>
  <si>
    <t>SDL (kPa)</t>
  </si>
  <si>
    <t>LL (kPa)</t>
  </si>
  <si>
    <t>Area (m²)</t>
  </si>
  <si>
    <t>Floors</t>
  </si>
  <si>
    <t>Load (kN)</t>
  </si>
  <si>
    <t>Table loads exclude wind factor; Load = Area × Floors × [DL factor × (DL + SDL) + LL factor × LL].</t>
  </si>
  <si>
    <t>Design column load = Σ Load × Wind load factor</t>
  </si>
  <si>
    <t>Steel area A =</t>
  </si>
  <si>
    <t>Concrete area Ac = B × D − A</t>
  </si>
  <si>
    <t>Pcp = (A py + 0.45 Ac fcu) / 1000</t>
  </si>
  <si>
    <t>Pcp &gt; Design column load</t>
  </si>
  <si>
    <t>Steel Contribution Ratio δis = A py / (Pcp × 1000)</t>
  </si>
  <si>
    <t>LL override (kPa)</t>
  </si>
  <si>
    <t>V095: all equal-spaced reactions included. n = 1; nc = 0. See copy for the full-count schematic.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</si>
</sst>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.000000"/>
    <numFmt numFmtId="177" formatCode="#,##0.000"/>
    <numFmt numFmtId="178" formatCode="0.###"/>
    <numFmt numFmtId="179" formatCode="0.0%"/>
    <numFmt numFmtId="180" formatCode="0.0"/>
    <numFmt numFmtId="181" formatCode="&quot;-&quot;"/>
    <numFmt numFmtId="182" formatCode="&quot;w = &quot;#,##0.00&quot; kN/m&quot;"/>
    <numFmt numFmtId="183" formatCode="&quot;P = &quot;#,##0.00&quot; kN&quot;"/>
    <numFmt numFmtId="184" formatCode="#,##0.00;\-#,##0.00;&quot;-&quot;;&quot;-&quot;"/>
    <numFmt numFmtId="185" formatCode="#,##0.00;\-#,##0.00;&quot;-&quot;"/>
    <numFmt numFmtId="186" formatCode="#,##0.0"/>
  </numFmts>
  <fonts count="55">
    <font>
      <sz val="11"/>
      <name val="Carlito"/>
    </font>
    <font>
      <sz val="11"/>
      <color rgb="FF202020"/>
      <name val="Arial"/>
      <family val="2"/>
    </font>
    <font>
      <b/>
      <sz val="15"/>
      <color rgb="FF1F4E78"/>
      <name val="Arial"/>
      <family val="2"/>
    </font>
    <font>
      <b/>
      <sz val="11"/>
      <color rgb="FF1F4E78"/>
      <name val="Arial"/>
      <family val="2"/>
    </font>
    <font>
      <sz val="10"/>
      <color rgb="FF555555"/>
      <name val="Arial"/>
      <family val="2"/>
    </font>
    <font>
      <sz val="11"/>
      <name val="Carlito"/>
    </font>
    <font>
      <sz val="9"/>
      <name val="細明體"/>
      <family val="3"/>
      <charset val="136"/>
    </font>
    <font>
      <sz val="11"/>
      <name val="Arial"/>
      <family val="2"/>
    </font>
    <font>
      <b/>
      <sz val="14"/>
      <color rgb="FF1F4E78"/>
      <name val="Arial"/>
      <family val="2"/>
    </font>
    <font>
      <b/>
      <sz val="11"/>
      <color rgb="FFFFFFFF"/>
      <name val="Arial"/>
      <family val="2"/>
    </font>
    <font>
      <sz val="10"/>
      <name val="Arial"/>
      <family val="2"/>
    </font>
    <font>
      <b/>
      <sz val="10"/>
      <color rgb="FF1F4E78"/>
      <name val="Arial"/>
      <family val="2"/>
    </font>
    <font>
      <sz val="11"/>
      <color rgb="FF9C0006"/>
      <name val="Arial"/>
      <family val="2"/>
    </font>
    <font>
      <sz val="10"/>
      <color rgb="FF202020"/>
      <name val="Arial"/>
      <family val="2"/>
    </font>
    <font>
      <b/>
      <sz val="10"/>
      <color rgb="FFFFFFFF"/>
      <name val="Arial"/>
      <family val="2"/>
    </font>
    <font>
      <sz val="11"/>
      <color rgb="FF0000FF"/>
      <name val="Arial"/>
      <family val="2"/>
    </font>
    <font>
      <sz val="11"/>
      <color rgb="FF1F4E78"/>
      <name val="Arial"/>
      <family val="2"/>
    </font>
    <font>
      <b/>
      <sz val="11"/>
      <name val="Arial"/>
      <family val="2"/>
    </font>
    <font>
      <b/>
      <sz val="10"/>
      <color rgb="FF1F2B7B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2"/>
      <color rgb="FF1F4E78"/>
      <name val="Arial"/>
      <family val="2"/>
    </font>
    <font>
      <sz val="9"/>
      <name val="Carlito"/>
    </font>
    <font>
      <b/>
      <sz val="11"/>
      <name val="Carlito"/>
    </font>
    <font>
      <sz val="9"/>
      <color rgb="FFC00000"/>
      <name val="Arial"/>
      <family val="2"/>
    </font>
    <font>
      <sz val="9"/>
      <name val="Arial"/>
      <family val="2"/>
    </font>
    <font>
      <sz val="9"/>
      <color rgb="FF202020"/>
      <name val="Arial"/>
      <family val="2"/>
    </font>
    <font>
      <b/>
      <sz val="10"/>
      <color rgb="FF202020"/>
      <name val="Arial"/>
      <family val="2"/>
    </font>
    <font>
      <b/>
      <sz val="10"/>
      <name val="Carlito"/>
    </font>
    <font>
      <sz val="9"/>
      <name val="Carlito"/>
      <family val="2"/>
    </font>
    <font>
      <b/>
      <sz val="11"/>
      <color rgb="FF000000"/>
      <name val="Arial"/>
      <family val="2"/>
    </font>
    <font>
      <sz val="9"/>
      <color rgb="FF808080"/>
      <name val="Arial"/>
      <family val="2"/>
    </font>
    <font>
      <b/>
      <sz val="16"/>
      <color rgb="FF1F4E78"/>
      <name val="Carlito"/>
    </font>
    <font>
      <sz val="10"/>
      <color rgb="FF808080"/>
      <name val="Carlito"/>
    </font>
    <font>
      <b/>
      <sz val="14"/>
      <color rgb="FF1F1F1F"/>
      <name val="Arial"/>
      <family val="2"/>
    </font>
    <font>
      <sz val="9"/>
      <color rgb="FF5B6573"/>
      <name val="Arial"/>
      <family val="2"/>
    </font>
    <font>
      <sz val="10"/>
      <color rgb="FF1F1F1F"/>
      <name val="Arial"/>
      <family val="2"/>
    </font>
    <font>
      <sz val="9"/>
      <name val="宋体"/>
      <family val="3"/>
      <charset val="134"/>
    </font>
    <font>
      <sz val="10"/>
      <color rgb="FF222222"/>
      <name val="Arial"/>
      <family val="2"/>
    </font>
    <font>
      <sz val="10"/>
      <color rgb="FF5B6573"/>
      <name val="Arial"/>
      <family val="2"/>
    </font>
    <font>
      <b/>
      <sz val="10"/>
      <color rgb="FF1F1F1F"/>
      <name val="Arial"/>
      <family val="2"/>
    </font>
    <font>
      <sz val="10"/>
      <color rgb="FF808080"/>
      <name val="Carlito"/>
      <family val="2"/>
    </font>
    <font>
      <sz val="10"/>
      <name val="Carlito"/>
    </font>
    <font>
      <sz val="10"/>
      <name val="Carlito"/>
      <family val="2"/>
    </font>
    <font>
      <b/>
      <sz val="10"/>
      <color rgb="FF1F4E78"/>
      <name val="Carlito"/>
    </font>
    <font>
      <sz val="10"/>
      <color rgb="FF0000FF"/>
      <name val="Carlito"/>
      <family val="2"/>
    </font>
    <font>
      <b/>
      <sz val="10"/>
      <name val="Carlito"/>
      <family val="2"/>
    </font>
    <font>
      <sz val="12"/>
      <color rgb="FF1F3490"/>
      <name val="Arial"/>
      <family val="2"/>
    </font>
    <font>
      <b/>
      <sz val="12"/>
      <color rgb="FF1F3490"/>
      <name val="Arial"/>
      <family val="2"/>
    </font>
    <font>
      <sz val="11"/>
      <color rgb="FF1F3490"/>
      <name val="Arial"/>
      <family val="2"/>
    </font>
    <font>
      <sz val="10"/>
      <color rgb="FF808080"/>
      <name val="Arial"/>
      <family val="2"/>
    </font>
    <font>
      <sz val="9"/>
      <color rgb="FF1F3490"/>
      <name val="Arial"/>
      <family val="2"/>
    </font>
    <font>
      <sz val="10"/>
      <color rgb="FF1F3490"/>
      <name val="Arial"/>
      <family val="2"/>
    </font>
    <font>
      <b/>
      <sz val="9"/>
      <color rgb="FF1F3490"/>
      <name val="Arial"/>
      <family val="2"/>
    </font>
    <font>
      <sz val="8"/>
      <color rgb="FF1F349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F2F2F2"/>
      </patternFill>
    </fill>
    <fill>
      <patternFill patternType="solid">
        <fgColor rgb="FFD9EAF7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F2F2F2"/>
      </patternFill>
    </fill>
    <fill>
      <patternFill patternType="solid">
        <fgColor rgb="FFFFF2CC"/>
      </patternFill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1F4E78"/>
      </patternFill>
    </fill>
    <fill>
      <patternFill patternType="solid">
        <fgColor rgb="FFF2F2F2"/>
      </patternFill>
    </fill>
    <fill>
      <patternFill patternType="solid">
        <fgColor rgb="FFFFF2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</patternFill>
    </fill>
    <fill>
      <patternFill patternType="solid">
        <fgColor rgb="FFD9E1F2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EEF5FA"/>
      </patternFill>
    </fill>
    <fill>
      <patternFill patternType="solid">
        <fgColor rgb="FFDDEBF7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/>
      <bottom style="thin">
        <color rgb="FFD9D9D9"/>
      </bottom>
      <diagonal/>
    </border>
    <border>
      <left/>
      <right style="thin">
        <color rgb="FF708090"/>
      </right>
      <top/>
      <bottom/>
      <diagonal/>
    </border>
    <border>
      <left style="thin">
        <color rgb="FF9FBAD0"/>
      </left>
      <right style="thin">
        <color rgb="FF9FBAD0"/>
      </right>
      <top style="thin">
        <color rgb="FF9FBAD0"/>
      </top>
      <bottom style="thin">
        <color rgb="FF9FBAD0"/>
      </bottom>
      <diagonal/>
    </border>
    <border>
      <left/>
      <right/>
      <top/>
      <bottom style="thin">
        <color rgb="FF9FBAD0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/>
      <right/>
      <top/>
      <bottom style="thin">
        <color rgb="FFEAEAEA"/>
      </bottom>
      <diagonal/>
    </border>
    <border>
      <left/>
      <right/>
      <top style="thin">
        <color rgb="FFEAEAEA"/>
      </top>
      <bottom style="thin">
        <color rgb="FFEAEAEA"/>
      </bottom>
      <diagonal/>
    </border>
    <border>
      <left style="thin">
        <color rgb="FFD9D9D9"/>
      </left>
      <right style="thin">
        <color rgb="FFD9D9D9"/>
      </right>
      <top style="thin">
        <color rgb="FFEAEAEA"/>
      </top>
      <bottom style="thin">
        <color rgb="FFEAEAEA"/>
      </bottom>
      <diagonal/>
    </border>
    <border>
      <left/>
      <right/>
      <top style="thin">
        <color rgb="FFEAEAEA"/>
      </top>
      <bottom/>
      <diagonal/>
    </border>
  </borders>
  <cellStyleXfs count="2">
    <xf numFmtId="0" fontId="0" fillId="0" borderId="0"/>
    <xf numFmtId="0" fontId="5" fillId="0" borderId="0"/>
  </cellStyleXfs>
  <cellXfs count="232">
    <xf numFmtId="0" fontId="0" fillId="0" borderId="0" xfId="0"/>
    <xf numFmtId="0" fontId="10" fillId="0" borderId="0" xfId="0" applyFont="1"/>
    <xf numFmtId="0" fontId="14" fillId="14" borderId="0" xfId="0" applyFont="1" applyFill="1" applyAlignment="1">
      <alignment wrapText="1"/>
    </xf>
    <xf numFmtId="0" fontId="0" fillId="0" borderId="0" xfId="0" applyProtection="1">
      <protection locked="0"/>
    </xf>
    <xf numFmtId="0" fontId="1" fillId="0" borderId="0" xfId="1" applyFont="1" applyAlignment="1" applyProtection="1">
      <alignment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7" fillId="0" borderId="0" xfId="0" applyFont="1" applyProtection="1">
      <protection locked="0"/>
    </xf>
    <xf numFmtId="4" fontId="7" fillId="13" borderId="0" xfId="0" applyNumberFormat="1" applyFont="1" applyFill="1" applyAlignment="1" applyProtection="1">
      <alignment vertical="center"/>
      <protection locked="0"/>
    </xf>
    <xf numFmtId="4" fontId="0" fillId="13" borderId="0" xfId="0" applyNumberFormat="1" applyFill="1" applyProtection="1">
      <protection locked="0"/>
    </xf>
    <xf numFmtId="4" fontId="1" fillId="13" borderId="0" xfId="0" applyNumberFormat="1" applyFont="1" applyFill="1" applyAlignment="1" applyProtection="1">
      <alignment vertical="center"/>
      <protection locked="0"/>
    </xf>
    <xf numFmtId="0" fontId="1" fillId="0" borderId="0" xfId="1" applyFont="1" applyAlignment="1" applyProtection="1">
      <alignment vertical="center" wrapText="1"/>
      <protection locked="0"/>
    </xf>
    <xf numFmtId="4" fontId="1" fillId="4" borderId="0" xfId="1" applyNumberFormat="1" applyFont="1" applyFill="1" applyAlignment="1" applyProtection="1">
      <alignment horizontal="right" vertical="center" wrapText="1"/>
      <protection locked="0"/>
    </xf>
    <xf numFmtId="0" fontId="7" fillId="10" borderId="1" xfId="0" applyFont="1" applyFill="1" applyBorder="1" applyAlignment="1" applyProtection="1">
      <alignment vertical="center"/>
      <protection locked="0"/>
    </xf>
    <xf numFmtId="2" fontId="7" fillId="10" borderId="1" xfId="0" applyNumberFormat="1" applyFont="1" applyFill="1" applyBorder="1" applyAlignment="1" applyProtection="1">
      <alignment vertical="center"/>
      <protection locked="0"/>
    </xf>
    <xf numFmtId="4" fontId="7" fillId="9" borderId="1" xfId="0" applyNumberFormat="1" applyFont="1" applyFill="1" applyBorder="1" applyAlignment="1" applyProtection="1">
      <alignment vertical="center"/>
      <protection locked="0"/>
    </xf>
    <xf numFmtId="4" fontId="7" fillId="10" borderId="1" xfId="0" applyNumberFormat="1" applyFont="1" applyFill="1" applyBorder="1" applyAlignment="1" applyProtection="1">
      <alignment vertical="center"/>
      <protection locked="0"/>
    </xf>
    <xf numFmtId="0" fontId="1" fillId="0" borderId="0" xfId="0" applyFont="1" applyProtection="1">
      <protection locked="0"/>
    </xf>
    <xf numFmtId="4" fontId="1" fillId="9" borderId="0" xfId="0" applyNumberFormat="1" applyFont="1" applyFill="1" applyProtection="1">
      <protection locked="0"/>
    </xf>
    <xf numFmtId="4" fontId="7" fillId="15" borderId="0" xfId="0" applyNumberFormat="1" applyFont="1" applyFill="1" applyProtection="1">
      <protection locked="0"/>
    </xf>
    <xf numFmtId="0" fontId="1" fillId="0" borderId="0" xfId="0" applyFont="1" applyAlignment="1" applyProtection="1">
      <alignment wrapText="1"/>
      <protection locked="0"/>
    </xf>
    <xf numFmtId="4" fontId="1" fillId="17" borderId="0" xfId="0" applyNumberFormat="1" applyFont="1" applyFill="1" applyAlignment="1" applyProtection="1">
      <alignment wrapText="1"/>
      <protection locked="0"/>
    </xf>
    <xf numFmtId="0" fontId="3" fillId="0" borderId="0" xfId="0" applyFont="1" applyAlignment="1" applyProtection="1">
      <alignment wrapText="1"/>
      <protection locked="0"/>
    </xf>
    <xf numFmtId="4" fontId="3" fillId="9" borderId="0" xfId="0" applyNumberFormat="1" applyFont="1" applyFill="1" applyAlignment="1" applyProtection="1">
      <alignment wrapText="1"/>
      <protection locked="0"/>
    </xf>
    <xf numFmtId="0" fontId="16" fillId="0" borderId="0" xfId="0" applyFont="1" applyProtection="1">
      <protection locked="0"/>
    </xf>
    <xf numFmtId="4" fontId="16" fillId="15" borderId="0" xfId="0" applyNumberFormat="1" applyFont="1" applyFill="1" applyProtection="1">
      <protection locked="0"/>
    </xf>
    <xf numFmtId="0" fontId="16" fillId="0" borderId="0" xfId="0" applyFont="1" applyAlignment="1" applyProtection="1">
      <alignment wrapText="1"/>
      <protection locked="0"/>
    </xf>
    <xf numFmtId="4" fontId="16" fillId="15" borderId="0" xfId="0" applyNumberFormat="1" applyFont="1" applyFill="1" applyAlignment="1" applyProtection="1">
      <alignment wrapText="1"/>
      <protection locked="0"/>
    </xf>
    <xf numFmtId="0" fontId="3" fillId="0" borderId="0" xfId="0" applyFont="1" applyProtection="1">
      <protection locked="0"/>
    </xf>
    <xf numFmtId="0" fontId="7" fillId="0" borderId="0" xfId="0" applyFont="1" applyAlignment="1" applyProtection="1">
      <alignment vertical="center" wrapText="1"/>
      <protection locked="0"/>
    </xf>
    <xf numFmtId="3" fontId="7" fillId="0" borderId="0" xfId="0" applyNumberFormat="1" applyFont="1" applyAlignment="1" applyProtection="1">
      <alignment vertical="center"/>
      <protection locked="0"/>
    </xf>
    <xf numFmtId="0" fontId="9" fillId="14" borderId="0" xfId="0" applyFont="1" applyFill="1" applyAlignment="1" applyProtection="1">
      <alignment vertical="center" wrapText="1"/>
      <protection locked="0"/>
    </xf>
    <xf numFmtId="0" fontId="1" fillId="0" borderId="0" xfId="0" applyFont="1" applyAlignment="1" applyProtection="1">
      <alignment vertical="center"/>
      <protection locked="0"/>
    </xf>
    <xf numFmtId="3" fontId="1" fillId="0" borderId="0" xfId="0" applyNumberFormat="1" applyFont="1" applyAlignment="1" applyProtection="1">
      <alignment vertical="center"/>
      <protection locked="0"/>
    </xf>
    <xf numFmtId="0" fontId="9" fillId="7" borderId="0" xfId="0" applyFont="1" applyFill="1" applyAlignment="1" applyProtection="1">
      <alignment vertical="center" wrapText="1"/>
      <protection locked="0"/>
    </xf>
    <xf numFmtId="176" fontId="1" fillId="0" borderId="0" xfId="0" applyNumberFormat="1" applyFont="1" applyAlignment="1" applyProtection="1">
      <alignment vertical="center" wrapText="1"/>
      <protection locked="0"/>
    </xf>
    <xf numFmtId="2" fontId="1" fillId="0" borderId="0" xfId="0" applyNumberFormat="1" applyFont="1" applyAlignment="1" applyProtection="1">
      <alignment vertical="center" wrapText="1"/>
      <protection locked="0"/>
    </xf>
    <xf numFmtId="0" fontId="10" fillId="0" borderId="0" xfId="0" applyFont="1" applyProtection="1">
      <protection locked="0"/>
    </xf>
    <xf numFmtId="177" fontId="10" fillId="0" borderId="0" xfId="0" applyNumberFormat="1" applyFont="1" applyProtection="1">
      <protection locked="0"/>
    </xf>
    <xf numFmtId="0" fontId="7" fillId="15" borderId="0" xfId="0" applyFont="1" applyFill="1" applyAlignment="1" applyProtection="1">
      <alignment vertical="center" wrapText="1"/>
      <protection locked="0"/>
    </xf>
    <xf numFmtId="2" fontId="7" fillId="15" borderId="0" xfId="0" applyNumberFormat="1" applyFont="1" applyFill="1" applyAlignment="1" applyProtection="1">
      <alignment vertical="center" wrapText="1"/>
      <protection locked="0"/>
    </xf>
    <xf numFmtId="0" fontId="9" fillId="11" borderId="0" xfId="0" applyFont="1" applyFill="1" applyAlignment="1" applyProtection="1">
      <alignment vertical="center" wrapText="1"/>
      <protection locked="0"/>
    </xf>
    <xf numFmtId="0" fontId="7" fillId="9" borderId="0" xfId="0" applyFont="1" applyFill="1" applyAlignment="1" applyProtection="1">
      <alignment vertical="center" wrapText="1"/>
      <protection locked="0"/>
    </xf>
    <xf numFmtId="4" fontId="0" fillId="0" borderId="0" xfId="0" applyNumberFormat="1" applyProtection="1">
      <protection locked="0"/>
    </xf>
    <xf numFmtId="0" fontId="9" fillId="11" borderId="1" xfId="0" applyFont="1" applyFill="1" applyBorder="1" applyAlignment="1">
      <alignment horizontal="center" vertical="center" wrapText="1"/>
    </xf>
    <xf numFmtId="0" fontId="9" fillId="14" borderId="1" xfId="0" applyFont="1" applyFill="1" applyBorder="1" applyAlignment="1">
      <alignment horizontal="center" vertical="center" wrapText="1"/>
    </xf>
    <xf numFmtId="2" fontId="7" fillId="10" borderId="1" xfId="0" applyNumberFormat="1" applyFont="1" applyFill="1" applyBorder="1" applyAlignment="1">
      <alignment vertical="center"/>
    </xf>
    <xf numFmtId="4" fontId="7" fillId="9" borderId="1" xfId="0" applyNumberFormat="1" applyFont="1" applyFill="1" applyBorder="1" applyAlignment="1">
      <alignment vertical="center"/>
    </xf>
    <xf numFmtId="4" fontId="7" fillId="10" borderId="1" xfId="0" applyNumberFormat="1" applyFont="1" applyFill="1" applyBorder="1" applyAlignment="1">
      <alignment vertical="center"/>
    </xf>
    <xf numFmtId="4" fontId="7" fillId="13" borderId="1" xfId="0" applyNumberFormat="1" applyFont="1" applyFill="1" applyBorder="1" applyAlignment="1">
      <alignment vertical="center"/>
    </xf>
    <xf numFmtId="0" fontId="7" fillId="13" borderId="0" xfId="0" applyFont="1" applyFill="1"/>
    <xf numFmtId="0" fontId="17" fillId="0" borderId="0" xfId="0" applyFont="1" applyAlignment="1">
      <alignment wrapText="1"/>
    </xf>
    <xf numFmtId="4" fontId="3" fillId="9" borderId="0" xfId="0" applyNumberFormat="1" applyFont="1" applyFill="1" applyAlignment="1">
      <alignment wrapText="1"/>
    </xf>
    <xf numFmtId="0" fontId="3" fillId="0" borderId="0" xfId="0" applyFont="1" applyAlignment="1">
      <alignment wrapText="1"/>
    </xf>
    <xf numFmtId="2" fontId="0" fillId="0" borderId="0" xfId="0" applyNumberFormat="1"/>
    <xf numFmtId="2" fontId="1" fillId="16" borderId="0" xfId="1" applyNumberFormat="1" applyFont="1" applyFill="1" applyAlignment="1" applyProtection="1">
      <alignment vertical="center"/>
      <protection locked="0"/>
    </xf>
    <xf numFmtId="180" fontId="0" fillId="16" borderId="0" xfId="0" applyNumberFormat="1" applyFill="1" applyProtection="1">
      <protection locked="0"/>
    </xf>
    <xf numFmtId="0" fontId="13" fillId="0" borderId="0" xfId="1" applyFont="1" applyAlignment="1" applyProtection="1">
      <alignment vertical="center"/>
      <protection locked="0"/>
    </xf>
    <xf numFmtId="1" fontId="0" fillId="0" borderId="0" xfId="0" applyNumberFormat="1" applyProtection="1">
      <protection locked="0"/>
    </xf>
    <xf numFmtId="1" fontId="13" fillId="16" borderId="0" xfId="1" applyNumberFormat="1" applyFont="1" applyFill="1" applyAlignment="1" applyProtection="1">
      <alignment vertical="center"/>
      <protection locked="0"/>
    </xf>
    <xf numFmtId="0" fontId="16" fillId="0" borderId="0" xfId="1" applyFont="1" applyAlignment="1" applyProtection="1">
      <alignment vertical="center"/>
      <protection locked="0"/>
    </xf>
    <xf numFmtId="0" fontId="7" fillId="10" borderId="1" xfId="0" applyFont="1" applyFill="1" applyBorder="1" applyAlignment="1">
      <alignment vertical="center"/>
    </xf>
    <xf numFmtId="4" fontId="1" fillId="17" borderId="0" xfId="1" applyNumberFormat="1" applyFont="1" applyFill="1" applyAlignment="1">
      <alignment horizontal="right" vertical="center"/>
    </xf>
    <xf numFmtId="2" fontId="1" fillId="3" borderId="0" xfId="1" applyNumberFormat="1" applyFont="1" applyFill="1" applyAlignment="1" applyProtection="1">
      <alignment horizontal="right" vertical="center"/>
      <protection locked="0"/>
    </xf>
    <xf numFmtId="181" fontId="7" fillId="9" borderId="1" xfId="0" applyNumberFormat="1" applyFont="1" applyFill="1" applyBorder="1" applyAlignment="1">
      <alignment vertical="center"/>
    </xf>
    <xf numFmtId="181" fontId="7" fillId="10" borderId="1" xfId="0" applyNumberFormat="1" applyFont="1" applyFill="1" applyBorder="1" applyAlignment="1">
      <alignment vertical="center"/>
    </xf>
    <xf numFmtId="181" fontId="7" fillId="13" borderId="1" xfId="0" applyNumberFormat="1" applyFont="1" applyFill="1" applyBorder="1" applyAlignment="1">
      <alignment vertical="center"/>
    </xf>
    <xf numFmtId="1" fontId="1" fillId="16" borderId="0" xfId="0" applyNumberFormat="1" applyFont="1" applyFill="1" applyAlignment="1" applyProtection="1">
      <alignment horizontal="center" vertical="center" wrapText="1"/>
      <protection locked="0"/>
    </xf>
    <xf numFmtId="1" fontId="7" fillId="16" borderId="0" xfId="0" applyNumberFormat="1" applyFont="1" applyFill="1" applyAlignment="1" applyProtection="1">
      <alignment horizontal="center" vertical="center" wrapText="1"/>
      <protection locked="0"/>
    </xf>
    <xf numFmtId="0" fontId="17" fillId="19" borderId="3" xfId="0" applyFont="1" applyFill="1" applyBorder="1" applyAlignment="1">
      <alignment horizontal="center" vertical="center" wrapText="1"/>
    </xf>
    <xf numFmtId="4" fontId="7" fillId="0" borderId="3" xfId="0" applyNumberFormat="1" applyFont="1" applyBorder="1" applyAlignment="1">
      <alignment horizontal="center" vertical="center" wrapText="1"/>
    </xf>
    <xf numFmtId="4" fontId="17" fillId="19" borderId="3" xfId="0" applyNumberFormat="1" applyFont="1" applyFill="1" applyBorder="1" applyAlignment="1">
      <alignment horizontal="center" vertical="center" wrapText="1"/>
    </xf>
    <xf numFmtId="4" fontId="7" fillId="17" borderId="1" xfId="0" applyNumberFormat="1" applyFont="1" applyFill="1" applyBorder="1" applyAlignment="1">
      <alignment vertical="center"/>
    </xf>
    <xf numFmtId="181" fontId="7" fillId="17" borderId="1" xfId="0" applyNumberFormat="1" applyFont="1" applyFill="1" applyBorder="1" applyAlignment="1">
      <alignment vertical="center"/>
    </xf>
    <xf numFmtId="4" fontId="0" fillId="17" borderId="0" xfId="0" applyNumberFormat="1" applyFill="1"/>
    <xf numFmtId="184" fontId="7" fillId="17" borderId="1" xfId="0" applyNumberFormat="1" applyFont="1" applyFill="1" applyBorder="1" applyAlignment="1">
      <alignment vertical="center"/>
    </xf>
    <xf numFmtId="0" fontId="22" fillId="0" borderId="0" xfId="0" applyFont="1" applyProtection="1">
      <protection locked="0"/>
    </xf>
    <xf numFmtId="0" fontId="0" fillId="0" borderId="3" xfId="0" applyBorder="1" applyProtection="1">
      <protection locked="0"/>
    </xf>
    <xf numFmtId="0" fontId="0" fillId="19" borderId="3" xfId="0" applyFill="1" applyBorder="1" applyProtection="1">
      <protection locked="0"/>
    </xf>
    <xf numFmtId="1" fontId="7" fillId="0" borderId="3" xfId="0" applyNumberFormat="1" applyFont="1" applyBorder="1" applyAlignment="1">
      <alignment horizontal="center" vertical="center" wrapText="1"/>
    </xf>
    <xf numFmtId="0" fontId="0" fillId="0" borderId="0" xfId="0" applyAlignment="1" applyProtection="1">
      <alignment wrapText="1"/>
      <protection locked="0"/>
    </xf>
    <xf numFmtId="2" fontId="0" fillId="0" borderId="0" xfId="0" applyNumberFormat="1" applyProtection="1">
      <protection locked="0"/>
    </xf>
    <xf numFmtId="185" fontId="7" fillId="17" borderId="1" xfId="0" applyNumberFormat="1" applyFont="1" applyFill="1" applyBorder="1" applyAlignment="1">
      <alignment vertical="center"/>
    </xf>
    <xf numFmtId="0" fontId="10" fillId="17" borderId="0" xfId="0" applyFont="1" applyFill="1" applyAlignment="1">
      <alignment vertical="center" wrapText="1"/>
    </xf>
    <xf numFmtId="0" fontId="14" fillId="20" borderId="0" xfId="0" applyFont="1" applyFill="1" applyAlignment="1">
      <alignment vertical="center" wrapText="1"/>
    </xf>
    <xf numFmtId="4" fontId="10" fillId="0" borderId="0" xfId="0" applyNumberFormat="1" applyFont="1"/>
    <xf numFmtId="0" fontId="19" fillId="19" borderId="0" xfId="0" applyFont="1" applyFill="1"/>
    <xf numFmtId="179" fontId="10" fillId="0" borderId="0" xfId="0" applyNumberFormat="1" applyFont="1"/>
    <xf numFmtId="1" fontId="10" fillId="17" borderId="0" xfId="0" applyNumberFormat="1" applyFont="1" applyFill="1"/>
    <xf numFmtId="0" fontId="7" fillId="0" borderId="0" xfId="0" applyFont="1"/>
    <xf numFmtId="0" fontId="14" fillId="14" borderId="4" xfId="1" applyFont="1" applyFill="1" applyBorder="1" applyAlignment="1">
      <alignment horizontal="center" vertical="center" wrapText="1"/>
    </xf>
    <xf numFmtId="0" fontId="11" fillId="0" borderId="4" xfId="1" applyFont="1" applyBorder="1" applyAlignment="1">
      <alignment vertical="center" wrapText="1"/>
    </xf>
    <xf numFmtId="0" fontId="36" fillId="0" borderId="4" xfId="1" applyFont="1" applyBorder="1" applyAlignment="1">
      <alignment vertical="center" wrapText="1"/>
    </xf>
    <xf numFmtId="180" fontId="36" fillId="0" borderId="4" xfId="1" applyNumberFormat="1" applyFont="1" applyBorder="1" applyAlignment="1">
      <alignment vertical="center" wrapText="1"/>
    </xf>
    <xf numFmtId="0" fontId="14" fillId="14" borderId="4" xfId="1" applyFont="1" applyFill="1" applyBorder="1" applyAlignment="1">
      <alignment horizontal="center" wrapText="1"/>
    </xf>
    <xf numFmtId="0" fontId="36" fillId="13" borderId="4" xfId="1" applyFont="1" applyFill="1" applyBorder="1" applyAlignment="1">
      <alignment wrapText="1"/>
    </xf>
    <xf numFmtId="180" fontId="36" fillId="15" borderId="4" xfId="1" applyNumberFormat="1" applyFont="1" applyFill="1" applyBorder="1" applyAlignment="1">
      <alignment horizontal="right" wrapText="1"/>
    </xf>
    <xf numFmtId="0" fontId="14" fillId="23" borderId="6" xfId="0" applyFont="1" applyFill="1" applyBorder="1" applyAlignment="1">
      <alignment horizontal="center" vertical="center" wrapText="1"/>
    </xf>
    <xf numFmtId="0" fontId="40" fillId="24" borderId="4" xfId="0" applyFont="1" applyFill="1" applyBorder="1"/>
    <xf numFmtId="0" fontId="40" fillId="24" borderId="4" xfId="0" applyFont="1" applyFill="1" applyBorder="1" applyAlignment="1">
      <alignment horizontal="right"/>
    </xf>
    <xf numFmtId="3" fontId="40" fillId="24" borderId="4" xfId="0" applyNumberFormat="1" applyFont="1" applyFill="1" applyBorder="1" applyAlignment="1">
      <alignment horizontal="right"/>
    </xf>
    <xf numFmtId="0" fontId="36" fillId="16" borderId="6" xfId="0" applyFont="1" applyFill="1" applyBorder="1" applyAlignment="1" applyProtection="1">
      <alignment horizontal="left" vertical="center"/>
      <protection locked="0"/>
    </xf>
    <xf numFmtId="180" fontId="0" fillId="16" borderId="6" xfId="0" applyNumberFormat="1" applyFill="1" applyBorder="1" applyAlignment="1" applyProtection="1">
      <alignment horizontal="right" vertical="center"/>
      <protection locked="0"/>
    </xf>
    <xf numFmtId="2" fontId="0" fillId="16" borderId="6" xfId="0" applyNumberFormat="1" applyFill="1" applyBorder="1" applyAlignment="1" applyProtection="1">
      <alignment horizontal="right" vertical="center"/>
      <protection locked="0"/>
    </xf>
    <xf numFmtId="186" fontId="0" fillId="17" borderId="6" xfId="0" applyNumberFormat="1" applyFill="1" applyBorder="1" applyAlignment="1">
      <alignment horizontal="right" vertical="center"/>
    </xf>
    <xf numFmtId="2" fontId="0" fillId="17" borderId="6" xfId="0" applyNumberFormat="1" applyFill="1" applyBorder="1" applyAlignment="1">
      <alignment horizontal="right" vertical="center"/>
    </xf>
    <xf numFmtId="0" fontId="0" fillId="17" borderId="6" xfId="0" applyFill="1" applyBorder="1" applyAlignment="1">
      <alignment horizontal="right" vertical="center"/>
    </xf>
    <xf numFmtId="0" fontId="39" fillId="17" borderId="6" xfId="0" applyFont="1" applyFill="1" applyBorder="1" applyAlignment="1">
      <alignment horizontal="center" vertical="center"/>
    </xf>
    <xf numFmtId="0" fontId="0" fillId="25" borderId="4" xfId="0" applyFill="1" applyBorder="1"/>
    <xf numFmtId="1" fontId="7" fillId="17" borderId="0" xfId="0" applyNumberFormat="1" applyFont="1" applyFill="1"/>
    <xf numFmtId="1" fontId="38" fillId="17" borderId="6" xfId="0" applyNumberFormat="1" applyFont="1" applyFill="1" applyBorder="1" applyAlignment="1">
      <alignment horizontal="right" vertical="center"/>
    </xf>
    <xf numFmtId="49" fontId="36" fillId="16" borderId="6" xfId="0" applyNumberFormat="1" applyFont="1" applyFill="1" applyBorder="1" applyAlignment="1" applyProtection="1">
      <alignment horizontal="left" vertical="center"/>
      <protection locked="0"/>
    </xf>
    <xf numFmtId="2" fontId="0" fillId="16" borderId="0" xfId="0" applyNumberFormat="1" applyFill="1" applyProtection="1">
      <protection locked="0"/>
    </xf>
    <xf numFmtId="0" fontId="42" fillId="0" borderId="0" xfId="0" applyFont="1"/>
    <xf numFmtId="2" fontId="42" fillId="16" borderId="0" xfId="0" applyNumberFormat="1" applyFont="1" applyFill="1" applyProtection="1">
      <protection locked="0"/>
    </xf>
    <xf numFmtId="0" fontId="22" fillId="0" borderId="0" xfId="0" applyFont="1" applyAlignment="1">
      <alignment wrapText="1"/>
    </xf>
    <xf numFmtId="0" fontId="42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8" fillId="17" borderId="0" xfId="0" applyFont="1" applyFill="1"/>
    <xf numFmtId="0" fontId="28" fillId="0" borderId="0" xfId="0" applyFont="1"/>
    <xf numFmtId="1" fontId="42" fillId="16" borderId="0" xfId="0" applyNumberFormat="1" applyFont="1" applyFill="1" applyProtection="1">
      <protection locked="0"/>
    </xf>
    <xf numFmtId="0" fontId="32" fillId="21" borderId="0" xfId="0" applyFont="1" applyFill="1"/>
    <xf numFmtId="0" fontId="33" fillId="0" borderId="0" xfId="0" applyFont="1"/>
    <xf numFmtId="0" fontId="41" fillId="0" borderId="0" xfId="0" applyFont="1"/>
    <xf numFmtId="49" fontId="45" fillId="16" borderId="0" xfId="0" applyNumberFormat="1" applyFont="1" applyFill="1" applyProtection="1">
      <protection locked="0"/>
    </xf>
    <xf numFmtId="0" fontId="44" fillId="22" borderId="0" xfId="0" applyFont="1" applyFill="1"/>
    <xf numFmtId="2" fontId="43" fillId="17" borderId="0" xfId="0" applyNumberFormat="1" applyFont="1" applyFill="1"/>
    <xf numFmtId="0" fontId="43" fillId="0" borderId="0" xfId="0" applyFont="1"/>
    <xf numFmtId="0" fontId="22" fillId="0" borderId="0" xfId="0" applyFont="1" applyAlignment="1">
      <alignment wrapText="1"/>
    </xf>
    <xf numFmtId="0" fontId="11" fillId="22" borderId="5" xfId="0" applyFont="1" applyFill="1" applyBorder="1"/>
    <xf numFmtId="3" fontId="43" fillId="17" borderId="0" xfId="0" applyNumberFormat="1" applyFont="1" applyFill="1" applyAlignment="1">
      <alignment vertical="center"/>
    </xf>
    <xf numFmtId="3" fontId="46" fillId="17" borderId="0" xfId="0" applyNumberFormat="1" applyFont="1" applyFill="1" applyAlignment="1">
      <alignment vertical="center"/>
    </xf>
    <xf numFmtId="0" fontId="42" fillId="0" borderId="0" xfId="0" applyFont="1"/>
    <xf numFmtId="0" fontId="46" fillId="17" borderId="0" xfId="0" applyFont="1" applyFill="1"/>
    <xf numFmtId="0" fontId="26" fillId="0" borderId="0" xfId="0" applyFont="1" applyAlignment="1" applyProtection="1">
      <alignment wrapText="1"/>
      <protection locked="0"/>
    </xf>
    <xf numFmtId="0" fontId="1" fillId="0" borderId="0" xfId="0" applyFont="1" applyAlignment="1" applyProtection="1">
      <alignment wrapText="1"/>
      <protection locked="0"/>
    </xf>
    <xf numFmtId="0" fontId="7" fillId="16" borderId="0" xfId="0" applyFont="1" applyFill="1" applyProtection="1">
      <protection locked="0"/>
    </xf>
    <xf numFmtId="0" fontId="18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179" fontId="10" fillId="17" borderId="0" xfId="0" applyNumberFormat="1" applyFont="1" applyFill="1" applyAlignment="1">
      <alignment horizontal="center" vertical="center"/>
    </xf>
    <xf numFmtId="0" fontId="3" fillId="19" borderId="2" xfId="0" applyFont="1" applyFill="1" applyBorder="1" applyAlignment="1" applyProtection="1">
      <alignment vertical="center" wrapText="1"/>
      <protection locked="0"/>
    </xf>
    <xf numFmtId="4" fontId="17" fillId="19" borderId="0" xfId="0" applyNumberFormat="1" applyFont="1" applyFill="1" applyAlignment="1">
      <alignment horizontal="center" vertical="center" wrapText="1"/>
    </xf>
    <xf numFmtId="4" fontId="7" fillId="0" borderId="0" xfId="0" applyNumberFormat="1" applyFont="1" applyAlignment="1">
      <alignment horizontal="center" vertical="center" wrapText="1"/>
    </xf>
    <xf numFmtId="0" fontId="20" fillId="19" borderId="0" xfId="0" applyFont="1" applyFill="1" applyProtection="1">
      <protection locked="0"/>
    </xf>
    <xf numFmtId="0" fontId="21" fillId="19" borderId="0" xfId="0" applyFont="1" applyFill="1" applyProtection="1">
      <protection locked="0"/>
    </xf>
    <xf numFmtId="1" fontId="1" fillId="16" borderId="0" xfId="0" applyNumberFormat="1" applyFont="1" applyFill="1" applyAlignment="1" applyProtection="1">
      <alignment horizontal="center" vertical="center" wrapText="1"/>
      <protection locked="0"/>
    </xf>
    <xf numFmtId="0" fontId="23" fillId="0" borderId="0" xfId="0" applyFont="1" applyAlignment="1" applyProtection="1">
      <alignment horizontal="center"/>
      <protection locked="0"/>
    </xf>
    <xf numFmtId="0" fontId="24" fillId="0" borderId="0" xfId="1" applyFont="1" applyAlignment="1" applyProtection="1">
      <alignment vertical="center"/>
      <protection locked="0"/>
    </xf>
    <xf numFmtId="0" fontId="1" fillId="0" borderId="0" xfId="1" applyFont="1" applyAlignment="1" applyProtection="1">
      <alignment vertical="center"/>
      <protection locked="0"/>
    </xf>
    <xf numFmtId="0" fontId="27" fillId="19" borderId="0" xfId="1" applyFont="1" applyFill="1" applyAlignment="1">
      <alignment vertical="center"/>
    </xf>
    <xf numFmtId="0" fontId="14" fillId="20" borderId="0" xfId="0" applyFont="1" applyFill="1" applyAlignment="1">
      <alignment vertical="center" wrapText="1"/>
    </xf>
    <xf numFmtId="0" fontId="10" fillId="17" borderId="0" xfId="0" applyFont="1" applyFill="1" applyAlignment="1">
      <alignment vertical="center" wrapText="1"/>
    </xf>
    <xf numFmtId="4" fontId="10" fillId="17" borderId="0" xfId="0" applyNumberFormat="1" applyFont="1" applyFill="1" applyAlignment="1">
      <alignment vertical="center" wrapText="1"/>
    </xf>
    <xf numFmtId="0" fontId="1" fillId="0" borderId="0" xfId="1" applyFont="1" applyAlignment="1" applyProtection="1">
      <alignment vertical="center" wrapText="1"/>
      <protection locked="0"/>
    </xf>
    <xf numFmtId="4" fontId="7" fillId="17" borderId="0" xfId="0" applyNumberFormat="1" applyFont="1" applyFill="1" applyAlignment="1">
      <alignment horizontal="center" vertical="center" wrapText="1"/>
    </xf>
    <xf numFmtId="183" fontId="7" fillId="17" borderId="0" xfId="0" applyNumberFormat="1" applyFont="1" applyFill="1" applyAlignment="1">
      <alignment horizontal="center" vertical="center" wrapText="1"/>
    </xf>
    <xf numFmtId="0" fontId="13" fillId="0" borderId="0" xfId="0" applyFont="1" applyAlignment="1" applyProtection="1">
      <alignment wrapText="1"/>
      <protection locked="0"/>
    </xf>
    <xf numFmtId="0" fontId="11" fillId="8" borderId="0" xfId="0" applyFont="1" applyFill="1" applyAlignment="1" applyProtection="1">
      <alignment wrapText="1"/>
      <protection locked="0"/>
    </xf>
    <xf numFmtId="0" fontId="7" fillId="0" borderId="0" xfId="0" applyFont="1" applyAlignment="1" applyProtection="1">
      <alignment vertical="center" wrapText="1"/>
      <protection locked="0"/>
    </xf>
    <xf numFmtId="0" fontId="1" fillId="0" borderId="0" xfId="0" applyFont="1" applyAlignment="1" applyProtection="1">
      <alignment vertical="center" wrapText="1"/>
      <protection locked="0"/>
    </xf>
    <xf numFmtId="0" fontId="2" fillId="12" borderId="0" xfId="0" applyFont="1" applyFill="1" applyAlignment="1" applyProtection="1">
      <alignment vertical="center" wrapText="1"/>
      <protection locked="0"/>
    </xf>
    <xf numFmtId="0" fontId="3" fillId="8" borderId="0" xfId="0" applyFont="1" applyFill="1" applyAlignment="1" applyProtection="1">
      <alignment vertical="center" wrapText="1"/>
      <protection locked="0"/>
    </xf>
    <xf numFmtId="0" fontId="7" fillId="0" borderId="0" xfId="0" applyFont="1" applyAlignment="1" applyProtection="1">
      <alignment vertical="center"/>
      <protection locked="0"/>
    </xf>
    <xf numFmtId="0" fontId="7" fillId="13" borderId="0" xfId="0" applyFont="1" applyFill="1" applyAlignment="1" applyProtection="1">
      <alignment vertical="center"/>
      <protection locked="0"/>
    </xf>
    <xf numFmtId="0" fontId="12" fillId="0" borderId="0" xfId="0" applyFont="1" applyAlignment="1" applyProtection="1">
      <alignment vertical="center" wrapText="1"/>
      <protection locked="0"/>
    </xf>
    <xf numFmtId="0" fontId="0" fillId="0" borderId="0" xfId="0" applyAlignment="1" applyProtection="1">
      <alignment wrapText="1"/>
      <protection locked="0"/>
    </xf>
    <xf numFmtId="0" fontId="17" fillId="19" borderId="0" xfId="0" applyFont="1" applyFill="1" applyAlignment="1">
      <alignment vertical="center" wrapText="1"/>
    </xf>
    <xf numFmtId="0" fontId="7" fillId="0" borderId="0" xfId="0" applyFont="1" applyAlignment="1">
      <alignment vertical="center" wrapText="1"/>
    </xf>
    <xf numFmtId="0" fontId="4" fillId="0" borderId="0" xfId="0" applyFont="1" applyAlignment="1" applyProtection="1">
      <alignment vertical="center" wrapText="1"/>
      <protection locked="0"/>
    </xf>
    <xf numFmtId="0" fontId="17" fillId="19" borderId="0" xfId="0" applyFont="1" applyFill="1" applyAlignment="1">
      <alignment horizontal="center" vertical="center" wrapText="1"/>
    </xf>
    <xf numFmtId="0" fontId="2" fillId="2" borderId="0" xfId="1" applyFont="1" applyFill="1" applyAlignment="1" applyProtection="1">
      <alignment vertical="center"/>
      <protection locked="0"/>
    </xf>
    <xf numFmtId="0" fontId="3" fillId="19" borderId="0" xfId="1" applyFont="1" applyFill="1" applyAlignment="1" applyProtection="1">
      <alignment vertical="center"/>
      <protection locked="0"/>
    </xf>
    <xf numFmtId="0" fontId="16" fillId="16" borderId="0" xfId="1" applyFont="1" applyFill="1" applyAlignment="1" applyProtection="1">
      <alignment vertical="center"/>
      <protection locked="0"/>
    </xf>
    <xf numFmtId="0" fontId="13" fillId="0" borderId="0" xfId="1" applyFont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0" fontId="4" fillId="0" borderId="0" xfId="0" applyFont="1" applyAlignment="1" applyProtection="1">
      <alignment wrapText="1"/>
      <protection locked="0"/>
    </xf>
    <xf numFmtId="0" fontId="3" fillId="0" borderId="0" xfId="0" applyFont="1" applyAlignment="1" applyProtection="1">
      <alignment wrapText="1"/>
      <protection locked="0"/>
    </xf>
    <xf numFmtId="0" fontId="3" fillId="8" borderId="0" xfId="0" applyFont="1" applyFill="1" applyProtection="1">
      <protection locked="0"/>
    </xf>
    <xf numFmtId="0" fontId="1" fillId="0" borderId="0" xfId="0" applyFont="1" applyProtection="1">
      <protection locked="0"/>
    </xf>
    <xf numFmtId="0" fontId="3" fillId="12" borderId="0" xfId="0" applyFont="1" applyFill="1" applyProtection="1">
      <protection locked="0"/>
    </xf>
    <xf numFmtId="0" fontId="7" fillId="0" borderId="0" xfId="0" applyFont="1" applyProtection="1">
      <protection locked="0"/>
    </xf>
    <xf numFmtId="0" fontId="7" fillId="0" borderId="0" xfId="0" applyFont="1" applyAlignment="1" applyProtection="1">
      <alignment wrapText="1"/>
      <protection locked="0"/>
    </xf>
    <xf numFmtId="0" fontId="16" fillId="0" borderId="0" xfId="0" applyFont="1" applyProtection="1">
      <protection locked="0"/>
    </xf>
    <xf numFmtId="178" fontId="7" fillId="0" borderId="0" xfId="0" applyNumberFormat="1" applyFont="1" applyAlignment="1" applyProtection="1">
      <alignment vertical="center"/>
      <protection locked="0"/>
    </xf>
    <xf numFmtId="0" fontId="3" fillId="12" borderId="0" xfId="0" applyFont="1" applyFill="1" applyAlignment="1" applyProtection="1">
      <alignment vertical="center"/>
      <protection locked="0"/>
    </xf>
    <xf numFmtId="0" fontId="16" fillId="0" borderId="0" xfId="0" applyFont="1" applyAlignment="1" applyProtection="1">
      <alignment wrapText="1"/>
      <protection locked="0"/>
    </xf>
    <xf numFmtId="0" fontId="4" fillId="0" borderId="0" xfId="0" applyFont="1" applyProtection="1">
      <protection locked="0"/>
    </xf>
    <xf numFmtId="0" fontId="2" fillId="5" borderId="0" xfId="0" applyFont="1" applyFill="1" applyProtection="1">
      <protection locked="0"/>
    </xf>
    <xf numFmtId="0" fontId="8" fillId="6" borderId="0" xfId="0" applyFont="1" applyFill="1" applyAlignment="1" applyProtection="1">
      <alignment vertical="center" wrapText="1"/>
      <protection locked="0"/>
    </xf>
    <xf numFmtId="0" fontId="1" fillId="0" borderId="0" xfId="0" applyFont="1" applyAlignment="1" applyProtection="1">
      <alignment vertical="center"/>
      <protection locked="0"/>
    </xf>
    <xf numFmtId="0" fontId="9" fillId="7" borderId="0" xfId="0" applyFont="1" applyFill="1" applyAlignment="1" applyProtection="1">
      <alignment vertical="center" wrapText="1"/>
      <protection locked="0"/>
    </xf>
    <xf numFmtId="0" fontId="7" fillId="15" borderId="0" xfId="0" applyFont="1" applyFill="1" applyAlignment="1" applyProtection="1">
      <alignment vertical="center"/>
      <protection locked="0"/>
    </xf>
    <xf numFmtId="0" fontId="7" fillId="18" borderId="0" xfId="0" applyFont="1" applyFill="1" applyAlignment="1" applyProtection="1">
      <alignment vertical="center"/>
      <protection locked="0"/>
    </xf>
    <xf numFmtId="176" fontId="7" fillId="18" borderId="0" xfId="0" applyNumberFormat="1" applyFont="1" applyFill="1" applyAlignment="1" applyProtection="1">
      <alignment vertical="center"/>
      <protection locked="0"/>
    </xf>
    <xf numFmtId="176" fontId="7" fillId="15" borderId="0" xfId="0" applyNumberFormat="1" applyFont="1" applyFill="1" applyAlignment="1" applyProtection="1">
      <alignment vertical="center"/>
      <protection locked="0"/>
    </xf>
    <xf numFmtId="0" fontId="3" fillId="12" borderId="0" xfId="0" applyFont="1" applyFill="1" applyAlignment="1" applyProtection="1">
      <alignment vertical="center" wrapText="1"/>
      <protection locked="0"/>
    </xf>
    <xf numFmtId="0" fontId="9" fillId="14" borderId="0" xfId="0" applyFont="1" applyFill="1" applyAlignment="1" applyProtection="1">
      <alignment vertical="center" wrapText="1"/>
      <protection locked="0"/>
    </xf>
    <xf numFmtId="182" fontId="7" fillId="17" borderId="0" xfId="0" applyNumberFormat="1" applyFont="1" applyFill="1" applyAlignment="1">
      <alignment horizontal="center" vertical="center" wrapText="1"/>
    </xf>
    <xf numFmtId="179" fontId="10" fillId="17" borderId="0" xfId="0" applyNumberFormat="1" applyFont="1" applyFill="1" applyAlignment="1">
      <alignment vertical="center" wrapText="1"/>
    </xf>
    <xf numFmtId="0" fontId="28" fillId="0" borderId="0" xfId="0" applyFont="1" applyAlignment="1" applyProtection="1">
      <alignment wrapText="1"/>
      <protection locked="0"/>
    </xf>
    <xf numFmtId="0" fontId="22" fillId="0" borderId="0" xfId="0" applyFont="1" applyAlignment="1" applyProtection="1">
      <alignment wrapText="1"/>
      <protection locked="0"/>
    </xf>
    <xf numFmtId="0" fontId="29" fillId="0" borderId="0" xfId="0" applyFont="1" applyAlignment="1" applyProtection="1">
      <alignment wrapText="1"/>
      <protection locked="0"/>
    </xf>
    <xf numFmtId="0" fontId="15" fillId="13" borderId="0" xfId="0" applyFont="1" applyFill="1" applyAlignment="1" applyProtection="1">
      <alignment vertical="center"/>
      <protection locked="0"/>
    </xf>
    <xf numFmtId="0" fontId="30" fillId="19" borderId="0" xfId="0" applyFont="1" applyFill="1" applyProtection="1">
      <protection locked="0"/>
    </xf>
    <xf numFmtId="0" fontId="31" fillId="0" borderId="0" xfId="0" applyFont="1" applyProtection="1">
      <protection locked="0"/>
    </xf>
    <xf numFmtId="0" fontId="34" fillId="0" borderId="0" xfId="1" applyFont="1" applyAlignment="1">
      <alignment vertical="center"/>
    </xf>
    <xf numFmtId="0" fontId="35" fillId="0" borderId="0" xfId="1" applyFont="1" applyAlignment="1">
      <alignment vertical="center" wrapText="1"/>
    </xf>
    <xf numFmtId="0" fontId="11" fillId="12" borderId="4" xfId="1" applyFont="1" applyFill="1" applyBorder="1" applyAlignment="1">
      <alignment wrapText="1"/>
    </xf>
    <xf numFmtId="0" fontId="10" fillId="0" borderId="0" xfId="0" applyFont="1"/>
    <xf numFmtId="0" fontId="25" fillId="0" borderId="0" xfId="0" applyFont="1"/>
    <xf numFmtId="0" fontId="0" fillId="26" borderId="0" xfId="0" applyFill="1" applyProtection="1">
      <protection locked="0"/>
    </xf>
    <xf numFmtId="0" fontId="48" fillId="0" borderId="7" xfId="0" applyFont="1" applyBorder="1"/>
    <xf numFmtId="0" fontId="47" fillId="0" borderId="8" xfId="0" applyFont="1" applyBorder="1"/>
    <xf numFmtId="0" fontId="47" fillId="0" borderId="8" xfId="0" applyFont="1" applyBorder="1"/>
    <xf numFmtId="2" fontId="47" fillId="0" borderId="8" xfId="0" applyNumberFormat="1" applyFont="1" applyBorder="1"/>
    <xf numFmtId="0" fontId="47" fillId="0" borderId="8" xfId="0" applyFont="1" applyBorder="1" applyAlignment="1">
      <alignment horizontal="center"/>
    </xf>
    <xf numFmtId="0" fontId="50" fillId="0" borderId="8" xfId="0" applyFont="1" applyBorder="1" applyAlignment="1">
      <alignment horizontal="center"/>
    </xf>
    <xf numFmtId="0" fontId="49" fillId="0" borderId="8" xfId="0" applyFont="1" applyBorder="1"/>
    <xf numFmtId="0" fontId="48" fillId="0" borderId="8" xfId="0" applyFont="1" applyBorder="1"/>
    <xf numFmtId="0" fontId="0" fillId="0" borderId="8" xfId="0" applyBorder="1"/>
    <xf numFmtId="0" fontId="52" fillId="0" borderId="8" xfId="0" applyFont="1" applyBorder="1"/>
    <xf numFmtId="0" fontId="51" fillId="0" borderId="8" xfId="0" applyFont="1" applyBorder="1"/>
    <xf numFmtId="0" fontId="53" fillId="0" borderId="9" xfId="0" applyFont="1" applyBorder="1" applyAlignment="1">
      <alignment wrapText="1"/>
    </xf>
    <xf numFmtId="0" fontId="53" fillId="0" borderId="9" xfId="0" applyFont="1" applyBorder="1" applyAlignment="1">
      <alignment wrapText="1"/>
    </xf>
    <xf numFmtId="0" fontId="51" fillId="0" borderId="9" xfId="0" applyFont="1" applyBorder="1" applyAlignment="1">
      <alignment wrapText="1"/>
    </xf>
    <xf numFmtId="2" fontId="51" fillId="0" borderId="9" xfId="0" applyNumberFormat="1" applyFont="1" applyBorder="1" applyAlignment="1">
      <alignment wrapText="1"/>
    </xf>
    <xf numFmtId="2" fontId="51" fillId="0" borderId="9" xfId="0" applyNumberFormat="1" applyFont="1" applyBorder="1" applyAlignment="1">
      <alignment wrapText="1"/>
    </xf>
    <xf numFmtId="3" fontId="51" fillId="0" borderId="9" xfId="0" applyNumberFormat="1" applyFont="1" applyBorder="1" applyAlignment="1">
      <alignment wrapText="1"/>
    </xf>
    <xf numFmtId="3" fontId="51" fillId="0" borderId="9" xfId="0" applyNumberFormat="1" applyFont="1" applyBorder="1" applyAlignment="1">
      <alignment wrapText="1"/>
    </xf>
    <xf numFmtId="3" fontId="47" fillId="0" borderId="8" xfId="0" applyNumberFormat="1" applyFont="1" applyBorder="1"/>
    <xf numFmtId="3" fontId="47" fillId="0" borderId="8" xfId="0" applyNumberFormat="1" applyFont="1" applyBorder="1"/>
    <xf numFmtId="0" fontId="54" fillId="0" borderId="8" xfId="0" applyFont="1" applyBorder="1"/>
    <xf numFmtId="0" fontId="47" fillId="0" borderId="10" xfId="0" applyFont="1" applyBorder="1"/>
  </cellXfs>
  <cellStyles count="2">
    <cellStyle name="Normal" xfId="1" xr:uid="{00000000-0005-0000-0000-000000000000}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1"/>
        <c:ser>
          <c:idx val="0"/>
          <c:order val="0"/>
          <c:tx>
            <c:v>Beam</c:v>
          </c:tx>
          <c:spPr>
            <a:ln w="152400">
              <a:solidFill>
                <a:srgbClr val="E74032"/>
              </a:solidFill>
            </a:ln>
          </c:spPr>
          <c:marker>
            <c:symbol val="none"/>
          </c:marker>
          <c:xVal>
            <c:numRef>
              <c:f>'Steel Beam Design'!$A$1748:$A$1749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'Steel Beam Design'!$B$1748:$B$1749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5E-4948-8014-8536E1C55B2F}"/>
            </c:ext>
          </c:extLst>
        </c:ser>
        <c:ser>
          <c:idx val="1"/>
          <c:order val="1"/>
          <c:tx>
            <c:v>A pin</c:v>
          </c:tx>
          <c:spPr>
            <a:ln w="25400">
              <a:solidFill>
                <a:srgbClr val="38A852"/>
              </a:solidFill>
            </a:ln>
          </c:spPr>
          <c:marker>
            <c:symbol val="none"/>
          </c:marker>
          <c:xVal>
            <c:numRef>
              <c:f>'Steel Beam Design'!$A$1752:$A$1755</c:f>
              <c:numCache>
                <c:formatCode>General</c:formatCode>
                <c:ptCount val="4"/>
                <c:pt idx="0">
                  <c:v>0</c:v>
                </c:pt>
                <c:pt idx="1">
                  <c:v>-2.5000000000000001E-2</c:v>
                </c:pt>
                <c:pt idx="2">
                  <c:v>2.5000000000000001E-2</c:v>
                </c:pt>
                <c:pt idx="3">
                  <c:v>0</c:v>
                </c:pt>
              </c:numCache>
            </c:numRef>
          </c:xVal>
          <c:yVal>
            <c:numRef>
              <c:f>'Steel Beam Design'!$B$1752:$B$1755</c:f>
              <c:numCache>
                <c:formatCode>General</c:formatCode>
                <c:ptCount val="4"/>
                <c:pt idx="0">
                  <c:v>0</c:v>
                </c:pt>
                <c:pt idx="1">
                  <c:v>-0.105</c:v>
                </c:pt>
                <c:pt idx="2">
                  <c:v>-0.105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5E-4948-8014-8536E1C55B2F}"/>
            </c:ext>
          </c:extLst>
        </c:ser>
        <c:ser>
          <c:idx val="2"/>
          <c:order val="2"/>
          <c:tx>
            <c:v>B roller</c:v>
          </c:tx>
          <c:spPr>
            <a:ln w="25400">
              <a:solidFill>
                <a:srgbClr val="38A852"/>
              </a:solidFill>
            </a:ln>
          </c:spPr>
          <c:marker>
            <c:symbol val="none"/>
          </c:marker>
          <c:xVal>
            <c:numRef>
              <c:f>'Steel Beam Design'!$A$1758:$A$1761</c:f>
              <c:numCache>
                <c:formatCode>General</c:formatCode>
                <c:ptCount val="4"/>
                <c:pt idx="0">
                  <c:v>1</c:v>
                </c:pt>
                <c:pt idx="1">
                  <c:v>0.97499999999999998</c:v>
                </c:pt>
                <c:pt idx="2">
                  <c:v>1.0249999999999999</c:v>
                </c:pt>
                <c:pt idx="3">
                  <c:v>1</c:v>
                </c:pt>
              </c:numCache>
            </c:numRef>
          </c:xVal>
          <c:yVal>
            <c:numRef>
              <c:f>'Steel Beam Design'!$B$1758:$B$1761</c:f>
              <c:numCache>
                <c:formatCode>General</c:formatCode>
                <c:ptCount val="4"/>
                <c:pt idx="0">
                  <c:v>0</c:v>
                </c:pt>
                <c:pt idx="1">
                  <c:v>-0.105</c:v>
                </c:pt>
                <c:pt idx="2">
                  <c:v>-0.105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35E-4948-8014-8536E1C55B2F}"/>
            </c:ext>
          </c:extLst>
        </c:ser>
        <c:ser>
          <c:idx val="3"/>
          <c:order val="3"/>
          <c:tx>
            <c:v>Roller base</c:v>
          </c:tx>
          <c:spPr>
            <a:ln w="25400">
              <a:solidFill>
                <a:srgbClr val="38A852"/>
              </a:solidFill>
            </a:ln>
          </c:spPr>
          <c:marker>
            <c:symbol val="none"/>
          </c:marker>
          <c:xVal>
            <c:numRef>
              <c:f>'Steel Beam Design'!$A$1764:$A$1765</c:f>
              <c:numCache>
                <c:formatCode>General</c:formatCode>
                <c:ptCount val="2"/>
                <c:pt idx="0">
                  <c:v>0.97199999999999998</c:v>
                </c:pt>
                <c:pt idx="1">
                  <c:v>1.028</c:v>
                </c:pt>
              </c:numCache>
            </c:numRef>
          </c:xVal>
          <c:yVal>
            <c:numRef>
              <c:f>'Steel Beam Design'!$B$1764:$B$1765</c:f>
              <c:numCache>
                <c:formatCode>General</c:formatCode>
                <c:ptCount val="2"/>
                <c:pt idx="0">
                  <c:v>-0.13</c:v>
                </c:pt>
                <c:pt idx="1">
                  <c:v>-0.13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35E-4948-8014-8536E1C55B2F}"/>
            </c:ext>
          </c:extLst>
        </c:ser>
        <c:ser>
          <c:idx val="4"/>
          <c:order val="4"/>
          <c:tx>
            <c:v>A fixed</c:v>
          </c:tx>
          <c:spPr>
            <a:ln w="25400">
              <a:solidFill>
                <a:srgbClr val="475569"/>
              </a:solidFill>
            </a:ln>
          </c:spPr>
          <c:marker>
            <c:symbol val="none"/>
          </c:marker>
          <c:xVal>
            <c:numRef>
              <c:f>'Steel Beam Design'!$A$1768:$A$1780</c:f>
              <c:numCache>
                <c:formatCode>General</c:formatCode>
                <c:ptCount val="13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</c:numCache>
            </c:numRef>
          </c:xVal>
          <c:yVal>
            <c:numRef>
              <c:f>'Steel Beam Design'!$B$1768:$B$1780</c:f>
              <c:numCache>
                <c:formatCode>General</c:formatCode>
                <c:ptCount val="13"/>
                <c:pt idx="0">
                  <c:v>-0.14000000000000001</c:v>
                </c:pt>
                <c:pt idx="1">
                  <c:v>0.14000000000000001</c:v>
                </c:pt>
                <c:pt idx="2">
                  <c:v>0.1</c:v>
                </c:pt>
                <c:pt idx="3">
                  <c:v>0.14000000000000001</c:v>
                </c:pt>
                <c:pt idx="4">
                  <c:v>7.0000000000000007E-2</c:v>
                </c:pt>
                <c:pt idx="5">
                  <c:v>0.03</c:v>
                </c:pt>
                <c:pt idx="6">
                  <c:v>7.0000000000000007E-2</c:v>
                </c:pt>
                <c:pt idx="7">
                  <c:v>0</c:v>
                </c:pt>
                <c:pt idx="8">
                  <c:v>-0.04</c:v>
                </c:pt>
                <c:pt idx="9">
                  <c:v>0</c:v>
                </c:pt>
                <c:pt idx="10">
                  <c:v>-7.0000000000000007E-2</c:v>
                </c:pt>
                <c:pt idx="11">
                  <c:v>-0.11</c:v>
                </c:pt>
                <c:pt idx="12">
                  <c:v>-7.0000000000000007E-2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35E-4948-8014-8536E1C55B2F}"/>
            </c:ext>
          </c:extLst>
        </c:ser>
        <c:ser>
          <c:idx val="5"/>
          <c:order val="5"/>
          <c:tx>
            <c:v>B fixed</c:v>
          </c:tx>
          <c:spPr>
            <a:ln w="25400">
              <a:solidFill>
                <a:srgbClr val="475569"/>
              </a:solidFill>
            </a:ln>
          </c:spPr>
          <c:marker>
            <c:symbol val="none"/>
          </c:marker>
          <c:xVal>
            <c:numRef>
              <c:f>'Steel Beam Design'!$A$1783:$A$1795</c:f>
              <c:numCache>
                <c:formatCode>General</c:formatCode>
                <c:ptCount val="13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</c:numCache>
            </c:numRef>
          </c:xVal>
          <c:yVal>
            <c:numRef>
              <c:f>'Steel Beam Design'!$B$1783:$B$1795</c:f>
              <c:numCache>
                <c:formatCode>General</c:formatCode>
                <c:ptCount val="13"/>
                <c:pt idx="0">
                  <c:v>-0.14000000000000001</c:v>
                </c:pt>
                <c:pt idx="1">
                  <c:v>0.14000000000000001</c:v>
                </c:pt>
                <c:pt idx="2">
                  <c:v>0.1</c:v>
                </c:pt>
                <c:pt idx="3">
                  <c:v>0.14000000000000001</c:v>
                </c:pt>
                <c:pt idx="4">
                  <c:v>7.0000000000000007E-2</c:v>
                </c:pt>
                <c:pt idx="5">
                  <c:v>0.03</c:v>
                </c:pt>
                <c:pt idx="6">
                  <c:v>7.0000000000000007E-2</c:v>
                </c:pt>
                <c:pt idx="7">
                  <c:v>0</c:v>
                </c:pt>
                <c:pt idx="8">
                  <c:v>-0.04</c:v>
                </c:pt>
                <c:pt idx="9">
                  <c:v>0</c:v>
                </c:pt>
                <c:pt idx="10">
                  <c:v>-7.0000000000000007E-2</c:v>
                </c:pt>
                <c:pt idx="11">
                  <c:v>-0.11</c:v>
                </c:pt>
                <c:pt idx="12">
                  <c:v>-7.0000000000000007E-2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35E-4948-8014-8536E1C55B2F}"/>
            </c:ext>
          </c:extLst>
        </c:ser>
        <c:ser>
          <c:idx val="6"/>
          <c:order val="6"/>
          <c:tx>
            <c:v>P1</c:v>
          </c:tx>
          <c:spPr>
            <a:ln w="25400">
              <a:solidFill>
                <a:srgbClr val="2563EB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'Steel Beam Design'!$C$1798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1000"/>
                  </a:pPr>
                  <a:endParaRPr lang="zh-HK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{3F609EF4-5AC7-476A-A399-B792155EF5EC}</c15:txfldGUID>
                      <c15:f>'Steel Beam Design'!$C$1798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835E-4948-8014-8536E1C55B2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Design'!$A$1798:$A$1802</c:f>
              <c:numCache>
                <c:formatCode>General</c:formatCode>
                <c:ptCount val="5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</c:numCache>
            </c:numRef>
          </c:xVal>
          <c:yVal>
            <c:numRef>
              <c:f>'Steel Beam Design'!$B$1798:$B$1802</c:f>
              <c:numCache>
                <c:formatCode>General</c:formatCode>
                <c:ptCount val="5"/>
                <c:pt idx="0">
                  <c:v>0.85</c:v>
                </c:pt>
                <c:pt idx="1">
                  <c:v>0.04</c:v>
                </c:pt>
                <c:pt idx="2">
                  <c:v>9.5000000000000001E-2</c:v>
                </c:pt>
                <c:pt idx="3">
                  <c:v>0.04</c:v>
                </c:pt>
                <c:pt idx="4">
                  <c:v>9.5000000000000001E-2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35E-4948-8014-8536E1C55B2F}"/>
            </c:ext>
          </c:extLst>
        </c:ser>
        <c:ser>
          <c:idx val="7"/>
          <c:order val="7"/>
          <c:tx>
            <c:v>P2</c:v>
          </c:tx>
          <c:spPr>
            <a:ln w="25400">
              <a:solidFill>
                <a:srgbClr val="9333EA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'Steel Beam Design'!$C$1805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1000"/>
                  </a:pPr>
                  <a:endParaRPr lang="zh-HK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{91D19191-0245-4634-9CA9-D79B9DD3C5E1}</c15:txfldGUID>
                      <c15:f>'Steel Beam Design'!$C$1805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835E-4948-8014-8536E1C55B2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Design'!$A$1805:$A$1809</c:f>
              <c:numCache>
                <c:formatCode>General</c:formatCode>
                <c:ptCount val="5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</c:numCache>
            </c:numRef>
          </c:xVal>
          <c:yVal>
            <c:numRef>
              <c:f>'Steel Beam Design'!$B$1805:$B$1809</c:f>
              <c:numCache>
                <c:formatCode>General</c:formatCode>
                <c:ptCount val="5"/>
                <c:pt idx="0">
                  <c:v>0.85</c:v>
                </c:pt>
                <c:pt idx="1">
                  <c:v>0.04</c:v>
                </c:pt>
                <c:pt idx="2">
                  <c:v>9.5000000000000001E-2</c:v>
                </c:pt>
                <c:pt idx="3">
                  <c:v>0.04</c:v>
                </c:pt>
                <c:pt idx="4">
                  <c:v>9.5000000000000001E-2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35E-4948-8014-8536E1C55B2F}"/>
            </c:ext>
          </c:extLst>
        </c:ser>
        <c:ser>
          <c:idx val="8"/>
          <c:order val="8"/>
          <c:tx>
            <c:v>P3</c:v>
          </c:tx>
          <c:spPr>
            <a:ln w="25400">
              <a:solidFill>
                <a:srgbClr val="D97706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'Steel Beam Design'!$C$1812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1000"/>
                  </a:pPr>
                  <a:endParaRPr lang="zh-HK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{EA54F5CE-249B-4004-B965-FCCF12284827}</c15:txfldGUID>
                      <c15:f>'Steel Beam Design'!$C$1812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835E-4948-8014-8536E1C55B2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Design'!$A$1812:$A$1816</c:f>
              <c:numCache>
                <c:formatCode>General</c:formatCode>
                <c:ptCount val="5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</c:numCache>
            </c:numRef>
          </c:xVal>
          <c:yVal>
            <c:numRef>
              <c:f>'Steel Beam Design'!$B$1812:$B$1816</c:f>
              <c:numCache>
                <c:formatCode>General</c:formatCode>
                <c:ptCount val="5"/>
                <c:pt idx="0">
                  <c:v>0.85</c:v>
                </c:pt>
                <c:pt idx="1">
                  <c:v>0.04</c:v>
                </c:pt>
                <c:pt idx="2">
                  <c:v>9.5000000000000001E-2</c:v>
                </c:pt>
                <c:pt idx="3">
                  <c:v>0.04</c:v>
                </c:pt>
                <c:pt idx="4">
                  <c:v>9.5000000000000001E-2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35E-4948-8014-8536E1C55B2F}"/>
            </c:ext>
          </c:extLst>
        </c:ser>
        <c:ser>
          <c:idx val="9"/>
          <c:order val="9"/>
          <c:tx>
            <c:v>P4</c:v>
          </c:tx>
          <c:spPr>
            <a:ln w="25400">
              <a:solidFill>
                <a:srgbClr val="0891B2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'Steel Beam Design'!$C$1819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1000"/>
                  </a:pPr>
                  <a:endParaRPr lang="zh-HK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{1000B0E1-0EA4-40CA-9350-D4F69D88FD26}</c15:txfldGUID>
                      <c15:f>'Steel Beam Design'!$C$1819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835E-4948-8014-8536E1C55B2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Design'!$A$1819:$A$1823</c:f>
              <c:numCache>
                <c:formatCode>General</c:formatCode>
                <c:ptCount val="5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</c:numCache>
            </c:numRef>
          </c:xVal>
          <c:yVal>
            <c:numRef>
              <c:f>'Steel Beam Design'!$B$1819:$B$1823</c:f>
              <c:numCache>
                <c:formatCode>General</c:formatCode>
                <c:ptCount val="5"/>
                <c:pt idx="0">
                  <c:v>0.85</c:v>
                </c:pt>
                <c:pt idx="1">
                  <c:v>0.04</c:v>
                </c:pt>
                <c:pt idx="2">
                  <c:v>9.5000000000000001E-2</c:v>
                </c:pt>
                <c:pt idx="3">
                  <c:v>0.04</c:v>
                </c:pt>
                <c:pt idx="4">
                  <c:v>9.5000000000000001E-2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35E-4948-8014-8536E1C55B2F}"/>
            </c:ext>
          </c:extLst>
        </c:ser>
        <c:ser>
          <c:idx val="10"/>
          <c:order val="10"/>
          <c:tx>
            <c:v>UDL top</c:v>
          </c:tx>
          <c:spPr>
            <a:ln w="19050">
              <a:solidFill>
                <a:srgbClr val="DC2626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'Steel Beam Design'!$C$1826</c:f>
                  <c:strCache>
                    <c:ptCount val="1"/>
                    <c:pt idx="0">
                      <c:v>w = 89.00 kN/m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1000"/>
                  </a:pPr>
                  <a:endParaRPr lang="zh-HK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{26C58449-2333-48A4-BD85-98980B2EEE0E}</c15:txfldGUID>
                      <c15:f>'Steel Beam Design'!$C$1826</c15:f>
                      <c15:dlblFieldTableCache>
                        <c:ptCount val="1"/>
                        <c:pt idx="0">
                          <c:v>w = 89.00 kN/m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835E-4948-8014-8536E1C55B2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Design'!$A$1826:$A$1828</c:f>
              <c:numCache>
                <c:formatCode>General</c:formatCode>
                <c:ptCount val="3"/>
                <c:pt idx="0">
                  <c:v>0.5</c:v>
                </c:pt>
                <c:pt idx="1">
                  <c:v>0</c:v>
                </c:pt>
                <c:pt idx="2">
                  <c:v>1</c:v>
                </c:pt>
              </c:numCache>
            </c:numRef>
          </c:xVal>
          <c:yVal>
            <c:numRef>
              <c:f>'Steel Beam Design'!$B$1826:$B$1828</c:f>
              <c:numCache>
                <c:formatCode>General</c:formatCode>
                <c:ptCount val="3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35E-4948-8014-8536E1C55B2F}"/>
            </c:ext>
          </c:extLst>
        </c:ser>
        <c:ser>
          <c:idx val="11"/>
          <c:order val="11"/>
          <c:tx>
            <c:v>UDL 0</c:v>
          </c:tx>
          <c:spPr>
            <a:ln w="12700">
              <a:solidFill>
                <a:srgbClr val="DC2626"/>
              </a:solidFill>
            </a:ln>
          </c:spPr>
          <c:marker>
            <c:symbol val="none"/>
          </c:marker>
          <c:xVal>
            <c:numRef>
              <c:f>'Steel Beam Design'!$A$1831:$A$1835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-8.0000000000000002E-3</c:v>
                </c:pt>
                <c:pt idx="3">
                  <c:v>0</c:v>
                </c:pt>
                <c:pt idx="4">
                  <c:v>8.0000000000000002E-3</c:v>
                </c:pt>
              </c:numCache>
            </c:numRef>
          </c:xVal>
          <c:yVal>
            <c:numRef>
              <c:f>'Steel Beam Design'!$B$1831:$B$1835</c:f>
              <c:numCache>
                <c:formatCode>General</c:formatCode>
                <c:ptCount val="5"/>
                <c:pt idx="0">
                  <c:v>0.55000000000000004</c:v>
                </c:pt>
                <c:pt idx="1">
                  <c:v>4.4999999999999998E-2</c:v>
                </c:pt>
                <c:pt idx="2">
                  <c:v>8.5000000000000006E-2</c:v>
                </c:pt>
                <c:pt idx="3">
                  <c:v>4.4999999999999998E-2</c:v>
                </c:pt>
                <c:pt idx="4">
                  <c:v>8.5000000000000006E-2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35E-4948-8014-8536E1C55B2F}"/>
            </c:ext>
          </c:extLst>
        </c:ser>
        <c:ser>
          <c:idx val="12"/>
          <c:order val="12"/>
          <c:tx>
            <c:v>UDL 1</c:v>
          </c:tx>
          <c:spPr>
            <a:ln w="12700">
              <a:solidFill>
                <a:srgbClr val="DC2626"/>
              </a:solidFill>
            </a:ln>
          </c:spPr>
          <c:marker>
            <c:symbol val="none"/>
          </c:marker>
          <c:xVal>
            <c:numRef>
              <c:f>'Steel Beam Design'!$A$1838:$A$1842</c:f>
              <c:numCache>
                <c:formatCode>General</c:formatCode>
                <c:ptCount val="5"/>
                <c:pt idx="0">
                  <c:v>0.1</c:v>
                </c:pt>
                <c:pt idx="1">
                  <c:v>0.1</c:v>
                </c:pt>
                <c:pt idx="2">
                  <c:v>9.1999999999999998E-2</c:v>
                </c:pt>
                <c:pt idx="3">
                  <c:v>0.1</c:v>
                </c:pt>
                <c:pt idx="4">
                  <c:v>0.108</c:v>
                </c:pt>
              </c:numCache>
            </c:numRef>
          </c:xVal>
          <c:yVal>
            <c:numRef>
              <c:f>'Steel Beam Design'!$B$1838:$B$1842</c:f>
              <c:numCache>
                <c:formatCode>General</c:formatCode>
                <c:ptCount val="5"/>
                <c:pt idx="0">
                  <c:v>0.55000000000000004</c:v>
                </c:pt>
                <c:pt idx="1">
                  <c:v>4.4999999999999998E-2</c:v>
                </c:pt>
                <c:pt idx="2">
                  <c:v>8.5000000000000006E-2</c:v>
                </c:pt>
                <c:pt idx="3">
                  <c:v>4.4999999999999998E-2</c:v>
                </c:pt>
                <c:pt idx="4">
                  <c:v>8.5000000000000006E-2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35E-4948-8014-8536E1C55B2F}"/>
            </c:ext>
          </c:extLst>
        </c:ser>
        <c:ser>
          <c:idx val="13"/>
          <c:order val="13"/>
          <c:tx>
            <c:v>UDL 2</c:v>
          </c:tx>
          <c:spPr>
            <a:ln w="12700">
              <a:solidFill>
                <a:srgbClr val="DC2626"/>
              </a:solidFill>
            </a:ln>
          </c:spPr>
          <c:marker>
            <c:symbol val="none"/>
          </c:marker>
          <c:xVal>
            <c:numRef>
              <c:f>'Steel Beam Design'!$A$1845:$A$1849</c:f>
              <c:numCache>
                <c:formatCode>General</c:formatCode>
                <c:ptCount val="5"/>
                <c:pt idx="0">
                  <c:v>0.2</c:v>
                </c:pt>
                <c:pt idx="1">
                  <c:v>0.2</c:v>
                </c:pt>
                <c:pt idx="2">
                  <c:v>0.192</c:v>
                </c:pt>
                <c:pt idx="3">
                  <c:v>0.2</c:v>
                </c:pt>
                <c:pt idx="4">
                  <c:v>0.20799999999999999</c:v>
                </c:pt>
              </c:numCache>
            </c:numRef>
          </c:xVal>
          <c:yVal>
            <c:numRef>
              <c:f>'Steel Beam Design'!$B$1845:$B$1849</c:f>
              <c:numCache>
                <c:formatCode>General</c:formatCode>
                <c:ptCount val="5"/>
                <c:pt idx="0">
                  <c:v>0.55000000000000004</c:v>
                </c:pt>
                <c:pt idx="1">
                  <c:v>4.4999999999999998E-2</c:v>
                </c:pt>
                <c:pt idx="2">
                  <c:v>8.5000000000000006E-2</c:v>
                </c:pt>
                <c:pt idx="3">
                  <c:v>4.4999999999999998E-2</c:v>
                </c:pt>
                <c:pt idx="4">
                  <c:v>8.5000000000000006E-2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35E-4948-8014-8536E1C55B2F}"/>
            </c:ext>
          </c:extLst>
        </c:ser>
        <c:ser>
          <c:idx val="14"/>
          <c:order val="14"/>
          <c:tx>
            <c:v>UDL 3</c:v>
          </c:tx>
          <c:spPr>
            <a:ln w="12700">
              <a:solidFill>
                <a:srgbClr val="DC2626"/>
              </a:solidFill>
            </a:ln>
          </c:spPr>
          <c:marker>
            <c:symbol val="none"/>
          </c:marker>
          <c:xVal>
            <c:numRef>
              <c:f>'Steel Beam Design'!$A$1852:$A$1856</c:f>
              <c:numCache>
                <c:formatCode>General</c:formatCode>
                <c:ptCount val="5"/>
                <c:pt idx="0">
                  <c:v>0.3</c:v>
                </c:pt>
                <c:pt idx="1">
                  <c:v>0.3</c:v>
                </c:pt>
                <c:pt idx="2">
                  <c:v>0.29199999999999998</c:v>
                </c:pt>
                <c:pt idx="3">
                  <c:v>0.3</c:v>
                </c:pt>
                <c:pt idx="4">
                  <c:v>0.308</c:v>
                </c:pt>
              </c:numCache>
            </c:numRef>
          </c:xVal>
          <c:yVal>
            <c:numRef>
              <c:f>'Steel Beam Design'!$B$1852:$B$1856</c:f>
              <c:numCache>
                <c:formatCode>General</c:formatCode>
                <c:ptCount val="5"/>
                <c:pt idx="0">
                  <c:v>0.55000000000000004</c:v>
                </c:pt>
                <c:pt idx="1">
                  <c:v>4.4999999999999998E-2</c:v>
                </c:pt>
                <c:pt idx="2">
                  <c:v>8.5000000000000006E-2</c:v>
                </c:pt>
                <c:pt idx="3">
                  <c:v>4.4999999999999998E-2</c:v>
                </c:pt>
                <c:pt idx="4">
                  <c:v>8.5000000000000006E-2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35E-4948-8014-8536E1C55B2F}"/>
            </c:ext>
          </c:extLst>
        </c:ser>
        <c:ser>
          <c:idx val="15"/>
          <c:order val="15"/>
          <c:tx>
            <c:v>UDL 4</c:v>
          </c:tx>
          <c:spPr>
            <a:ln w="12700">
              <a:solidFill>
                <a:srgbClr val="DC2626"/>
              </a:solidFill>
            </a:ln>
          </c:spPr>
          <c:marker>
            <c:symbol val="none"/>
          </c:marker>
          <c:xVal>
            <c:numRef>
              <c:f>'Steel Beam Design'!$A$1859:$A$1863</c:f>
              <c:numCache>
                <c:formatCode>General</c:formatCode>
                <c:ptCount val="5"/>
                <c:pt idx="0">
                  <c:v>0.4</c:v>
                </c:pt>
                <c:pt idx="1">
                  <c:v>0.4</c:v>
                </c:pt>
                <c:pt idx="2">
                  <c:v>0.39200000000000002</c:v>
                </c:pt>
                <c:pt idx="3">
                  <c:v>0.4</c:v>
                </c:pt>
                <c:pt idx="4">
                  <c:v>0.40799999999999997</c:v>
                </c:pt>
              </c:numCache>
            </c:numRef>
          </c:xVal>
          <c:yVal>
            <c:numRef>
              <c:f>'Steel Beam Design'!$B$1859:$B$1863</c:f>
              <c:numCache>
                <c:formatCode>General</c:formatCode>
                <c:ptCount val="5"/>
                <c:pt idx="0">
                  <c:v>0.55000000000000004</c:v>
                </c:pt>
                <c:pt idx="1">
                  <c:v>4.4999999999999998E-2</c:v>
                </c:pt>
                <c:pt idx="2">
                  <c:v>8.5000000000000006E-2</c:v>
                </c:pt>
                <c:pt idx="3">
                  <c:v>4.4999999999999998E-2</c:v>
                </c:pt>
                <c:pt idx="4">
                  <c:v>8.5000000000000006E-2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35E-4948-8014-8536E1C55B2F}"/>
            </c:ext>
          </c:extLst>
        </c:ser>
        <c:ser>
          <c:idx val="16"/>
          <c:order val="16"/>
          <c:tx>
            <c:v>UDL 5</c:v>
          </c:tx>
          <c:spPr>
            <a:ln w="12700">
              <a:solidFill>
                <a:srgbClr val="DC2626"/>
              </a:solidFill>
            </a:ln>
          </c:spPr>
          <c:marker>
            <c:symbol val="none"/>
          </c:marker>
          <c:xVal>
            <c:numRef>
              <c:f>'Steel Beam Design'!$A$1866:$A$1870</c:f>
              <c:numCache>
                <c:formatCode>General</c:formatCode>
                <c:ptCount val="5"/>
                <c:pt idx="0">
                  <c:v>0.5</c:v>
                </c:pt>
                <c:pt idx="1">
                  <c:v>0.5</c:v>
                </c:pt>
                <c:pt idx="2">
                  <c:v>0.49199999999999999</c:v>
                </c:pt>
                <c:pt idx="3">
                  <c:v>0.5</c:v>
                </c:pt>
                <c:pt idx="4">
                  <c:v>0.50800000000000001</c:v>
                </c:pt>
              </c:numCache>
            </c:numRef>
          </c:xVal>
          <c:yVal>
            <c:numRef>
              <c:f>'Steel Beam Design'!$B$1866:$B$1870</c:f>
              <c:numCache>
                <c:formatCode>General</c:formatCode>
                <c:ptCount val="5"/>
                <c:pt idx="0">
                  <c:v>0.55000000000000004</c:v>
                </c:pt>
                <c:pt idx="1">
                  <c:v>4.4999999999999998E-2</c:v>
                </c:pt>
                <c:pt idx="2">
                  <c:v>8.5000000000000006E-2</c:v>
                </c:pt>
                <c:pt idx="3">
                  <c:v>4.4999999999999998E-2</c:v>
                </c:pt>
                <c:pt idx="4">
                  <c:v>8.5000000000000006E-2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35E-4948-8014-8536E1C55B2F}"/>
            </c:ext>
          </c:extLst>
        </c:ser>
        <c:ser>
          <c:idx val="17"/>
          <c:order val="17"/>
          <c:tx>
            <c:v>UDL 6</c:v>
          </c:tx>
          <c:spPr>
            <a:ln w="12700">
              <a:solidFill>
                <a:srgbClr val="DC2626"/>
              </a:solidFill>
            </a:ln>
          </c:spPr>
          <c:marker>
            <c:symbol val="none"/>
          </c:marker>
          <c:xVal>
            <c:numRef>
              <c:f>'Steel Beam Design'!$A$1873:$A$1877</c:f>
              <c:numCache>
                <c:formatCode>General</c:formatCode>
                <c:ptCount val="5"/>
                <c:pt idx="0">
                  <c:v>0.6</c:v>
                </c:pt>
                <c:pt idx="1">
                  <c:v>0.6</c:v>
                </c:pt>
                <c:pt idx="2">
                  <c:v>0.59199999999999997</c:v>
                </c:pt>
                <c:pt idx="3">
                  <c:v>0.6</c:v>
                </c:pt>
                <c:pt idx="4">
                  <c:v>0.60799999999999998</c:v>
                </c:pt>
              </c:numCache>
            </c:numRef>
          </c:xVal>
          <c:yVal>
            <c:numRef>
              <c:f>'Steel Beam Design'!$B$1873:$B$1877</c:f>
              <c:numCache>
                <c:formatCode>General</c:formatCode>
                <c:ptCount val="5"/>
                <c:pt idx="0">
                  <c:v>0.55000000000000004</c:v>
                </c:pt>
                <c:pt idx="1">
                  <c:v>4.4999999999999998E-2</c:v>
                </c:pt>
                <c:pt idx="2">
                  <c:v>8.5000000000000006E-2</c:v>
                </c:pt>
                <c:pt idx="3">
                  <c:v>4.4999999999999998E-2</c:v>
                </c:pt>
                <c:pt idx="4">
                  <c:v>8.5000000000000006E-2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835E-4948-8014-8536E1C55B2F}"/>
            </c:ext>
          </c:extLst>
        </c:ser>
        <c:ser>
          <c:idx val="18"/>
          <c:order val="18"/>
          <c:tx>
            <c:v>UDL 7</c:v>
          </c:tx>
          <c:spPr>
            <a:ln w="12700">
              <a:solidFill>
                <a:srgbClr val="DC2626"/>
              </a:solidFill>
            </a:ln>
          </c:spPr>
          <c:marker>
            <c:symbol val="none"/>
          </c:marker>
          <c:xVal>
            <c:numRef>
              <c:f>'Steel Beam Design'!$A$1880:$A$1884</c:f>
              <c:numCache>
                <c:formatCode>General</c:formatCode>
                <c:ptCount val="5"/>
                <c:pt idx="0">
                  <c:v>0.7</c:v>
                </c:pt>
                <c:pt idx="1">
                  <c:v>0.7</c:v>
                </c:pt>
                <c:pt idx="2">
                  <c:v>0.69199999999999995</c:v>
                </c:pt>
                <c:pt idx="3">
                  <c:v>0.7</c:v>
                </c:pt>
                <c:pt idx="4">
                  <c:v>0.70799999999999996</c:v>
                </c:pt>
              </c:numCache>
            </c:numRef>
          </c:xVal>
          <c:yVal>
            <c:numRef>
              <c:f>'Steel Beam Design'!$B$1880:$B$1884</c:f>
              <c:numCache>
                <c:formatCode>General</c:formatCode>
                <c:ptCount val="5"/>
                <c:pt idx="0">
                  <c:v>0.55000000000000004</c:v>
                </c:pt>
                <c:pt idx="1">
                  <c:v>4.4999999999999998E-2</c:v>
                </c:pt>
                <c:pt idx="2">
                  <c:v>8.5000000000000006E-2</c:v>
                </c:pt>
                <c:pt idx="3">
                  <c:v>4.4999999999999998E-2</c:v>
                </c:pt>
                <c:pt idx="4">
                  <c:v>8.5000000000000006E-2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35E-4948-8014-8536E1C55B2F}"/>
            </c:ext>
          </c:extLst>
        </c:ser>
        <c:ser>
          <c:idx val="19"/>
          <c:order val="19"/>
          <c:tx>
            <c:v>UDL 8</c:v>
          </c:tx>
          <c:spPr>
            <a:ln w="12700">
              <a:solidFill>
                <a:srgbClr val="DC2626"/>
              </a:solidFill>
            </a:ln>
          </c:spPr>
          <c:marker>
            <c:symbol val="none"/>
          </c:marker>
          <c:xVal>
            <c:numRef>
              <c:f>'Steel Beam Design'!$A$1887:$A$1891</c:f>
              <c:numCache>
                <c:formatCode>General</c:formatCode>
                <c:ptCount val="5"/>
                <c:pt idx="0">
                  <c:v>0.8</c:v>
                </c:pt>
                <c:pt idx="1">
                  <c:v>0.8</c:v>
                </c:pt>
                <c:pt idx="2">
                  <c:v>0.79200000000000004</c:v>
                </c:pt>
                <c:pt idx="3">
                  <c:v>0.8</c:v>
                </c:pt>
                <c:pt idx="4">
                  <c:v>0.80800000000000005</c:v>
                </c:pt>
              </c:numCache>
            </c:numRef>
          </c:xVal>
          <c:yVal>
            <c:numRef>
              <c:f>'Steel Beam Design'!$B$1887:$B$1891</c:f>
              <c:numCache>
                <c:formatCode>General</c:formatCode>
                <c:ptCount val="5"/>
                <c:pt idx="0">
                  <c:v>0.55000000000000004</c:v>
                </c:pt>
                <c:pt idx="1">
                  <c:v>4.4999999999999998E-2</c:v>
                </c:pt>
                <c:pt idx="2">
                  <c:v>8.5000000000000006E-2</c:v>
                </c:pt>
                <c:pt idx="3">
                  <c:v>4.4999999999999998E-2</c:v>
                </c:pt>
                <c:pt idx="4">
                  <c:v>8.5000000000000006E-2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835E-4948-8014-8536E1C55B2F}"/>
            </c:ext>
          </c:extLst>
        </c:ser>
        <c:ser>
          <c:idx val="20"/>
          <c:order val="20"/>
          <c:tx>
            <c:v>UDL 9</c:v>
          </c:tx>
          <c:spPr>
            <a:ln w="12700">
              <a:solidFill>
                <a:srgbClr val="DC2626"/>
              </a:solidFill>
            </a:ln>
          </c:spPr>
          <c:marker>
            <c:symbol val="none"/>
          </c:marker>
          <c:xVal>
            <c:numRef>
              <c:f>'Steel Beam Design'!$A$1894:$A$1898</c:f>
              <c:numCache>
                <c:formatCode>General</c:formatCode>
                <c:ptCount val="5"/>
                <c:pt idx="0">
                  <c:v>0.9</c:v>
                </c:pt>
                <c:pt idx="1">
                  <c:v>0.9</c:v>
                </c:pt>
                <c:pt idx="2">
                  <c:v>0.89200000000000002</c:v>
                </c:pt>
                <c:pt idx="3">
                  <c:v>0.9</c:v>
                </c:pt>
                <c:pt idx="4">
                  <c:v>0.90800000000000003</c:v>
                </c:pt>
              </c:numCache>
            </c:numRef>
          </c:xVal>
          <c:yVal>
            <c:numRef>
              <c:f>'Steel Beam Design'!$B$1894:$B$1898</c:f>
              <c:numCache>
                <c:formatCode>General</c:formatCode>
                <c:ptCount val="5"/>
                <c:pt idx="0">
                  <c:v>0.55000000000000004</c:v>
                </c:pt>
                <c:pt idx="1">
                  <c:v>4.4999999999999998E-2</c:v>
                </c:pt>
                <c:pt idx="2">
                  <c:v>8.5000000000000006E-2</c:v>
                </c:pt>
                <c:pt idx="3">
                  <c:v>4.4999999999999998E-2</c:v>
                </c:pt>
                <c:pt idx="4">
                  <c:v>8.5000000000000006E-2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835E-4948-8014-8536E1C55B2F}"/>
            </c:ext>
          </c:extLst>
        </c:ser>
        <c:ser>
          <c:idx val="21"/>
          <c:order val="21"/>
          <c:tx>
            <c:v>UDL 10</c:v>
          </c:tx>
          <c:spPr>
            <a:ln w="12700">
              <a:solidFill>
                <a:srgbClr val="DC2626"/>
              </a:solidFill>
            </a:ln>
          </c:spPr>
          <c:marker>
            <c:symbol val="none"/>
          </c:marker>
          <c:xVal>
            <c:numRef>
              <c:f>'Steel Beam Design'!$A$1901:$A$1905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0.99199999999999999</c:v>
                </c:pt>
                <c:pt idx="3">
                  <c:v>1</c:v>
                </c:pt>
                <c:pt idx="4">
                  <c:v>1.008</c:v>
                </c:pt>
              </c:numCache>
            </c:numRef>
          </c:xVal>
          <c:yVal>
            <c:numRef>
              <c:f>'Steel Beam Design'!$B$1901:$B$1905</c:f>
              <c:numCache>
                <c:formatCode>General</c:formatCode>
                <c:ptCount val="5"/>
                <c:pt idx="0">
                  <c:v>0.55000000000000004</c:v>
                </c:pt>
                <c:pt idx="1">
                  <c:v>4.4999999999999998E-2</c:v>
                </c:pt>
                <c:pt idx="2">
                  <c:v>8.5000000000000006E-2</c:v>
                </c:pt>
                <c:pt idx="3">
                  <c:v>4.4999999999999998E-2</c:v>
                </c:pt>
                <c:pt idx="4">
                  <c:v>8.5000000000000006E-2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835E-4948-8014-8536E1C55B2F}"/>
            </c:ext>
          </c:extLst>
        </c:ser>
        <c:ser>
          <c:idx val="22"/>
          <c:order val="22"/>
          <c:tx>
            <c:v>Span</c:v>
          </c:tx>
          <c:spPr>
            <a:ln w="12700">
              <a:solidFill>
                <a:srgbClr val="64748B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'Steel Beam Design'!$C$1908</c:f>
                  <c:strCache>
                    <c:ptCount val="1"/>
                    <c:pt idx="0">
                      <c:v>Span = 2.50 m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1000"/>
                  </a:pPr>
                  <a:endParaRPr lang="zh-HK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{C12A67D5-6055-443B-8B1E-953950F4799F}</c15:txfldGUID>
                      <c15:f>'Steel Beam Design'!$C$1908</c15:f>
                      <c15:dlblFieldTableCache>
                        <c:ptCount val="1"/>
                        <c:pt idx="0">
                          <c:v>Span = 2.50 m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835E-4948-8014-8536E1C55B2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Design'!$A$1908:$A$1917</c:f>
              <c:numCache>
                <c:formatCode>General</c:formatCode>
                <c:ptCount val="10"/>
                <c:pt idx="0">
                  <c:v>0.5</c:v>
                </c:pt>
                <c:pt idx="1">
                  <c:v>0</c:v>
                </c:pt>
                <c:pt idx="2">
                  <c:v>1.4E-2</c:v>
                </c:pt>
                <c:pt idx="3">
                  <c:v>0</c:v>
                </c:pt>
                <c:pt idx="4">
                  <c:v>1.4E-2</c:v>
                </c:pt>
                <c:pt idx="5">
                  <c:v>0</c:v>
                </c:pt>
                <c:pt idx="6">
                  <c:v>1</c:v>
                </c:pt>
                <c:pt idx="7">
                  <c:v>0.98599999999999999</c:v>
                </c:pt>
                <c:pt idx="8">
                  <c:v>1</c:v>
                </c:pt>
                <c:pt idx="9">
                  <c:v>0.98599999999999999</c:v>
                </c:pt>
              </c:numCache>
            </c:numRef>
          </c:xVal>
          <c:yVal>
            <c:numRef>
              <c:f>'Steel Beam Design'!$B$1908:$B$1917</c:f>
              <c:numCache>
                <c:formatCode>General</c:formatCode>
                <c:ptCount val="10"/>
                <c:pt idx="0">
                  <c:v>-0.62</c:v>
                </c:pt>
                <c:pt idx="1">
                  <c:v>-0.62</c:v>
                </c:pt>
                <c:pt idx="2">
                  <c:v>-0.59499999999999997</c:v>
                </c:pt>
                <c:pt idx="3">
                  <c:v>-0.62</c:v>
                </c:pt>
                <c:pt idx="4">
                  <c:v>-0.64500000000000002</c:v>
                </c:pt>
                <c:pt idx="5">
                  <c:v>-0.62</c:v>
                </c:pt>
                <c:pt idx="6">
                  <c:v>-0.62</c:v>
                </c:pt>
                <c:pt idx="7">
                  <c:v>-0.59499999999999997</c:v>
                </c:pt>
                <c:pt idx="8">
                  <c:v>-0.62</c:v>
                </c:pt>
                <c:pt idx="9">
                  <c:v>-0.64500000000000002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835E-4948-8014-8536E1C55B2F}"/>
            </c:ext>
          </c:extLst>
        </c:ser>
        <c:ser>
          <c:idx val="23"/>
          <c:order val="23"/>
          <c:tx>
            <c:v>Left extension</c:v>
          </c:tx>
          <c:spPr>
            <a:ln w="12700">
              <a:solidFill>
                <a:srgbClr val="64748B"/>
              </a:solidFill>
            </a:ln>
          </c:spPr>
          <c:marker>
            <c:symbol val="none"/>
          </c:marker>
          <c:xVal>
            <c:numRef>
              <c:f>'Steel Beam Design'!$A$1920:$A$1921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'Steel Beam Design'!$B$1920:$B$1921</c:f>
              <c:numCache>
                <c:formatCode>General</c:formatCode>
                <c:ptCount val="2"/>
                <c:pt idx="0">
                  <c:v>-0.18</c:v>
                </c:pt>
                <c:pt idx="1">
                  <c:v>-0.68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835E-4948-8014-8536E1C55B2F}"/>
            </c:ext>
          </c:extLst>
        </c:ser>
        <c:ser>
          <c:idx val="24"/>
          <c:order val="24"/>
          <c:tx>
            <c:v>Right extension</c:v>
          </c:tx>
          <c:spPr>
            <a:ln w="12700">
              <a:solidFill>
                <a:srgbClr val="64748B"/>
              </a:solidFill>
            </a:ln>
          </c:spPr>
          <c:marker>
            <c:symbol val="none"/>
          </c:marker>
          <c:xVal>
            <c:numRef>
              <c:f>'Steel Beam Design'!$A$1924:$A$1925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'Steel Beam Design'!$B$1924:$B$1925</c:f>
              <c:numCache>
                <c:formatCode>General</c:formatCode>
                <c:ptCount val="2"/>
                <c:pt idx="0">
                  <c:v>-0.18</c:v>
                </c:pt>
                <c:pt idx="1">
                  <c:v>-0.68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835E-4948-8014-8536E1C55B2F}"/>
            </c:ext>
          </c:extLst>
        </c:ser>
        <c:ser>
          <c:idx val="25"/>
          <c:order val="25"/>
          <c:tx>
            <c:v>P5</c:v>
          </c:tx>
          <c:spPr>
            <a:ln w="25400">
              <a:solidFill>
                <a:srgbClr val="008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'Steel Beam Design'!$C$5602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1000"/>
                  </a:pPr>
                  <a:endParaRPr lang="zh-HK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{5B6A720C-A7A1-4E2A-8843-DC68AFB6A5F4}</c15:txfldGUID>
                      <c15:f>'Steel Beam Design'!$C$5602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7153-4B6B-96B1-E9870C8903A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Design'!$A$5602:$A$5606</c:f>
              <c:numCache>
                <c:formatCode>General</c:formatCode>
                <c:ptCount val="5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</c:numCache>
            </c:numRef>
          </c:xVal>
          <c:yVal>
            <c:numRef>
              <c:f>'Steel Beam Design'!$B$5602:$B$5606</c:f>
              <c:numCache>
                <c:formatCode>General</c:formatCode>
                <c:ptCount val="5"/>
                <c:pt idx="0">
                  <c:v>0.85</c:v>
                </c:pt>
                <c:pt idx="1">
                  <c:v>0.04</c:v>
                </c:pt>
                <c:pt idx="2">
                  <c:v>9.5000000000000001E-2</c:v>
                </c:pt>
                <c:pt idx="3">
                  <c:v>0.04</c:v>
                </c:pt>
                <c:pt idx="4">
                  <c:v>9.5000000000000001E-2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3-4B6B-96B1-E9870C8903AC}"/>
            </c:ext>
          </c:extLst>
        </c:ser>
        <c:ser>
          <c:idx val="26"/>
          <c:order val="26"/>
          <c:tx>
            <c:v>Distance 1</c:v>
          </c:tx>
          <c:spPr>
            <a:ln w="10160">
              <a:solidFill>
                <a:srgbClr val="70809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'Steel Beam Design'!$C$5802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900"/>
                  </a:pPr>
                  <a:endParaRPr lang="zh-HK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{5290E680-F1F2-4C7A-A544-50BC1EEAD175}</c15:txfldGUID>
                      <c15:f>'Steel Beam Design'!$C$5802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FF8A-4AD6-8BB7-9135FC2DCF6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Design'!$A$5802:$A$5810</c:f>
              <c:numCache>
                <c:formatCode>General</c:formatCode>
                <c:ptCount val="9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</c:numCache>
            </c:numRef>
          </c:xVal>
          <c:yVal>
            <c:numRef>
              <c:f>'Steel Beam Design'!$B$5802:$B$5810</c:f>
              <c:numCache>
                <c:formatCode>General</c:formatCode>
                <c:ptCount val="9"/>
                <c:pt idx="0">
                  <c:v>-0.28000000000000003</c:v>
                </c:pt>
                <c:pt idx="1">
                  <c:v>-0.28000000000000003</c:v>
                </c:pt>
                <c:pt idx="2">
                  <c:v>-0.245</c:v>
                </c:pt>
                <c:pt idx="3">
                  <c:v>-0.315</c:v>
                </c:pt>
                <c:pt idx="4">
                  <c:v>-0.28000000000000003</c:v>
                </c:pt>
                <c:pt idx="5">
                  <c:v>-0.28000000000000003</c:v>
                </c:pt>
                <c:pt idx="6">
                  <c:v>-0.245</c:v>
                </c:pt>
                <c:pt idx="7">
                  <c:v>-0.315</c:v>
                </c:pt>
                <c:pt idx="8">
                  <c:v>-0.28000000000000003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8A-4AD6-8BB7-9135FC2DCF63}"/>
            </c:ext>
          </c:extLst>
        </c:ser>
        <c:ser>
          <c:idx val="27"/>
          <c:order val="27"/>
          <c:tx>
            <c:v>Distance 2</c:v>
          </c:tx>
          <c:spPr>
            <a:ln w="10160">
              <a:solidFill>
                <a:srgbClr val="70809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'Steel Beam Design'!$C$5812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900"/>
                  </a:pPr>
                  <a:endParaRPr lang="zh-HK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{A8B24068-4F45-4350-AF5E-28C0D16B0920}</c15:txfldGUID>
                      <c15:f>'Steel Beam Design'!$C$5812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FF8A-4AD6-8BB7-9135FC2DCF6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Design'!$A$5812:$A$5820</c:f>
              <c:numCache>
                <c:formatCode>General</c:formatCode>
                <c:ptCount val="9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</c:numCache>
            </c:numRef>
          </c:xVal>
          <c:yVal>
            <c:numRef>
              <c:f>'Steel Beam Design'!$B$5812:$B$5820</c:f>
              <c:numCache>
                <c:formatCode>General</c:formatCode>
                <c:ptCount val="9"/>
                <c:pt idx="0">
                  <c:v>-0.28000000000000003</c:v>
                </c:pt>
                <c:pt idx="1">
                  <c:v>-0.28000000000000003</c:v>
                </c:pt>
                <c:pt idx="2">
                  <c:v>-0.245</c:v>
                </c:pt>
                <c:pt idx="3">
                  <c:v>-0.315</c:v>
                </c:pt>
                <c:pt idx="4">
                  <c:v>-0.28000000000000003</c:v>
                </c:pt>
                <c:pt idx="5">
                  <c:v>-0.28000000000000003</c:v>
                </c:pt>
                <c:pt idx="6">
                  <c:v>-0.245</c:v>
                </c:pt>
                <c:pt idx="7">
                  <c:v>-0.315</c:v>
                </c:pt>
                <c:pt idx="8">
                  <c:v>-0.28000000000000003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8A-4AD6-8BB7-9135FC2DCF63}"/>
            </c:ext>
          </c:extLst>
        </c:ser>
        <c:ser>
          <c:idx val="28"/>
          <c:order val="28"/>
          <c:tx>
            <c:v>Distance 3</c:v>
          </c:tx>
          <c:spPr>
            <a:ln w="10160">
              <a:solidFill>
                <a:srgbClr val="70809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'Steel Beam Design'!$C$5822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900"/>
                  </a:pPr>
                  <a:endParaRPr lang="zh-HK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{42790F66-969A-418A-8FB8-A68F8063AD37}</c15:txfldGUID>
                      <c15:f>'Steel Beam Design'!$C$5822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FF8A-4AD6-8BB7-9135FC2DCF6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Design'!$A$5822:$A$5830</c:f>
              <c:numCache>
                <c:formatCode>General</c:formatCode>
                <c:ptCount val="9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</c:numCache>
            </c:numRef>
          </c:xVal>
          <c:yVal>
            <c:numRef>
              <c:f>'Steel Beam Design'!$B$5822:$B$5830</c:f>
              <c:numCache>
                <c:formatCode>General</c:formatCode>
                <c:ptCount val="9"/>
                <c:pt idx="0">
                  <c:v>-0.28000000000000003</c:v>
                </c:pt>
                <c:pt idx="1">
                  <c:v>-0.28000000000000003</c:v>
                </c:pt>
                <c:pt idx="2">
                  <c:v>-0.245</c:v>
                </c:pt>
                <c:pt idx="3">
                  <c:v>-0.315</c:v>
                </c:pt>
                <c:pt idx="4">
                  <c:v>-0.28000000000000003</c:v>
                </c:pt>
                <c:pt idx="5">
                  <c:v>-0.28000000000000003</c:v>
                </c:pt>
                <c:pt idx="6">
                  <c:v>-0.245</c:v>
                </c:pt>
                <c:pt idx="7">
                  <c:v>-0.315</c:v>
                </c:pt>
                <c:pt idx="8">
                  <c:v>-0.28000000000000003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F8A-4AD6-8BB7-9135FC2DCF63}"/>
            </c:ext>
          </c:extLst>
        </c:ser>
        <c:ser>
          <c:idx val="29"/>
          <c:order val="29"/>
          <c:tx>
            <c:v>Distance 4</c:v>
          </c:tx>
          <c:spPr>
            <a:ln w="10160">
              <a:solidFill>
                <a:srgbClr val="70809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'Steel Beam Design'!$C$5832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zh-TW" sz="900"/>
                  </a:pPr>
                  <a:endParaRPr lang="zh-HK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{71ED767F-D74D-43FF-B250-D21934E2BD71}</c15:txfldGUID>
                      <c15:f>'Steel Beam Design'!$C$5832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FF8A-4AD6-8BB7-9135FC2DCF6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Design'!$A$5832:$A$5840</c:f>
              <c:numCache>
                <c:formatCode>General</c:formatCode>
                <c:ptCount val="9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</c:numCache>
            </c:numRef>
          </c:xVal>
          <c:yVal>
            <c:numRef>
              <c:f>'Steel Beam Design'!$B$5832:$B$5840</c:f>
              <c:numCache>
                <c:formatCode>General</c:formatCode>
                <c:ptCount val="9"/>
                <c:pt idx="0">
                  <c:v>-0.28000000000000003</c:v>
                </c:pt>
                <c:pt idx="1">
                  <c:v>-0.28000000000000003</c:v>
                </c:pt>
                <c:pt idx="2">
                  <c:v>-0.245</c:v>
                </c:pt>
                <c:pt idx="3">
                  <c:v>-0.315</c:v>
                </c:pt>
                <c:pt idx="4">
                  <c:v>-0.28000000000000003</c:v>
                </c:pt>
                <c:pt idx="5">
                  <c:v>-0.28000000000000003</c:v>
                </c:pt>
                <c:pt idx="6">
                  <c:v>-0.245</c:v>
                </c:pt>
                <c:pt idx="7">
                  <c:v>-0.315</c:v>
                </c:pt>
                <c:pt idx="8">
                  <c:v>-0.28000000000000003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F8A-4AD6-8BB7-9135FC2DCF63}"/>
            </c:ext>
          </c:extLst>
        </c:ser>
        <c:ser>
          <c:idx val="30"/>
          <c:order val="30"/>
          <c:tx>
            <c:v>Distance 5</c:v>
          </c:tx>
          <c:spPr>
            <a:ln w="10160">
              <a:solidFill>
                <a:srgbClr val="70809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'Steel Beam Design'!$C$5842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900"/>
                  </a:pPr>
                  <a:endParaRPr lang="zh-HK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{DCA76E2A-7EC7-444B-9DD5-25E8B1739F39}</c15:txfldGUID>
                      <c15:f>'Steel Beam Design'!$C$5842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FF8A-4AD6-8BB7-9135FC2DCF6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Design'!$A$5842:$A$5850</c:f>
              <c:numCache>
                <c:formatCode>General</c:formatCode>
                <c:ptCount val="9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</c:numCache>
            </c:numRef>
          </c:xVal>
          <c:yVal>
            <c:numRef>
              <c:f>'Steel Beam Design'!$B$5842:$B$5850</c:f>
              <c:numCache>
                <c:formatCode>General</c:formatCode>
                <c:ptCount val="9"/>
                <c:pt idx="0">
                  <c:v>-0.28000000000000003</c:v>
                </c:pt>
                <c:pt idx="1">
                  <c:v>-0.28000000000000003</c:v>
                </c:pt>
                <c:pt idx="2">
                  <c:v>-0.245</c:v>
                </c:pt>
                <c:pt idx="3">
                  <c:v>-0.315</c:v>
                </c:pt>
                <c:pt idx="4">
                  <c:v>-0.28000000000000003</c:v>
                </c:pt>
                <c:pt idx="5">
                  <c:v>-0.28000000000000003</c:v>
                </c:pt>
                <c:pt idx="6">
                  <c:v>-0.245</c:v>
                </c:pt>
                <c:pt idx="7">
                  <c:v>-0.315</c:v>
                </c:pt>
                <c:pt idx="8">
                  <c:v>-0.28000000000000003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F8A-4AD6-8BB7-9135FC2DCF63}"/>
            </c:ext>
          </c:extLst>
        </c:ser>
        <c:ser>
          <c:idx val="31"/>
          <c:order val="31"/>
          <c:tx>
            <c:v>Distance 6</c:v>
          </c:tx>
          <c:spPr>
            <a:ln w="10160">
              <a:solidFill>
                <a:srgbClr val="70809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'Steel Beam Design'!$C$5852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900"/>
                  </a:pPr>
                  <a:endParaRPr lang="zh-HK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{51C627EC-8288-4D72-8CA4-80D03777F23B}</c15:txfldGUID>
                      <c15:f>'Steel Beam Design'!$C$5852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FF8A-4AD6-8BB7-9135FC2DCF6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Design'!$A$5852:$A$5860</c:f>
              <c:numCache>
                <c:formatCode>General</c:formatCode>
                <c:ptCount val="9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</c:numCache>
            </c:numRef>
          </c:xVal>
          <c:yVal>
            <c:numRef>
              <c:f>'Steel Beam Design'!$B$5852:$B$5860</c:f>
              <c:numCache>
                <c:formatCode>General</c:formatCode>
                <c:ptCount val="9"/>
                <c:pt idx="0">
                  <c:v>-0.28000000000000003</c:v>
                </c:pt>
                <c:pt idx="1">
                  <c:v>-0.28000000000000003</c:v>
                </c:pt>
                <c:pt idx="2">
                  <c:v>-0.245</c:v>
                </c:pt>
                <c:pt idx="3">
                  <c:v>-0.315</c:v>
                </c:pt>
                <c:pt idx="4">
                  <c:v>-0.28000000000000003</c:v>
                </c:pt>
                <c:pt idx="5">
                  <c:v>-0.28000000000000003</c:v>
                </c:pt>
                <c:pt idx="6">
                  <c:v>-0.245</c:v>
                </c:pt>
                <c:pt idx="7">
                  <c:v>-0.315</c:v>
                </c:pt>
                <c:pt idx="8">
                  <c:v>-0.28000000000000003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F8A-4AD6-8BB7-9135FC2DCF63}"/>
            </c:ext>
          </c:extLst>
        </c:ser>
        <c:ser>
          <c:idx val="32"/>
          <c:order val="32"/>
          <c:tx>
            <c:v>End point load</c:v>
          </c:tx>
          <c:spPr>
            <a:ln w="19050">
              <a:solidFill>
                <a:srgbClr val="0000FF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'Steel Beam Design'!$C$9240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800"/>
                  </a:pPr>
                  <a:endParaRPr lang="zh-HK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{1239541D-9934-4D01-B0EF-937A2E7DFDDA}</c15:txfldGUID>
                      <c15:f>'Steel Beam Design'!$C$9240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B93A-4FD5-A0A1-786CA3B2DBF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Design'!$A$9240:$A$9244</c:f>
              <c:numCache>
                <c:formatCode>General</c:formatCode>
                <c:ptCount val="5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</c:numCache>
            </c:numRef>
          </c:xVal>
          <c:yVal>
            <c:numRef>
              <c:f>'Steel Beam Design'!$B$9240:$B$9244</c:f>
              <c:numCache>
                <c:formatCode>General</c:formatCode>
                <c:ptCount val="5"/>
                <c:pt idx="0">
                  <c:v>0.85</c:v>
                </c:pt>
                <c:pt idx="1">
                  <c:v>0.04</c:v>
                </c:pt>
                <c:pt idx="2">
                  <c:v>9.5000000000000001E-2</c:v>
                </c:pt>
                <c:pt idx="3">
                  <c:v>0.04</c:v>
                </c:pt>
                <c:pt idx="4">
                  <c:v>9.5000000000000001E-2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3A-4FD5-A0A1-786CA3B2D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50112"/>
        <c:axId val="48672768"/>
      </c:scatterChart>
      <c:valAx>
        <c:axId val="48672768"/>
        <c:scaling>
          <c:orientation val="minMax"/>
          <c:max val="1.1200000000000001"/>
          <c:min val="-0.85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12700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12700">
                <a:solidFill>
                  <a:sysClr val="windowText" lastClr="000000"/>
                </a:solidFill>
                <a:prstDash val="solid"/>
                <a:round/>
              </a14:hiddenLine>
            </a:ext>
          </a:extLst>
        </c:spPr>
        <c:crossAx val="48650112"/>
        <c:crosses val="autoZero"/>
        <c:crossBetween val="midCat"/>
      </c:valAx>
      <c:valAx>
        <c:axId val="48650112"/>
        <c:scaling>
          <c:orientation val="minMax"/>
          <c:max val="1.1000000000000001"/>
          <c:min val="-0.1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2700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12700">
                <a:solidFill>
                  <a:sysClr val="windowText" lastClr="000000"/>
                </a:solidFill>
                <a:prstDash val="solid"/>
                <a:round/>
              </a14:hiddenLine>
            </a:ext>
          </a:extLst>
        </c:spPr>
        <c:crossAx val="4867276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0"/>
    <c:dispBlanksAs val="zero"/>
    <c:showDLblsOverMax val="1"/>
  </c:chart>
  <c:spPr>
    <a:solidFill>
      <a:srgbClr val="FFFFFF"/>
    </a:solidFill>
    <a:ln w="9525">
      <a:noFill/>
      <a:prstDash val="solid"/>
      <a:round/>
    </a:ln>
    <a:effectLst/>
    <a:extLst>
      <a:ext uri="{91240B29-F687-4F45-9708-019B960494DF}">
        <a14:hiddenLine xmlns:a14="http://schemas.microsoft.com/office/drawing/2010/main" w="9525">
          <a:solidFill>
            <a:srgbClr val="D9D9D9"/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100529100529099E-2"/>
          <c:y val="5.455665867853475E-2"/>
          <c:w val="0.94708994708994709"/>
          <c:h val="0.90846681922196793"/>
        </c:manualLayout>
      </c:layout>
      <c:scatterChart>
        <c:scatterStyle val="lineMarker"/>
        <c:varyColors val="0"/>
        <c:ser>
          <c:idx val="0"/>
          <c:order val="0"/>
          <c:tx>
            <c:v>Perimeter</c:v>
          </c:tx>
          <c:spPr>
            <a:ln w="25400">
              <a:solidFill>
                <a:srgbClr val="64BFD6"/>
              </a:solidFill>
            </a:ln>
          </c:spPr>
          <c:marker>
            <c:symbol val="none"/>
          </c:marker>
          <c:xVal>
            <c:numRef>
              <c:f>'Steel Beam Design'!$A$9000:$A$9004</c:f>
              <c:numCache>
                <c:formatCode>General</c:formatCode>
                <c:ptCount val="5"/>
                <c:pt idx="0">
                  <c:v>0.12</c:v>
                </c:pt>
                <c:pt idx="1">
                  <c:v>0.77</c:v>
                </c:pt>
                <c:pt idx="2">
                  <c:v>0.77</c:v>
                </c:pt>
                <c:pt idx="3">
                  <c:v>0.12</c:v>
                </c:pt>
                <c:pt idx="4">
                  <c:v>0.12</c:v>
                </c:pt>
              </c:numCache>
            </c:numRef>
          </c:xVal>
          <c:yVal>
            <c:numRef>
              <c:f>'Steel Beam Design'!$B$9000:$B$9004</c:f>
              <c:numCache>
                <c:formatCode>General</c:formatCode>
                <c:ptCount val="5"/>
                <c:pt idx="0">
                  <c:v>0.3896398781654189</c:v>
                </c:pt>
                <c:pt idx="1">
                  <c:v>0.3896398781654189</c:v>
                </c:pt>
                <c:pt idx="2">
                  <c:v>0.6103601218345811</c:v>
                </c:pt>
                <c:pt idx="3">
                  <c:v>0.6103601218345811</c:v>
                </c:pt>
                <c:pt idx="4">
                  <c:v>0.3896398781654189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8E-4246-9F90-BA087AD47EEA}"/>
            </c:ext>
          </c:extLst>
        </c:ser>
        <c:ser>
          <c:idx val="1"/>
          <c:order val="1"/>
          <c:tx>
            <c:v>Column</c:v>
          </c:tx>
          <c:spPr>
            <a:ln w="317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'Steel Beam Design'!$A$9006:$A$9011</c:f>
              <c:numCache>
                <c:formatCode>General</c:formatCode>
                <c:ptCount val="6"/>
                <c:pt idx="0">
                  <c:v>0.1075</c:v>
                </c:pt>
                <c:pt idx="1">
                  <c:v>0.13250000000000001</c:v>
                </c:pt>
                <c:pt idx="2">
                  <c:v>0.12</c:v>
                </c:pt>
                <c:pt idx="3">
                  <c:v>0.12</c:v>
                </c:pt>
                <c:pt idx="4">
                  <c:v>0.1075</c:v>
                </c:pt>
                <c:pt idx="5">
                  <c:v>0.13250000000000001</c:v>
                </c:pt>
              </c:numCache>
            </c:numRef>
          </c:xVal>
          <c:yVal>
            <c:numRef>
              <c:f>'Steel Beam Design'!$B$9006:$B$9011</c:f>
              <c:numCache>
                <c:formatCode>General</c:formatCode>
                <c:ptCount val="6"/>
                <c:pt idx="0">
                  <c:v>0.41213987816541892</c:v>
                </c:pt>
                <c:pt idx="1">
                  <c:v>0.41213987816541892</c:v>
                </c:pt>
                <c:pt idx="2">
                  <c:v>0.41213987816541892</c:v>
                </c:pt>
                <c:pt idx="3">
                  <c:v>0.36713987816541888</c:v>
                </c:pt>
                <c:pt idx="4">
                  <c:v>0.36713987816541888</c:v>
                </c:pt>
                <c:pt idx="5">
                  <c:v>0.36713987816541888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8E-4246-9F90-BA087AD47EEA}"/>
            </c:ext>
          </c:extLst>
        </c:ser>
        <c:ser>
          <c:idx val="2"/>
          <c:order val="2"/>
          <c:tx>
            <c:v>Column</c:v>
          </c:tx>
          <c:spPr>
            <a:ln w="317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'Steel Beam Design'!$A$9013:$A$9018</c:f>
              <c:numCache>
                <c:formatCode>General</c:formatCode>
                <c:ptCount val="6"/>
                <c:pt idx="0">
                  <c:v>0.75750000000000006</c:v>
                </c:pt>
                <c:pt idx="1">
                  <c:v>0.78249999999999997</c:v>
                </c:pt>
                <c:pt idx="2">
                  <c:v>0.77</c:v>
                </c:pt>
                <c:pt idx="3">
                  <c:v>0.77</c:v>
                </c:pt>
                <c:pt idx="4">
                  <c:v>0.75750000000000006</c:v>
                </c:pt>
                <c:pt idx="5">
                  <c:v>0.78249999999999997</c:v>
                </c:pt>
              </c:numCache>
            </c:numRef>
          </c:xVal>
          <c:yVal>
            <c:numRef>
              <c:f>'Steel Beam Design'!$B$9013:$B$9018</c:f>
              <c:numCache>
                <c:formatCode>General</c:formatCode>
                <c:ptCount val="6"/>
                <c:pt idx="0">
                  <c:v>0.41213987816541892</c:v>
                </c:pt>
                <c:pt idx="1">
                  <c:v>0.41213987816541892</c:v>
                </c:pt>
                <c:pt idx="2">
                  <c:v>0.41213987816541892</c:v>
                </c:pt>
                <c:pt idx="3">
                  <c:v>0.36713987816541888</c:v>
                </c:pt>
                <c:pt idx="4">
                  <c:v>0.36713987816541888</c:v>
                </c:pt>
                <c:pt idx="5">
                  <c:v>0.36713987816541888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8E-4246-9F90-BA087AD47EEA}"/>
            </c:ext>
          </c:extLst>
        </c:ser>
        <c:ser>
          <c:idx val="3"/>
          <c:order val="3"/>
          <c:tx>
            <c:v>Column</c:v>
          </c:tx>
          <c:spPr>
            <a:ln w="317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'Steel Beam Design'!$A$9020:$A$9025</c:f>
              <c:numCache>
                <c:formatCode>General</c:formatCode>
                <c:ptCount val="6"/>
                <c:pt idx="0">
                  <c:v>0.1075</c:v>
                </c:pt>
                <c:pt idx="1">
                  <c:v>0.13250000000000001</c:v>
                </c:pt>
                <c:pt idx="2">
                  <c:v>0.12</c:v>
                </c:pt>
                <c:pt idx="3">
                  <c:v>0.12</c:v>
                </c:pt>
                <c:pt idx="4">
                  <c:v>0.1075</c:v>
                </c:pt>
                <c:pt idx="5">
                  <c:v>0.13250000000000001</c:v>
                </c:pt>
              </c:numCache>
            </c:numRef>
          </c:xVal>
          <c:yVal>
            <c:numRef>
              <c:f>'Steel Beam Design'!$B$9020:$B$9025</c:f>
              <c:numCache>
                <c:formatCode>General</c:formatCode>
                <c:ptCount val="6"/>
                <c:pt idx="0">
                  <c:v>0.63286012183458107</c:v>
                </c:pt>
                <c:pt idx="1">
                  <c:v>0.63286012183458107</c:v>
                </c:pt>
                <c:pt idx="2">
                  <c:v>0.63286012183458107</c:v>
                </c:pt>
                <c:pt idx="3">
                  <c:v>0.58786012183458114</c:v>
                </c:pt>
                <c:pt idx="4">
                  <c:v>0.58786012183458114</c:v>
                </c:pt>
                <c:pt idx="5">
                  <c:v>0.58786012183458114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F8E-4246-9F90-BA087AD47EEA}"/>
            </c:ext>
          </c:extLst>
        </c:ser>
        <c:ser>
          <c:idx val="4"/>
          <c:order val="4"/>
          <c:tx>
            <c:v>Column</c:v>
          </c:tx>
          <c:spPr>
            <a:ln w="317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'Steel Beam Design'!$A$9027:$A$9032</c:f>
              <c:numCache>
                <c:formatCode>General</c:formatCode>
                <c:ptCount val="6"/>
                <c:pt idx="0">
                  <c:v>0.75750000000000006</c:v>
                </c:pt>
                <c:pt idx="1">
                  <c:v>0.78249999999999997</c:v>
                </c:pt>
                <c:pt idx="2">
                  <c:v>0.77</c:v>
                </c:pt>
                <c:pt idx="3">
                  <c:v>0.77</c:v>
                </c:pt>
                <c:pt idx="4">
                  <c:v>0.75750000000000006</c:v>
                </c:pt>
                <c:pt idx="5">
                  <c:v>0.78249999999999997</c:v>
                </c:pt>
              </c:numCache>
            </c:numRef>
          </c:xVal>
          <c:yVal>
            <c:numRef>
              <c:f>'Steel Beam Design'!$B$9027:$B$9032</c:f>
              <c:numCache>
                <c:formatCode>General</c:formatCode>
                <c:ptCount val="6"/>
                <c:pt idx="0">
                  <c:v>0.63286012183458107</c:v>
                </c:pt>
                <c:pt idx="1">
                  <c:v>0.63286012183458107</c:v>
                </c:pt>
                <c:pt idx="2">
                  <c:v>0.63286012183458107</c:v>
                </c:pt>
                <c:pt idx="3">
                  <c:v>0.58786012183458114</c:v>
                </c:pt>
                <c:pt idx="4">
                  <c:v>0.58786012183458114</c:v>
                </c:pt>
                <c:pt idx="5">
                  <c:v>0.58786012183458114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F8E-4246-9F90-BA087AD47EEA}"/>
            </c:ext>
          </c:extLst>
        </c:ser>
        <c:ser>
          <c:idx val="5"/>
          <c:order val="5"/>
          <c:tx>
            <c:v>Internal 1</c:v>
          </c:tx>
          <c:spPr>
            <a:ln w="254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'Steel Beam Design'!$A$9034:$A$9035</c:f>
              <c:numCache>
                <c:formatCode>General</c:formatCode>
                <c:ptCount val="2"/>
                <c:pt idx="0">
                  <c:v>0.44500000000000001</c:v>
                </c:pt>
                <c:pt idx="1">
                  <c:v>0.44500000000000001</c:v>
                </c:pt>
              </c:numCache>
            </c:numRef>
          </c:xVal>
          <c:yVal>
            <c:numRef>
              <c:f>'Steel Beam Design'!$B$9034:$B$9035</c:f>
              <c:numCache>
                <c:formatCode>General</c:formatCode>
                <c:ptCount val="2"/>
                <c:pt idx="0">
                  <c:v>0.3896398781654189</c:v>
                </c:pt>
                <c:pt idx="1">
                  <c:v>0.6103601218345811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F8E-4246-9F90-BA087AD47EEA}"/>
            </c:ext>
          </c:extLst>
        </c:ser>
        <c:ser>
          <c:idx val="6"/>
          <c:order val="6"/>
          <c:tx>
            <c:v>Internal 2</c:v>
          </c:tx>
          <c:spPr>
            <a:ln w="254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'Steel Beam Design'!$A$9037:$A$9038</c:f>
              <c:numCache>
                <c:formatCode>General</c:formatCode>
                <c:ptCount val="2"/>
                <c:pt idx="0">
                  <c:v>-10</c:v>
                </c:pt>
                <c:pt idx="1">
                  <c:v>-10</c:v>
                </c:pt>
              </c:numCache>
            </c:numRef>
          </c:xVal>
          <c:yVal>
            <c:numRef>
              <c:f>'Steel Beam Design'!$B$9037:$B$9038</c:f>
              <c:numCache>
                <c:formatCode>General</c:formatCode>
                <c:ptCount val="2"/>
                <c:pt idx="0">
                  <c:v>-10</c:v>
                </c:pt>
                <c:pt idx="1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F8E-4246-9F90-BA087AD47EEA}"/>
            </c:ext>
          </c:extLst>
        </c:ser>
        <c:ser>
          <c:idx val="7"/>
          <c:order val="7"/>
          <c:tx>
            <c:v>Internal 3</c:v>
          </c:tx>
          <c:spPr>
            <a:ln w="254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'Steel Beam Design'!$A$9040:$A$9041</c:f>
              <c:numCache>
                <c:formatCode>General</c:formatCode>
                <c:ptCount val="2"/>
                <c:pt idx="0">
                  <c:v>-10</c:v>
                </c:pt>
                <c:pt idx="1">
                  <c:v>-10</c:v>
                </c:pt>
              </c:numCache>
            </c:numRef>
          </c:xVal>
          <c:yVal>
            <c:numRef>
              <c:f>'Steel Beam Design'!$B$9040:$B$9041</c:f>
              <c:numCache>
                <c:formatCode>General</c:formatCode>
                <c:ptCount val="2"/>
                <c:pt idx="0">
                  <c:v>-10</c:v>
                </c:pt>
                <c:pt idx="1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F8E-4246-9F90-BA087AD47EEA}"/>
            </c:ext>
          </c:extLst>
        </c:ser>
        <c:ser>
          <c:idx val="8"/>
          <c:order val="8"/>
          <c:tx>
            <c:v>Internal 4</c:v>
          </c:tx>
          <c:spPr>
            <a:ln w="254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'Steel Beam Design'!$A$9043:$A$9044</c:f>
              <c:numCache>
                <c:formatCode>General</c:formatCode>
                <c:ptCount val="2"/>
                <c:pt idx="0">
                  <c:v>-10</c:v>
                </c:pt>
                <c:pt idx="1">
                  <c:v>-10</c:v>
                </c:pt>
              </c:numCache>
            </c:numRef>
          </c:xVal>
          <c:yVal>
            <c:numRef>
              <c:f>'Steel Beam Design'!$B$9043:$B$9044</c:f>
              <c:numCache>
                <c:formatCode>General</c:formatCode>
                <c:ptCount val="2"/>
                <c:pt idx="0">
                  <c:v>-10</c:v>
                </c:pt>
                <c:pt idx="1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F8E-4246-9F90-BA087AD47EEA}"/>
            </c:ext>
          </c:extLst>
        </c:ser>
        <c:ser>
          <c:idx val="9"/>
          <c:order val="9"/>
          <c:tx>
            <c:v>Internal 5</c:v>
          </c:tx>
          <c:spPr>
            <a:ln w="254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'Steel Beam Design'!$A$9046:$A$9047</c:f>
              <c:numCache>
                <c:formatCode>General</c:formatCode>
                <c:ptCount val="2"/>
                <c:pt idx="0">
                  <c:v>-10</c:v>
                </c:pt>
                <c:pt idx="1">
                  <c:v>-10</c:v>
                </c:pt>
              </c:numCache>
            </c:numRef>
          </c:xVal>
          <c:yVal>
            <c:numRef>
              <c:f>'Steel Beam Design'!$B$9046:$B$9047</c:f>
              <c:numCache>
                <c:formatCode>General</c:formatCode>
                <c:ptCount val="2"/>
                <c:pt idx="0">
                  <c:v>-10</c:v>
                </c:pt>
                <c:pt idx="1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F8E-4246-9F90-BA087AD47EEA}"/>
            </c:ext>
          </c:extLst>
        </c:ser>
        <c:ser>
          <c:idx val="10"/>
          <c:order val="10"/>
          <c:tx>
            <c:v>Spacing 1</c:v>
          </c:tx>
          <c:spPr>
            <a:ln w="10160">
              <a:solidFill>
                <a:srgbClr val="70809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'Steel Beam Design'!$C$5960</c:f>
                  <c:strCache>
                    <c:ptCount val="1"/>
                    <c:pt idx="0">
                      <c:v>S = 5.00 m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900"/>
                  </a:pPr>
                  <a:endParaRPr lang="zh-HK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{9EFDCBC5-C664-4F44-A323-B54D8A69DAA7}</c15:txfldGUID>
                      <c15:f>'Steel Beam Design'!$C$5960</c15:f>
                      <c15:dlblFieldTableCache>
                        <c:ptCount val="1"/>
                        <c:pt idx="0">
                          <c:v>S = 5.00 m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DF8E-4246-9F90-BA087AD47EE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Design'!$A$9049:$A$9056</c:f>
              <c:numCache>
                <c:formatCode>General</c:formatCode>
                <c:ptCount val="8"/>
                <c:pt idx="0">
                  <c:v>0.28249999999999997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0.44500000000000001</c:v>
                </c:pt>
                <c:pt idx="6">
                  <c:v>0.44500000000000001</c:v>
                </c:pt>
                <c:pt idx="7">
                  <c:v>0.44500000000000001</c:v>
                </c:pt>
              </c:numCache>
            </c:numRef>
          </c:xVal>
          <c:yVal>
            <c:numRef>
              <c:f>'Steel Beam Design'!$B$9049:$B$9056</c:f>
              <c:numCache>
                <c:formatCode>General</c:formatCode>
                <c:ptCount val="8"/>
                <c:pt idx="0">
                  <c:v>0.68236012183458106</c:v>
                </c:pt>
                <c:pt idx="1">
                  <c:v>0.68236012183458106</c:v>
                </c:pt>
                <c:pt idx="2">
                  <c:v>0.66636012183458104</c:v>
                </c:pt>
                <c:pt idx="3">
                  <c:v>0.69836012183458107</c:v>
                </c:pt>
                <c:pt idx="4">
                  <c:v>0.68236012183458106</c:v>
                </c:pt>
                <c:pt idx="5">
                  <c:v>0.68236012183458106</c:v>
                </c:pt>
                <c:pt idx="6">
                  <c:v>0.66636012183458104</c:v>
                </c:pt>
                <c:pt idx="7">
                  <c:v>0.69836012183458107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F8E-4246-9F90-BA087AD47EEA}"/>
            </c:ext>
          </c:extLst>
        </c:ser>
        <c:ser>
          <c:idx val="11"/>
          <c:order val="11"/>
          <c:tx>
            <c:v>Spacing 2</c:v>
          </c:tx>
          <c:spPr>
            <a:ln w="10160">
              <a:solidFill>
                <a:srgbClr val="70809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'Steel Beam Design'!$C$5969</c:f>
                  <c:strCache>
                    <c:ptCount val="1"/>
                    <c:pt idx="0">
                      <c:v>S = 5.00 m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900"/>
                  </a:pPr>
                  <a:endParaRPr lang="zh-HK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{34CEDC44-0A17-425B-8F97-765E46835BF2}</c15:txfldGUID>
                      <c15:f>'Steel Beam Design'!$C$5969</c15:f>
                      <c15:dlblFieldTableCache>
                        <c:ptCount val="1"/>
                        <c:pt idx="0">
                          <c:v>S = 5.00 m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DF8E-4246-9F90-BA087AD47EE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Design'!$A$9058:$A$9065</c:f>
              <c:numCache>
                <c:formatCode>General</c:formatCode>
                <c:ptCount val="8"/>
                <c:pt idx="0">
                  <c:v>0.60750000000000004</c:v>
                </c:pt>
                <c:pt idx="1">
                  <c:v>0.44500000000000001</c:v>
                </c:pt>
                <c:pt idx="2">
                  <c:v>0.44500000000000001</c:v>
                </c:pt>
                <c:pt idx="3">
                  <c:v>0.44500000000000001</c:v>
                </c:pt>
                <c:pt idx="4">
                  <c:v>0.44500000000000001</c:v>
                </c:pt>
                <c:pt idx="5">
                  <c:v>0.77</c:v>
                </c:pt>
                <c:pt idx="6">
                  <c:v>0.77</c:v>
                </c:pt>
                <c:pt idx="7">
                  <c:v>0.77</c:v>
                </c:pt>
              </c:numCache>
            </c:numRef>
          </c:xVal>
          <c:yVal>
            <c:numRef>
              <c:f>'Steel Beam Design'!$B$9058:$B$9065</c:f>
              <c:numCache>
                <c:formatCode>General</c:formatCode>
                <c:ptCount val="8"/>
                <c:pt idx="0">
                  <c:v>0.68236012183458106</c:v>
                </c:pt>
                <c:pt idx="1">
                  <c:v>0.68236012183458106</c:v>
                </c:pt>
                <c:pt idx="2">
                  <c:v>0.66636012183458104</c:v>
                </c:pt>
                <c:pt idx="3">
                  <c:v>0.69836012183458107</c:v>
                </c:pt>
                <c:pt idx="4">
                  <c:v>0.68236012183458106</c:v>
                </c:pt>
                <c:pt idx="5">
                  <c:v>0.68236012183458106</c:v>
                </c:pt>
                <c:pt idx="6">
                  <c:v>0.66636012183458104</c:v>
                </c:pt>
                <c:pt idx="7">
                  <c:v>0.69836012183458107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F8E-4246-9F90-BA087AD47EEA}"/>
            </c:ext>
          </c:extLst>
        </c:ser>
        <c:ser>
          <c:idx val="12"/>
          <c:order val="12"/>
          <c:tx>
            <c:v>Spacing 3</c:v>
          </c:tx>
          <c:spPr>
            <a:ln w="10160">
              <a:solidFill>
                <a:srgbClr val="70809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'Steel Beam Design'!$C$5978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900"/>
                  </a:pPr>
                  <a:endParaRPr lang="zh-HK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{E0838B1F-E6D3-4C26-AF4F-0991F67B0438}</c15:txfldGUID>
                      <c15:f>'Steel Beam Design'!$C$5978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DF8E-4246-9F90-BA087AD47EE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Design'!$A$9067:$A$9074</c:f>
              <c:numCache>
                <c:formatCode>General</c:formatCode>
                <c:ptCount val="8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</c:numCache>
            </c:numRef>
          </c:xVal>
          <c:yVal>
            <c:numRef>
              <c:f>'Steel Beam Design'!$B$9067:$B$9074</c:f>
              <c:numCache>
                <c:formatCode>General</c:formatCode>
                <c:ptCount val="8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F8E-4246-9F90-BA087AD47EEA}"/>
            </c:ext>
          </c:extLst>
        </c:ser>
        <c:ser>
          <c:idx val="13"/>
          <c:order val="13"/>
          <c:tx>
            <c:v>Spacing 4</c:v>
          </c:tx>
          <c:spPr>
            <a:ln w="10160">
              <a:solidFill>
                <a:srgbClr val="70809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'Steel Beam Design'!$C$5987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900"/>
                  </a:pPr>
                  <a:endParaRPr lang="zh-HK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{DBAD3EB3-3330-4F5C-9895-E64AAD2456B6}</c15:txfldGUID>
                      <c15:f>'Steel Beam Design'!$C$5987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DF8E-4246-9F90-BA087AD47EE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Design'!$A$9076:$A$9083</c:f>
              <c:numCache>
                <c:formatCode>General</c:formatCode>
                <c:ptCount val="8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</c:numCache>
            </c:numRef>
          </c:xVal>
          <c:yVal>
            <c:numRef>
              <c:f>'Steel Beam Design'!$B$9076:$B$9083</c:f>
              <c:numCache>
                <c:formatCode>General</c:formatCode>
                <c:ptCount val="8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F8E-4246-9F90-BA087AD47EEA}"/>
            </c:ext>
          </c:extLst>
        </c:ser>
        <c:ser>
          <c:idx val="14"/>
          <c:order val="14"/>
          <c:tx>
            <c:v>Spacing 5</c:v>
          </c:tx>
          <c:spPr>
            <a:ln w="10160">
              <a:solidFill>
                <a:srgbClr val="70809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'Steel Beam Design'!$C$5996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900"/>
                  </a:pPr>
                  <a:endParaRPr lang="zh-HK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{1DBE738C-2A9C-4154-B5E7-01F8D502505A}</c15:txfldGUID>
                      <c15:f>'Steel Beam Design'!$C$5996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DF8E-4246-9F90-BA087AD47EE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Design'!$A$9085:$A$9092</c:f>
              <c:numCache>
                <c:formatCode>General</c:formatCode>
                <c:ptCount val="8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</c:numCache>
            </c:numRef>
          </c:xVal>
          <c:yVal>
            <c:numRef>
              <c:f>'Steel Beam Design'!$B$9085:$B$9092</c:f>
              <c:numCache>
                <c:formatCode>General</c:formatCode>
                <c:ptCount val="8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F8E-4246-9F90-BA087AD47EEA}"/>
            </c:ext>
          </c:extLst>
        </c:ser>
        <c:ser>
          <c:idx val="15"/>
          <c:order val="15"/>
          <c:tx>
            <c:v>Spacing 6</c:v>
          </c:tx>
          <c:spPr>
            <a:ln w="10160">
              <a:solidFill>
                <a:srgbClr val="70809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'Steel Beam Design'!$C$6005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900"/>
                  </a:pPr>
                  <a:endParaRPr lang="zh-HK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{6C38FDD8-5034-4D28-B77C-4A7A4EC9EE71}</c15:txfldGUID>
                      <c15:f>'Steel Beam Design'!$C$6005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DF8E-4246-9F90-BA087AD47EE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Design'!$A$9094:$A$9101</c:f>
              <c:numCache>
                <c:formatCode>General</c:formatCode>
                <c:ptCount val="8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</c:numCache>
            </c:numRef>
          </c:xVal>
          <c:yVal>
            <c:numRef>
              <c:f>'Steel Beam Design'!$B$9094:$B$9101</c:f>
              <c:numCache>
                <c:formatCode>General</c:formatCode>
                <c:ptCount val="8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F8E-4246-9F90-BA087AD47EEA}"/>
            </c:ext>
          </c:extLst>
        </c:ser>
        <c:ser>
          <c:idx val="16"/>
          <c:order val="16"/>
          <c:tx>
            <c:v>X dimension</c:v>
          </c:tx>
          <c:spPr>
            <a:ln w="10160">
              <a:solidFill>
                <a:srgbClr val="70809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'Steel Beam Design'!$C$6014</c:f>
                  <c:strCache>
                    <c:ptCount val="1"/>
                    <c:pt idx="0">
                      <c:v>X1 = 10.00 m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900"/>
                  </a:pPr>
                  <a:endParaRPr lang="zh-HK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{300C746A-ABA8-48C4-8C21-E45B627F32C0}</c15:txfldGUID>
                      <c15:f>'Steel Beam Design'!$C$6014</c15:f>
                      <c15:dlblFieldTableCache>
                        <c:ptCount val="1"/>
                        <c:pt idx="0">
                          <c:v>X1 = 10.00 m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DF8E-4246-9F90-BA087AD47EE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Design'!$A$9103:$A$9110</c:f>
              <c:numCache>
                <c:formatCode>General</c:formatCode>
                <c:ptCount val="8"/>
                <c:pt idx="0">
                  <c:v>0.44500000000000001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0.77</c:v>
                </c:pt>
                <c:pt idx="6">
                  <c:v>0.77</c:v>
                </c:pt>
                <c:pt idx="7">
                  <c:v>0.77</c:v>
                </c:pt>
              </c:numCache>
            </c:numRef>
          </c:xVal>
          <c:yVal>
            <c:numRef>
              <c:f>'Steel Beam Design'!$B$9103:$B$9110</c:f>
              <c:numCache>
                <c:formatCode>General</c:formatCode>
                <c:ptCount val="8"/>
                <c:pt idx="0">
                  <c:v>0.31763987816541889</c:v>
                </c:pt>
                <c:pt idx="1">
                  <c:v>0.31763987816541889</c:v>
                </c:pt>
                <c:pt idx="2">
                  <c:v>0.3336398781654189</c:v>
                </c:pt>
                <c:pt idx="3">
                  <c:v>0.30163987816541887</c:v>
                </c:pt>
                <c:pt idx="4">
                  <c:v>0.31763987816541889</c:v>
                </c:pt>
                <c:pt idx="5">
                  <c:v>0.31763987816541889</c:v>
                </c:pt>
                <c:pt idx="6">
                  <c:v>0.3336398781654189</c:v>
                </c:pt>
                <c:pt idx="7">
                  <c:v>0.30163987816541887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DF8E-4246-9F90-BA087AD47EEA}"/>
            </c:ext>
          </c:extLst>
        </c:ser>
        <c:ser>
          <c:idx val="17"/>
          <c:order val="17"/>
          <c:tx>
            <c:v>Y dimension</c:v>
          </c:tx>
          <c:spPr>
            <a:ln w="10160">
              <a:solidFill>
                <a:srgbClr val="70809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'Steel Beam Design'!$C$6023</c:f>
                  <c:strCache>
                    <c:ptCount val="1"/>
                    <c:pt idx="0">
                      <c:v>Y = 2.50 m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900"/>
                  </a:pPr>
                  <a:endParaRPr lang="zh-HK"/>
                </a:p>
              </c:tx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{6591030D-005A-45E2-8E32-9DCEC1697ABD}</c15:txfldGUID>
                      <c15:f>'Steel Beam Design'!$C$6023</c15:f>
                      <c15:dlblFieldTableCache>
                        <c:ptCount val="1"/>
                        <c:pt idx="0">
                          <c:v>Y = 2.50 m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DF8E-4246-9F90-BA087AD47EE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Design'!$A$9112:$A$9119</c:f>
              <c:numCache>
                <c:formatCode>General</c:formatCode>
                <c:ptCount val="8"/>
                <c:pt idx="0">
                  <c:v>7.1999999999999995E-2</c:v>
                </c:pt>
                <c:pt idx="1">
                  <c:v>7.1999999999999995E-2</c:v>
                </c:pt>
                <c:pt idx="2">
                  <c:v>7.9999999999999988E-2</c:v>
                </c:pt>
                <c:pt idx="3">
                  <c:v>6.3999999999999987E-2</c:v>
                </c:pt>
                <c:pt idx="4">
                  <c:v>7.1999999999999995E-2</c:v>
                </c:pt>
                <c:pt idx="5">
                  <c:v>7.1999999999999995E-2</c:v>
                </c:pt>
                <c:pt idx="6">
                  <c:v>7.9999999999999988E-2</c:v>
                </c:pt>
                <c:pt idx="7">
                  <c:v>6.3999999999999987E-2</c:v>
                </c:pt>
              </c:numCache>
            </c:numRef>
          </c:xVal>
          <c:yVal>
            <c:numRef>
              <c:f>'Steel Beam Design'!$B$9112:$B$9119</c:f>
              <c:numCache>
                <c:formatCode>General</c:formatCode>
                <c:ptCount val="8"/>
                <c:pt idx="0">
                  <c:v>0.5</c:v>
                </c:pt>
                <c:pt idx="1">
                  <c:v>0.3896398781654189</c:v>
                </c:pt>
                <c:pt idx="2">
                  <c:v>0.3896398781654189</c:v>
                </c:pt>
                <c:pt idx="3">
                  <c:v>0.3896398781654189</c:v>
                </c:pt>
                <c:pt idx="4">
                  <c:v>0.3896398781654189</c:v>
                </c:pt>
                <c:pt idx="5">
                  <c:v>0.6103601218345811</c:v>
                </c:pt>
                <c:pt idx="6">
                  <c:v>0.6103601218345811</c:v>
                </c:pt>
                <c:pt idx="7">
                  <c:v>0.6103601218345811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DF8E-4246-9F90-BA087AD47EEA}"/>
            </c:ext>
          </c:extLst>
        </c:ser>
        <c:ser>
          <c:idx val="18"/>
          <c:order val="18"/>
          <c:tx>
            <c:v>Member label 6300</c:v>
          </c:tx>
          <c:spPr>
            <a:ln w="38100" cap="rnd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>
                  <a:solidFill>
                    <a:srgbClr val="156082">
                      <a:tint val="58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dLbls>
            <c:dLbl>
              <c:idx val="0"/>
              <c:tx>
                <c:strRef>
                  <c:f>'Steel Beam Design'!$C$6300</c:f>
                  <c:strCache>
                    <c:ptCount val="1"/>
                    <c:pt idx="0">
                      <c:v>SB1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1000"/>
                  </a:pPr>
                  <a:endParaRPr lang="zh-HK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{B1317BA1-A50F-4F9C-A0B5-04A3FA5D9B78}</c15:txfldGUID>
                      <c15:f>'Steel Beam Design'!$C$6300</c15:f>
                      <c15:dlblFieldTableCache>
                        <c:ptCount val="1"/>
                        <c:pt idx="0">
                          <c:v>SB1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03CE-4990-8D1B-7BEE23BDF78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Design'!$A$9121</c:f>
              <c:numCache>
                <c:formatCode>General</c:formatCode>
                <c:ptCount val="1"/>
                <c:pt idx="0">
                  <c:v>0.44500000000000001</c:v>
                </c:pt>
              </c:numCache>
            </c:numRef>
          </c:xVal>
          <c:yVal>
            <c:numRef>
              <c:f>'Steel Beam Design'!$B$9121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CE-4990-8D1B-7BEE23BDF78E}"/>
            </c:ext>
          </c:extLst>
        </c:ser>
        <c:ser>
          <c:idx val="19"/>
          <c:order val="19"/>
          <c:tx>
            <c:v>Member label 6301</c:v>
          </c:tx>
          <c:spPr>
            <a:ln w="38100" cap="rnd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>
                  <a:solidFill>
                    <a:srgbClr val="E97132">
                      <a:tint val="58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dLbls>
            <c:dLbl>
              <c:idx val="0"/>
              <c:tx>
                <c:strRef>
                  <c:f>'Steel Beam Design'!$C$6301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1000"/>
                  </a:pPr>
                  <a:endParaRPr lang="zh-HK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{21F408EC-D709-49CB-B871-C08D68A32AF8}</c15:txfldGUID>
                      <c15:f>'Steel Beam Design'!$C$6301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03CE-4990-8D1B-7BEE23BDF78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Design'!$A$9123</c:f>
              <c:numCache>
                <c:formatCode>General</c:formatCode>
                <c:ptCount val="1"/>
                <c:pt idx="0">
                  <c:v>-10</c:v>
                </c:pt>
              </c:numCache>
            </c:numRef>
          </c:xVal>
          <c:yVal>
            <c:numRef>
              <c:f>'Steel Beam Design'!$B$9123</c:f>
              <c:numCache>
                <c:formatCode>General</c:formatCode>
                <c:ptCount val="1"/>
                <c:pt idx="0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3CE-4990-8D1B-7BEE23BDF78E}"/>
            </c:ext>
          </c:extLst>
        </c:ser>
        <c:ser>
          <c:idx val="20"/>
          <c:order val="20"/>
          <c:tx>
            <c:v>Member label 6302</c:v>
          </c:tx>
          <c:spPr>
            <a:ln w="38100" cap="rnd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>
                  <a:solidFill>
                    <a:srgbClr val="196B24">
                      <a:tint val="58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dLbls>
            <c:dLbl>
              <c:idx val="0"/>
              <c:tx>
                <c:strRef>
                  <c:f>'Steel Beam Design'!$C$6302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1000"/>
                  </a:pPr>
                  <a:endParaRPr lang="zh-HK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{7960B50A-0301-494B-A170-BE60A3F78D6D}</c15:txfldGUID>
                      <c15:f>'Steel Beam Design'!$C$6302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03CE-4990-8D1B-7BEE23BDF78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Design'!$A$9125</c:f>
              <c:numCache>
                <c:formatCode>General</c:formatCode>
                <c:ptCount val="1"/>
                <c:pt idx="0">
                  <c:v>-10</c:v>
                </c:pt>
              </c:numCache>
            </c:numRef>
          </c:xVal>
          <c:yVal>
            <c:numRef>
              <c:f>'Steel Beam Design'!$B$9125</c:f>
              <c:numCache>
                <c:formatCode>General</c:formatCode>
                <c:ptCount val="1"/>
                <c:pt idx="0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3CE-4990-8D1B-7BEE23BDF78E}"/>
            </c:ext>
          </c:extLst>
        </c:ser>
        <c:ser>
          <c:idx val="21"/>
          <c:order val="21"/>
          <c:tx>
            <c:v>Member label 6303</c:v>
          </c:tx>
          <c:spPr>
            <a:ln w="38100" cap="rnd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>
                  <a:solidFill>
                    <a:srgbClr val="0F9ED5">
                      <a:tint val="58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dLbls>
            <c:dLbl>
              <c:idx val="0"/>
              <c:tx>
                <c:strRef>
                  <c:f>'Steel Beam Design'!$C$6303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1000"/>
                  </a:pPr>
                  <a:endParaRPr lang="zh-HK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{03F50763-5F7C-4B20-BF32-4F0ED0306B0E}</c15:txfldGUID>
                      <c15:f>'Steel Beam Design'!$C$6303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3CE-4990-8D1B-7BEE23BDF78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Design'!$A$9127</c:f>
              <c:numCache>
                <c:formatCode>General</c:formatCode>
                <c:ptCount val="1"/>
                <c:pt idx="0">
                  <c:v>-10</c:v>
                </c:pt>
              </c:numCache>
            </c:numRef>
          </c:xVal>
          <c:yVal>
            <c:numRef>
              <c:f>'Steel Beam Design'!$B$9127</c:f>
              <c:numCache>
                <c:formatCode>General</c:formatCode>
                <c:ptCount val="1"/>
                <c:pt idx="0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3CE-4990-8D1B-7BEE23BDF78E}"/>
            </c:ext>
          </c:extLst>
        </c:ser>
        <c:ser>
          <c:idx val="22"/>
          <c:order val="22"/>
          <c:tx>
            <c:v>Member label 6304</c:v>
          </c:tx>
          <c:spPr>
            <a:ln w="38100" cap="rnd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>
                  <a:solidFill>
                    <a:srgbClr val="A02B93">
                      <a:tint val="58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dLbls>
            <c:dLbl>
              <c:idx val="0"/>
              <c:tx>
                <c:strRef>
                  <c:f>'Steel Beam Design'!$C$6304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1000"/>
                  </a:pPr>
                  <a:endParaRPr lang="zh-HK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{A5E61EDC-7A07-4B4E-BB79-D818D2DD4955}</c15:txfldGUID>
                      <c15:f>'Steel Beam Design'!$C$6304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3CE-4990-8D1B-7BEE23BDF78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Design'!$A$9129</c:f>
              <c:numCache>
                <c:formatCode>General</c:formatCode>
                <c:ptCount val="1"/>
                <c:pt idx="0">
                  <c:v>-10</c:v>
                </c:pt>
              </c:numCache>
            </c:numRef>
          </c:xVal>
          <c:yVal>
            <c:numRef>
              <c:f>'Steel Beam Design'!$B$9129</c:f>
              <c:numCache>
                <c:formatCode>General</c:formatCode>
                <c:ptCount val="1"/>
                <c:pt idx="0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3CE-4990-8D1B-7BEE23BDF78E}"/>
            </c:ext>
          </c:extLst>
        </c:ser>
        <c:ser>
          <c:idx val="23"/>
          <c:order val="23"/>
          <c:tx>
            <c:v>Member label 6305</c:v>
          </c:tx>
          <c:spPr>
            <a:ln w="38100" cap="rnd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>
                  <a:solidFill>
                    <a:srgbClr val="4EA72E">
                      <a:tint val="77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dLbls>
            <c:dLbl>
              <c:idx val="0"/>
              <c:tx>
                <c:strRef>
                  <c:f>'Steel Beam Design'!$C$6305</c:f>
                  <c:strCache>
                    <c:ptCount val="1"/>
                    <c:pt idx="0">
                      <c:v>SB2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1000"/>
                  </a:pPr>
                  <a:endParaRPr lang="zh-HK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{33987210-A76B-4E22-A8FB-2ADE1B36839C}</c15:txfldGUID>
                      <c15:f>'Steel Beam Design'!$C$6305</c15:f>
                      <c15:dlblFieldTableCache>
                        <c:ptCount val="1"/>
                        <c:pt idx="0">
                          <c:v>SB2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3CE-4990-8D1B-7BEE23BDF78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Design'!$A$9131</c:f>
              <c:numCache>
                <c:formatCode>General</c:formatCode>
                <c:ptCount val="1"/>
                <c:pt idx="0">
                  <c:v>0.44500000000000001</c:v>
                </c:pt>
              </c:numCache>
            </c:numRef>
          </c:xVal>
          <c:yVal>
            <c:numRef>
              <c:f>'Steel Beam Design'!$B$9131</c:f>
              <c:numCache>
                <c:formatCode>General</c:formatCode>
                <c:ptCount val="1"/>
                <c:pt idx="0">
                  <c:v>0.6103601218345811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3CE-4990-8D1B-7BEE23BDF78E}"/>
            </c:ext>
          </c:extLst>
        </c:ser>
        <c:ser>
          <c:idx val="24"/>
          <c:order val="24"/>
          <c:tx>
            <c:v>Member label 6306</c:v>
          </c:tx>
          <c:spPr>
            <a:ln w="38100" cap="rnd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>
                  <a:solidFill>
                    <a:srgbClr val="156082">
                      <a:tint val="54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dLbls>
            <c:dLbl>
              <c:idx val="0"/>
              <c:tx>
                <c:strRef>
                  <c:f>'Steel Beam Design'!$C$6306</c:f>
                  <c:strCache>
                    <c:ptCount val="1"/>
                    <c:pt idx="0">
                      <c:v>SB2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1000"/>
                  </a:pPr>
                  <a:endParaRPr lang="zh-HK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{F02E3278-01CF-4AA3-86CD-2207C523AC29}</c15:txfldGUID>
                      <c15:f>'Steel Beam Design'!$C$6306</c15:f>
                      <c15:dlblFieldTableCache>
                        <c:ptCount val="1"/>
                        <c:pt idx="0">
                          <c:v>SB2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3CE-4990-8D1B-7BEE23BDF78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Design'!$A$9133</c:f>
              <c:numCache>
                <c:formatCode>General</c:formatCode>
                <c:ptCount val="1"/>
                <c:pt idx="0">
                  <c:v>0.44500000000000001</c:v>
                </c:pt>
              </c:numCache>
            </c:numRef>
          </c:xVal>
          <c:yVal>
            <c:numRef>
              <c:f>'Steel Beam Design'!$B$9133</c:f>
              <c:numCache>
                <c:formatCode>General</c:formatCode>
                <c:ptCount val="1"/>
                <c:pt idx="0">
                  <c:v>0.3896398781654189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3CE-4990-8D1B-7BEE23BDF78E}"/>
            </c:ext>
          </c:extLst>
        </c:ser>
        <c:ser>
          <c:idx val="25"/>
          <c:order val="25"/>
          <c:tx>
            <c:v>Member label 6307</c:v>
          </c:tx>
          <c:spPr>
            <a:ln w="38100" cap="rnd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>
                  <a:solidFill>
                    <a:srgbClr val="E97132">
                      <a:tint val="54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dLbls>
            <c:dLbl>
              <c:idx val="0"/>
              <c:tx>
                <c:strRef>
                  <c:f>'Steel Beam Design'!$C$6307</c:f>
                  <c:strCache>
                    <c:ptCount val="1"/>
                    <c:pt idx="0">
                      <c:v>SB1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1000"/>
                  </a:pPr>
                  <a:endParaRPr lang="zh-HK"/>
                </a:p>
              </c:tx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{4ABF429A-EA4D-49AD-9532-C2061680DB42}</c15:txfldGUID>
                      <c15:f>'Steel Beam Design'!$C$6307</c15:f>
                      <c15:dlblFieldTableCache>
                        <c:ptCount val="1"/>
                        <c:pt idx="0">
                          <c:v>SB1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03CE-4990-8D1B-7BEE23BDF78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Design'!$A$9135</c:f>
              <c:numCache>
                <c:formatCode>General</c:formatCode>
                <c:ptCount val="1"/>
                <c:pt idx="0">
                  <c:v>0.12</c:v>
                </c:pt>
              </c:numCache>
            </c:numRef>
          </c:xVal>
          <c:yVal>
            <c:numRef>
              <c:f>'Steel Beam Design'!$B$9135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3CE-4990-8D1B-7BEE23BDF78E}"/>
            </c:ext>
          </c:extLst>
        </c:ser>
        <c:ser>
          <c:idx val="26"/>
          <c:order val="26"/>
          <c:tx>
            <c:v>Member label 6308</c:v>
          </c:tx>
          <c:spPr>
            <a:ln w="38100" cap="rnd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>
                  <a:solidFill>
                    <a:srgbClr val="196B24">
                      <a:tint val="54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dLbls>
            <c:dLbl>
              <c:idx val="0"/>
              <c:tx>
                <c:strRef>
                  <c:f>'Steel Beam Design'!$C$6308</c:f>
                  <c:strCache>
                    <c:ptCount val="1"/>
                    <c:pt idx="0">
                      <c:v>SB1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1000"/>
                  </a:pPr>
                  <a:endParaRPr lang="zh-HK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{473487ED-FCA3-4E56-90A3-25ADFE573090}</c15:txfldGUID>
                      <c15:f>'Steel Beam Design'!$C$6308</c15:f>
                      <c15:dlblFieldTableCache>
                        <c:ptCount val="1"/>
                        <c:pt idx="0">
                          <c:v>SB1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03CE-4990-8D1B-7BEE23BDF78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Design'!$A$9137</c:f>
              <c:numCache>
                <c:formatCode>General</c:formatCode>
                <c:ptCount val="1"/>
                <c:pt idx="0">
                  <c:v>0.77</c:v>
                </c:pt>
              </c:numCache>
            </c:numRef>
          </c:xVal>
          <c:yVal>
            <c:numRef>
              <c:f>'Steel Beam Design'!$B$9137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3CE-4990-8D1B-7BEE23BDF78E}"/>
            </c:ext>
          </c:extLst>
        </c:ser>
        <c:ser>
          <c:idx val="27"/>
          <c:order val="27"/>
          <c:tx>
            <c:v>Outer SB1 0</c:v>
          </c:tx>
          <c:spPr>
            <a:ln w="3175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'Steel Beam Design'!$A$9139:$A$9140</c:f>
              <c:numCache>
                <c:formatCode>General</c:formatCode>
                <c:ptCount val="2"/>
                <c:pt idx="0">
                  <c:v>-10</c:v>
                </c:pt>
                <c:pt idx="1">
                  <c:v>-10</c:v>
                </c:pt>
              </c:numCache>
            </c:numRef>
          </c:xVal>
          <c:yVal>
            <c:numRef>
              <c:f>'Steel Beam Design'!$B$9139:$B$9140</c:f>
              <c:numCache>
                <c:formatCode>General</c:formatCode>
                <c:ptCount val="2"/>
                <c:pt idx="0">
                  <c:v>-10</c:v>
                </c:pt>
                <c:pt idx="1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FD-45C5-999B-BC2D53158912}"/>
            </c:ext>
          </c:extLst>
        </c:ser>
        <c:ser>
          <c:idx val="28"/>
          <c:order val="28"/>
          <c:tx>
            <c:v>Outer SB1 1</c:v>
          </c:tx>
          <c:spPr>
            <a:ln w="3175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'Steel Beam Design'!$A$9142:$A$9143</c:f>
              <c:numCache>
                <c:formatCode>General</c:formatCode>
                <c:ptCount val="2"/>
                <c:pt idx="0">
                  <c:v>-10</c:v>
                </c:pt>
                <c:pt idx="1">
                  <c:v>-10</c:v>
                </c:pt>
              </c:numCache>
            </c:numRef>
          </c:xVal>
          <c:yVal>
            <c:numRef>
              <c:f>'Steel Beam Design'!$B$9142:$B$9143</c:f>
              <c:numCache>
                <c:formatCode>General</c:formatCode>
                <c:ptCount val="2"/>
                <c:pt idx="0">
                  <c:v>-10</c:v>
                </c:pt>
                <c:pt idx="1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FD-45C5-999B-BC2D53158912}"/>
            </c:ext>
          </c:extLst>
        </c:ser>
        <c:ser>
          <c:idx val="29"/>
          <c:order val="29"/>
          <c:tx>
            <c:v>Outer SB1 2</c:v>
          </c:tx>
          <c:spPr>
            <a:ln w="3175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'Steel Beam Design'!$A$9145:$A$9146</c:f>
              <c:numCache>
                <c:formatCode>General</c:formatCode>
                <c:ptCount val="2"/>
                <c:pt idx="0">
                  <c:v>0.12</c:v>
                </c:pt>
                <c:pt idx="1">
                  <c:v>0.12</c:v>
                </c:pt>
              </c:numCache>
            </c:numRef>
          </c:xVal>
          <c:yVal>
            <c:numRef>
              <c:f>'Steel Beam Design'!$B$9145:$B$9146</c:f>
              <c:numCache>
                <c:formatCode>General</c:formatCode>
                <c:ptCount val="2"/>
                <c:pt idx="0">
                  <c:v>0.3896398781654189</c:v>
                </c:pt>
                <c:pt idx="1">
                  <c:v>0.6103601218345811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7FD-45C5-999B-BC2D53158912}"/>
            </c:ext>
          </c:extLst>
        </c:ser>
        <c:ser>
          <c:idx val="30"/>
          <c:order val="30"/>
          <c:tx>
            <c:v>Outer SB1 3</c:v>
          </c:tx>
          <c:spPr>
            <a:ln w="3175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'Steel Beam Design'!$A$9148:$A$9149</c:f>
              <c:numCache>
                <c:formatCode>General</c:formatCode>
                <c:ptCount val="2"/>
                <c:pt idx="0">
                  <c:v>0.77</c:v>
                </c:pt>
                <c:pt idx="1">
                  <c:v>0.77</c:v>
                </c:pt>
              </c:numCache>
            </c:numRef>
          </c:xVal>
          <c:yVal>
            <c:numRef>
              <c:f>'Steel Beam Design'!$B$9148:$B$9149</c:f>
              <c:numCache>
                <c:formatCode>General</c:formatCode>
                <c:ptCount val="2"/>
                <c:pt idx="0">
                  <c:v>0.3896398781654189</c:v>
                </c:pt>
                <c:pt idx="1">
                  <c:v>0.6103601218345811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7FD-45C5-999B-BC2D53158912}"/>
            </c:ext>
          </c:extLst>
        </c:ser>
        <c:ser>
          <c:idx val="31"/>
          <c:order val="31"/>
          <c:tx>
            <c:v>CSB3</c:v>
          </c:tx>
          <c:spPr>
            <a:ln w="3175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1"/>
              <c:tx>
                <c:strRef>
                  <c:f>'Steel Beam Design'!$C$6501</c:f>
                  <c:strCache>
                    <c:ptCount val="1"/>
                    <c:pt idx="0">
                      <c:v>0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1000"/>
                  </a:pPr>
                  <a:endParaRPr lang="zh-HK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{A7CF742F-4B68-4AC0-89FD-8DF124247BAA}</c15:txfldGUID>
                      <c15:f>'Steel Beam Design'!$C$6501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148B-4BFF-9F62-67DBA668CEE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Design'!$A$9151:$A$9153</c:f>
              <c:numCache>
                <c:formatCode>General</c:formatCode>
                <c:ptCount val="3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</c:numCache>
            </c:numRef>
          </c:xVal>
          <c:yVal>
            <c:numRef>
              <c:f>'Steel Beam Design'!$B$9151:$B$9153</c:f>
              <c:numCache>
                <c:formatCode>General</c:formatCode>
                <c:ptCount val="3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8B-4BFF-9F62-67DBA668CEEA}"/>
            </c:ext>
          </c:extLst>
        </c:ser>
        <c:ser>
          <c:idx val="32"/>
          <c:order val="32"/>
          <c:tx>
            <c:v>CSB3</c:v>
          </c:tx>
          <c:spPr>
            <a:ln w="3175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1"/>
              <c:tx>
                <c:strRef>
                  <c:f>'Steel Beam Design'!$C$6505</c:f>
                  <c:strCache>
                    <c:ptCount val="1"/>
                    <c:pt idx="0">
                      <c:v>0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1000"/>
                  </a:pPr>
                  <a:endParaRPr lang="zh-HK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{B1503336-E7F1-408E-8A27-44B9C0711530}</c15:txfldGUID>
                      <c15:f>'Steel Beam Design'!$C$6505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148B-4BFF-9F62-67DBA668CEE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Design'!$A$9155:$A$9157</c:f>
              <c:numCache>
                <c:formatCode>General</c:formatCode>
                <c:ptCount val="3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</c:numCache>
            </c:numRef>
          </c:xVal>
          <c:yVal>
            <c:numRef>
              <c:f>'Steel Beam Design'!$B$9155:$B$9157</c:f>
              <c:numCache>
                <c:formatCode>General</c:formatCode>
                <c:ptCount val="3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8B-4BFF-9F62-67DBA668CEEA}"/>
            </c:ext>
          </c:extLst>
        </c:ser>
        <c:ser>
          <c:idx val="33"/>
          <c:order val="33"/>
          <c:tx>
            <c:v>X2 dimension</c:v>
          </c:tx>
          <c:spPr>
            <a:ln w="9525">
              <a:solidFill>
                <a:srgbClr val="708090"/>
              </a:solidFill>
            </a:ln>
          </c:spPr>
          <c:marker>
            <c:symbol val="none"/>
          </c:marker>
          <c:dLbls>
            <c:dLbl>
              <c:idx val="1"/>
              <c:tx>
                <c:strRef>
                  <c:f>'Steel Beam Design'!$C$6521</c:f>
                  <c:strCache>
                    <c:ptCount val="1"/>
                    <c:pt idx="0">
                      <c:v>0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900"/>
                  </a:pPr>
                  <a:endParaRPr lang="zh-HK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{F66544BC-7087-400E-88ED-53EFCA83AD49}</c15:txfldGUID>
                      <c15:f>'Steel Beam Design'!$C$6521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48B-4BFF-9F62-67DBA668CEE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Design'!$A$9159:$A$9161</c:f>
              <c:numCache>
                <c:formatCode>General</c:formatCode>
                <c:ptCount val="3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</c:numCache>
            </c:numRef>
          </c:xVal>
          <c:yVal>
            <c:numRef>
              <c:f>'Steel Beam Design'!$B$9159:$B$9161</c:f>
              <c:numCache>
                <c:formatCode>General</c:formatCode>
                <c:ptCount val="3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8B-4BFF-9F62-67DBA668CEEA}"/>
            </c:ext>
          </c:extLst>
        </c:ser>
        <c:ser>
          <c:idx val="34"/>
          <c:order val="34"/>
          <c:tx>
            <c:v>Cantilever SB1 6550</c:v>
          </c:tx>
          <c:spPr>
            <a:ln w="19050">
              <a:solidFill>
                <a:srgbClr val="00B050"/>
              </a:solidFill>
            </a:ln>
          </c:spPr>
          <c:marker>
            <c:symbol val="none"/>
          </c:marker>
          <c:dLbls>
            <c:dLbl>
              <c:idx val="1"/>
              <c:tx>
                <c:strRef>
                  <c:f>'Steel Beam Design'!$C$6551</c:f>
                  <c:strCache>
                    <c:ptCount val="1"/>
                    <c:pt idx="0">
                      <c:v>0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800"/>
                  </a:pPr>
                  <a:endParaRPr lang="zh-HK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{6A2B6B25-F905-493F-94EA-A06245C92227}</c15:txfldGUID>
                      <c15:f>'Steel Beam Design'!$C$6551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E372-4CB9-A2F3-D9C5A461793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Design'!$A$9163:$A$9165</c:f>
              <c:numCache>
                <c:formatCode>General</c:formatCode>
                <c:ptCount val="3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</c:numCache>
            </c:numRef>
          </c:xVal>
          <c:yVal>
            <c:numRef>
              <c:f>'Steel Beam Design'!$B$9163:$B$9165</c:f>
              <c:numCache>
                <c:formatCode>General</c:formatCode>
                <c:ptCount val="3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2-4CB9-A2F3-D9C5A461793F}"/>
            </c:ext>
          </c:extLst>
        </c:ser>
        <c:ser>
          <c:idx val="35"/>
          <c:order val="35"/>
          <c:tx>
            <c:v>Cantilever SB1 6554</c:v>
          </c:tx>
          <c:spPr>
            <a:ln w="19050">
              <a:solidFill>
                <a:srgbClr val="00B050"/>
              </a:solidFill>
            </a:ln>
          </c:spPr>
          <c:marker>
            <c:symbol val="none"/>
          </c:marker>
          <c:dLbls>
            <c:dLbl>
              <c:idx val="1"/>
              <c:tx>
                <c:strRef>
                  <c:f>'Steel Beam Design'!$C$6555</c:f>
                  <c:strCache>
                    <c:ptCount val="1"/>
                    <c:pt idx="0">
                      <c:v>0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800"/>
                  </a:pPr>
                  <a:endParaRPr lang="zh-HK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{056EAB9F-3E6C-4D7C-A256-7788D2873AA1}</c15:txfldGUID>
                      <c15:f>'Steel Beam Design'!$C$6555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E372-4CB9-A2F3-D9C5A461793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Design'!$A$9167:$A$9169</c:f>
              <c:numCache>
                <c:formatCode>General</c:formatCode>
                <c:ptCount val="3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</c:numCache>
            </c:numRef>
          </c:xVal>
          <c:yVal>
            <c:numRef>
              <c:f>'Steel Beam Design'!$B$9167:$B$9169</c:f>
              <c:numCache>
                <c:formatCode>General</c:formatCode>
                <c:ptCount val="3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72-4CB9-A2F3-D9C5A461793F}"/>
            </c:ext>
          </c:extLst>
        </c:ser>
        <c:ser>
          <c:idx val="36"/>
          <c:order val="36"/>
          <c:tx>
            <c:v>Cantilever SB1 6558</c:v>
          </c:tx>
          <c:spPr>
            <a:ln w="19050">
              <a:solidFill>
                <a:srgbClr val="00B050"/>
              </a:solidFill>
            </a:ln>
          </c:spPr>
          <c:marker>
            <c:symbol val="none"/>
          </c:marker>
          <c:dLbls>
            <c:dLbl>
              <c:idx val="1"/>
              <c:tx>
                <c:strRef>
                  <c:f>'Steel Beam Design'!$C$6559</c:f>
                  <c:strCache>
                    <c:ptCount val="1"/>
                    <c:pt idx="0">
                      <c:v>0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800"/>
                  </a:pPr>
                  <a:endParaRPr lang="zh-HK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{661E64A7-7391-4D75-AF02-68DD7E5EAAD4}</c15:txfldGUID>
                      <c15:f>'Steel Beam Design'!$C$6559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E372-4CB9-A2F3-D9C5A461793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Design'!$A$9171:$A$9173</c:f>
              <c:numCache>
                <c:formatCode>General</c:formatCode>
                <c:ptCount val="3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</c:numCache>
            </c:numRef>
          </c:xVal>
          <c:yVal>
            <c:numRef>
              <c:f>'Steel Beam Design'!$B$9171:$B$9173</c:f>
              <c:numCache>
                <c:formatCode>General</c:formatCode>
                <c:ptCount val="3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372-4CB9-A2F3-D9C5A461793F}"/>
            </c:ext>
          </c:extLst>
        </c:ser>
        <c:ser>
          <c:idx val="37"/>
          <c:order val="37"/>
          <c:tx>
            <c:v>Cantilever SB1 6562</c:v>
          </c:tx>
          <c:spPr>
            <a:ln w="19050">
              <a:solidFill>
                <a:srgbClr val="00B050"/>
              </a:solidFill>
            </a:ln>
          </c:spPr>
          <c:marker>
            <c:symbol val="none"/>
          </c:marker>
          <c:dLbls>
            <c:dLbl>
              <c:idx val="1"/>
              <c:tx>
                <c:strRef>
                  <c:f>'Steel Beam Design'!$C$6563</c:f>
                  <c:strCache>
                    <c:ptCount val="1"/>
                    <c:pt idx="0">
                      <c:v>0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800"/>
                  </a:pPr>
                  <a:endParaRPr lang="zh-HK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{FA10A8B0-AC5B-4E63-9981-29B508B3D460}</c15:txfldGUID>
                      <c15:f>'Steel Beam Design'!$C$6563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E372-4CB9-A2F3-D9C5A461793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Design'!$A$9175:$A$9177</c:f>
              <c:numCache>
                <c:formatCode>General</c:formatCode>
                <c:ptCount val="3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</c:numCache>
            </c:numRef>
          </c:xVal>
          <c:yVal>
            <c:numRef>
              <c:f>'Steel Beam Design'!$B$9175:$B$9177</c:f>
              <c:numCache>
                <c:formatCode>General</c:formatCode>
                <c:ptCount val="3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372-4CB9-A2F3-D9C5A461793F}"/>
            </c:ext>
          </c:extLst>
        </c:ser>
        <c:ser>
          <c:idx val="38"/>
          <c:order val="38"/>
          <c:tx>
            <c:v>Cantilever SB1 6566</c:v>
          </c:tx>
          <c:spPr>
            <a:ln w="19050">
              <a:solidFill>
                <a:srgbClr val="00B050"/>
              </a:solidFill>
            </a:ln>
          </c:spPr>
          <c:marker>
            <c:symbol val="none"/>
          </c:marker>
          <c:dLbls>
            <c:dLbl>
              <c:idx val="1"/>
              <c:tx>
                <c:strRef>
                  <c:f>'Steel Beam Design'!$C$6567</c:f>
                  <c:strCache>
                    <c:ptCount val="1"/>
                    <c:pt idx="0">
                      <c:v>0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800"/>
                  </a:pPr>
                  <a:endParaRPr lang="zh-HK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{611FBE7E-2D34-467F-B1FD-AF6FFB1457D6}</c15:txfldGUID>
                      <c15:f>'Steel Beam Design'!$C$6567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E372-4CB9-A2F3-D9C5A461793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Design'!$A$9179:$A$9181</c:f>
              <c:numCache>
                <c:formatCode>General</c:formatCode>
                <c:ptCount val="3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</c:numCache>
            </c:numRef>
          </c:xVal>
          <c:yVal>
            <c:numRef>
              <c:f>'Steel Beam Design'!$B$9179:$B$9181</c:f>
              <c:numCache>
                <c:formatCode>General</c:formatCode>
                <c:ptCount val="3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372-4CB9-A2F3-D9C5A461793F}"/>
            </c:ext>
          </c:extLst>
        </c:ser>
        <c:ser>
          <c:idx val="39"/>
          <c:order val="39"/>
          <c:tx>
            <c:v>X2 spacing</c:v>
          </c:tx>
          <c:spPr>
            <a:ln w="9525">
              <a:solidFill>
                <a:srgbClr val="708090"/>
              </a:solidFill>
            </a:ln>
          </c:spPr>
          <c:marker>
            <c:symbol val="none"/>
          </c:marker>
          <c:dLbls>
            <c:dLbl>
              <c:idx val="1"/>
              <c:tx>
                <c:strRef>
                  <c:f>'Steel Beam Design'!$C$6581</c:f>
                  <c:strCache>
                    <c:ptCount val="1"/>
                    <c:pt idx="0">
                      <c:v>0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800"/>
                  </a:pPr>
                  <a:endParaRPr lang="zh-HK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{6ECC7BF7-79F2-4607-8A21-328EA5C10B8E}</c15:txfldGUID>
                      <c15:f>'Steel Beam Design'!$C$6581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E372-4CB9-A2F3-D9C5A461793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Design'!$A$9183:$A$9185</c:f>
              <c:numCache>
                <c:formatCode>General</c:formatCode>
                <c:ptCount val="3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</c:numCache>
            </c:numRef>
          </c:xVal>
          <c:yVal>
            <c:numRef>
              <c:f>'Steel Beam Design'!$B$9183:$B$9185</c:f>
              <c:numCache>
                <c:formatCode>General</c:formatCode>
                <c:ptCount val="3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372-4CB9-A2F3-D9C5A461793F}"/>
            </c:ext>
          </c:extLst>
        </c:ser>
        <c:ser>
          <c:idx val="40"/>
          <c:order val="40"/>
          <c:tx>
            <c:v>X2 spacing tick</c:v>
          </c:tx>
          <c:spPr>
            <a:ln w="9525">
              <a:solidFill>
                <a:srgbClr val="708090"/>
              </a:solidFill>
            </a:ln>
          </c:spPr>
          <c:marker>
            <c:symbol val="none"/>
          </c:marker>
          <c:xVal>
            <c:numRef>
              <c:f>'Steel Beam Design'!$A$9187:$A$9188</c:f>
              <c:numCache>
                <c:formatCode>General</c:formatCode>
                <c:ptCount val="2"/>
                <c:pt idx="0">
                  <c:v>-10</c:v>
                </c:pt>
                <c:pt idx="1">
                  <c:v>-10</c:v>
                </c:pt>
              </c:numCache>
            </c:numRef>
          </c:xVal>
          <c:yVal>
            <c:numRef>
              <c:f>'Steel Beam Design'!$B$9187:$B$9188</c:f>
              <c:numCache>
                <c:formatCode>General</c:formatCode>
                <c:ptCount val="2"/>
                <c:pt idx="0">
                  <c:v>-10</c:v>
                </c:pt>
                <c:pt idx="1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372-4CB9-A2F3-D9C5A461793F}"/>
            </c:ext>
          </c:extLst>
        </c:ser>
        <c:ser>
          <c:idx val="41"/>
          <c:order val="41"/>
          <c:tx>
            <c:v>X2 spacing tick</c:v>
          </c:tx>
          <c:spPr>
            <a:ln w="9525">
              <a:solidFill>
                <a:srgbClr val="708090"/>
              </a:solidFill>
            </a:ln>
          </c:spPr>
          <c:marker>
            <c:symbol val="none"/>
          </c:marker>
          <c:xVal>
            <c:numRef>
              <c:f>'Steel Beam Design'!$A$9190:$A$9191</c:f>
              <c:numCache>
                <c:formatCode>General</c:formatCode>
                <c:ptCount val="2"/>
                <c:pt idx="0">
                  <c:v>-10</c:v>
                </c:pt>
                <c:pt idx="1">
                  <c:v>-10</c:v>
                </c:pt>
              </c:numCache>
            </c:numRef>
          </c:xVal>
          <c:yVal>
            <c:numRef>
              <c:f>'Steel Beam Design'!$B$9190:$B$9191</c:f>
              <c:numCache>
                <c:formatCode>General</c:formatCode>
                <c:ptCount val="2"/>
                <c:pt idx="0">
                  <c:v>-10</c:v>
                </c:pt>
                <c:pt idx="1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372-4CB9-A2F3-D9C5A461793F}"/>
            </c:ext>
          </c:extLst>
        </c:ser>
        <c:ser>
          <c:idx val="42"/>
          <c:order val="42"/>
          <c:tx>
            <c:v>X2 spacing tick</c:v>
          </c:tx>
          <c:spPr>
            <a:ln w="9525">
              <a:solidFill>
                <a:srgbClr val="708090"/>
              </a:solidFill>
            </a:ln>
          </c:spPr>
          <c:marker>
            <c:symbol val="none"/>
          </c:marker>
          <c:xVal>
            <c:numRef>
              <c:f>'Steel Beam Design'!$A$9193:$A$9194</c:f>
              <c:numCache>
                <c:formatCode>General</c:formatCode>
                <c:ptCount val="2"/>
                <c:pt idx="0">
                  <c:v>-10</c:v>
                </c:pt>
                <c:pt idx="1">
                  <c:v>-10</c:v>
                </c:pt>
              </c:numCache>
            </c:numRef>
          </c:xVal>
          <c:yVal>
            <c:numRef>
              <c:f>'Steel Beam Design'!$B$9193:$B$9194</c:f>
              <c:numCache>
                <c:formatCode>General</c:formatCode>
                <c:ptCount val="2"/>
                <c:pt idx="0">
                  <c:v>-10</c:v>
                </c:pt>
                <c:pt idx="1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372-4CB9-A2F3-D9C5A461793F}"/>
            </c:ext>
          </c:extLst>
        </c:ser>
        <c:ser>
          <c:idx val="43"/>
          <c:order val="43"/>
          <c:tx>
            <c:v>X2 spacing tick</c:v>
          </c:tx>
          <c:spPr>
            <a:ln w="9525">
              <a:solidFill>
                <a:srgbClr val="708090"/>
              </a:solidFill>
            </a:ln>
          </c:spPr>
          <c:marker>
            <c:symbol val="none"/>
          </c:marker>
          <c:xVal>
            <c:numRef>
              <c:f>'Steel Beam Design'!$A$9196:$A$9197</c:f>
              <c:numCache>
                <c:formatCode>General</c:formatCode>
                <c:ptCount val="2"/>
                <c:pt idx="0">
                  <c:v>-10</c:v>
                </c:pt>
                <c:pt idx="1">
                  <c:v>-10</c:v>
                </c:pt>
              </c:numCache>
            </c:numRef>
          </c:xVal>
          <c:yVal>
            <c:numRef>
              <c:f>'Steel Beam Design'!$B$9196:$B$9197</c:f>
              <c:numCache>
                <c:formatCode>General</c:formatCode>
                <c:ptCount val="2"/>
                <c:pt idx="0">
                  <c:v>-10</c:v>
                </c:pt>
                <c:pt idx="1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372-4CB9-A2F3-D9C5A461793F}"/>
            </c:ext>
          </c:extLst>
        </c:ser>
        <c:ser>
          <c:idx val="44"/>
          <c:order val="44"/>
          <c:tx>
            <c:v>X2 spacing tick</c:v>
          </c:tx>
          <c:spPr>
            <a:ln w="9525">
              <a:solidFill>
                <a:srgbClr val="708090"/>
              </a:solidFill>
            </a:ln>
          </c:spPr>
          <c:marker>
            <c:symbol val="none"/>
          </c:marker>
          <c:xVal>
            <c:numRef>
              <c:f>'Steel Beam Design'!$A$9199:$A$9200</c:f>
              <c:numCache>
                <c:formatCode>General</c:formatCode>
                <c:ptCount val="2"/>
                <c:pt idx="0">
                  <c:v>-10</c:v>
                </c:pt>
                <c:pt idx="1">
                  <c:v>-10</c:v>
                </c:pt>
              </c:numCache>
            </c:numRef>
          </c:xVal>
          <c:yVal>
            <c:numRef>
              <c:f>'Steel Beam Design'!$B$9199:$B$9200</c:f>
              <c:numCache>
                <c:formatCode>General</c:formatCode>
                <c:ptCount val="2"/>
                <c:pt idx="0">
                  <c:v>-10</c:v>
                </c:pt>
                <c:pt idx="1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372-4CB9-A2F3-D9C5A461793F}"/>
            </c:ext>
          </c:extLst>
        </c:ser>
        <c:ser>
          <c:idx val="45"/>
          <c:order val="45"/>
          <c:tx>
            <c:v>X2 spacing tick</c:v>
          </c:tx>
          <c:spPr>
            <a:ln w="9525">
              <a:solidFill>
                <a:srgbClr val="708090"/>
              </a:solidFill>
            </a:ln>
          </c:spPr>
          <c:marker>
            <c:symbol val="none"/>
          </c:marker>
          <c:xVal>
            <c:numRef>
              <c:f>'Steel Beam Design'!$A$9202:$A$9203</c:f>
              <c:numCache>
                <c:formatCode>General</c:formatCode>
                <c:ptCount val="2"/>
                <c:pt idx="0">
                  <c:v>-10</c:v>
                </c:pt>
                <c:pt idx="1">
                  <c:v>-10</c:v>
                </c:pt>
              </c:numCache>
            </c:numRef>
          </c:xVal>
          <c:yVal>
            <c:numRef>
              <c:f>'Steel Beam Design'!$B$9202:$B$9203</c:f>
              <c:numCache>
                <c:formatCode>General</c:formatCode>
                <c:ptCount val="2"/>
                <c:pt idx="0">
                  <c:v>-10</c:v>
                </c:pt>
                <c:pt idx="1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372-4CB9-A2F3-D9C5A461793F}"/>
            </c:ext>
          </c:extLst>
        </c:ser>
        <c:ser>
          <c:idx val="46"/>
          <c:order val="46"/>
          <c:tx>
            <c:v>X2 spacing tick</c:v>
          </c:tx>
          <c:spPr>
            <a:ln w="9525">
              <a:solidFill>
                <a:srgbClr val="708090"/>
              </a:solidFill>
            </a:ln>
          </c:spPr>
          <c:marker>
            <c:symbol val="none"/>
          </c:marker>
          <c:xVal>
            <c:numRef>
              <c:f>'Steel Beam Design'!$A$9205:$A$9206</c:f>
              <c:numCache>
                <c:formatCode>General</c:formatCode>
                <c:ptCount val="2"/>
                <c:pt idx="0">
                  <c:v>-10</c:v>
                </c:pt>
                <c:pt idx="1">
                  <c:v>-10</c:v>
                </c:pt>
              </c:numCache>
            </c:numRef>
          </c:xVal>
          <c:yVal>
            <c:numRef>
              <c:f>'Steel Beam Design'!$B$9205:$B$9206</c:f>
              <c:numCache>
                <c:formatCode>General</c:formatCode>
                <c:ptCount val="2"/>
                <c:pt idx="0">
                  <c:v>-10</c:v>
                </c:pt>
                <c:pt idx="1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372-4CB9-A2F3-D9C5A461793F}"/>
            </c:ext>
          </c:extLst>
        </c:ser>
        <c:ser>
          <c:idx val="47"/>
          <c:order val="47"/>
          <c:tx>
            <c:v>Cantilever end beam</c:v>
          </c:tx>
          <c:spPr>
            <a:ln w="19050"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1"/>
              <c:tx>
                <c:strRef>
                  <c:f>'Steel Beam Design'!$C$9221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altLang="en-US" sz="900"/>
                  </a:pPr>
                  <a:endParaRPr lang="zh-HK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{CC4AB4AE-1485-445F-9A70-A029E2CFC083}</c15:txfldGUID>
                      <c15:f>'Steel Beam Design'!$C$9221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481D-4665-B614-3ECBFC6F7C6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'Steel Beam Design'!$A$9220:$A$9222</c:f>
              <c:numCache>
                <c:formatCode>General</c:formatCode>
                <c:ptCount val="3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</c:numCache>
            </c:numRef>
          </c:xVal>
          <c:yVal>
            <c:numRef>
              <c:f>'Steel Beam Design'!$B$9220:$B$9222</c:f>
              <c:numCache>
                <c:formatCode>General</c:formatCode>
                <c:ptCount val="3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1D-4665-B614-3ECBFC6F7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841647"/>
        <c:axId val="1707605199"/>
      </c:scatterChart>
      <c:valAx>
        <c:axId val="2025841647"/>
        <c:scaling>
          <c:orientation val="minMax"/>
          <c:max val="1"/>
          <c:min val="0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2700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12700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1707605199"/>
        <c:crosses val="autoZero"/>
        <c:crossBetween val="midCat"/>
      </c:valAx>
      <c:valAx>
        <c:axId val="1707605199"/>
        <c:scaling>
          <c:orientation val="minMax"/>
          <c:max val="1"/>
          <c:min val="0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12700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12700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2025841647"/>
        <c:crosses val="autoZero"/>
        <c:crossBetween val="midCat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12700">
      <a:noFill/>
      <a:prstDash val="solid"/>
      <a:round/>
    </a:ln>
    <a:effectLst/>
    <a:extLst>
      <a:ext uri="{91240B29-F687-4F45-9708-019B960494DF}">
        <a14:hiddenLine xmlns:a14="http://schemas.microsoft.com/office/drawing/2010/main" w="12700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Beam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抄!$O$880:$O$881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抄!$P$880:$P$881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FE-40F5-ABD5-B61F5EB5B245}"/>
            </c:ext>
          </c:extLst>
        </c:ser>
        <c:ser>
          <c:idx val="1"/>
          <c:order val="1"/>
          <c:tx>
            <c:v>P1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zh-TW" sz="900"/>
                    </a:pPr>
                    <a:r>
                      <a:rPr lang="en-US"/>
                      <a:t>P1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DFE-40F5-ABD5-B61F5EB5B24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抄!$O$882:$O$886</c:f>
              <c:numCache>
                <c:formatCode>General</c:formatCode>
                <c:ptCount val="5"/>
                <c:pt idx="0">
                  <c:v>0.5</c:v>
                </c:pt>
                <c:pt idx="1">
                  <c:v>0.5</c:v>
                </c:pt>
                <c:pt idx="2">
                  <c:v>0.48799999999999999</c:v>
                </c:pt>
                <c:pt idx="3">
                  <c:v>0.5</c:v>
                </c:pt>
                <c:pt idx="4">
                  <c:v>0.51200000000000001</c:v>
                </c:pt>
              </c:numCache>
            </c:numRef>
          </c:xVal>
          <c:yVal>
            <c:numRef>
              <c:f>抄!$P$882:$P$886</c:f>
              <c:numCache>
                <c:formatCode>General</c:formatCode>
                <c:ptCount val="5"/>
                <c:pt idx="0">
                  <c:v>1.9</c:v>
                </c:pt>
                <c:pt idx="1">
                  <c:v>1</c:v>
                </c:pt>
                <c:pt idx="2">
                  <c:v>1.1200000000000001</c:v>
                </c:pt>
                <c:pt idx="3">
                  <c:v>1</c:v>
                </c:pt>
                <c:pt idx="4">
                  <c:v>1.1200000000000001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FE-40F5-ABD5-B61F5EB5B245}"/>
            </c:ext>
          </c:extLst>
        </c:ser>
        <c:ser>
          <c:idx val="2"/>
          <c:order val="2"/>
          <c:tx>
            <c:v>P2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zh-TW" sz="900"/>
                    </a:pPr>
                    <a:r>
                      <a:rPr lang="en-GB"/>
                      <a:t>P2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DFE-40F5-ABD5-B61F5EB5B24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抄!$O$887:$O$891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抄!$P$887:$P$891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DFE-40F5-ABD5-B61F5EB5B245}"/>
            </c:ext>
          </c:extLst>
        </c:ser>
        <c:ser>
          <c:idx val="3"/>
          <c:order val="3"/>
          <c:tx>
            <c:v>P3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zh-TW" sz="900"/>
                    </a:pPr>
                    <a:r>
                      <a:rPr lang="en-GB"/>
                      <a:t>P3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DFE-40F5-ABD5-B61F5EB5B24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抄!$O$892:$O$896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抄!$P$892:$P$896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DFE-40F5-ABD5-B61F5EB5B245}"/>
            </c:ext>
          </c:extLst>
        </c:ser>
        <c:ser>
          <c:idx val="4"/>
          <c:order val="4"/>
          <c:tx>
            <c:v>P4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zh-TW" sz="900"/>
                    </a:pPr>
                    <a:r>
                      <a:rPr lang="en-GB"/>
                      <a:t>P4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DFE-40F5-ABD5-B61F5EB5B24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抄!$O$897:$O$901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抄!$P$897:$P$901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DFE-40F5-ABD5-B61F5EB5B245}"/>
            </c:ext>
          </c:extLst>
        </c:ser>
        <c:ser>
          <c:idx val="5"/>
          <c:order val="5"/>
          <c:tx>
            <c:v>P5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zh-TW" sz="900"/>
                    </a:pPr>
                    <a:r>
                      <a:rPr lang="en-GB"/>
                      <a:t>P5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DFE-40F5-ABD5-B61F5EB5B24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抄!$O$902:$O$906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抄!$P$902:$P$906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DFE-40F5-ABD5-B61F5EB5B245}"/>
            </c:ext>
          </c:extLst>
        </c:ser>
        <c:ser>
          <c:idx val="6"/>
          <c:order val="6"/>
          <c:tx>
            <c:v>Pend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zh-TW" sz="900"/>
                    </a:pPr>
                    <a:r>
                      <a:rPr lang="en-GB"/>
                      <a:t>Pend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1DFE-40F5-ABD5-B61F5EB5B24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抄!$O$907:$O$911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抄!$P$907:$P$911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DFE-40F5-ABD5-B61F5EB5B245}"/>
            </c:ext>
          </c:extLst>
        </c:ser>
        <c:ser>
          <c:idx val="7"/>
          <c:order val="7"/>
          <c:tx>
            <c:v>UDL0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抄!$O$912:$O$916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抄!$P$912:$P$916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DFE-40F5-ABD5-B61F5EB5B245}"/>
            </c:ext>
          </c:extLst>
        </c:ser>
        <c:ser>
          <c:idx val="8"/>
          <c:order val="8"/>
          <c:tx>
            <c:v>UDL1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抄!$O$917:$O$921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抄!$P$917:$P$921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DFE-40F5-ABD5-B61F5EB5B245}"/>
            </c:ext>
          </c:extLst>
        </c:ser>
        <c:ser>
          <c:idx val="9"/>
          <c:order val="9"/>
          <c:tx>
            <c:v>UDL2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抄!$O$922:$O$926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抄!$P$922:$P$926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DFE-40F5-ABD5-B61F5EB5B245}"/>
            </c:ext>
          </c:extLst>
        </c:ser>
        <c:ser>
          <c:idx val="10"/>
          <c:order val="10"/>
          <c:tx>
            <c:v>UDL3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抄!$O$927:$O$931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抄!$P$927:$P$931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DFE-40F5-ABD5-B61F5EB5B245}"/>
            </c:ext>
          </c:extLst>
        </c:ser>
        <c:ser>
          <c:idx val="11"/>
          <c:order val="11"/>
          <c:tx>
            <c:v>UDL4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抄!$O$932:$O$936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抄!$P$932:$P$936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1DFE-40F5-ABD5-B61F5EB5B245}"/>
            </c:ext>
          </c:extLst>
        </c:ser>
        <c:ser>
          <c:idx val="12"/>
          <c:order val="12"/>
          <c:tx>
            <c:v>UDL5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抄!$O$937:$O$941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抄!$P$937:$P$941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DFE-40F5-ABD5-B61F5EB5B245}"/>
            </c:ext>
          </c:extLst>
        </c:ser>
        <c:ser>
          <c:idx val="13"/>
          <c:order val="13"/>
          <c:tx>
            <c:v>UDL6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抄!$O$942:$O$946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抄!$P$942:$P$946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1DFE-40F5-ABD5-B61F5EB5B245}"/>
            </c:ext>
          </c:extLst>
        </c:ser>
        <c:ser>
          <c:idx val="14"/>
          <c:order val="14"/>
          <c:tx>
            <c:v>UDL7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抄!$O$947:$O$951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抄!$P$947:$P$951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1DFE-40F5-ABD5-B61F5EB5B245}"/>
            </c:ext>
          </c:extLst>
        </c:ser>
        <c:ser>
          <c:idx val="15"/>
          <c:order val="15"/>
          <c:tx>
            <c:v>UDL8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抄!$O$952:$O$956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抄!$P$952:$P$956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1DFE-40F5-ABD5-B61F5EB5B245}"/>
            </c:ext>
          </c:extLst>
        </c:ser>
        <c:ser>
          <c:idx val="16"/>
          <c:order val="16"/>
          <c:tx>
            <c:v>UDL9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抄!$O$957:$O$961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抄!$P$957:$P$961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1DFE-40F5-ABD5-B61F5EB5B245}"/>
            </c:ext>
          </c:extLst>
        </c:ser>
        <c:ser>
          <c:idx val="17"/>
          <c:order val="17"/>
          <c:tx>
            <c:v>UDL10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抄!$O$962:$O$966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抄!$P$962:$P$966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1DFE-40F5-ABD5-B61F5EB5B245}"/>
            </c:ext>
          </c:extLst>
        </c:ser>
        <c:ser>
          <c:idx val="18"/>
          <c:order val="18"/>
          <c:tx>
            <c:v>UDLtop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抄!$O$967:$O$968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抄!$P$967:$P$968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1DFE-40F5-ABD5-B61F5EB5B245}"/>
            </c:ext>
          </c:extLst>
        </c:ser>
        <c:ser>
          <c:idx val="19"/>
          <c:order val="19"/>
          <c:tx>
            <c:v>Left pin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抄!$O$969:$O$972</c:f>
              <c:numCache>
                <c:formatCode>General</c:formatCode>
                <c:ptCount val="4"/>
                <c:pt idx="0">
                  <c:v>0</c:v>
                </c:pt>
                <c:pt idx="1">
                  <c:v>-0.02</c:v>
                </c:pt>
                <c:pt idx="2">
                  <c:v>0.02</c:v>
                </c:pt>
                <c:pt idx="3">
                  <c:v>0</c:v>
                </c:pt>
              </c:numCache>
            </c:numRef>
          </c:xVal>
          <c:yVal>
            <c:numRef>
              <c:f>抄!$P$969:$P$972</c:f>
              <c:numCache>
                <c:formatCode>General</c:formatCode>
                <c:ptCount val="4"/>
                <c:pt idx="0">
                  <c:v>1</c:v>
                </c:pt>
                <c:pt idx="1">
                  <c:v>0.85</c:v>
                </c:pt>
                <c:pt idx="2">
                  <c:v>0.85</c:v>
                </c:pt>
                <c:pt idx="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1DFE-40F5-ABD5-B61F5EB5B245}"/>
            </c:ext>
          </c:extLst>
        </c:ser>
        <c:ser>
          <c:idx val="20"/>
          <c:order val="20"/>
          <c:tx>
            <c:v>Right pin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抄!$O$973:$O$976</c:f>
              <c:numCache>
                <c:formatCode>General</c:formatCode>
                <c:ptCount val="4"/>
                <c:pt idx="0">
                  <c:v>1</c:v>
                </c:pt>
                <c:pt idx="1">
                  <c:v>0.98</c:v>
                </c:pt>
                <c:pt idx="2">
                  <c:v>1.02</c:v>
                </c:pt>
                <c:pt idx="3">
                  <c:v>1</c:v>
                </c:pt>
              </c:numCache>
            </c:numRef>
          </c:xVal>
          <c:yVal>
            <c:numRef>
              <c:f>抄!$P$973:$P$976</c:f>
              <c:numCache>
                <c:formatCode>General</c:formatCode>
                <c:ptCount val="4"/>
                <c:pt idx="0">
                  <c:v>1</c:v>
                </c:pt>
                <c:pt idx="1">
                  <c:v>0.85</c:v>
                </c:pt>
                <c:pt idx="2">
                  <c:v>0.85</c:v>
                </c:pt>
                <c:pt idx="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DFE-40F5-ABD5-B61F5EB5B245}"/>
            </c:ext>
          </c:extLst>
        </c:ser>
        <c:ser>
          <c:idx val="21"/>
          <c:order val="21"/>
          <c:tx>
            <c:v>Fixed left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抄!$O$977:$O$978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抄!$P$977:$P$978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DFE-40F5-ABD5-B61F5EB5B245}"/>
            </c:ext>
          </c:extLst>
        </c:ser>
        <c:ser>
          <c:idx val="22"/>
          <c:order val="22"/>
          <c:tx>
            <c:v>Hatch0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抄!$O$979:$O$980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抄!$P$979:$P$980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1DFE-40F5-ABD5-B61F5EB5B245}"/>
            </c:ext>
          </c:extLst>
        </c:ser>
        <c:ser>
          <c:idx val="23"/>
          <c:order val="23"/>
          <c:tx>
            <c:v>Hatch1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抄!$O$981:$O$982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抄!$P$981:$P$982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1DFE-40F5-ABD5-B61F5EB5B245}"/>
            </c:ext>
          </c:extLst>
        </c:ser>
        <c:ser>
          <c:idx val="24"/>
          <c:order val="24"/>
          <c:tx>
            <c:v>Hatch2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抄!$O$983:$O$984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抄!$P$983:$P$984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1DFE-40F5-ABD5-B61F5EB5B245}"/>
            </c:ext>
          </c:extLst>
        </c:ser>
        <c:ser>
          <c:idx val="25"/>
          <c:order val="25"/>
          <c:tx>
            <c:v>Hatch3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抄!$O$985:$O$986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抄!$P$985:$P$986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1DFE-40F5-ABD5-B61F5EB5B245}"/>
            </c:ext>
          </c:extLst>
        </c:ser>
        <c:ser>
          <c:idx val="26"/>
          <c:order val="26"/>
          <c:tx>
            <c:v>Hatch4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抄!$O$987:$O$988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抄!$P$987:$P$988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1DFE-40F5-ABD5-B61F5EB5B2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24655"/>
        <c:axId val="82320911"/>
      </c:scatterChart>
      <c:valAx>
        <c:axId val="83624655"/>
        <c:scaling>
          <c:orientation val="minMax"/>
          <c:max val="1.06"/>
          <c:min val="-0.06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2700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12700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82320911"/>
        <c:crosses val="autoZero"/>
        <c:crossBetween val="midCat"/>
      </c:valAx>
      <c:valAx>
        <c:axId val="82320911"/>
        <c:scaling>
          <c:orientation val="minMax"/>
          <c:max val="2.2000000000000002"/>
          <c:min val="0.7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12700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12700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83624655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12700">
      <a:noFill/>
      <a:prstDash val="solid"/>
      <a:round/>
    </a:ln>
    <a:effectLst/>
    <a:extLst>
      <a:ext uri="{91240B29-F687-4F45-9708-019B960494DF}">
        <a14:hiddenLine xmlns:a14="http://schemas.microsoft.com/office/drawing/2010/main" w="12700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Beam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抄!$O$1740:$O$1741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抄!$P$1740:$P$1741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11-4332-91FA-7AA48A35DE46}"/>
            </c:ext>
          </c:extLst>
        </c:ser>
        <c:ser>
          <c:idx val="1"/>
          <c:order val="1"/>
          <c:tx>
            <c:v>P1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zh-TW" sz="900"/>
                    </a:pPr>
                    <a:r>
                      <a:rPr lang="en-US"/>
                      <a:t>P1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0F11-4332-91FA-7AA48A35DE4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抄!$O$1742:$O$1746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抄!$P$1742:$P$1746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11-4332-91FA-7AA48A35DE46}"/>
            </c:ext>
          </c:extLst>
        </c:ser>
        <c:ser>
          <c:idx val="2"/>
          <c:order val="2"/>
          <c:tx>
            <c:v>P2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zh-TW" sz="900"/>
                    </a:pPr>
                    <a:r>
                      <a:rPr lang="en-GB"/>
                      <a:t>P2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0F11-4332-91FA-7AA48A35DE4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抄!$O$1747:$O$1751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抄!$P$1747:$P$1751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F11-4332-91FA-7AA48A35DE46}"/>
            </c:ext>
          </c:extLst>
        </c:ser>
        <c:ser>
          <c:idx val="3"/>
          <c:order val="3"/>
          <c:tx>
            <c:v>P3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zh-TW" sz="900"/>
                    </a:pPr>
                    <a:r>
                      <a:rPr lang="en-GB"/>
                      <a:t>P3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0F11-4332-91FA-7AA48A35DE4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抄!$O$1752:$O$1756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抄!$P$1752:$P$1756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F11-4332-91FA-7AA48A35DE46}"/>
            </c:ext>
          </c:extLst>
        </c:ser>
        <c:ser>
          <c:idx val="4"/>
          <c:order val="4"/>
          <c:tx>
            <c:v>P4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zh-TW" sz="900"/>
                    </a:pPr>
                    <a:r>
                      <a:rPr lang="en-GB"/>
                      <a:t>P4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0F11-4332-91FA-7AA48A35DE4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抄!$O$1757:$O$1761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抄!$P$1757:$P$1761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F11-4332-91FA-7AA48A35DE46}"/>
            </c:ext>
          </c:extLst>
        </c:ser>
        <c:ser>
          <c:idx val="5"/>
          <c:order val="5"/>
          <c:tx>
            <c:v>P5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zh-TW" sz="900"/>
                    </a:pPr>
                    <a:r>
                      <a:rPr lang="en-GB"/>
                      <a:t>P5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0F11-4332-91FA-7AA48A35DE4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抄!$O$1762:$O$1766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抄!$P$1762:$P$1766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F11-4332-91FA-7AA48A35DE46}"/>
            </c:ext>
          </c:extLst>
        </c:ser>
        <c:ser>
          <c:idx val="6"/>
          <c:order val="6"/>
          <c:tx>
            <c:v>Pend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zh-TW" sz="900"/>
                    </a:pPr>
                    <a:r>
                      <a:rPr lang="en-US"/>
                      <a:t>Pend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0F11-4332-91FA-7AA48A35DE4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抄!$O$1767:$O$1771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抄!$P$1767:$P$1771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F11-4332-91FA-7AA48A35DE46}"/>
            </c:ext>
          </c:extLst>
        </c:ser>
        <c:ser>
          <c:idx val="7"/>
          <c:order val="7"/>
          <c:tx>
            <c:v>UDL0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抄!$O$1772:$O$1776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抄!$P$1772:$P$1776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F11-4332-91FA-7AA48A35DE46}"/>
            </c:ext>
          </c:extLst>
        </c:ser>
        <c:ser>
          <c:idx val="8"/>
          <c:order val="8"/>
          <c:tx>
            <c:v>UDL1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抄!$O$1777:$O$1781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抄!$P$1777:$P$1781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F11-4332-91FA-7AA48A35DE46}"/>
            </c:ext>
          </c:extLst>
        </c:ser>
        <c:ser>
          <c:idx val="9"/>
          <c:order val="9"/>
          <c:tx>
            <c:v>UDL2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抄!$O$1782:$O$1786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抄!$P$1782:$P$1786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F11-4332-91FA-7AA48A35DE46}"/>
            </c:ext>
          </c:extLst>
        </c:ser>
        <c:ser>
          <c:idx val="10"/>
          <c:order val="10"/>
          <c:tx>
            <c:v>UDL3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抄!$O$1787:$O$1791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抄!$P$1787:$P$1791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F11-4332-91FA-7AA48A35DE46}"/>
            </c:ext>
          </c:extLst>
        </c:ser>
        <c:ser>
          <c:idx val="11"/>
          <c:order val="11"/>
          <c:tx>
            <c:v>UDL4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抄!$O$1792:$O$1796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抄!$P$1792:$P$1796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F11-4332-91FA-7AA48A35DE46}"/>
            </c:ext>
          </c:extLst>
        </c:ser>
        <c:ser>
          <c:idx val="12"/>
          <c:order val="12"/>
          <c:tx>
            <c:v>UDL5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抄!$O$1797:$O$1801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抄!$P$1797:$P$1801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F11-4332-91FA-7AA48A35DE46}"/>
            </c:ext>
          </c:extLst>
        </c:ser>
        <c:ser>
          <c:idx val="13"/>
          <c:order val="13"/>
          <c:tx>
            <c:v>UDL6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抄!$O$1802:$O$1806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抄!$P$1802:$P$1806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F11-4332-91FA-7AA48A35DE46}"/>
            </c:ext>
          </c:extLst>
        </c:ser>
        <c:ser>
          <c:idx val="14"/>
          <c:order val="14"/>
          <c:tx>
            <c:v>UDL7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抄!$O$1807:$O$1811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抄!$P$1807:$P$1811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F11-4332-91FA-7AA48A35DE46}"/>
            </c:ext>
          </c:extLst>
        </c:ser>
        <c:ser>
          <c:idx val="15"/>
          <c:order val="15"/>
          <c:tx>
            <c:v>UDL8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抄!$O$1812:$O$1816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抄!$P$1812:$P$1816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F11-4332-91FA-7AA48A35DE46}"/>
            </c:ext>
          </c:extLst>
        </c:ser>
        <c:ser>
          <c:idx val="16"/>
          <c:order val="16"/>
          <c:tx>
            <c:v>UDL9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抄!$O$1817:$O$1821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抄!$P$1817:$P$1821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F11-4332-91FA-7AA48A35DE46}"/>
            </c:ext>
          </c:extLst>
        </c:ser>
        <c:ser>
          <c:idx val="17"/>
          <c:order val="17"/>
          <c:tx>
            <c:v>UDL10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抄!$O$1822:$O$1826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抄!$P$1822:$P$1826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F11-4332-91FA-7AA48A35DE46}"/>
            </c:ext>
          </c:extLst>
        </c:ser>
        <c:ser>
          <c:idx val="18"/>
          <c:order val="18"/>
          <c:tx>
            <c:v>UDLtop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抄!$O$1827:$O$1828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抄!$P$1827:$P$1828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F11-4332-91FA-7AA48A35DE46}"/>
            </c:ext>
          </c:extLst>
        </c:ser>
        <c:ser>
          <c:idx val="19"/>
          <c:order val="19"/>
          <c:tx>
            <c:v>Left pin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抄!$O$1829:$O$1832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抄!$P$1829:$P$1832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F11-4332-91FA-7AA48A35DE46}"/>
            </c:ext>
          </c:extLst>
        </c:ser>
        <c:ser>
          <c:idx val="20"/>
          <c:order val="20"/>
          <c:tx>
            <c:v>Right pin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抄!$O$1833:$O$1836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抄!$P$1833:$P$1836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F11-4332-91FA-7AA48A35DE46}"/>
            </c:ext>
          </c:extLst>
        </c:ser>
        <c:ser>
          <c:idx val="21"/>
          <c:order val="21"/>
          <c:tx>
            <c:v>Fixed left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抄!$O$1837:$O$1838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抄!$P$1837:$P$1838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F11-4332-91FA-7AA48A35DE46}"/>
            </c:ext>
          </c:extLst>
        </c:ser>
        <c:ser>
          <c:idx val="22"/>
          <c:order val="22"/>
          <c:tx>
            <c:v>Hatch0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抄!$O$1839:$O$1840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抄!$P$1839:$P$1840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F11-4332-91FA-7AA48A35DE46}"/>
            </c:ext>
          </c:extLst>
        </c:ser>
        <c:ser>
          <c:idx val="23"/>
          <c:order val="23"/>
          <c:tx>
            <c:v>Hatch1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抄!$O$1841:$O$1842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抄!$P$1841:$P$1842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F11-4332-91FA-7AA48A35DE46}"/>
            </c:ext>
          </c:extLst>
        </c:ser>
        <c:ser>
          <c:idx val="24"/>
          <c:order val="24"/>
          <c:tx>
            <c:v>Hatch2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抄!$O$1843:$O$1844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抄!$P$1843:$P$1844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F11-4332-91FA-7AA48A35DE46}"/>
            </c:ext>
          </c:extLst>
        </c:ser>
        <c:ser>
          <c:idx val="25"/>
          <c:order val="25"/>
          <c:tx>
            <c:v>Hatch3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抄!$O$1845:$O$1846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抄!$P$1845:$P$1846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F11-4332-91FA-7AA48A35DE46}"/>
            </c:ext>
          </c:extLst>
        </c:ser>
        <c:ser>
          <c:idx val="26"/>
          <c:order val="26"/>
          <c:tx>
            <c:v>Hatch4</c:v>
          </c:tx>
          <c:spPr>
            <a:ln w="16510">
              <a:solidFill>
                <a:srgbClr val="1F3490"/>
              </a:solidFill>
            </a:ln>
          </c:spPr>
          <c:marker>
            <c:symbol val="none"/>
          </c:marker>
          <c:xVal>
            <c:numRef>
              <c:f>抄!$O$1847:$O$1848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抄!$P$1847:$P$1848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F11-4332-91FA-7AA48A35D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712015"/>
        <c:axId val="82325231"/>
      </c:scatterChart>
      <c:valAx>
        <c:axId val="261712015"/>
        <c:scaling>
          <c:orientation val="minMax"/>
          <c:max val="1.06"/>
          <c:min val="-0.06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2700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12700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82325231"/>
        <c:crosses val="autoZero"/>
        <c:crossBetween val="midCat"/>
      </c:valAx>
      <c:valAx>
        <c:axId val="82325231"/>
        <c:scaling>
          <c:orientation val="minMax"/>
          <c:max val="2.2000000000000002"/>
          <c:min val="0.7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12700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12700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261712015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12700">
      <a:noFill/>
      <a:prstDash val="solid"/>
      <a:round/>
    </a:ln>
    <a:effectLst/>
    <a:extLst>
      <a:ext uri="{91240B29-F687-4F45-9708-019B960494DF}">
        <a14:hiddenLine xmlns:a14="http://schemas.microsoft.com/office/drawing/2010/main" w="12700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47</xdr:row>
      <xdr:rowOff>50800</xdr:rowOff>
    </xdr:from>
    <xdr:to>
      <xdr:col>34</xdr:col>
      <xdr:colOff>0</xdr:colOff>
      <xdr:row>59</xdr:row>
      <xdr:rowOff>127000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8D12E564-DFF6-FFD1-F6F6-ABEA6DA2C5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7</xdr:row>
      <xdr:rowOff>101599</xdr:rowOff>
    </xdr:from>
    <xdr:to>
      <xdr:col>34</xdr:col>
      <xdr:colOff>0</xdr:colOff>
      <xdr:row>43</xdr:row>
      <xdr:rowOff>79374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914A61AD-DDC2-8263-A997-87E0A96DF6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</xdr:row>
      <xdr:rowOff>0</xdr:rowOff>
    </xdr:from>
    <xdr:to>
      <xdr:col>14</xdr:col>
      <xdr:colOff>0</xdr:colOff>
      <xdr:row>3</xdr:row>
      <xdr:rowOff>263525</xdr:rowOff>
    </xdr:to>
    <xdr:sp macro="[0]!AutoSelectBeams" textlink="">
      <xdr:nvSpPr>
        <xdr:cNvPr id="4" name="AutoSelectButton">
          <a:extLst>
            <a:ext uri="{FF2B5EF4-FFF2-40B4-BE49-F238E27FC236}">
              <a16:creationId xmlns:a16="http://schemas.microsoft.com/office/drawing/2014/main" id="{506D79AB-7D24-FB1B-2319-62DEF4B271B4}"/>
            </a:ext>
          </a:extLst>
        </xdr:cNvPr>
        <xdr:cNvSpPr/>
      </xdr:nvSpPr>
      <xdr:spPr>
        <a:xfrm>
          <a:off x="10591800" y="400050"/>
          <a:ext cx="4238625" cy="892175"/>
        </a:xfrm>
        <a:prstGeom prst="roundRect">
          <a:avLst/>
        </a:prstGeom>
        <a:solidFill>
          <a:srgbClr val="6BC0D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altLang="zh-TW" sz="1200" b="1"/>
            <a:t>CALCULATE + AUTO SELECT</a:t>
          </a:r>
          <a:endParaRPr lang="zh-TW" altLang="en-US" sz="12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127000</xdr:rowOff>
    </xdr:from>
    <xdr:to>
      <xdr:col>11</xdr:col>
      <xdr:colOff>0</xdr:colOff>
      <xdr:row>7</xdr:row>
      <xdr:rowOff>127000</xdr:rowOff>
    </xdr:to>
    <xdr:cxnSp macro="">
      <xdr:nvCxnSpPr>
        <xdr:cNvPr id="2" name="直線接點 1">
          <a:extLst>
            <a:ext uri="{FF2B5EF4-FFF2-40B4-BE49-F238E27FC236}">
              <a16:creationId xmlns:a16="http://schemas.microsoft.com/office/drawing/2014/main" id="{F06A802B-701E-E949-5FB7-48D06A31E650}"/>
            </a:ext>
          </a:extLst>
        </xdr:cNvPr>
        <xdr:cNvCxnSpPr/>
      </xdr:nvCxnSpPr>
      <xdr:spPr>
        <a:xfrm>
          <a:off x="657225" y="1793875"/>
          <a:ext cx="6572250" cy="0"/>
        </a:xfrm>
        <a:prstGeom prst="line">
          <a:avLst/>
        </a:prstGeom>
        <a:ln w="19050">
          <a:solidFill>
            <a:srgbClr val="1F349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6</xdr:row>
      <xdr:rowOff>111125</xdr:rowOff>
    </xdr:from>
    <xdr:to>
      <xdr:col>1</xdr:col>
      <xdr:colOff>0</xdr:colOff>
      <xdr:row>7</xdr:row>
      <xdr:rowOff>127000</xdr:rowOff>
    </xdr:to>
    <xdr:cxnSp macro="">
      <xdr:nvCxnSpPr>
        <xdr:cNvPr id="3" name="直線接點 2">
          <a:extLst>
            <a:ext uri="{FF2B5EF4-FFF2-40B4-BE49-F238E27FC236}">
              <a16:creationId xmlns:a16="http://schemas.microsoft.com/office/drawing/2014/main" id="{0069538C-2F26-5311-4070-1E82E79EFAF3}"/>
            </a:ext>
          </a:extLst>
        </xdr:cNvPr>
        <xdr:cNvCxnSpPr/>
      </xdr:nvCxnSpPr>
      <xdr:spPr>
        <a:xfrm>
          <a:off x="657225" y="1539875"/>
          <a:ext cx="0" cy="254000"/>
        </a:xfrm>
        <a:prstGeom prst="line">
          <a:avLst/>
        </a:prstGeom>
        <a:ln>
          <a:solidFill>
            <a:srgbClr val="1F349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547688</xdr:colOff>
      <xdr:row>6</xdr:row>
      <xdr:rowOff>111125</xdr:rowOff>
    </xdr:from>
    <xdr:to>
      <xdr:col>1</xdr:col>
      <xdr:colOff>547688</xdr:colOff>
      <xdr:row>7</xdr:row>
      <xdr:rowOff>127000</xdr:rowOff>
    </xdr:to>
    <xdr:cxnSp macro="">
      <xdr:nvCxnSpPr>
        <xdr:cNvPr id="4" name="直線接點 3">
          <a:extLst>
            <a:ext uri="{FF2B5EF4-FFF2-40B4-BE49-F238E27FC236}">
              <a16:creationId xmlns:a16="http://schemas.microsoft.com/office/drawing/2014/main" id="{70F75A47-46BA-6410-B172-D2D3D6636E39}"/>
            </a:ext>
          </a:extLst>
        </xdr:cNvPr>
        <xdr:cNvCxnSpPr/>
      </xdr:nvCxnSpPr>
      <xdr:spPr>
        <a:xfrm>
          <a:off x="1204913" y="1539875"/>
          <a:ext cx="0" cy="254000"/>
        </a:xfrm>
        <a:prstGeom prst="line">
          <a:avLst/>
        </a:prstGeom>
        <a:ln>
          <a:solidFill>
            <a:srgbClr val="1F349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438150</xdr:colOff>
      <xdr:row>6</xdr:row>
      <xdr:rowOff>111125</xdr:rowOff>
    </xdr:from>
    <xdr:to>
      <xdr:col>2</xdr:col>
      <xdr:colOff>438150</xdr:colOff>
      <xdr:row>7</xdr:row>
      <xdr:rowOff>127000</xdr:rowOff>
    </xdr:to>
    <xdr:cxnSp macro="">
      <xdr:nvCxnSpPr>
        <xdr:cNvPr id="5" name="直線接點 4">
          <a:extLst>
            <a:ext uri="{FF2B5EF4-FFF2-40B4-BE49-F238E27FC236}">
              <a16:creationId xmlns:a16="http://schemas.microsoft.com/office/drawing/2014/main" id="{6DE60859-3CC3-CFB8-A5A7-7E7AFA2B12E8}"/>
            </a:ext>
          </a:extLst>
        </xdr:cNvPr>
        <xdr:cNvCxnSpPr/>
      </xdr:nvCxnSpPr>
      <xdr:spPr>
        <a:xfrm>
          <a:off x="1752600" y="1539875"/>
          <a:ext cx="0" cy="254000"/>
        </a:xfrm>
        <a:prstGeom prst="line">
          <a:avLst/>
        </a:prstGeom>
        <a:ln>
          <a:solidFill>
            <a:srgbClr val="1F349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328613</xdr:colOff>
      <xdr:row>6</xdr:row>
      <xdr:rowOff>111125</xdr:rowOff>
    </xdr:from>
    <xdr:to>
      <xdr:col>3</xdr:col>
      <xdr:colOff>328613</xdr:colOff>
      <xdr:row>7</xdr:row>
      <xdr:rowOff>127000</xdr:rowOff>
    </xdr:to>
    <xdr:cxnSp macro="">
      <xdr:nvCxnSpPr>
        <xdr:cNvPr id="6" name="直線接點 5">
          <a:extLst>
            <a:ext uri="{FF2B5EF4-FFF2-40B4-BE49-F238E27FC236}">
              <a16:creationId xmlns:a16="http://schemas.microsoft.com/office/drawing/2014/main" id="{FC06349E-B53E-8630-2E89-5C14FB858C38}"/>
            </a:ext>
          </a:extLst>
        </xdr:cNvPr>
        <xdr:cNvCxnSpPr/>
      </xdr:nvCxnSpPr>
      <xdr:spPr>
        <a:xfrm>
          <a:off x="2300288" y="1539875"/>
          <a:ext cx="0" cy="254000"/>
        </a:xfrm>
        <a:prstGeom prst="line">
          <a:avLst/>
        </a:prstGeom>
        <a:ln>
          <a:solidFill>
            <a:srgbClr val="1F349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219075</xdr:colOff>
      <xdr:row>6</xdr:row>
      <xdr:rowOff>111125</xdr:rowOff>
    </xdr:from>
    <xdr:to>
      <xdr:col>4</xdr:col>
      <xdr:colOff>219075</xdr:colOff>
      <xdr:row>7</xdr:row>
      <xdr:rowOff>127000</xdr:rowOff>
    </xdr:to>
    <xdr:cxnSp macro="">
      <xdr:nvCxnSpPr>
        <xdr:cNvPr id="7" name="直線接點 6">
          <a:extLst>
            <a:ext uri="{FF2B5EF4-FFF2-40B4-BE49-F238E27FC236}">
              <a16:creationId xmlns:a16="http://schemas.microsoft.com/office/drawing/2014/main" id="{91160710-500A-AECC-7574-8DE211B3E51A}"/>
            </a:ext>
          </a:extLst>
        </xdr:cNvPr>
        <xdr:cNvCxnSpPr/>
      </xdr:nvCxnSpPr>
      <xdr:spPr>
        <a:xfrm>
          <a:off x="2847975" y="1539875"/>
          <a:ext cx="0" cy="254000"/>
        </a:xfrm>
        <a:prstGeom prst="line">
          <a:avLst/>
        </a:prstGeom>
        <a:ln>
          <a:solidFill>
            <a:srgbClr val="1F349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109538</xdr:colOff>
      <xdr:row>6</xdr:row>
      <xdr:rowOff>111125</xdr:rowOff>
    </xdr:from>
    <xdr:to>
      <xdr:col>5</xdr:col>
      <xdr:colOff>109538</xdr:colOff>
      <xdr:row>7</xdr:row>
      <xdr:rowOff>127000</xdr:rowOff>
    </xdr:to>
    <xdr:cxnSp macro="">
      <xdr:nvCxnSpPr>
        <xdr:cNvPr id="8" name="直線接點 7">
          <a:extLst>
            <a:ext uri="{FF2B5EF4-FFF2-40B4-BE49-F238E27FC236}">
              <a16:creationId xmlns:a16="http://schemas.microsoft.com/office/drawing/2014/main" id="{4B7E96DB-BF6A-CC13-38A5-3ADEBA9BBC1B}"/>
            </a:ext>
          </a:extLst>
        </xdr:cNvPr>
        <xdr:cNvCxnSpPr/>
      </xdr:nvCxnSpPr>
      <xdr:spPr>
        <a:xfrm>
          <a:off x="3395663" y="1539875"/>
          <a:ext cx="0" cy="254000"/>
        </a:xfrm>
        <a:prstGeom prst="line">
          <a:avLst/>
        </a:prstGeom>
        <a:ln>
          <a:solidFill>
            <a:srgbClr val="1F349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6</xdr:row>
      <xdr:rowOff>111125</xdr:rowOff>
    </xdr:from>
    <xdr:to>
      <xdr:col>6</xdr:col>
      <xdr:colOff>0</xdr:colOff>
      <xdr:row>7</xdr:row>
      <xdr:rowOff>127000</xdr:rowOff>
    </xdr:to>
    <xdr:cxnSp macro="">
      <xdr:nvCxnSpPr>
        <xdr:cNvPr id="9" name="直線接點 8">
          <a:extLst>
            <a:ext uri="{FF2B5EF4-FFF2-40B4-BE49-F238E27FC236}">
              <a16:creationId xmlns:a16="http://schemas.microsoft.com/office/drawing/2014/main" id="{FA44E1AA-BAC4-B21F-F8BF-8D0AAD16507F}"/>
            </a:ext>
          </a:extLst>
        </xdr:cNvPr>
        <xdr:cNvCxnSpPr/>
      </xdr:nvCxnSpPr>
      <xdr:spPr>
        <a:xfrm>
          <a:off x="3943350" y="1539875"/>
          <a:ext cx="0" cy="254000"/>
        </a:xfrm>
        <a:prstGeom prst="line">
          <a:avLst/>
        </a:prstGeom>
        <a:ln>
          <a:solidFill>
            <a:srgbClr val="1F349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547688</xdr:colOff>
      <xdr:row>6</xdr:row>
      <xdr:rowOff>111125</xdr:rowOff>
    </xdr:from>
    <xdr:to>
      <xdr:col>6</xdr:col>
      <xdr:colOff>547688</xdr:colOff>
      <xdr:row>7</xdr:row>
      <xdr:rowOff>127000</xdr:rowOff>
    </xdr:to>
    <xdr:cxnSp macro="">
      <xdr:nvCxnSpPr>
        <xdr:cNvPr id="10" name="直線接點 9">
          <a:extLst>
            <a:ext uri="{FF2B5EF4-FFF2-40B4-BE49-F238E27FC236}">
              <a16:creationId xmlns:a16="http://schemas.microsoft.com/office/drawing/2014/main" id="{33D4E98D-56E5-AAAF-78E4-060D505E4408}"/>
            </a:ext>
          </a:extLst>
        </xdr:cNvPr>
        <xdr:cNvCxnSpPr/>
      </xdr:nvCxnSpPr>
      <xdr:spPr>
        <a:xfrm>
          <a:off x="4491038" y="1539875"/>
          <a:ext cx="0" cy="254000"/>
        </a:xfrm>
        <a:prstGeom prst="line">
          <a:avLst/>
        </a:prstGeom>
        <a:ln>
          <a:solidFill>
            <a:srgbClr val="1F349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438150</xdr:colOff>
      <xdr:row>6</xdr:row>
      <xdr:rowOff>111125</xdr:rowOff>
    </xdr:from>
    <xdr:to>
      <xdr:col>7</xdr:col>
      <xdr:colOff>438150</xdr:colOff>
      <xdr:row>7</xdr:row>
      <xdr:rowOff>127000</xdr:rowOff>
    </xdr:to>
    <xdr:cxnSp macro="">
      <xdr:nvCxnSpPr>
        <xdr:cNvPr id="11" name="直線接點 10">
          <a:extLst>
            <a:ext uri="{FF2B5EF4-FFF2-40B4-BE49-F238E27FC236}">
              <a16:creationId xmlns:a16="http://schemas.microsoft.com/office/drawing/2014/main" id="{CC40CF6D-CE8F-935A-E7A7-90A8D2D71616}"/>
            </a:ext>
          </a:extLst>
        </xdr:cNvPr>
        <xdr:cNvCxnSpPr/>
      </xdr:nvCxnSpPr>
      <xdr:spPr>
        <a:xfrm>
          <a:off x="5038725" y="1539875"/>
          <a:ext cx="0" cy="254000"/>
        </a:xfrm>
        <a:prstGeom prst="line">
          <a:avLst/>
        </a:prstGeom>
        <a:ln>
          <a:solidFill>
            <a:srgbClr val="1F349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328613</xdr:colOff>
      <xdr:row>6</xdr:row>
      <xdr:rowOff>111125</xdr:rowOff>
    </xdr:from>
    <xdr:to>
      <xdr:col>8</xdr:col>
      <xdr:colOff>328613</xdr:colOff>
      <xdr:row>7</xdr:row>
      <xdr:rowOff>127000</xdr:rowOff>
    </xdr:to>
    <xdr:cxnSp macro="">
      <xdr:nvCxnSpPr>
        <xdr:cNvPr id="12" name="直線接點 11">
          <a:extLst>
            <a:ext uri="{FF2B5EF4-FFF2-40B4-BE49-F238E27FC236}">
              <a16:creationId xmlns:a16="http://schemas.microsoft.com/office/drawing/2014/main" id="{2C3486C0-9EE6-6153-F119-539DEB8F76B8}"/>
            </a:ext>
          </a:extLst>
        </xdr:cNvPr>
        <xdr:cNvCxnSpPr/>
      </xdr:nvCxnSpPr>
      <xdr:spPr>
        <a:xfrm>
          <a:off x="5586413" y="1539875"/>
          <a:ext cx="0" cy="254000"/>
        </a:xfrm>
        <a:prstGeom prst="line">
          <a:avLst/>
        </a:prstGeom>
        <a:ln>
          <a:solidFill>
            <a:srgbClr val="1F349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219075</xdr:colOff>
      <xdr:row>6</xdr:row>
      <xdr:rowOff>111125</xdr:rowOff>
    </xdr:from>
    <xdr:to>
      <xdr:col>9</xdr:col>
      <xdr:colOff>219075</xdr:colOff>
      <xdr:row>7</xdr:row>
      <xdr:rowOff>127000</xdr:rowOff>
    </xdr:to>
    <xdr:cxnSp macro="">
      <xdr:nvCxnSpPr>
        <xdr:cNvPr id="13" name="直線接點 12">
          <a:extLst>
            <a:ext uri="{FF2B5EF4-FFF2-40B4-BE49-F238E27FC236}">
              <a16:creationId xmlns:a16="http://schemas.microsoft.com/office/drawing/2014/main" id="{305CE60D-A23C-8DD9-EA68-C67C735C034C}"/>
            </a:ext>
          </a:extLst>
        </xdr:cNvPr>
        <xdr:cNvCxnSpPr/>
      </xdr:nvCxnSpPr>
      <xdr:spPr>
        <a:xfrm>
          <a:off x="6134100" y="1539875"/>
          <a:ext cx="0" cy="254000"/>
        </a:xfrm>
        <a:prstGeom prst="line">
          <a:avLst/>
        </a:prstGeom>
        <a:ln>
          <a:solidFill>
            <a:srgbClr val="1F349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109538</xdr:colOff>
      <xdr:row>6</xdr:row>
      <xdr:rowOff>111125</xdr:rowOff>
    </xdr:from>
    <xdr:to>
      <xdr:col>10</xdr:col>
      <xdr:colOff>109538</xdr:colOff>
      <xdr:row>7</xdr:row>
      <xdr:rowOff>127000</xdr:rowOff>
    </xdr:to>
    <xdr:cxnSp macro="">
      <xdr:nvCxnSpPr>
        <xdr:cNvPr id="14" name="直線接點 13">
          <a:extLst>
            <a:ext uri="{FF2B5EF4-FFF2-40B4-BE49-F238E27FC236}">
              <a16:creationId xmlns:a16="http://schemas.microsoft.com/office/drawing/2014/main" id="{5F194F98-8D80-9802-7038-8D64829A94CA}"/>
            </a:ext>
          </a:extLst>
        </xdr:cNvPr>
        <xdr:cNvCxnSpPr/>
      </xdr:nvCxnSpPr>
      <xdr:spPr>
        <a:xfrm>
          <a:off x="6681788" y="1539875"/>
          <a:ext cx="0" cy="254000"/>
        </a:xfrm>
        <a:prstGeom prst="line">
          <a:avLst/>
        </a:prstGeom>
        <a:ln>
          <a:solidFill>
            <a:srgbClr val="1F349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6</xdr:row>
      <xdr:rowOff>111125</xdr:rowOff>
    </xdr:from>
    <xdr:to>
      <xdr:col>11</xdr:col>
      <xdr:colOff>0</xdr:colOff>
      <xdr:row>7</xdr:row>
      <xdr:rowOff>127000</xdr:rowOff>
    </xdr:to>
    <xdr:cxnSp macro="">
      <xdr:nvCxnSpPr>
        <xdr:cNvPr id="15" name="直線接點 14">
          <a:extLst>
            <a:ext uri="{FF2B5EF4-FFF2-40B4-BE49-F238E27FC236}">
              <a16:creationId xmlns:a16="http://schemas.microsoft.com/office/drawing/2014/main" id="{769C17E4-50F6-ECD2-777E-23744B9B91B6}"/>
            </a:ext>
          </a:extLst>
        </xdr:cNvPr>
        <xdr:cNvCxnSpPr/>
      </xdr:nvCxnSpPr>
      <xdr:spPr>
        <a:xfrm>
          <a:off x="7229475" y="1539875"/>
          <a:ext cx="0" cy="254000"/>
        </a:xfrm>
        <a:prstGeom prst="line">
          <a:avLst/>
        </a:prstGeom>
        <a:ln>
          <a:solidFill>
            <a:srgbClr val="1F349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555625</xdr:colOff>
      <xdr:row>7</xdr:row>
      <xdr:rowOff>127000</xdr:rowOff>
    </xdr:from>
    <xdr:to>
      <xdr:col>1</xdr:col>
      <xdr:colOff>215900</xdr:colOff>
      <xdr:row>8</xdr:row>
      <xdr:rowOff>180975</xdr:rowOff>
    </xdr:to>
    <xdr:sp macro="" textlink="抄!N2">
      <xdr:nvSpPr>
        <xdr:cNvPr id="16" name="文字方塊 15">
          <a:extLst>
            <a:ext uri="{FF2B5EF4-FFF2-40B4-BE49-F238E27FC236}">
              <a16:creationId xmlns:a16="http://schemas.microsoft.com/office/drawing/2014/main" id="{703D96D6-478F-C2A6-A410-A6B2794E90C9}"/>
            </a:ext>
          </a:extLst>
        </xdr:cNvPr>
        <xdr:cNvSpPr txBox="1"/>
      </xdr:nvSpPr>
      <xdr:spPr>
        <a:xfrm>
          <a:off x="555625" y="1793875"/>
          <a:ext cx="317500" cy="292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tlCol="0" anchor="t"/>
        <a:lstStyle/>
        <a:p>
          <a:fld id="{2A76F77A-1401-4EB3-BFAA-0009BC89BEDA}" type="TxLink">
            <a:rPr lang="en-US" altLang="en-US" sz="1600" b="0" i="0" u="none" strike="noStrike">
              <a:solidFill>
                <a:srgbClr val="000000"/>
              </a:solidFill>
              <a:latin typeface="Carlito"/>
            </a:rPr>
            <a:pPr/>
            <a:t>△</a:t>
          </a:fld>
          <a:endParaRPr lang="zh-TW" altLang="en-US" sz="1600"/>
        </a:p>
      </xdr:txBody>
    </xdr:sp>
    <xdr:clientData/>
  </xdr:twoCellAnchor>
  <xdr:twoCellAnchor>
    <xdr:from>
      <xdr:col>10</xdr:col>
      <xdr:colOff>555625</xdr:colOff>
      <xdr:row>7</xdr:row>
      <xdr:rowOff>127000</xdr:rowOff>
    </xdr:from>
    <xdr:to>
      <xdr:col>11</xdr:col>
      <xdr:colOff>215900</xdr:colOff>
      <xdr:row>8</xdr:row>
      <xdr:rowOff>180975</xdr:rowOff>
    </xdr:to>
    <xdr:sp macro="" textlink="抄!N3">
      <xdr:nvSpPr>
        <xdr:cNvPr id="17" name="文字方塊 16">
          <a:extLst>
            <a:ext uri="{FF2B5EF4-FFF2-40B4-BE49-F238E27FC236}">
              <a16:creationId xmlns:a16="http://schemas.microsoft.com/office/drawing/2014/main" id="{C85E2A49-4DFF-236D-A7E7-981D8ED95580}"/>
            </a:ext>
          </a:extLst>
        </xdr:cNvPr>
        <xdr:cNvSpPr txBox="1"/>
      </xdr:nvSpPr>
      <xdr:spPr>
        <a:xfrm>
          <a:off x="7127875" y="1793875"/>
          <a:ext cx="317500" cy="292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tlCol="0" anchor="t"/>
        <a:lstStyle/>
        <a:p>
          <a:fld id="{859D4597-D67D-4D52-8D8F-4EED197B7808}" type="TxLink">
            <a:rPr lang="en-US" altLang="en-US" sz="1600" b="0" i="0" u="none" strike="noStrike">
              <a:solidFill>
                <a:srgbClr val="000000"/>
              </a:solidFill>
              <a:latin typeface="Carlito"/>
            </a:rPr>
            <a:pPr/>
            <a:t>△</a:t>
          </a:fld>
          <a:endParaRPr lang="zh-TW" altLang="en-US" sz="1600"/>
        </a:p>
      </xdr:txBody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12</xdr:col>
      <xdr:colOff>0</xdr:colOff>
      <xdr:row>55</xdr:row>
      <xdr:rowOff>25400</xdr:rowOff>
    </xdr:to>
    <xdr:graphicFrame macro="">
      <xdr:nvGraphicFramePr>
        <xdr:cNvPr id="18" name="LinkedBeam27">
          <a:extLst>
            <a:ext uri="{FF2B5EF4-FFF2-40B4-BE49-F238E27FC236}">
              <a16:creationId xmlns:a16="http://schemas.microsoft.com/office/drawing/2014/main" id="{ADA2FF42-F12A-B576-A432-AAE9F482F8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90</xdr:row>
      <xdr:rowOff>0</xdr:rowOff>
    </xdr:from>
    <xdr:to>
      <xdr:col>12</xdr:col>
      <xdr:colOff>0</xdr:colOff>
      <xdr:row>98</xdr:row>
      <xdr:rowOff>25400</xdr:rowOff>
    </xdr:to>
    <xdr:graphicFrame macro="">
      <xdr:nvGraphicFramePr>
        <xdr:cNvPr id="19" name="LinkedBeam28">
          <a:extLst>
            <a:ext uri="{FF2B5EF4-FFF2-40B4-BE49-F238E27FC236}">
              <a16:creationId xmlns:a16="http://schemas.microsoft.com/office/drawing/2014/main" id="{4FA5F535-0A82-BF75-8985-011304753C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FF80AB"/>
    <pageSetUpPr fitToPage="1"/>
  </sheetPr>
  <dimension ref="A1:AH9600"/>
  <sheetViews>
    <sheetView showGridLines="0" workbookViewId="0">
      <selection activeCell="A9" sqref="A9"/>
    </sheetView>
  </sheetViews>
  <sheetFormatPr defaultColWidth="9" defaultRowHeight="13.8"/>
  <cols>
    <col min="1" max="1" width="16" style="3" customWidth="1"/>
    <col min="2" max="2" width="12" style="3" customWidth="1"/>
    <col min="3" max="3" width="24" style="3" customWidth="1"/>
    <col min="4" max="4" width="12" style="3" customWidth="1"/>
    <col min="5" max="5" width="13" style="3" customWidth="1"/>
    <col min="6" max="6" width="12" style="3" customWidth="1"/>
    <col min="7" max="7" width="13" style="3" customWidth="1"/>
    <col min="8" max="8" width="12" style="3" customWidth="1"/>
    <col min="9" max="9" width="13" style="3" customWidth="1"/>
    <col min="10" max="10" width="12" style="3" customWidth="1"/>
    <col min="11" max="12" width="13" style="3" customWidth="1"/>
    <col min="13" max="13" width="16" style="3" customWidth="1"/>
    <col min="14" max="14" width="13.6171875" style="3" customWidth="1"/>
    <col min="15" max="15" width="16.6171875" style="3" customWidth="1"/>
    <col min="16" max="16384" width="9" style="3"/>
  </cols>
  <sheetData>
    <row r="1" spans="1:34" ht="32.1" customHeight="1">
      <c r="A1" s="169" t="s">
        <v>0</v>
      </c>
      <c r="B1" s="169"/>
      <c r="C1" s="169"/>
      <c r="D1" s="169"/>
      <c r="E1" s="169"/>
      <c r="F1" s="169"/>
    </row>
    <row r="2" spans="1:34" ht="25" customHeight="1">
      <c r="A2" s="170" t="s">
        <v>444</v>
      </c>
      <c r="B2" s="170"/>
      <c r="C2" s="170"/>
      <c r="D2" s="170"/>
      <c r="E2" s="170"/>
      <c r="F2" s="170"/>
    </row>
    <row r="3" spans="1:34" ht="25" customHeight="1">
      <c r="A3" s="59" t="s">
        <v>5</v>
      </c>
      <c r="B3" s="171" t="s">
        <v>16</v>
      </c>
      <c r="C3" s="171"/>
      <c r="D3" s="59"/>
      <c r="E3" s="59"/>
      <c r="F3" s="59"/>
    </row>
    <row r="4" spans="1:34" ht="25" customHeight="1">
      <c r="A4" s="4" t="s">
        <v>478</v>
      </c>
      <c r="B4" s="54">
        <v>10</v>
      </c>
      <c r="C4" s="4" t="s">
        <v>437</v>
      </c>
      <c r="D4" s="4" t="s">
        <v>438</v>
      </c>
      <c r="E4" s="54">
        <v>2.5</v>
      </c>
      <c r="F4" s="4" t="s">
        <v>437</v>
      </c>
      <c r="G4" s="3" t="s">
        <v>440</v>
      </c>
      <c r="H4" s="55">
        <v>90</v>
      </c>
      <c r="I4" s="3" t="s">
        <v>439</v>
      </c>
    </row>
    <row r="5" spans="1:34" ht="24" customHeight="1">
      <c r="A5" s="3" t="s">
        <v>479</v>
      </c>
      <c r="B5" s="54"/>
      <c r="C5" s="3" t="s">
        <v>437</v>
      </c>
      <c r="H5" s="55"/>
      <c r="K5" s="198" t="str">
        <f>IF('Auto Selection'!A2&lt;&gt;'Auto Selection'!A3,"Inputs changed - click AUTO SELECT",IF(COUNTIF(S21:S23,"No match")&gt;0,"No eligible section for one or more members","Selection complete"))</f>
        <v>Selection complete</v>
      </c>
      <c r="L5" s="198"/>
      <c r="M5" s="198"/>
      <c r="N5" s="198"/>
      <c r="O5" s="198"/>
      <c r="P5" s="198"/>
      <c r="Q5" s="198"/>
      <c r="R5" s="198"/>
      <c r="U5" s="79" t="s">
        <v>715</v>
      </c>
    </row>
    <row r="6" spans="1:34" ht="30" customHeight="1">
      <c r="A6" s="56" t="s">
        <v>441</v>
      </c>
      <c r="B6" s="58">
        <v>1</v>
      </c>
      <c r="C6" s="56"/>
      <c r="D6" s="172" t="s">
        <v>481</v>
      </c>
      <c r="E6" s="172"/>
      <c r="F6" s="172"/>
      <c r="G6" s="172"/>
      <c r="H6" s="58">
        <v>0</v>
      </c>
      <c r="K6" s="198"/>
      <c r="L6" s="198"/>
      <c r="M6" s="198"/>
      <c r="N6" s="198"/>
      <c r="O6" s="198"/>
      <c r="P6" s="198"/>
      <c r="Q6" s="198"/>
      <c r="R6" s="198"/>
    </row>
    <row r="7" spans="1:34" ht="25" customHeight="1">
      <c r="A7" s="4" t="s">
        <v>183</v>
      </c>
      <c r="B7" s="62">
        <v>7</v>
      </c>
      <c r="C7" s="4" t="s">
        <v>184</v>
      </c>
      <c r="F7" s="4"/>
      <c r="K7" s="199" t="s">
        <v>548</v>
      </c>
      <c r="L7" s="200"/>
      <c r="M7" s="200"/>
      <c r="N7" s="200"/>
      <c r="O7" s="200"/>
      <c r="P7" s="200"/>
      <c r="Q7" s="200"/>
      <c r="R7" s="200"/>
      <c r="U7" s="142" t="s">
        <v>474</v>
      </c>
      <c r="V7" s="142"/>
      <c r="W7" s="142"/>
      <c r="X7" s="142"/>
      <c r="Y7" s="142"/>
      <c r="Z7" s="142"/>
      <c r="AA7" s="142"/>
      <c r="AB7" s="142"/>
      <c r="AC7" s="142"/>
      <c r="AD7" s="142"/>
      <c r="AE7" s="142"/>
      <c r="AF7" s="142"/>
      <c r="AG7" s="142"/>
      <c r="AH7" s="142"/>
    </row>
    <row r="8" spans="1:34" ht="24" customHeight="1">
      <c r="A8" s="4" t="s">
        <v>185</v>
      </c>
      <c r="B8" s="62">
        <v>5</v>
      </c>
      <c r="C8" s="4" t="s">
        <v>184</v>
      </c>
      <c r="F8" s="4"/>
      <c r="K8" s="200"/>
      <c r="L8" s="200"/>
      <c r="M8" s="200"/>
      <c r="N8" s="200"/>
      <c r="O8" s="200"/>
      <c r="P8" s="200"/>
      <c r="Q8" s="200"/>
      <c r="R8" s="200"/>
      <c r="V8" s="53"/>
    </row>
    <row r="9" spans="1:34" ht="20.100000000000001" customHeight="1">
      <c r="A9" s="16" t="s">
        <v>555</v>
      </c>
      <c r="B9" s="108">
        <f>'column design'!B3</f>
        <v>12</v>
      </c>
      <c r="D9" s="145" t="s">
        <v>467</v>
      </c>
      <c r="E9" s="145"/>
      <c r="F9" s="145"/>
      <c r="H9" s="145" t="s">
        <v>443</v>
      </c>
      <c r="I9" s="145"/>
      <c r="J9" s="145"/>
      <c r="L9" s="145" t="s">
        <v>480</v>
      </c>
      <c r="M9" s="145"/>
      <c r="N9" s="14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  <c r="AH9" s="75"/>
    </row>
    <row r="10" spans="1:34" ht="28" customHeight="1">
      <c r="A10" s="173" t="s">
        <v>21</v>
      </c>
      <c r="B10" s="173"/>
      <c r="C10" s="173"/>
      <c r="D10" s="66">
        <v>360</v>
      </c>
      <c r="E10" s="67"/>
      <c r="F10" s="67"/>
      <c r="H10" s="66">
        <v>360</v>
      </c>
      <c r="I10" s="67"/>
      <c r="J10" s="67"/>
      <c r="L10" s="144">
        <v>180</v>
      </c>
      <c r="M10" s="144"/>
      <c r="N10" s="144"/>
    </row>
    <row r="11" spans="1:34" ht="44.1" customHeight="1">
      <c r="A11" s="152" t="s">
        <v>482</v>
      </c>
      <c r="B11" s="152"/>
      <c r="C11" s="152"/>
      <c r="D11" s="61">
        <f>IF(B7080,IF(H4=90,B4,E4)/(B6+1),"")</f>
        <v>5</v>
      </c>
      <c r="E11" s="4" t="s">
        <v>182</v>
      </c>
      <c r="F11" s="4"/>
      <c r="G11" s="164" t="s">
        <v>483</v>
      </c>
      <c r="H11" s="164"/>
      <c r="I11" s="164"/>
      <c r="J11" s="73" t="str">
        <f>IF(AND(B3="Cantilever Supported",B7080,B7082),IF(H4=90,B5,E4)/(H6+1),"")</f>
        <v/>
      </c>
      <c r="K11" s="3" t="s">
        <v>437</v>
      </c>
    </row>
    <row r="12" spans="1:34" ht="28" customHeight="1">
      <c r="A12" s="147" t="s">
        <v>19</v>
      </c>
      <c r="B12" s="147"/>
      <c r="C12" s="147"/>
      <c r="D12" s="9">
        <v>205000</v>
      </c>
      <c r="E12" s="4" t="s">
        <v>20</v>
      </c>
      <c r="F12" s="4"/>
    </row>
    <row r="13" spans="1:34" ht="44.1" customHeight="1">
      <c r="A13" s="152" t="s">
        <v>484</v>
      </c>
      <c r="B13" s="152"/>
      <c r="C13" s="152"/>
      <c r="D13" s="11">
        <f>IF(B7083,(1.4*B7+1.6*B8)*D11,"")</f>
        <v>88.999999999999986</v>
      </c>
      <c r="E13" s="10" t="s">
        <v>1</v>
      </c>
      <c r="F13" s="10"/>
      <c r="G13" s="164" t="str">
        <f>IF(H4=90,"Boundary SB1 w = (1.4DL + 1.6LL) × (S/2 + SC/2)","Cantilever SB1 w = (1.4DL + 1.6LL) × SC")</f>
        <v>Boundary SB1 w = (1.4DL + 1.6LL) × (S/2 + SC/2)</v>
      </c>
      <c r="H13" s="164"/>
      <c r="I13" s="164"/>
      <c r="J13" s="73" t="str">
        <f>IF(AND(B3="Cantilever Supported",ISNUMBER(H6),H6=0),0,IF(B7086,(1.4*B7+1.6*B8)*IF(H4=90,(D11+J11)/2,J11),""))</f>
        <v/>
      </c>
      <c r="K13" s="3" t="s">
        <v>1</v>
      </c>
    </row>
    <row r="14" spans="1:34" ht="24" customHeight="1">
      <c r="A14" s="183" t="s">
        <v>540</v>
      </c>
      <c r="B14" s="183"/>
      <c r="C14" s="183"/>
      <c r="D14" s="183"/>
      <c r="E14" s="183"/>
      <c r="F14" s="183"/>
      <c r="G14" s="183"/>
      <c r="H14" s="183"/>
      <c r="I14" s="183"/>
      <c r="J14" s="183"/>
      <c r="K14" s="183"/>
      <c r="L14" s="183"/>
      <c r="M14" s="183"/>
    </row>
    <row r="15" spans="1:34" ht="32.1" customHeight="1">
      <c r="A15" s="5"/>
      <c r="B15" s="5"/>
      <c r="C15" s="5"/>
      <c r="D15" s="5"/>
      <c r="E15" s="5"/>
      <c r="F15" s="5"/>
      <c r="G15" s="5"/>
      <c r="H15" s="136" t="s">
        <v>451</v>
      </c>
      <c r="I15" s="136"/>
      <c r="J15" s="136" t="s">
        <v>452</v>
      </c>
      <c r="K15" s="136"/>
      <c r="L15" s="137" t="s">
        <v>453</v>
      </c>
      <c r="M15" s="137"/>
      <c r="N15" s="137" t="s">
        <v>454</v>
      </c>
      <c r="O15" s="137"/>
      <c r="P15" s="137" t="s">
        <v>487</v>
      </c>
      <c r="Q15" s="137"/>
      <c r="R15" s="137" t="s">
        <v>488</v>
      </c>
      <c r="S15" s="137"/>
    </row>
    <row r="16" spans="1:34" ht="24" customHeight="1">
      <c r="A16" s="161" t="s">
        <v>322</v>
      </c>
      <c r="B16" s="161"/>
      <c r="C16" s="161"/>
      <c r="D16" s="201" t="s">
        <v>551</v>
      </c>
      <c r="E16" s="201"/>
      <c r="F16" s="201"/>
      <c r="G16" s="5"/>
      <c r="H16" s="138">
        <f>IF(NOT(ISNUMBER(D7003)),"Check inputs",IF(AND(ISNUMBER(D7008),D7008&gt;0),D7003/D7008,"Check capacity"))</f>
        <v>0.24002778928472784</v>
      </c>
      <c r="I16" s="138"/>
      <c r="J16" s="138">
        <f>IF(NOT(ISNUMBER(D7027)),"Check inputs",IF(AND(ISNUMBER(D7028),D7028&gt;0),D7027/D7028,"Check capacity"))</f>
        <v>6.0657743768273813E-2</v>
      </c>
      <c r="K16" s="138"/>
      <c r="L16" s="138">
        <f>IF(NOT(ISNUMBER(D7043)),"Check inputs",IF(AND(ISNUMBER(D7048),D7048&gt;0),D7043/D7048,"Check capacity"))</f>
        <v>0.96011115713891149</v>
      </c>
      <c r="M16" s="138"/>
      <c r="N16" s="138">
        <f>IF(NOT(ISNUMBER(D7067)),"Check inputs",IF(AND(ISNUMBER(D7068),D7068&gt;0),D7067/D7068,"Check capacity"))</f>
        <v>0.77641912023390447</v>
      </c>
      <c r="O16" s="138"/>
      <c r="P16" s="138" t="str">
        <f>IF(B3&lt;&gt;"Cantilever Supported","",IF(NOT(ISNUMBER(O56)),"Check inputs",IF(AND(ISNUMBER(O61),O61&gt;0),O56/O61,"Check capacity")))</f>
        <v/>
      </c>
      <c r="Q16" s="138"/>
      <c r="R16" s="138" t="str">
        <f>IF(B3&lt;&gt;"Cantilever Supported","",IF(NOT(ISNUMBER(O80)),"Check inputs",IF(AND(ISNUMBER(O81),O81&gt;0),O80/O81,"Check capacity")))</f>
        <v/>
      </c>
      <c r="S16" s="138"/>
    </row>
    <row r="17" spans="1:19" ht="24" customHeight="1">
      <c r="A17" s="161" t="s">
        <v>323</v>
      </c>
      <c r="B17" s="161"/>
      <c r="C17" s="161"/>
      <c r="D17" s="201" t="s">
        <v>552</v>
      </c>
      <c r="E17" s="201"/>
      <c r="F17" s="201"/>
      <c r="G17" s="5"/>
      <c r="H17" s="138">
        <f>IF(NOT(ISNUMBER(D7003)),"Check inputs",IF(AND(ISNUMBER(D7011),D7011&gt;0),D7003/D7011,"Check capacity"))</f>
        <v>0.40004631547454644</v>
      </c>
      <c r="I17" s="138"/>
      <c r="J17" s="138">
        <f>IF(NOT(ISNUMBER(D7027)),"Check inputs",IF(AND(ISNUMBER(D7029),D7029&gt;0),D7027/D7029,"Check capacity"))</f>
        <v>9.3411149188097217E-2</v>
      </c>
      <c r="K17" s="138"/>
      <c r="L17" s="138">
        <f>IF(NOT(ISNUMBER(D7043)),"Check inputs",IF(AND(ISNUMBER(D7051),D7051&gt;0),D7043/D7051,"Check capacity"))</f>
        <v>1.600185261898186</v>
      </c>
      <c r="M17" s="138"/>
      <c r="N17" s="138">
        <f>IF(NOT(ISNUMBER(D7067)),"Check inputs",IF(AND(ISNUMBER(D7069),D7069&gt;0),D7067/D7069,"Check capacity"))</f>
        <v>1.1956627096076438</v>
      </c>
      <c r="O17" s="138"/>
      <c r="P17" s="138" t="str">
        <f>IF(B3&lt;&gt;"Cantilever Supported","",IF(NOT(ISNUMBER(O56)),"Check inputs",IF(AND(ISNUMBER(O64),O64&gt;0),O56/O64,"Check capacity")))</f>
        <v/>
      </c>
      <c r="Q17" s="138"/>
      <c r="R17" s="138" t="str">
        <f>IF(B3&lt;&gt;"Cantilever Supported","",IF(NOT(ISNUMBER(O80)),"Check inputs",IF(AND(ISNUMBER(O82),O82&gt;0),O80/O82,"Check capacity")))</f>
        <v/>
      </c>
      <c r="S17" s="138"/>
    </row>
    <row r="18" spans="1:19" ht="17.100000000000001" customHeight="1">
      <c r="A18" s="146" t="str">
        <f>A123</f>
        <v/>
      </c>
      <c r="B18" s="147"/>
      <c r="C18" s="147"/>
      <c r="D18" s="147"/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7"/>
    </row>
    <row r="19" spans="1:19" ht="24" customHeight="1">
      <c r="A19" s="148" t="s">
        <v>541</v>
      </c>
      <c r="B19" s="148"/>
      <c r="C19" s="148"/>
      <c r="D19" s="148"/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148"/>
      <c r="P19" s="148"/>
      <c r="Q19" s="148"/>
      <c r="R19" s="148"/>
      <c r="S19" s="148"/>
    </row>
    <row r="20" spans="1:19" ht="36" customHeight="1">
      <c r="A20" s="83" t="s">
        <v>3</v>
      </c>
      <c r="B20" s="83" t="s">
        <v>5</v>
      </c>
      <c r="C20" s="149" t="s">
        <v>542</v>
      </c>
      <c r="D20" s="149"/>
      <c r="E20" s="149" t="s">
        <v>15</v>
      </c>
      <c r="F20" s="149"/>
      <c r="G20" s="149" t="s">
        <v>543</v>
      </c>
      <c r="H20" s="149"/>
      <c r="I20" s="149" t="s">
        <v>544</v>
      </c>
      <c r="J20" s="149"/>
      <c r="K20" s="149" t="s">
        <v>545</v>
      </c>
      <c r="L20" s="149"/>
      <c r="M20" s="149" t="s">
        <v>546</v>
      </c>
      <c r="N20" s="149"/>
      <c r="O20" s="149" t="s">
        <v>536</v>
      </c>
      <c r="P20" s="149"/>
      <c r="Q20" s="149" t="s">
        <v>537</v>
      </c>
      <c r="R20" s="149"/>
      <c r="S20" s="83" t="s">
        <v>547</v>
      </c>
    </row>
    <row r="21" spans="1:19" ht="25" customHeight="1">
      <c r="A21" s="82" t="s">
        <v>467</v>
      </c>
      <c r="B21" s="82" t="str">
        <f>IF('Auto Selection'!B2&gt;0,INDEX('Auto Selection'!C:C,'Auto Selection'!B2),"")</f>
        <v>UC</v>
      </c>
      <c r="C21" s="150" t="str">
        <f>IF('Auto Selection'!B2&gt;0,INDEX('Auto Selection'!B:B,'Auto Selection'!B2),"")</f>
        <v>152x152x23</v>
      </c>
      <c r="D21" s="150"/>
      <c r="E21" s="151">
        <f>IF(FALSE,"",O26)</f>
        <v>69.531249999999972</v>
      </c>
      <c r="F21" s="151"/>
      <c r="G21" s="151">
        <f>IF(FALSE,"",D7003)</f>
        <v>43.457031249999979</v>
      </c>
      <c r="H21" s="151"/>
      <c r="I21" s="151">
        <f>IF('Auto Selection'!B2&gt;0,INDEX('Auto Selection'!Z:Z,'Auto Selection'!B2),"")</f>
        <v>57.80514765932061</v>
      </c>
      <c r="J21" s="151"/>
      <c r="K21" s="151">
        <f>IF(FALSE,"",D7027)</f>
        <v>318.999074477352</v>
      </c>
      <c r="L21" s="151"/>
      <c r="M21" s="151">
        <f>IF('Auto Selection'!B2&gt;0,INDEX('Auto Selection'!E:E,'Auto Selection'!B2),"")</f>
        <v>1250</v>
      </c>
      <c r="N21" s="151"/>
      <c r="O21" s="197">
        <f>IF('Auto Selection'!B2&gt;0,INDEX('Auto Selection'!AB:AB,'Auto Selection'!B2),"")</f>
        <v>0.7517847978888933</v>
      </c>
      <c r="P21" s="197"/>
      <c r="Q21" s="197">
        <f>IF('Auto Selection'!B2&gt;0,INDEX('Auto Selection'!AC:AC,'Auto Selection'!B2),"")</f>
        <v>0.25519925958188161</v>
      </c>
      <c r="R21" s="197"/>
      <c r="S21" s="82" t="str">
        <f>IF('Auto Selection'!$A$2&lt;&gt;'Auto Selection'!$A$3,"Run again",'Auto Selection'!B3)</f>
        <v>OK</v>
      </c>
    </row>
    <row r="22" spans="1:19" ht="25" customHeight="1">
      <c r="A22" s="82" t="s">
        <v>443</v>
      </c>
      <c r="B22" s="82" t="str">
        <f>IF('Auto Selection'!C2&gt;0,INDEX('Auto Selection'!C:C,'Auto Selection'!C2),"")</f>
        <v>UC</v>
      </c>
      <c r="C22" s="150" t="str">
        <f>IF('Auto Selection'!C2&gt;0,INDEX('Auto Selection'!B:B,'Auto Selection'!C2),"")</f>
        <v>203x203x60</v>
      </c>
      <c r="D22" s="150"/>
      <c r="E22" s="151">
        <f>IF(FALSE,"",O27)</f>
        <v>278.12499999999994</v>
      </c>
      <c r="F22" s="151"/>
      <c r="G22" s="151">
        <f>IF(FALSE,"",D7043)</f>
        <v>173.82812499999994</v>
      </c>
      <c r="H22" s="151"/>
      <c r="I22" s="151">
        <f>IF('Auto Selection'!C2&gt;0,INDEX('Auto Selection'!Z:Z,'Auto Selection'!C2),"")</f>
        <v>232.88</v>
      </c>
      <c r="J22" s="151"/>
      <c r="K22" s="151">
        <f>IF(FALSE,"",D7067)</f>
        <v>4083.1881533101036</v>
      </c>
      <c r="L22" s="151"/>
      <c r="M22" s="151">
        <f>IF('Auto Selection'!C2&gt;0,INDEX('Auto Selection'!E:E,'Auto Selection'!C2),"")</f>
        <v>6125</v>
      </c>
      <c r="N22" s="151"/>
      <c r="O22" s="197">
        <f>IF('Auto Selection'!C2&gt;0,INDEX('Auto Selection'!AB:AB,'Auto Selection'!C2),"")</f>
        <v>0.74642788131226356</v>
      </c>
      <c r="P22" s="197"/>
      <c r="Q22" s="197">
        <f>IF('Auto Selection'!C2&gt;0,INDEX('Auto Selection'!AC:AC,'Auto Selection'!C2),"")</f>
        <v>0.66664296380573118</v>
      </c>
      <c r="R22" s="197"/>
      <c r="S22" s="82" t="str">
        <f>IF('Auto Selection'!$A$2&lt;&gt;'Auto Selection'!$A$3,"Run again",'Auto Selection'!C3)</f>
        <v>OK</v>
      </c>
    </row>
    <row r="23" spans="1:19" ht="25" customHeight="1">
      <c r="A23" s="82" t="s">
        <v>480</v>
      </c>
      <c r="B23" s="82" t="str">
        <f>IF('Auto Selection'!D2&gt;0,INDEX('Auto Selection'!C:C,'Auto Selection'!D2),"")</f>
        <v/>
      </c>
      <c r="C23" s="150" t="str">
        <f>IF('Auto Selection'!D2&gt;0,INDEX('Auto Selection'!B:B,'Auto Selection'!D2),"")</f>
        <v/>
      </c>
      <c r="D23" s="150"/>
      <c r="E23" s="151" t="str">
        <f>IF(B3&lt;&gt;"Cantilever Supported","",O28)</f>
        <v/>
      </c>
      <c r="F23" s="151"/>
      <c r="G23" s="151" t="str">
        <f>IF(B3&lt;&gt;"Cantilever Supported","",O56)</f>
        <v/>
      </c>
      <c r="H23" s="151"/>
      <c r="I23" s="151" t="str">
        <f>IF('Auto Selection'!D2&gt;0,INDEX('Auto Selection'!Z:Z,'Auto Selection'!D2),"")</f>
        <v/>
      </c>
      <c r="J23" s="151"/>
      <c r="K23" s="151" t="str">
        <f>IF(B3&lt;&gt;"Cantilever Supported","",O80)</f>
        <v/>
      </c>
      <c r="L23" s="151"/>
      <c r="M23" s="151" t="str">
        <f>IF('Auto Selection'!D2&gt;0,INDEX('Auto Selection'!E:E,'Auto Selection'!D2),"")</f>
        <v/>
      </c>
      <c r="N23" s="151"/>
      <c r="O23" s="197" t="str">
        <f>IF('Auto Selection'!D2&gt;0,INDEX('Auto Selection'!AB:AB,'Auto Selection'!D2),"")</f>
        <v/>
      </c>
      <c r="P23" s="197"/>
      <c r="Q23" s="197" t="str">
        <f>IF('Auto Selection'!D2&gt;0,INDEX('Auto Selection'!AC:AC,'Auto Selection'!D2),"")</f>
        <v/>
      </c>
      <c r="R23" s="197"/>
      <c r="S23" s="82" t="str">
        <f>IF('Auto Selection'!$A$2&lt;&gt;'Auto Selection'!$A$3,"Run again",'Auto Selection'!D3)</f>
        <v>Not active</v>
      </c>
    </row>
    <row r="24" spans="1:19" ht="28" customHeight="1">
      <c r="A24" s="139" t="s">
        <v>2</v>
      </c>
      <c r="B24" s="139"/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</row>
    <row r="25" spans="1:19" ht="42" customHeight="1">
      <c r="A25" s="43" t="s">
        <v>3</v>
      </c>
      <c r="B25" s="43" t="s">
        <v>4</v>
      </c>
      <c r="C25" s="43" t="s">
        <v>5</v>
      </c>
      <c r="D25" s="43" t="s">
        <v>6</v>
      </c>
      <c r="E25" s="43" t="s">
        <v>7</v>
      </c>
      <c r="F25" s="43" t="s">
        <v>8</v>
      </c>
      <c r="G25" s="43" t="s">
        <v>9</v>
      </c>
      <c r="H25" s="43" t="s">
        <v>10</v>
      </c>
      <c r="I25" s="43" t="s">
        <v>11</v>
      </c>
      <c r="J25" s="43" t="s">
        <v>12</v>
      </c>
      <c r="K25" s="43" t="s">
        <v>13</v>
      </c>
      <c r="L25" s="44" t="s">
        <v>395</v>
      </c>
      <c r="M25" s="44" t="s">
        <v>396</v>
      </c>
      <c r="N25" s="43" t="s">
        <v>14</v>
      </c>
      <c r="O25" s="43" t="s">
        <v>15</v>
      </c>
      <c r="P25" s="43" t="s">
        <v>486</v>
      </c>
      <c r="Q25" s="43" t="s">
        <v>477</v>
      </c>
      <c r="R25" s="43" t="s">
        <v>508</v>
      </c>
      <c r="S25" s="43" t="s">
        <v>509</v>
      </c>
    </row>
    <row r="26" spans="1:19" ht="24" customHeight="1">
      <c r="A26" s="12" t="s">
        <v>442</v>
      </c>
      <c r="B26" s="61">
        <f>IF(B7080,IF(H4=90,E4,B4),"")</f>
        <v>2.5</v>
      </c>
      <c r="C26" s="60" t="str">
        <f>"Simply Supported"</f>
        <v>Simply Supported</v>
      </c>
      <c r="D26" s="63">
        <f>0</f>
        <v>0</v>
      </c>
      <c r="E26" s="64">
        <f>0</f>
        <v>0</v>
      </c>
      <c r="F26" s="63">
        <f>0</f>
        <v>0</v>
      </c>
      <c r="G26" s="64">
        <f>0</f>
        <v>0</v>
      </c>
      <c r="H26" s="63">
        <f>0</f>
        <v>0</v>
      </c>
      <c r="I26" s="64">
        <f>0</f>
        <v>0</v>
      </c>
      <c r="J26" s="63">
        <f>0</f>
        <v>0</v>
      </c>
      <c r="K26" s="64">
        <f>0</f>
        <v>0</v>
      </c>
      <c r="L26" s="65">
        <f>0</f>
        <v>0</v>
      </c>
      <c r="M26" s="65">
        <f>0</f>
        <v>0</v>
      </c>
      <c r="N26" s="46">
        <f>IF(B7084,MAX(D13,J13,B7087),"")</f>
        <v>88.999999999999986</v>
      </c>
      <c r="O26" s="47">
        <f>IF(B7084,IF(B3512,B3510,"Check inputs"),"Check inputs")</f>
        <v>69.531249999999972</v>
      </c>
      <c r="P26" s="71">
        <f>IF(B7085,MAX(B8*D11,IF(AND(B3="Cantilever Supported",H6&gt;0),B8*IF(H4=90,(D11+N(J11))/2,N(J11)),0),B7088),"")</f>
        <v>25</v>
      </c>
      <c r="Q26" s="72">
        <f>0</f>
        <v>0</v>
      </c>
      <c r="R26" s="81">
        <f>0</f>
        <v>0</v>
      </c>
      <c r="S26" s="81">
        <f>0</f>
        <v>0</v>
      </c>
    </row>
    <row r="27" spans="1:19" ht="24" customHeight="1">
      <c r="A27" s="12" t="s">
        <v>443</v>
      </c>
      <c r="B27" s="45">
        <f>IF(B7080,IF(H4=90,B4,E4),"")</f>
        <v>10</v>
      </c>
      <c r="C27" s="60" t="str">
        <f>"Simply Supported"</f>
        <v>Simply Supported</v>
      </c>
      <c r="D27" s="46">
        <f>IF(B7083,IF(B6&gt;=1,D13*B26/2*B7093,0),"")</f>
        <v>111.24999999999999</v>
      </c>
      <c r="E27" s="47">
        <f>IF(B7080,IF(B6&gt;=1,B27*1/(B6+1),0),"")</f>
        <v>5</v>
      </c>
      <c r="F27" s="46">
        <f>IF(B7083,IF(B6&gt;=2,D13*B26/2*B7093,0),"")</f>
        <v>0</v>
      </c>
      <c r="G27" s="47">
        <f>IF(B7080,IF(B6&gt;=2,B27*2/(B6+1),0),"")</f>
        <v>0</v>
      </c>
      <c r="H27" s="46">
        <f>IF(B7083,IF(B6&gt;=3,D13*B26/2*B7093,0),"")</f>
        <v>0</v>
      </c>
      <c r="I27" s="47">
        <f>IF(B7080,IF(B6&gt;=3,B27*3/(B6+1),0),"")</f>
        <v>0</v>
      </c>
      <c r="J27" s="46">
        <f>IF(B7083,IF(B6&gt;=4,D13*B26/2*B7093,0),"")</f>
        <v>0</v>
      </c>
      <c r="K27" s="47">
        <f>IF(B7080,IF(B6&gt;=4,B27*4/(B6+1),0),"")</f>
        <v>0</v>
      </c>
      <c r="L27" s="48">
        <f>IF(B7083,IF(B6&gt;=5,D13*B26/2*B7093,0),"")</f>
        <v>0</v>
      </c>
      <c r="M27" s="48">
        <f>IF(B7080,IF(B6&gt;=5,B27*5/(B6+1),0),"")</f>
        <v>0</v>
      </c>
      <c r="N27" s="63">
        <f>0</f>
        <v>0</v>
      </c>
      <c r="O27" s="47">
        <f>IF(B7083,IF(B4512,B4510,"Check inputs"),"Check inputs")</f>
        <v>278.12499999999994</v>
      </c>
      <c r="P27" s="72">
        <f>0</f>
        <v>0</v>
      </c>
      <c r="Q27" s="71">
        <f>IF(ISNUMBER(D7074),IF(B6&gt;0,D7074,0),"")</f>
        <v>31.25</v>
      </c>
      <c r="R27" s="81">
        <f>0</f>
        <v>0</v>
      </c>
      <c r="S27" s="81">
        <f>0</f>
        <v>0</v>
      </c>
    </row>
    <row r="28" spans="1:19" ht="24" customHeight="1">
      <c r="A28" s="60" t="s">
        <v>480</v>
      </c>
      <c r="B28" s="45" t="str">
        <f>IF(ISNUMBER(B5),B5,"")</f>
        <v/>
      </c>
      <c r="C28" s="60" t="str">
        <f>"Cantilever Supported"</f>
        <v>Cantilever Supported</v>
      </c>
      <c r="D28" s="74" t="str">
        <f>IF(AND(B7086,H4=90),IF(H6&gt;=1,B7087*B26/2,0),"")</f>
        <v/>
      </c>
      <c r="E28" s="74" t="str">
        <f>IF(AND(B7086,H4=90),IF(H6&gt;=1,B28*1/(H6+1),0),"")</f>
        <v/>
      </c>
      <c r="F28" s="74" t="str">
        <f>IF(AND(B7086,H4=90),IF(H6&gt;=2,B7087*B26/2,0),"")</f>
        <v/>
      </c>
      <c r="G28" s="74" t="str">
        <f>IF(AND(B7086,H4=90),IF(H6&gt;=2,B28*2/(H6+1),0),"")</f>
        <v/>
      </c>
      <c r="H28" s="74" t="str">
        <f>IF(AND(B7086,H4=90),IF(H6&gt;=3,B7087*B26/2,0),"")</f>
        <v/>
      </c>
      <c r="I28" s="74" t="str">
        <f>IF(AND(B7086,H4=90),IF(H6&gt;=3,B28*3/(H6+1),0),"")</f>
        <v/>
      </c>
      <c r="J28" s="74" t="str">
        <f>IF(AND(B7086,H4=90),IF(H6&gt;=4,B7087*B26/2,0),"")</f>
        <v/>
      </c>
      <c r="K28" s="74" t="str">
        <f>IF(AND(B7086,H4=90),IF(H6&gt;=4,B28*4/(H6+1),0),"")</f>
        <v/>
      </c>
      <c r="L28" s="74" t="str">
        <f>IF(AND(B7086,H4=90),IF(H6&gt;=5,B7087*B26/2,0),"")</f>
        <v/>
      </c>
      <c r="M28" s="74" t="str">
        <f>IF(AND(B7086,H4=90),IF(H6&gt;=5,B28*5/(H6+1),0),"")</f>
        <v/>
      </c>
      <c r="N28" s="74">
        <f>IF(B7086,IF(H6=0,(1.4*B7+1.6*B8)*E4/2,IF(H4=0,(1.4*B7+1.6*B8)*J11,0)),0)</f>
        <v>0</v>
      </c>
      <c r="O28" s="74" t="str">
        <f>IF(B7086,IF(H4=90,H6*N(D28)*B28/2,0)+N28*B28^2/2+R28*B28,"")</f>
        <v/>
      </c>
      <c r="P28" s="74">
        <f>IF(B7086,IF(H6=0,B8*E4/2,IF(H4=0,B8*J11,0)),0)</f>
        <v>0</v>
      </c>
      <c r="Q28" s="74" t="str">
        <f>IF(AND(B7086,H4=90),IF(H6&gt;0,B8*J11*B26/2,0),"")</f>
        <v/>
      </c>
      <c r="R28" s="81" t="str">
        <f>IF(AND(B7086,H6=0),0,IF(B7086,IF(H4=90,(1.4*B7+1.6*B8)*(J11/2)*E4/2,H6*(1.4*B7+1.6*B8)*J11*B5/4),""))</f>
        <v/>
      </c>
      <c r="S28" s="81" t="str">
        <f>IF(AND(B7086,H6=0),0,IF(B7086,IF(H4=90,B8*(J11/2)*E4/2,H6*B8*J11*B5/4),""))</f>
        <v/>
      </c>
    </row>
    <row r="29" spans="1:19" ht="24" hidden="1" customHeight="1">
      <c r="A29" s="12"/>
      <c r="B29" s="13"/>
      <c r="C29" s="12"/>
      <c r="D29" s="14"/>
      <c r="E29" s="15"/>
      <c r="F29" s="14"/>
      <c r="G29" s="15"/>
      <c r="H29" s="14"/>
      <c r="I29" s="15"/>
      <c r="J29" s="14"/>
      <c r="K29" s="15"/>
      <c r="L29" s="14"/>
      <c r="M29" s="15" t="str">
        <f>IF(COUNTA(A29:L29)=0,"",IF('Steel Beam Design'!M1285,'Steel Beam Design'!H1287,"Check inputs"))</f>
        <v/>
      </c>
    </row>
    <row r="30" spans="1:19" ht="24" hidden="1" customHeight="1">
      <c r="A30" s="12"/>
      <c r="B30" s="13"/>
      <c r="C30" s="12"/>
      <c r="D30" s="14"/>
      <c r="E30" s="15"/>
      <c r="F30" s="14"/>
      <c r="G30" s="15"/>
      <c r="H30" s="14"/>
      <c r="I30" s="15"/>
      <c r="J30" s="14"/>
      <c r="K30" s="15"/>
      <c r="L30" s="14"/>
      <c r="M30" s="15" t="str">
        <f>IF(COUNTA(A30:L30)=0,"",IF('Steel Beam Design'!M1310,'Steel Beam Design'!H1312,"Check inputs"))</f>
        <v/>
      </c>
    </row>
    <row r="31" spans="1:19" ht="24" hidden="1" customHeight="1">
      <c r="A31" s="12"/>
      <c r="B31" s="13"/>
      <c r="C31" s="12"/>
      <c r="D31" s="14"/>
      <c r="E31" s="15"/>
      <c r="F31" s="14"/>
      <c r="G31" s="15"/>
      <c r="H31" s="14"/>
      <c r="I31" s="15"/>
      <c r="J31" s="14"/>
      <c r="K31" s="15"/>
      <c r="L31" s="14"/>
      <c r="M31" s="15" t="str">
        <f>IF(COUNTA(A31:L31)=0,"",IF('Steel Beam Design'!M1335,'Steel Beam Design'!H1337,"Check inputs"))</f>
        <v/>
      </c>
    </row>
    <row r="32" spans="1:19" ht="24" hidden="1" customHeight="1">
      <c r="A32" s="12"/>
      <c r="B32" s="13"/>
      <c r="C32" s="12"/>
      <c r="D32" s="14"/>
      <c r="E32" s="15"/>
      <c r="F32" s="14"/>
      <c r="G32" s="15"/>
      <c r="H32" s="14"/>
      <c r="I32" s="15"/>
      <c r="J32" s="14"/>
      <c r="K32" s="15"/>
      <c r="L32" s="14"/>
      <c r="M32" s="15" t="str">
        <f>IF(COUNTA(A32:L32)=0,"",IF('Steel Beam Design'!M1360,'Steel Beam Design'!H1362,"Check inputs"))</f>
        <v/>
      </c>
    </row>
    <row r="33" spans="1:34" ht="24" hidden="1" customHeight="1">
      <c r="A33" s="12"/>
      <c r="B33" s="13"/>
      <c r="C33" s="12"/>
      <c r="D33" s="14"/>
      <c r="E33" s="15"/>
      <c r="F33" s="14"/>
      <c r="G33" s="15"/>
      <c r="H33" s="14"/>
      <c r="I33" s="15"/>
      <c r="J33" s="14"/>
      <c r="K33" s="15"/>
      <c r="L33" s="14"/>
      <c r="M33" s="15" t="str">
        <f>IF(COUNTA(A33:L33)=0,"",IF('Steel Beam Design'!M1385,'Steel Beam Design'!H1387,"Check inputs"))</f>
        <v/>
      </c>
    </row>
    <row r="34" spans="1:34" ht="24" hidden="1" customHeight="1">
      <c r="A34" s="12"/>
      <c r="B34" s="13"/>
      <c r="C34" s="12"/>
      <c r="D34" s="14"/>
      <c r="E34" s="15"/>
      <c r="F34" s="14"/>
      <c r="G34" s="15"/>
      <c r="H34" s="14"/>
      <c r="I34" s="15"/>
      <c r="J34" s="14"/>
      <c r="K34" s="15"/>
      <c r="L34" s="14"/>
      <c r="M34" s="15" t="str">
        <f>IF(COUNTA(A34:L34)=0,"",IF('Steel Beam Design'!M1410,'Steel Beam Design'!H1412,"Check inputs"))</f>
        <v/>
      </c>
    </row>
    <row r="35" spans="1:34" ht="24" hidden="1" customHeight="1">
      <c r="A35" s="12"/>
      <c r="B35" s="13"/>
      <c r="C35" s="12"/>
      <c r="D35" s="14"/>
      <c r="E35" s="15"/>
      <c r="F35" s="14"/>
      <c r="G35" s="15"/>
      <c r="H35" s="14"/>
      <c r="I35" s="15"/>
      <c r="J35" s="14"/>
      <c r="K35" s="15"/>
      <c r="L35" s="14"/>
      <c r="M35" s="15" t="str">
        <f>IF(COUNTA(A35:L35)=0,"",IF('Steel Beam Design'!M1435,'Steel Beam Design'!H1437,"Check inputs"))</f>
        <v/>
      </c>
    </row>
    <row r="36" spans="1:34" ht="24" hidden="1" customHeight="1">
      <c r="A36" s="12"/>
      <c r="B36" s="13"/>
      <c r="C36" s="12"/>
      <c r="D36" s="14"/>
      <c r="E36" s="15"/>
      <c r="F36" s="14"/>
      <c r="G36" s="15"/>
      <c r="H36" s="14"/>
      <c r="I36" s="15"/>
      <c r="J36" s="14"/>
      <c r="K36" s="15"/>
      <c r="L36" s="14"/>
      <c r="M36" s="15" t="str">
        <f>IF(COUNTA(A36:L36)=0,"",IF('Steel Beam Design'!M1460,'Steel Beam Design'!H1462,"Check inputs"))</f>
        <v/>
      </c>
    </row>
    <row r="37" spans="1:34" ht="24" hidden="1" customHeight="1">
      <c r="A37" s="12"/>
      <c r="B37" s="13"/>
      <c r="C37" s="12"/>
      <c r="D37" s="14"/>
      <c r="E37" s="15"/>
      <c r="F37" s="14"/>
      <c r="G37" s="15"/>
      <c r="H37" s="14"/>
      <c r="I37" s="15"/>
      <c r="J37" s="14"/>
      <c r="K37" s="15"/>
      <c r="L37" s="14"/>
      <c r="M37" s="15" t="str">
        <f>IF(COUNTA(A37:L37)=0,"",IF('Steel Beam Design'!M1485,'Steel Beam Design'!H1487,"Check inputs"))</f>
        <v/>
      </c>
    </row>
    <row r="38" spans="1:34" ht="24" hidden="1" customHeight="1">
      <c r="A38" s="12"/>
      <c r="B38" s="13"/>
      <c r="C38" s="12"/>
      <c r="D38" s="14"/>
      <c r="E38" s="15"/>
      <c r="F38" s="14"/>
      <c r="G38" s="15"/>
      <c r="H38" s="14"/>
      <c r="I38" s="15"/>
      <c r="J38" s="14"/>
      <c r="K38" s="15"/>
      <c r="L38" s="14"/>
      <c r="M38" s="15" t="str">
        <f>IF(COUNTA(A38:L38)=0,"",IF('Steel Beam Design'!M1510,'Steel Beam Design'!H1512,"Check inputs"))</f>
        <v/>
      </c>
    </row>
    <row r="39" spans="1:34" ht="24" hidden="1" customHeight="1">
      <c r="A39" s="12"/>
      <c r="B39" s="13"/>
      <c r="C39" s="12"/>
      <c r="D39" s="14"/>
      <c r="E39" s="15"/>
      <c r="F39" s="14"/>
      <c r="G39" s="15"/>
      <c r="H39" s="14"/>
      <c r="I39" s="15"/>
      <c r="J39" s="14"/>
      <c r="K39" s="15"/>
      <c r="L39" s="14"/>
      <c r="M39" s="15" t="str">
        <f>IF(COUNTA(A39:L39)=0,"",IF('Steel Beam Design'!M1535,'Steel Beam Design'!H1537,"Check inputs"))</f>
        <v/>
      </c>
    </row>
    <row r="40" spans="1:34" ht="24" hidden="1" customHeight="1">
      <c r="A40" s="12"/>
      <c r="B40" s="13"/>
      <c r="C40" s="12"/>
      <c r="D40" s="14"/>
      <c r="E40" s="15"/>
      <c r="F40" s="14"/>
      <c r="G40" s="15"/>
      <c r="H40" s="14"/>
      <c r="I40" s="15"/>
      <c r="J40" s="14"/>
      <c r="K40" s="15"/>
      <c r="L40" s="14"/>
      <c r="M40" s="15" t="str">
        <f>IF(COUNTA(A40:L40)=0,"",IF('Steel Beam Design'!M1560,'Steel Beam Design'!H1562,"Check inputs"))</f>
        <v/>
      </c>
    </row>
    <row r="41" spans="1:34" ht="24" hidden="1" customHeight="1">
      <c r="A41" s="12"/>
      <c r="B41" s="13"/>
      <c r="C41" s="12"/>
      <c r="D41" s="14"/>
      <c r="E41" s="15"/>
      <c r="F41" s="14"/>
      <c r="G41" s="15"/>
      <c r="H41" s="14"/>
      <c r="I41" s="15"/>
      <c r="J41" s="14"/>
      <c r="K41" s="15"/>
      <c r="L41" s="14"/>
      <c r="M41" s="15" t="str">
        <f>IF(COUNTA(A41:L41)=0,"",IF('Steel Beam Design'!M1585,'Steel Beam Design'!H1587,"Check inputs"))</f>
        <v/>
      </c>
    </row>
    <row r="42" spans="1:34" ht="24" hidden="1" customHeight="1">
      <c r="A42" s="12"/>
      <c r="B42" s="13"/>
      <c r="C42" s="12"/>
      <c r="D42" s="14"/>
      <c r="E42" s="15"/>
      <c r="F42" s="14"/>
      <c r="G42" s="15"/>
      <c r="H42" s="14"/>
      <c r="I42" s="15"/>
      <c r="J42" s="14"/>
      <c r="K42" s="15"/>
      <c r="L42" s="14"/>
      <c r="M42" s="15" t="str">
        <f>IF(COUNTA(A42:L42)=0,"",IF('Steel Beam Design'!M1610,'Steel Beam Design'!H1612,"Check inputs"))</f>
        <v/>
      </c>
    </row>
    <row r="43" spans="1:34" ht="24" hidden="1" customHeight="1">
      <c r="A43" s="12"/>
      <c r="B43" s="13"/>
      <c r="C43" s="12"/>
      <c r="D43" s="14"/>
      <c r="E43" s="15"/>
      <c r="F43" s="14"/>
      <c r="G43" s="15"/>
      <c r="H43" s="14"/>
      <c r="I43" s="15"/>
      <c r="J43" s="14"/>
      <c r="K43" s="15"/>
      <c r="L43" s="14"/>
      <c r="M43" s="15" t="str">
        <f>IF(COUNTA(A43:L43)=0,"",IF('Steel Beam Design'!M1635,'Steel Beam Design'!H1637,"Check inputs"))</f>
        <v/>
      </c>
    </row>
    <row r="44" spans="1:34" ht="24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</row>
    <row r="45" spans="1:34" ht="25" customHeight="1">
      <c r="A45" s="167" t="s">
        <v>485</v>
      </c>
      <c r="B45" s="167"/>
      <c r="C45" s="167"/>
      <c r="D45" s="167"/>
      <c r="E45" s="167"/>
      <c r="F45" s="167"/>
      <c r="G45" s="167"/>
      <c r="H45" s="167"/>
      <c r="I45" s="167"/>
      <c r="J45" s="167"/>
      <c r="K45" s="167"/>
      <c r="L45" s="167"/>
      <c r="M45" s="167"/>
      <c r="U45" s="143" t="s">
        <v>554</v>
      </c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</row>
    <row r="46" spans="1:34" ht="24" customHeight="1">
      <c r="A46" s="167" t="s">
        <v>403</v>
      </c>
      <c r="B46" s="167"/>
      <c r="C46" s="167"/>
      <c r="D46" s="167"/>
      <c r="E46" s="167"/>
      <c r="F46" s="167"/>
      <c r="G46" s="167"/>
      <c r="H46" s="167"/>
      <c r="I46" s="167"/>
      <c r="J46" s="167"/>
      <c r="K46" s="167"/>
      <c r="L46" s="167"/>
      <c r="M46" s="167"/>
      <c r="U46" s="6" t="s">
        <v>180</v>
      </c>
      <c r="V46" s="6"/>
      <c r="W46" s="6"/>
      <c r="X46" s="135" t="s">
        <v>442</v>
      </c>
      <c r="Y46" s="135"/>
      <c r="Z46" s="135"/>
      <c r="AA46" s="135"/>
      <c r="AB46" s="6"/>
    </row>
    <row r="47" spans="1:34" ht="30" customHeight="1">
      <c r="A47" s="167" t="s">
        <v>517</v>
      </c>
      <c r="B47" s="167"/>
      <c r="C47" s="167"/>
      <c r="D47" s="167"/>
      <c r="E47" s="167"/>
      <c r="F47" s="167"/>
      <c r="G47" s="167"/>
      <c r="H47" s="167"/>
      <c r="I47" s="167"/>
      <c r="J47" s="167"/>
      <c r="K47" s="167"/>
      <c r="L47" s="167"/>
      <c r="M47" s="167"/>
    </row>
    <row r="48" spans="1:34" ht="24" customHeight="1">
      <c r="A48" s="167" t="s">
        <v>17</v>
      </c>
      <c r="B48" s="167"/>
      <c r="C48" s="167"/>
      <c r="D48" s="167"/>
      <c r="E48" s="167"/>
      <c r="F48" s="167"/>
      <c r="G48" s="167"/>
      <c r="H48" s="167"/>
      <c r="I48" s="167"/>
      <c r="J48" s="167"/>
      <c r="K48" s="167"/>
      <c r="L48" s="167"/>
      <c r="M48" s="167"/>
    </row>
    <row r="49" spans="1:17" ht="22" customHeight="1">
      <c r="A49" s="167" t="s">
        <v>515</v>
      </c>
      <c r="B49" s="167"/>
      <c r="C49" s="167"/>
      <c r="D49" s="167"/>
      <c r="E49" s="167"/>
      <c r="F49" s="167"/>
      <c r="G49" s="167"/>
      <c r="H49" s="167"/>
      <c r="I49" s="167"/>
      <c r="J49" s="167"/>
      <c r="K49" s="167"/>
      <c r="L49" s="167"/>
      <c r="M49" s="167"/>
    </row>
    <row r="50" spans="1:17" ht="22" customHeight="1">
      <c r="A50" s="167" t="s">
        <v>503</v>
      </c>
      <c r="B50" s="167"/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</row>
    <row r="51" spans="1:17" ht="22" customHeight="1">
      <c r="A51" s="157" t="s">
        <v>510</v>
      </c>
      <c r="B51" s="157"/>
      <c r="C51" s="157"/>
      <c r="D51" s="157"/>
      <c r="E51" s="157"/>
      <c r="F51" s="157"/>
      <c r="G51" s="157"/>
      <c r="H51" s="157"/>
      <c r="I51" s="157"/>
      <c r="J51" s="157"/>
      <c r="K51" s="157"/>
      <c r="L51" s="157"/>
      <c r="M51" s="157"/>
      <c r="N51" s="157"/>
      <c r="O51" s="157"/>
      <c r="P51" s="157"/>
      <c r="Q51" s="157"/>
    </row>
    <row r="53" spans="1:17" ht="28" customHeight="1">
      <c r="A53" s="165" t="s">
        <v>457</v>
      </c>
      <c r="B53" s="165"/>
      <c r="C53" s="165"/>
      <c r="D53" s="165"/>
      <c r="E53" s="165"/>
      <c r="F53" s="165"/>
      <c r="G53" s="168" t="s">
        <v>467</v>
      </c>
      <c r="H53" s="168"/>
      <c r="I53" s="168"/>
      <c r="J53" s="68"/>
      <c r="K53" s="168" t="s">
        <v>443</v>
      </c>
      <c r="L53" s="168"/>
      <c r="M53" s="168"/>
      <c r="N53" s="77"/>
      <c r="O53" s="168" t="s">
        <v>480</v>
      </c>
      <c r="P53" s="168"/>
      <c r="Q53" s="168"/>
    </row>
    <row r="54" spans="1:17" ht="32.1" customHeight="1">
      <c r="A54" s="166" t="s">
        <v>458</v>
      </c>
      <c r="B54" s="166"/>
      <c r="C54" s="166"/>
      <c r="D54" s="166"/>
      <c r="E54" s="166"/>
      <c r="F54" s="166"/>
      <c r="G54" s="153">
        <f>D7001</f>
        <v>69.531249999999972</v>
      </c>
      <c r="H54" s="153"/>
      <c r="I54" s="153"/>
      <c r="J54" s="69"/>
      <c r="K54" s="153">
        <f>D7041</f>
        <v>278.12499999999994</v>
      </c>
      <c r="L54" s="153"/>
      <c r="M54" s="153"/>
      <c r="N54" s="76"/>
      <c r="O54" s="153" t="str">
        <f>IF(ISNUMBER(O28),O28,"")</f>
        <v/>
      </c>
      <c r="P54" s="153"/>
      <c r="Q54" s="153"/>
    </row>
    <row r="55" spans="1:17" ht="24" customHeight="1">
      <c r="A55" s="166"/>
      <c r="B55" s="166"/>
      <c r="C55" s="166"/>
      <c r="D55" s="166"/>
      <c r="E55" s="166"/>
      <c r="F55" s="166"/>
      <c r="G55" s="141"/>
      <c r="H55" s="141"/>
      <c r="I55" s="141"/>
      <c r="J55" s="69"/>
      <c r="K55" s="141"/>
      <c r="L55" s="141"/>
      <c r="M55" s="141"/>
      <c r="N55" s="76"/>
      <c r="O55" s="141"/>
      <c r="P55" s="141"/>
      <c r="Q55" s="141"/>
    </row>
    <row r="56" spans="1:17" ht="32.1" customHeight="1">
      <c r="A56" s="166" t="s">
        <v>459</v>
      </c>
      <c r="B56" s="166"/>
      <c r="C56" s="166"/>
      <c r="D56" s="166"/>
      <c r="E56" s="166"/>
      <c r="F56" s="166"/>
      <c r="G56" s="153">
        <f>D7003</f>
        <v>43.457031249999979</v>
      </c>
      <c r="H56" s="153"/>
      <c r="I56" s="153"/>
      <c r="J56" s="69"/>
      <c r="K56" s="153">
        <f>D7043</f>
        <v>173.82812499999994</v>
      </c>
      <c r="L56" s="153"/>
      <c r="M56" s="153"/>
      <c r="N56" s="76"/>
      <c r="O56" s="153" t="str">
        <f>IF(ISNUMBER(O54),O54/1.6,"")</f>
        <v/>
      </c>
      <c r="P56" s="153"/>
      <c r="Q56" s="153"/>
    </row>
    <row r="57" spans="1:17" ht="24" customHeight="1">
      <c r="A57" s="166"/>
      <c r="B57" s="166"/>
      <c r="C57" s="166"/>
      <c r="D57" s="166"/>
      <c r="E57" s="166"/>
      <c r="F57" s="166"/>
      <c r="G57" s="141"/>
      <c r="H57" s="141"/>
      <c r="I57" s="141"/>
      <c r="J57" s="69"/>
      <c r="K57" s="141"/>
      <c r="L57" s="141"/>
      <c r="M57" s="141"/>
      <c r="N57" s="76"/>
      <c r="O57" s="141"/>
      <c r="P57" s="141"/>
      <c r="Q57" s="141"/>
    </row>
    <row r="58" spans="1:17" ht="28" customHeight="1">
      <c r="A58" s="165" t="s">
        <v>460</v>
      </c>
      <c r="B58" s="165"/>
      <c r="C58" s="165"/>
      <c r="D58" s="165"/>
      <c r="E58" s="165"/>
      <c r="F58" s="165"/>
      <c r="G58" s="140"/>
      <c r="H58" s="140"/>
      <c r="I58" s="140"/>
      <c r="J58" s="70"/>
      <c r="K58" s="140"/>
      <c r="L58" s="140"/>
      <c r="M58" s="140"/>
      <c r="N58" s="77"/>
      <c r="O58" s="140"/>
      <c r="P58" s="140"/>
      <c r="Q58" s="140"/>
    </row>
    <row r="59" spans="1:17" ht="24" customHeight="1">
      <c r="A59" s="166"/>
      <c r="B59" s="166"/>
      <c r="C59" s="166"/>
      <c r="D59" s="166"/>
      <c r="E59" s="166"/>
      <c r="F59" s="166"/>
      <c r="G59" s="141"/>
      <c r="H59" s="141"/>
      <c r="I59" s="141"/>
      <c r="J59" s="69"/>
      <c r="K59" s="141"/>
      <c r="L59" s="141"/>
      <c r="M59" s="141"/>
      <c r="N59" s="76"/>
      <c r="O59" s="141"/>
      <c r="P59" s="141"/>
      <c r="Q59" s="141"/>
    </row>
    <row r="60" spans="1:17" ht="24" customHeight="1">
      <c r="A60" s="166"/>
      <c r="B60" s="166"/>
      <c r="C60" s="166"/>
      <c r="D60" s="166"/>
      <c r="E60" s="166"/>
      <c r="F60" s="166"/>
      <c r="G60" s="141"/>
      <c r="H60" s="141"/>
      <c r="I60" s="141"/>
      <c r="J60" s="69"/>
      <c r="K60" s="141"/>
      <c r="L60" s="141"/>
      <c r="M60" s="141"/>
      <c r="N60" s="76"/>
      <c r="O60" s="141"/>
      <c r="P60" s="141"/>
      <c r="Q60" s="141"/>
    </row>
    <row r="61" spans="1:17" ht="32.1" customHeight="1">
      <c r="A61" s="166" t="s">
        <v>461</v>
      </c>
      <c r="B61" s="166"/>
      <c r="C61" s="166"/>
      <c r="D61" s="166"/>
      <c r="E61" s="166"/>
      <c r="F61" s="166"/>
      <c r="G61" s="153">
        <f>D7008</f>
        <v>181.05</v>
      </c>
      <c r="H61" s="153"/>
      <c r="I61" s="153"/>
      <c r="J61" s="69"/>
      <c r="K61" s="153">
        <f>D7048</f>
        <v>181.05</v>
      </c>
      <c r="L61" s="153"/>
      <c r="M61" s="153"/>
      <c r="N61" s="76"/>
      <c r="O61" s="153" t="str">
        <f>IF(ISNUMBER(O54),H2072,"")</f>
        <v/>
      </c>
      <c r="P61" s="153"/>
      <c r="Q61" s="153"/>
    </row>
    <row r="62" spans="1:17" ht="38.1" hidden="1" customHeight="1">
      <c r="A62" s="166"/>
      <c r="B62" s="166"/>
      <c r="C62" s="166"/>
      <c r="D62" s="166"/>
      <c r="E62" s="166"/>
      <c r="F62" s="166"/>
      <c r="G62" s="141"/>
      <c r="H62" s="141"/>
      <c r="I62" s="141"/>
      <c r="J62" s="69"/>
      <c r="K62" s="141"/>
      <c r="L62" s="141"/>
      <c r="M62" s="141"/>
      <c r="N62" s="76"/>
      <c r="O62" s="141"/>
      <c r="P62" s="141"/>
      <c r="Q62" s="141"/>
    </row>
    <row r="63" spans="1:17" ht="24" customHeight="1">
      <c r="A63" s="166"/>
      <c r="B63" s="166"/>
      <c r="C63" s="166"/>
      <c r="D63" s="166"/>
      <c r="E63" s="166"/>
      <c r="F63" s="166"/>
      <c r="G63" s="141"/>
      <c r="H63" s="141"/>
      <c r="I63" s="141"/>
      <c r="J63" s="69"/>
      <c r="K63" s="141"/>
      <c r="L63" s="141"/>
      <c r="M63" s="141"/>
      <c r="N63" s="76"/>
      <c r="O63" s="141"/>
      <c r="P63" s="141"/>
      <c r="Q63" s="141"/>
    </row>
    <row r="64" spans="1:17" ht="32.1" customHeight="1">
      <c r="A64" s="166" t="s">
        <v>462</v>
      </c>
      <c r="B64" s="166"/>
      <c r="C64" s="166"/>
      <c r="D64" s="166"/>
      <c r="E64" s="166"/>
      <c r="F64" s="166"/>
      <c r="G64" s="153">
        <f>D7011</f>
        <v>108.63</v>
      </c>
      <c r="H64" s="153"/>
      <c r="I64" s="153"/>
      <c r="J64" s="69"/>
      <c r="K64" s="153">
        <f>D7051</f>
        <v>108.63</v>
      </c>
      <c r="L64" s="153"/>
      <c r="M64" s="153"/>
      <c r="N64" s="76"/>
      <c r="O64" s="153" t="str">
        <f>IF(ISNUMBER(O54),I2072,"")</f>
        <v/>
      </c>
      <c r="P64" s="153"/>
      <c r="Q64" s="153"/>
    </row>
    <row r="65" spans="1:17" ht="38.1" hidden="1" customHeight="1">
      <c r="A65" s="166"/>
      <c r="B65" s="166"/>
      <c r="C65" s="166"/>
      <c r="D65" s="166"/>
      <c r="E65" s="166"/>
      <c r="F65" s="166"/>
      <c r="G65" s="141"/>
      <c r="H65" s="141"/>
      <c r="I65" s="141"/>
      <c r="J65" s="69"/>
      <c r="K65" s="141"/>
      <c r="L65" s="141"/>
      <c r="M65" s="141"/>
      <c r="N65" s="76"/>
      <c r="O65" s="141"/>
      <c r="P65" s="141"/>
      <c r="Q65" s="141"/>
    </row>
    <row r="66" spans="1:17" ht="32.1" customHeight="1">
      <c r="A66" s="166" t="s">
        <v>468</v>
      </c>
      <c r="B66" s="166"/>
      <c r="C66" s="166"/>
      <c r="D66" s="166"/>
      <c r="E66" s="166"/>
      <c r="F66" s="166"/>
      <c r="G66" s="153" t="str">
        <f>D7013&amp;IF(AND(D7013&lt;&gt;"",F7013&lt;&gt;""),"   |   ","")&amp;F7013</f>
        <v>UC: OK   |   UB: OK</v>
      </c>
      <c r="H66" s="153"/>
      <c r="I66" s="153"/>
      <c r="J66" s="69"/>
      <c r="K66" s="153" t="str">
        <f>D7053&amp;IF(AND(D7053&lt;&gt;"",F7053&lt;&gt;""),"   |   ","")&amp;F7053</f>
        <v>UC: OK   |   UB: Not ok</v>
      </c>
      <c r="L66" s="153"/>
      <c r="M66" s="153"/>
      <c r="N66" s="76"/>
      <c r="O66" s="153" t="str">
        <f>IF(B3&lt;&gt;"Cantilever Supported","",IF(NOT(B7086),"Check inputs","UC: "&amp;IF(AND(ISNUMBER(H2063),H2064&gt;H2063),"Shear NG",IF(ISNUMBER(O61),IF(O61&gt;=O56,"OK","Not ok"),"Check section"))&amp;" | UB: "&amp;IF(AND(ISNUMBER(I2063),I2064&gt;I2063),"Shear NG",IF(ISNUMBER(O64),IF(O64&gt;=O56,"OK","Not ok"),"Check section"))))</f>
        <v/>
      </c>
      <c r="P66" s="153"/>
      <c r="Q66" s="153"/>
    </row>
    <row r="67" spans="1:17" ht="24" customHeight="1">
      <c r="A67" s="166" t="s">
        <v>463</v>
      </c>
      <c r="B67" s="166"/>
      <c r="C67" s="166"/>
      <c r="D67" s="166"/>
      <c r="E67" s="166"/>
      <c r="F67" s="166"/>
      <c r="G67" s="141"/>
      <c r="H67" s="141"/>
      <c r="I67" s="141"/>
      <c r="J67" s="69"/>
      <c r="K67" s="141"/>
      <c r="L67" s="141"/>
      <c r="M67" s="141"/>
      <c r="N67" s="76"/>
      <c r="O67" s="141"/>
      <c r="P67" s="141"/>
      <c r="Q67" s="141"/>
    </row>
    <row r="68" spans="1:17" ht="24" customHeight="1">
      <c r="A68" s="166" t="s">
        <v>464</v>
      </c>
      <c r="B68" s="166"/>
      <c r="C68" s="166"/>
      <c r="D68" s="166"/>
      <c r="E68" s="166"/>
      <c r="F68" s="166"/>
      <c r="G68" s="141"/>
      <c r="H68" s="141"/>
      <c r="I68" s="141"/>
      <c r="J68" s="69"/>
      <c r="K68" s="141"/>
      <c r="L68" s="141"/>
      <c r="M68" s="141"/>
      <c r="N68" s="76"/>
      <c r="O68" s="141"/>
      <c r="P68" s="141"/>
      <c r="Q68" s="141"/>
    </row>
    <row r="69" spans="1:17" ht="24" customHeight="1">
      <c r="A69" s="166"/>
      <c r="B69" s="166"/>
      <c r="C69" s="166"/>
      <c r="D69" s="166"/>
      <c r="E69" s="166"/>
      <c r="F69" s="166"/>
      <c r="G69" s="141"/>
      <c r="H69" s="141"/>
      <c r="I69" s="141"/>
      <c r="J69" s="69"/>
      <c r="K69" s="141"/>
      <c r="L69" s="141"/>
      <c r="M69" s="141"/>
      <c r="N69" s="76"/>
      <c r="O69" s="141"/>
      <c r="P69" s="141"/>
      <c r="Q69" s="141"/>
    </row>
    <row r="70" spans="1:17" ht="24" customHeight="1">
      <c r="A70" s="166"/>
      <c r="B70" s="166"/>
      <c r="C70" s="166"/>
      <c r="D70" s="166"/>
      <c r="E70" s="166"/>
      <c r="F70" s="166"/>
      <c r="G70" s="141"/>
      <c r="H70" s="141"/>
      <c r="I70" s="141"/>
      <c r="J70" s="69"/>
      <c r="K70" s="141"/>
      <c r="L70" s="141"/>
      <c r="M70" s="141"/>
      <c r="N70" s="76"/>
      <c r="O70" s="141"/>
      <c r="P70" s="141"/>
      <c r="Q70" s="141"/>
    </row>
    <row r="71" spans="1:17" ht="28" customHeight="1">
      <c r="A71" s="165" t="s">
        <v>465</v>
      </c>
      <c r="B71" s="165"/>
      <c r="C71" s="165"/>
      <c r="D71" s="165"/>
      <c r="E71" s="165"/>
      <c r="F71" s="165"/>
      <c r="G71" s="140"/>
      <c r="H71" s="140"/>
      <c r="I71" s="140"/>
      <c r="J71" s="70"/>
      <c r="K71" s="140"/>
      <c r="L71" s="140"/>
      <c r="M71" s="140"/>
      <c r="N71" s="77"/>
      <c r="O71" s="140"/>
      <c r="P71" s="140"/>
      <c r="Q71" s="140"/>
    </row>
    <row r="72" spans="1:17" ht="36" customHeight="1">
      <c r="A72" s="166" t="s">
        <v>489</v>
      </c>
      <c r="B72" s="166"/>
      <c r="C72" s="166"/>
      <c r="D72" s="166"/>
      <c r="E72" s="166"/>
      <c r="F72" s="166"/>
      <c r="G72" s="196">
        <f>P26</f>
        <v>25</v>
      </c>
      <c r="H72" s="196"/>
      <c r="I72" s="196"/>
      <c r="J72" s="69"/>
      <c r="K72" s="154">
        <f>Q27</f>
        <v>31.25</v>
      </c>
      <c r="L72" s="154"/>
      <c r="M72" s="154"/>
      <c r="N72" s="76"/>
      <c r="O72" s="154" t="str">
        <f>IF(ISNUMBER(O28),IF(OR(H4=0,H6=0),"w = "&amp;TEXT(P28,"0.00")&amp;" kN/m","P = "&amp;TEXT(Q28,"0.00")&amp;" kN")&amp;CHAR(10)&amp;"P end = "&amp;TEXT(S28,"0.00")&amp;" kN","")</f>
        <v/>
      </c>
      <c r="P72" s="154"/>
      <c r="Q72" s="154"/>
    </row>
    <row r="73" spans="1:17" ht="96" customHeight="1">
      <c r="A73" s="166" t="str">
        <f>"Short form (live load)"&amp;CHAR(10)&amp;"SB1: "&amp;IF(ISNUMBER(G74),"Imin ≈ "&amp;TEXT(5/384*D10*100000/D12,"0.00")&amp;"w_live L³","Check inputs")&amp;CHAR(10)&amp;"SB2: "&amp;IF(ISNUMBER(K74),"Imin ≈ "&amp;TEXT(D7075*H10*100000/D12,"0.00")&amp;"P_live L²","Check inputs")&amp;IF(B3="Cantilever Supported",CHAR(10)&amp;"CSB3: "&amp;IF(ISNUMBER(O74),"Imin ≈ "&amp;IF(OR(H4=0,H6=0),TEXT(L10*100000/(8*D12),"0.00")&amp;"w_live L³",TEXT(H6*(3*H6+2)/(24*(H6+1))*L10*100000/D12,"0.00")&amp;"P_live L²")&amp;CHAR(10)&amp;"          + "&amp;TEXT(L10*100000/(3*D12),"0.00")&amp;"P_end,live L²","Check inputs"),"")</f>
        <v>Short form (live load)
SB1: Imin ≈ 2.29w_live L³
SB2: Imin ≈ 3.66P_live L²</v>
      </c>
      <c r="B73" s="166"/>
      <c r="C73" s="166"/>
      <c r="D73" s="166"/>
      <c r="E73" s="166"/>
      <c r="F73" s="166"/>
      <c r="G73" s="141"/>
      <c r="H73" s="141"/>
      <c r="I73" s="141"/>
      <c r="J73" s="69"/>
      <c r="K73" s="141"/>
      <c r="L73" s="141"/>
      <c r="M73" s="141"/>
      <c r="N73" s="76"/>
      <c r="O73" s="141"/>
      <c r="P73" s="141"/>
      <c r="Q73" s="141"/>
    </row>
    <row r="74" spans="1:17" ht="32.1" customHeight="1">
      <c r="A74" s="166" t="s">
        <v>469</v>
      </c>
      <c r="B74" s="166"/>
      <c r="C74" s="166"/>
      <c r="D74" s="166"/>
      <c r="E74" s="166"/>
      <c r="F74" s="166"/>
      <c r="G74" s="153">
        <f>D7021</f>
        <v>893.1974085365855</v>
      </c>
      <c r="H74" s="153"/>
      <c r="I74" s="153"/>
      <c r="J74" s="69"/>
      <c r="K74" s="153">
        <f>D7061</f>
        <v>11432.92682926829</v>
      </c>
      <c r="L74" s="153"/>
      <c r="M74" s="153"/>
      <c r="N74" s="76"/>
      <c r="O74" s="153" t="str">
        <f>IF(AND(ISNUMBER(O28),COUNT(B28,D12,L10)=3,B28&gt;0,D12&gt;0,L10&gt;0),(N(P28)*B28^3/8+IF(H4=90,N(Q28)*B28^2*H6*(3*H6+2)/(24*(H6+1)),0)+N(S28)*B28^2/3)*L10*100000/D12,"")</f>
        <v/>
      </c>
      <c r="P74" s="153"/>
      <c r="Q74" s="153"/>
    </row>
    <row r="75" spans="1:17" ht="24" customHeight="1">
      <c r="A75" s="166"/>
      <c r="B75" s="166"/>
      <c r="C75" s="166"/>
      <c r="D75" s="166"/>
      <c r="E75" s="166"/>
      <c r="F75" s="166"/>
      <c r="G75" s="141"/>
      <c r="H75" s="141"/>
      <c r="I75" s="141"/>
      <c r="J75" s="69"/>
      <c r="K75" s="141"/>
      <c r="L75" s="141"/>
      <c r="M75" s="141"/>
      <c r="N75" s="76"/>
      <c r="O75" s="141"/>
      <c r="P75" s="141"/>
      <c r="Q75" s="141"/>
    </row>
    <row r="76" spans="1:17" ht="12" customHeight="1">
      <c r="A76" s="166"/>
      <c r="B76" s="166"/>
      <c r="C76" s="166"/>
      <c r="D76" s="166"/>
      <c r="E76" s="166"/>
      <c r="F76" s="166"/>
      <c r="J76" s="78"/>
      <c r="N76" s="76"/>
    </row>
    <row r="77" spans="1:17" ht="48" customHeight="1">
      <c r="A77" s="166" t="s">
        <v>511</v>
      </c>
      <c r="B77" s="166"/>
      <c r="C77" s="166"/>
      <c r="D77" s="166"/>
      <c r="E77" s="166"/>
      <c r="F77" s="166"/>
      <c r="G77" s="141"/>
      <c r="H77" s="141"/>
      <c r="I77" s="141"/>
      <c r="J77" s="69"/>
      <c r="K77" s="141"/>
      <c r="L77" s="141"/>
      <c r="M77" s="141"/>
      <c r="N77" s="76"/>
      <c r="O77" s="141"/>
      <c r="P77" s="141"/>
      <c r="Q77" s="141"/>
    </row>
    <row r="78" spans="1:17" ht="32.1" customHeight="1">
      <c r="A78" s="166"/>
      <c r="B78" s="166"/>
      <c r="C78" s="166"/>
      <c r="D78" s="166"/>
      <c r="E78" s="166"/>
      <c r="F78" s="166"/>
      <c r="G78" s="141"/>
      <c r="H78" s="141"/>
      <c r="I78" s="141"/>
      <c r="J78" s="69"/>
      <c r="K78" s="141"/>
      <c r="L78" s="141"/>
      <c r="M78" s="141"/>
      <c r="N78" s="76"/>
      <c r="O78" s="141"/>
      <c r="P78" s="141"/>
      <c r="Q78" s="141"/>
    </row>
    <row r="79" spans="1:17" ht="24" customHeight="1">
      <c r="A79" s="166"/>
      <c r="B79" s="166"/>
      <c r="C79" s="166"/>
      <c r="D79" s="166"/>
      <c r="E79" s="166"/>
      <c r="F79" s="166"/>
      <c r="G79" s="141"/>
      <c r="H79" s="141"/>
      <c r="I79" s="141"/>
      <c r="J79" s="69"/>
      <c r="K79" s="141"/>
      <c r="L79" s="141"/>
      <c r="M79" s="141"/>
      <c r="N79" s="76"/>
      <c r="O79" s="141"/>
      <c r="P79" s="141"/>
      <c r="Q79" s="141"/>
    </row>
    <row r="80" spans="1:17" ht="32.1" customHeight="1">
      <c r="A80" s="166" t="s">
        <v>470</v>
      </c>
      <c r="B80" s="166"/>
      <c r="C80" s="166"/>
      <c r="D80" s="166"/>
      <c r="E80" s="166"/>
      <c r="F80" s="166"/>
      <c r="G80" s="153">
        <f>D7027</f>
        <v>318.999074477352</v>
      </c>
      <c r="H80" s="153"/>
      <c r="I80" s="153"/>
      <c r="J80" s="69"/>
      <c r="K80" s="153">
        <f>D7067</f>
        <v>4083.1881533101036</v>
      </c>
      <c r="L80" s="153"/>
      <c r="M80" s="153"/>
      <c r="N80" s="76"/>
      <c r="O80" s="153" t="str">
        <f>IF(ISNUMBER(O74),O74/2.8,"")</f>
        <v/>
      </c>
      <c r="P80" s="153"/>
      <c r="Q80" s="153"/>
    </row>
    <row r="81" spans="1:19" ht="32.1" customHeight="1">
      <c r="A81" s="166" t="s">
        <v>471</v>
      </c>
      <c r="B81" s="166"/>
      <c r="C81" s="166"/>
      <c r="D81" s="166"/>
      <c r="E81" s="166"/>
      <c r="F81" s="166"/>
      <c r="G81" s="153">
        <f>D7028</f>
        <v>5259</v>
      </c>
      <c r="H81" s="153"/>
      <c r="I81" s="153"/>
      <c r="J81" s="69"/>
      <c r="K81" s="153">
        <f>D7068</f>
        <v>5259</v>
      </c>
      <c r="L81" s="153"/>
      <c r="M81" s="153"/>
      <c r="N81" s="76"/>
      <c r="O81" s="153" t="str">
        <f>IF(ISNUMBER(O74),G81,"")</f>
        <v/>
      </c>
      <c r="P81" s="153"/>
      <c r="Q81" s="153"/>
    </row>
    <row r="82" spans="1:19" ht="32.1" customHeight="1">
      <c r="A82" s="166" t="s">
        <v>472</v>
      </c>
      <c r="B82" s="166"/>
      <c r="C82" s="166"/>
      <c r="D82" s="166"/>
      <c r="E82" s="166"/>
      <c r="F82" s="166"/>
      <c r="G82" s="153">
        <f>D7029</f>
        <v>3415</v>
      </c>
      <c r="H82" s="153"/>
      <c r="I82" s="153"/>
      <c r="J82" s="69"/>
      <c r="K82" s="153">
        <f>D7069</f>
        <v>3415</v>
      </c>
      <c r="L82" s="153"/>
      <c r="M82" s="153"/>
      <c r="N82" s="76"/>
      <c r="O82" s="153" t="str">
        <f>IF(ISNUMBER(O74),G82,"")</f>
        <v/>
      </c>
      <c r="P82" s="153"/>
      <c r="Q82" s="153"/>
    </row>
    <row r="83" spans="1:19" ht="32.1" customHeight="1">
      <c r="A83" s="166" t="s">
        <v>473</v>
      </c>
      <c r="B83" s="166"/>
      <c r="C83" s="166"/>
      <c r="D83" s="166"/>
      <c r="E83" s="166"/>
      <c r="F83" s="166"/>
      <c r="G83" s="153" t="str">
        <f>D7030&amp;IF(AND(D7030&lt;&gt;"",F7030&lt;&gt;""),"   |   ","")&amp;F7030</f>
        <v>UC: OK   |   UB: OK</v>
      </c>
      <c r="H83" s="153"/>
      <c r="I83" s="153"/>
      <c r="J83" s="69"/>
      <c r="K83" s="153" t="str">
        <f>D7070&amp;IF(AND(D7070&lt;&gt;"",F7070&lt;&gt;""),"   |   ","")&amp;F7070</f>
        <v>UC: OK   |   UB: Not ok</v>
      </c>
      <c r="L83" s="153"/>
      <c r="M83" s="153"/>
      <c r="N83" s="76"/>
      <c r="O83" s="153" t="str">
        <f>IF(B3&lt;&gt;"Cantilever Supported","",IF(NOT(ISNUMBER(O80)),"Check inputs","UC: "&amp;IF(ISNUMBER(O81),IF(O81&gt;=O80,"OK","Not ok"),"Check section")&amp;" | UB: "&amp;IF(ISNUMBER(O82),IF(O82&gt;=O80,"OK","Not ok"),"Check section")))</f>
        <v/>
      </c>
      <c r="P83" s="153"/>
      <c r="Q83" s="153"/>
    </row>
    <row r="84" spans="1:19" ht="24" customHeight="1">
      <c r="A84" s="166"/>
      <c r="B84" s="166"/>
      <c r="C84" s="166"/>
      <c r="D84" s="166"/>
      <c r="E84" s="166"/>
      <c r="F84" s="166"/>
      <c r="G84" s="141"/>
      <c r="H84" s="141"/>
      <c r="I84" s="141"/>
      <c r="J84" s="69"/>
      <c r="K84" s="141"/>
      <c r="L84" s="141"/>
      <c r="M84" s="141"/>
      <c r="N84" s="76"/>
      <c r="O84" s="141"/>
      <c r="P84" s="141"/>
      <c r="Q84" s="141"/>
    </row>
    <row r="85" spans="1:19" ht="36" customHeight="1">
      <c r="A85" s="166" t="s">
        <v>466</v>
      </c>
      <c r="B85" s="166"/>
      <c r="C85" s="166"/>
      <c r="D85" s="166"/>
      <c r="E85" s="166"/>
      <c r="F85" s="166"/>
      <c r="G85" s="141"/>
      <c r="H85" s="141"/>
      <c r="I85" s="141"/>
      <c r="J85" s="69"/>
      <c r="K85" s="141"/>
      <c r="L85" s="141"/>
      <c r="M85" s="141"/>
      <c r="N85" s="76"/>
      <c r="O85" s="141"/>
      <c r="P85" s="141"/>
      <c r="Q85" s="141"/>
    </row>
    <row r="86" spans="1:19" ht="22" customHeight="1">
      <c r="A86" s="174" t="s">
        <v>504</v>
      </c>
      <c r="B86" s="174"/>
      <c r="C86" s="174"/>
      <c r="D86" s="174"/>
      <c r="E86" s="174"/>
      <c r="F86" s="174"/>
      <c r="G86" s="79"/>
      <c r="H86" s="79"/>
      <c r="I86" s="79"/>
      <c r="J86" s="79"/>
      <c r="K86" s="79"/>
      <c r="L86" s="79"/>
      <c r="M86" s="79"/>
      <c r="N86" s="79"/>
      <c r="O86" s="79"/>
      <c r="P86" s="79"/>
      <c r="Q86" s="79"/>
    </row>
    <row r="87" spans="1:19" ht="32.1" customHeight="1">
      <c r="A87" s="133" t="s">
        <v>516</v>
      </c>
      <c r="B87" s="134"/>
      <c r="C87" s="134"/>
      <c r="D87" s="134"/>
      <c r="E87" s="134"/>
      <c r="F87" s="134"/>
      <c r="G87" s="134"/>
      <c r="H87" s="134"/>
      <c r="I87" s="134"/>
      <c r="J87" s="134"/>
      <c r="K87" s="134"/>
      <c r="L87" s="134"/>
      <c r="M87" s="134"/>
      <c r="N87" s="134"/>
      <c r="O87" s="134"/>
      <c r="P87" s="134"/>
      <c r="Q87" s="134"/>
    </row>
    <row r="88" spans="1:19" ht="26.1" customHeight="1">
      <c r="A88" s="174" t="s">
        <v>505</v>
      </c>
      <c r="B88" s="174"/>
      <c r="C88" s="174"/>
      <c r="D88" s="174"/>
      <c r="E88" s="174"/>
      <c r="F88" s="174"/>
      <c r="G88" s="79"/>
      <c r="H88" s="79"/>
      <c r="I88" s="79"/>
      <c r="J88" s="79"/>
      <c r="K88" s="79"/>
      <c r="L88" s="79"/>
      <c r="M88" s="79"/>
      <c r="N88" s="79"/>
      <c r="O88" s="79"/>
      <c r="P88" s="79"/>
      <c r="Q88" s="79"/>
    </row>
    <row r="89" spans="1:19" ht="24" customHeight="1">
      <c r="A89" s="16"/>
      <c r="B89" s="16"/>
      <c r="C89" s="16"/>
      <c r="D89" s="16"/>
      <c r="E89" s="16"/>
      <c r="F89" s="16"/>
    </row>
    <row r="90" spans="1:19" ht="28" customHeight="1">
      <c r="A90" s="202" t="s">
        <v>556</v>
      </c>
      <c r="B90" s="202"/>
      <c r="C90" s="202"/>
      <c r="D90" s="202"/>
      <c r="E90" s="202"/>
      <c r="F90" s="202"/>
      <c r="G90" s="202"/>
      <c r="H90" s="202"/>
      <c r="I90" s="202"/>
      <c r="J90" s="202"/>
      <c r="K90" s="202"/>
      <c r="L90" s="202"/>
      <c r="M90" s="202"/>
      <c r="N90" s="202"/>
      <c r="O90" s="202"/>
      <c r="P90" s="202"/>
      <c r="Q90" s="202"/>
      <c r="R90" s="202"/>
      <c r="S90" s="202"/>
    </row>
    <row r="91" spans="1:19" ht="24" customHeight="1"/>
    <row r="92" spans="1:19" ht="24" customHeight="1">
      <c r="A92" s="36" t="s">
        <v>555</v>
      </c>
      <c r="B92" s="87">
        <f>B9</f>
        <v>12</v>
      </c>
    </row>
    <row r="93" spans="1:19" ht="34" customHeight="1"/>
    <row r="94" spans="1:19" ht="24" customHeight="1">
      <c r="A94" s="203" t="s">
        <v>557</v>
      </c>
      <c r="B94" s="203"/>
      <c r="C94" s="203"/>
      <c r="D94" s="203"/>
      <c r="E94" s="203"/>
      <c r="F94" s="203"/>
      <c r="G94" s="203"/>
      <c r="H94" s="203"/>
      <c r="I94" s="203"/>
      <c r="J94" s="203"/>
    </row>
    <row r="95" spans="1:19" ht="24" customHeight="1"/>
    <row r="96" spans="1:19" ht="24" customHeight="1"/>
    <row r="97" ht="24" customHeight="1"/>
    <row r="98" ht="38.1" customHeight="1"/>
    <row r="99" hidden="1"/>
    <row r="100" ht="24" customHeight="1"/>
    <row r="101" ht="38.1" customHeight="1"/>
    <row r="102" hidden="1"/>
    <row r="103" ht="30" customHeight="1"/>
    <row r="104" ht="24" customHeight="1"/>
    <row r="105" ht="24" customHeight="1"/>
    <row r="106" ht="24" customHeight="1"/>
    <row r="107" ht="24" customHeight="1"/>
    <row r="108" ht="24" customHeight="1"/>
    <row r="109" ht="36" customHeight="1"/>
    <row r="110" ht="36" customHeight="1"/>
    <row r="111" ht="36" customHeight="1"/>
    <row r="112" ht="24" customHeight="1"/>
    <row r="113" spans="1:6" ht="24" customHeight="1"/>
    <row r="114" spans="1:6" ht="36" customHeight="1"/>
    <row r="115" spans="1:6" ht="32.1" customHeight="1"/>
    <row r="116" spans="1:6" ht="24" customHeight="1"/>
    <row r="117" spans="1:6" ht="36" customHeight="1"/>
    <row r="118" spans="1:6" ht="40" customHeight="1"/>
    <row r="119" spans="1:6" ht="40" customHeight="1"/>
    <row r="120" spans="1:6" ht="30" customHeight="1"/>
    <row r="121" spans="1:6" ht="24" customHeight="1"/>
    <row r="122" spans="1:6" ht="36" customHeight="1"/>
    <row r="123" spans="1:6" ht="32.1" customHeight="1">
      <c r="A123" s="174" t="str">
        <f>IF(NOT(B7080),"Check X1, Y, Type, Angle (0°/90°), and main SB1 count (non-negative integer).",IF(NOT(B7081),"Enter numeric DL and LL, both &gt;= 0.",IF(AND(B3="Cantilever Supported",NOT(B7082)),"Enter X2 &gt; 0 and cantilever SB1 count (non-negative integer).",IF(NOT(AND(COUNT(D12,D10,H10,L10)=4,D12&gt;0,D10&gt;0,H10&gt;0,L10&gt;0)),"Enter E and all deflection limits &gt; 0.",""))))</f>
        <v/>
      </c>
      <c r="B123" s="174"/>
      <c r="C123" s="174"/>
      <c r="D123" s="174"/>
      <c r="E123" s="174"/>
      <c r="F123" s="174"/>
    </row>
    <row r="130" spans="1:13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</row>
    <row r="131" spans="1:13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</row>
    <row r="132" spans="1:13" ht="14.1">
      <c r="A132" s="183" t="s">
        <v>324</v>
      </c>
      <c r="B132" s="183"/>
      <c r="C132" s="183"/>
      <c r="D132" s="183"/>
      <c r="E132" s="183"/>
      <c r="F132" s="183"/>
      <c r="G132" s="183"/>
      <c r="H132" s="183"/>
      <c r="I132" s="183"/>
      <c r="J132" s="183"/>
      <c r="K132" s="183"/>
      <c r="L132" s="183"/>
      <c r="M132" s="183"/>
    </row>
    <row r="133" spans="1:13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</row>
    <row r="134" spans="1:13">
      <c r="A134" s="5" t="s">
        <v>325</v>
      </c>
      <c r="B134" s="182">
        <f>IFERROR(VLOOKUP($D$16,'Section Data'!$B$5:$AC$35,2,FALSE),"")</f>
        <v>52</v>
      </c>
      <c r="C134" s="182"/>
      <c r="D134" s="5" t="s">
        <v>326</v>
      </c>
      <c r="E134" s="5"/>
      <c r="F134" s="5" t="s">
        <v>327</v>
      </c>
      <c r="G134" s="182">
        <f>IFERROR(VLOOKUP($D$16,'Section Data'!$B$5:$AC$35,11,FALSE),"")</f>
        <v>6</v>
      </c>
      <c r="H134" s="182"/>
      <c r="I134" s="5" t="s">
        <v>328</v>
      </c>
      <c r="J134" s="5" t="s">
        <v>329</v>
      </c>
      <c r="K134" s="182">
        <f>IFERROR(VLOOKUP($D$16,'Section Data'!$B$5:$AC$35,22,FALSE),"")</f>
        <v>567</v>
      </c>
      <c r="L134" s="182"/>
      <c r="M134" s="5" t="s">
        <v>330</v>
      </c>
    </row>
    <row r="135" spans="1:13">
      <c r="A135" s="5" t="s">
        <v>331</v>
      </c>
      <c r="B135" s="182">
        <f>IFERROR(VLOOKUP($D$16,'Section Data'!$B$5:$AC$35,3,FALSE),"")</f>
        <v>206.2</v>
      </c>
      <c r="C135" s="182"/>
      <c r="D135" s="5" t="s">
        <v>328</v>
      </c>
      <c r="E135" s="5"/>
      <c r="F135" s="5" t="s">
        <v>332</v>
      </c>
      <c r="G135" s="182">
        <f>IFERROR(VLOOKUP($D$16,'Section Data'!$B$5:$AC$35,12,FALSE),"")</f>
        <v>110</v>
      </c>
      <c r="H135" s="182"/>
      <c r="I135" s="5" t="s">
        <v>328</v>
      </c>
      <c r="J135" s="5" t="s">
        <v>333</v>
      </c>
      <c r="K135" s="182">
        <f>IFERROR(VLOOKUP($D$16,'Section Data'!$B$5:$AC$35,23,FALSE),"")</f>
        <v>264</v>
      </c>
      <c r="L135" s="182"/>
      <c r="M135" s="5" t="s">
        <v>330</v>
      </c>
    </row>
    <row r="136" spans="1:13">
      <c r="A136" s="5" t="s">
        <v>334</v>
      </c>
      <c r="B136" s="182">
        <f>IFERROR(VLOOKUP($D$16,'Section Data'!$B$5:$AC$35,4,FALSE),"")</f>
        <v>204.3</v>
      </c>
      <c r="C136" s="182"/>
      <c r="D136" s="5" t="s">
        <v>328</v>
      </c>
      <c r="E136" s="5"/>
      <c r="F136" s="5" t="s">
        <v>335</v>
      </c>
      <c r="G136" s="182">
        <f>IFERROR(VLOOKUP($D$16,'Section Data'!$B$5:$AC$35,13,FALSE),"")</f>
        <v>24</v>
      </c>
      <c r="H136" s="182"/>
      <c r="I136" s="5" t="s">
        <v>328</v>
      </c>
      <c r="J136" s="5" t="s">
        <v>336</v>
      </c>
      <c r="K136" s="182">
        <f>IFERROR(VLOOKUP($D$16,'Section Data'!$B$5:$AC$35,24,FALSE),"")</f>
        <v>0.84799999999999998</v>
      </c>
      <c r="L136" s="182"/>
      <c r="M136" s="5"/>
    </row>
    <row r="137" spans="1:13">
      <c r="A137" s="5" t="s">
        <v>337</v>
      </c>
      <c r="B137" s="182">
        <f>IFERROR(VLOOKUP($D$16,'Section Data'!$B$5:$AC$35,5,FALSE),"")</f>
        <v>7.9</v>
      </c>
      <c r="C137" s="182"/>
      <c r="D137" s="5" t="s">
        <v>328</v>
      </c>
      <c r="E137" s="5"/>
      <c r="F137" s="5" t="s">
        <v>338</v>
      </c>
      <c r="G137" s="182">
        <f>IFERROR(VLOOKUP($D$16,'Section Data'!$B$5:$AC$35,16,FALSE),"")</f>
        <v>5259</v>
      </c>
      <c r="H137" s="182"/>
      <c r="I137" s="5" t="s">
        <v>22</v>
      </c>
      <c r="J137" s="5" t="s">
        <v>339</v>
      </c>
      <c r="K137" s="182">
        <f>IFERROR(VLOOKUP($D$16,'Section Data'!$B$5:$AC$35,25,FALSE),"")</f>
        <v>15.8</v>
      </c>
      <c r="L137" s="182"/>
      <c r="M137" s="5"/>
    </row>
    <row r="138" spans="1:13">
      <c r="A138" s="5" t="s">
        <v>340</v>
      </c>
      <c r="B138" s="182">
        <f>IFERROR(VLOOKUP($D$16,'Section Data'!$B$5:$AC$35,6,FALSE),"")</f>
        <v>12.5</v>
      </c>
      <c r="C138" s="182"/>
      <c r="D138" s="5" t="s">
        <v>328</v>
      </c>
      <c r="E138" s="5"/>
      <c r="F138" s="5" t="s">
        <v>341</v>
      </c>
      <c r="G138" s="182">
        <f>IFERROR(VLOOKUP($D$16,'Section Data'!$B$5:$AC$35,17,FALSE),"")</f>
        <v>1778</v>
      </c>
      <c r="H138" s="182"/>
      <c r="I138" s="5" t="s">
        <v>22</v>
      </c>
      <c r="J138" s="5" t="s">
        <v>342</v>
      </c>
      <c r="K138" s="182">
        <f>IFERROR(VLOOKUP($D$16,'Section Data'!$B$5:$AC$35,26,FALSE),"")</f>
        <v>0.16700000000000001</v>
      </c>
      <c r="L138" s="182"/>
      <c r="M138" s="5" t="s">
        <v>343</v>
      </c>
    </row>
    <row r="139" spans="1:13">
      <c r="A139" s="5" t="s">
        <v>344</v>
      </c>
      <c r="B139" s="182">
        <f>IFERROR(VLOOKUP($D$16,'Section Data'!$B$5:$AC$35,7,FALSE),"")</f>
        <v>10.199999999999999</v>
      </c>
      <c r="C139" s="182"/>
      <c r="D139" s="5" t="s">
        <v>328</v>
      </c>
      <c r="E139" s="5"/>
      <c r="F139" s="5" t="s">
        <v>345</v>
      </c>
      <c r="G139" s="182">
        <f>IFERROR(VLOOKUP($D$16,'Section Data'!$B$5:$AC$35,18,FALSE),"")</f>
        <v>8.91</v>
      </c>
      <c r="H139" s="182"/>
      <c r="I139" s="5" t="s">
        <v>346</v>
      </c>
      <c r="J139" s="5" t="s">
        <v>347</v>
      </c>
      <c r="K139" s="182">
        <f>IFERROR(VLOOKUP($D$16,'Section Data'!$B$5:$AC$35,27,FALSE),"")</f>
        <v>31.8</v>
      </c>
      <c r="L139" s="182"/>
      <c r="M139" s="5" t="s">
        <v>22</v>
      </c>
    </row>
    <row r="140" spans="1:13">
      <c r="A140" s="5" t="s">
        <v>348</v>
      </c>
      <c r="B140" s="182">
        <f>IFERROR(VLOOKUP($D$16,'Section Data'!$B$5:$AC$35,8,FALSE),"")</f>
        <v>160.80000000000001</v>
      </c>
      <c r="C140" s="182"/>
      <c r="D140" s="5" t="s">
        <v>328</v>
      </c>
      <c r="E140" s="5"/>
      <c r="F140" s="5" t="s">
        <v>349</v>
      </c>
      <c r="G140" s="182">
        <f>IFERROR(VLOOKUP($D$16,'Section Data'!$B$5:$AC$35,19,FALSE),"")</f>
        <v>5.18</v>
      </c>
      <c r="H140" s="182"/>
      <c r="I140" s="5" t="s">
        <v>346</v>
      </c>
      <c r="J140" s="5" t="s">
        <v>350</v>
      </c>
      <c r="K140" s="182">
        <f>IFERROR(VLOOKUP($D$16,'Section Data'!$B$5:$AC$35,28,FALSE),"")</f>
        <v>66.3</v>
      </c>
      <c r="L140" s="182"/>
      <c r="M140" s="5" t="s">
        <v>351</v>
      </c>
    </row>
    <row r="141" spans="1:13">
      <c r="A141" s="5" t="s">
        <v>352</v>
      </c>
      <c r="B141" s="182">
        <f>IFERROR(VLOOKUP($D$16,'Section Data'!$B$5:$AC$35,9,FALSE),"")</f>
        <v>8.17</v>
      </c>
      <c r="C141" s="182"/>
      <c r="D141" s="5"/>
      <c r="E141" s="5"/>
      <c r="F141" s="5" t="s">
        <v>353</v>
      </c>
      <c r="G141" s="182">
        <f>IFERROR(VLOOKUP($D$16,'Section Data'!$B$5:$AC$35,20,FALSE),"")</f>
        <v>510</v>
      </c>
      <c r="H141" s="182"/>
      <c r="I141" s="5" t="s">
        <v>330</v>
      </c>
      <c r="J141" s="5" t="s">
        <v>354</v>
      </c>
      <c r="K141" s="161">
        <f>IFERROR(ROUND((B137/10)*(B135/10)^2/4,0),"")</f>
        <v>84</v>
      </c>
      <c r="L141" s="161"/>
      <c r="M141" s="5" t="s">
        <v>330</v>
      </c>
    </row>
    <row r="142" spans="1:13">
      <c r="A142" s="5" t="s">
        <v>355</v>
      </c>
      <c r="B142" s="182">
        <f>IFERROR(VLOOKUP($D$16,'Section Data'!$B$5:$AC$35,10,FALSE),"")</f>
        <v>20.350000000000001</v>
      </c>
      <c r="C142" s="182"/>
      <c r="D142" s="5"/>
      <c r="E142" s="5"/>
      <c r="F142" s="5" t="s">
        <v>356</v>
      </c>
      <c r="G142" s="182">
        <f>IFERROR(VLOOKUP($D$16,'Section Data'!$B$5:$AC$35,21,FALSE),"")</f>
        <v>174</v>
      </c>
      <c r="H142" s="182"/>
      <c r="I142" s="5" t="s">
        <v>330</v>
      </c>
      <c r="J142" s="5" t="s">
        <v>357</v>
      </c>
      <c r="K142" s="161">
        <f>IFERROR(ROUND((B135/10)*(B137/10)^2/4,0),"")</f>
        <v>3</v>
      </c>
      <c r="L142" s="161"/>
      <c r="M142" s="5" t="s">
        <v>330</v>
      </c>
    </row>
    <row r="143" spans="1:13">
      <c r="A143" s="5"/>
      <c r="B143" s="5"/>
      <c r="C143" s="5"/>
      <c r="D143" s="5"/>
      <c r="E143" s="5"/>
      <c r="F143" s="5"/>
      <c r="G143" s="5"/>
      <c r="H143" s="5"/>
      <c r="I143" s="5"/>
      <c r="J143" s="5" t="s">
        <v>358</v>
      </c>
      <c r="K143" s="161">
        <f>IFERROR(ROUND(2*(B135+B136)/1000/(K140/10000)/5,0)*5,"")</f>
        <v>125</v>
      </c>
      <c r="L143" s="161"/>
      <c r="M143" s="5" t="s">
        <v>359</v>
      </c>
    </row>
    <row r="144" spans="1:13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</row>
    <row r="145" spans="1:13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</row>
    <row r="146" spans="1:13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</row>
    <row r="147" spans="1:13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</row>
    <row r="148" spans="1:13" ht="14.1">
      <c r="A148" s="183" t="s">
        <v>360</v>
      </c>
      <c r="B148" s="183"/>
      <c r="C148" s="183"/>
      <c r="D148" s="183"/>
      <c r="E148" s="183"/>
      <c r="F148" s="183"/>
      <c r="G148" s="183"/>
      <c r="H148" s="183"/>
      <c r="I148" s="183"/>
      <c r="J148" s="183"/>
      <c r="K148" s="183"/>
      <c r="L148" s="183"/>
      <c r="M148" s="183"/>
    </row>
    <row r="149" spans="1:13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</row>
    <row r="150" spans="1:13">
      <c r="A150" s="5" t="s">
        <v>325</v>
      </c>
      <c r="B150" s="182">
        <f>IFERROR(VLOOKUP($D$17,'Section Data'!$B$36:$AC$107,2,FALSE),"")</f>
        <v>25.2</v>
      </c>
      <c r="C150" s="182"/>
      <c r="D150" s="5" t="s">
        <v>326</v>
      </c>
      <c r="E150" s="5"/>
      <c r="F150" s="5" t="s">
        <v>327</v>
      </c>
      <c r="G150" s="182">
        <f>IFERROR(VLOOKUP($D$17,'Section Data'!$B$36:$AC$107,11,FALSE),"")</f>
        <v>5</v>
      </c>
      <c r="H150" s="182"/>
      <c r="I150" s="5" t="s">
        <v>328</v>
      </c>
      <c r="J150" s="5" t="s">
        <v>329</v>
      </c>
      <c r="K150" s="182">
        <f>IFERROR(VLOOKUP($D$17,'Section Data'!$B$36:$AC$107,22,FALSE),"")</f>
        <v>306</v>
      </c>
      <c r="L150" s="182"/>
      <c r="M150" s="5" t="s">
        <v>330</v>
      </c>
    </row>
    <row r="151" spans="1:13">
      <c r="A151" s="5" t="s">
        <v>331</v>
      </c>
      <c r="B151" s="182">
        <f>IFERROR(VLOOKUP($D$17,'Section Data'!$B$36:$AC$107,3,FALSE),"")</f>
        <v>257.2</v>
      </c>
      <c r="C151" s="182"/>
      <c r="D151" s="5" t="s">
        <v>328</v>
      </c>
      <c r="E151" s="5"/>
      <c r="F151" s="5" t="s">
        <v>332</v>
      </c>
      <c r="G151" s="182">
        <f>IFERROR(VLOOKUP($D$17,'Section Data'!$B$36:$AC$107,12,FALSE),"")</f>
        <v>58</v>
      </c>
      <c r="H151" s="182"/>
      <c r="I151" s="5" t="s">
        <v>328</v>
      </c>
      <c r="J151" s="5" t="s">
        <v>333</v>
      </c>
      <c r="K151" s="182">
        <f>IFERROR(VLOOKUP($D$17,'Section Data'!$B$36:$AC$107,23,FALSE),"")</f>
        <v>46</v>
      </c>
      <c r="L151" s="182"/>
      <c r="M151" s="5" t="s">
        <v>330</v>
      </c>
    </row>
    <row r="152" spans="1:13">
      <c r="A152" s="5" t="s">
        <v>334</v>
      </c>
      <c r="B152" s="182">
        <f>IFERROR(VLOOKUP($D$17,'Section Data'!$B$36:$AC$107,4,FALSE),"")</f>
        <v>101.9</v>
      </c>
      <c r="C152" s="182"/>
      <c r="D152" s="5" t="s">
        <v>328</v>
      </c>
      <c r="E152" s="5"/>
      <c r="F152" s="5" t="s">
        <v>335</v>
      </c>
      <c r="G152" s="182">
        <f>IFERROR(VLOOKUP($D$17,'Section Data'!$B$36:$AC$107,13,FALSE),"")</f>
        <v>16</v>
      </c>
      <c r="H152" s="182"/>
      <c r="I152" s="5" t="s">
        <v>328</v>
      </c>
      <c r="J152" s="5" t="s">
        <v>336</v>
      </c>
      <c r="K152" s="182">
        <f>IFERROR(VLOOKUP($D$17,'Section Data'!$B$36:$AC$107,24,FALSE),"")</f>
        <v>0.86599999999999999</v>
      </c>
      <c r="L152" s="182"/>
      <c r="M152" s="5"/>
    </row>
    <row r="153" spans="1:13">
      <c r="A153" s="5" t="s">
        <v>337</v>
      </c>
      <c r="B153" s="182">
        <f>IFERROR(VLOOKUP($D$17,'Section Data'!$B$36:$AC$107,5,FALSE),"")</f>
        <v>6</v>
      </c>
      <c r="C153" s="182"/>
      <c r="D153" s="5" t="s">
        <v>328</v>
      </c>
      <c r="E153" s="5"/>
      <c r="F153" s="5" t="s">
        <v>338</v>
      </c>
      <c r="G153" s="182">
        <f>IFERROR(VLOOKUP($D$17,'Section Data'!$B$36:$AC$107,16,FALSE),"")</f>
        <v>3415</v>
      </c>
      <c r="H153" s="182"/>
      <c r="I153" s="5" t="s">
        <v>22</v>
      </c>
      <c r="J153" s="5" t="s">
        <v>339</v>
      </c>
      <c r="K153" s="182">
        <f>IFERROR(VLOOKUP($D$17,'Section Data'!$B$36:$AC$107,25,FALSE),"")</f>
        <v>31.5</v>
      </c>
      <c r="L153" s="182"/>
      <c r="M153" s="5"/>
    </row>
    <row r="154" spans="1:13">
      <c r="A154" s="5" t="s">
        <v>340</v>
      </c>
      <c r="B154" s="182">
        <f>IFERROR(VLOOKUP($D$17,'Section Data'!$B$36:$AC$107,6,FALSE),"")</f>
        <v>8.4</v>
      </c>
      <c r="C154" s="182"/>
      <c r="D154" s="5" t="s">
        <v>328</v>
      </c>
      <c r="E154" s="5"/>
      <c r="F154" s="5" t="s">
        <v>341</v>
      </c>
      <c r="G154" s="182">
        <f>IFERROR(VLOOKUP($D$17,'Section Data'!$B$36:$AC$107,17,FALSE),"")</f>
        <v>149</v>
      </c>
      <c r="H154" s="182"/>
      <c r="I154" s="5" t="s">
        <v>22</v>
      </c>
      <c r="J154" s="5" t="s">
        <v>342</v>
      </c>
      <c r="K154" s="182">
        <f>IFERROR(VLOOKUP($D$17,'Section Data'!$B$36:$AC$107,26,FALSE),"")</f>
        <v>2.3E-2</v>
      </c>
      <c r="L154" s="182"/>
      <c r="M154" s="5" t="s">
        <v>343</v>
      </c>
    </row>
    <row r="155" spans="1:13">
      <c r="A155" s="5" t="s">
        <v>344</v>
      </c>
      <c r="B155" s="182">
        <f>IFERROR(VLOOKUP($D$17,'Section Data'!$B$36:$AC$107,7,FALSE),"")</f>
        <v>7.6</v>
      </c>
      <c r="C155" s="182"/>
      <c r="D155" s="5" t="s">
        <v>328</v>
      </c>
      <c r="E155" s="5"/>
      <c r="F155" s="5" t="s">
        <v>345</v>
      </c>
      <c r="G155" s="182">
        <f>IFERROR(VLOOKUP($D$17,'Section Data'!$B$36:$AC$107,18,FALSE),"")</f>
        <v>10.3</v>
      </c>
      <c r="H155" s="182"/>
      <c r="I155" s="5" t="s">
        <v>346</v>
      </c>
      <c r="J155" s="5" t="s">
        <v>347</v>
      </c>
      <c r="K155" s="182">
        <f>IFERROR(VLOOKUP($D$17,'Section Data'!$B$36:$AC$107,27,FALSE),"")</f>
        <v>6.42</v>
      </c>
      <c r="L155" s="182"/>
      <c r="M155" s="5" t="s">
        <v>22</v>
      </c>
    </row>
    <row r="156" spans="1:13">
      <c r="A156" s="5" t="s">
        <v>348</v>
      </c>
      <c r="B156" s="182">
        <f>IFERROR(VLOOKUP($D$17,'Section Data'!$B$36:$AC$107,8,FALSE),"")</f>
        <v>225.2</v>
      </c>
      <c r="C156" s="182"/>
      <c r="D156" s="5" t="s">
        <v>328</v>
      </c>
      <c r="E156" s="5"/>
      <c r="F156" s="5" t="s">
        <v>349</v>
      </c>
      <c r="G156" s="182">
        <f>IFERROR(VLOOKUP($D$17,'Section Data'!$B$36:$AC$107,19,FALSE),"")</f>
        <v>2.15</v>
      </c>
      <c r="H156" s="182"/>
      <c r="I156" s="5" t="s">
        <v>346</v>
      </c>
      <c r="J156" s="5" t="s">
        <v>350</v>
      </c>
      <c r="K156" s="182">
        <f>IFERROR(VLOOKUP($D$17,'Section Data'!$B$36:$AC$107,28,FALSE),"")</f>
        <v>32</v>
      </c>
      <c r="L156" s="182"/>
      <c r="M156" s="5" t="s">
        <v>351</v>
      </c>
    </row>
    <row r="157" spans="1:13">
      <c r="A157" s="5" t="s">
        <v>352</v>
      </c>
      <c r="B157" s="182">
        <f>IFERROR(VLOOKUP($D$17,'Section Data'!$B$36:$AC$107,9,FALSE),"")</f>
        <v>6.07</v>
      </c>
      <c r="C157" s="182"/>
      <c r="D157" s="5"/>
      <c r="E157" s="5"/>
      <c r="F157" s="5" t="s">
        <v>353</v>
      </c>
      <c r="G157" s="182">
        <f>IFERROR(VLOOKUP($D$17,'Section Data'!$B$36:$AC$107,20,FALSE),"")</f>
        <v>266</v>
      </c>
      <c r="H157" s="182"/>
      <c r="I157" s="5" t="s">
        <v>330</v>
      </c>
      <c r="J157" s="5" t="s">
        <v>354</v>
      </c>
      <c r="K157" s="161">
        <f>IFERROR(ROUND((B153/10)*(B151/10)^2/4,0),"")</f>
        <v>99</v>
      </c>
      <c r="L157" s="161"/>
      <c r="M157" s="5" t="s">
        <v>330</v>
      </c>
    </row>
    <row r="158" spans="1:13">
      <c r="A158" s="5" t="s">
        <v>355</v>
      </c>
      <c r="B158" s="182">
        <f>IFERROR(VLOOKUP($D$17,'Section Data'!$B$36:$AC$107,10,FALSE),"")</f>
        <v>37.5</v>
      </c>
      <c r="C158" s="182"/>
      <c r="D158" s="5"/>
      <c r="E158" s="5"/>
      <c r="F158" s="5" t="s">
        <v>356</v>
      </c>
      <c r="G158" s="182">
        <f>IFERROR(VLOOKUP($D$17,'Section Data'!$B$36:$AC$107,21,FALSE),"")</f>
        <v>29.2</v>
      </c>
      <c r="H158" s="182"/>
      <c r="I158" s="5" t="s">
        <v>330</v>
      </c>
      <c r="J158" s="5" t="s">
        <v>357</v>
      </c>
      <c r="K158" s="161">
        <f>IFERROR(ROUND((B151/10)*(B153/10)^2/4,0),"")</f>
        <v>2</v>
      </c>
      <c r="L158" s="161"/>
      <c r="M158" s="5" t="s">
        <v>330</v>
      </c>
    </row>
    <row r="159" spans="1:13">
      <c r="A159" s="5"/>
      <c r="B159" s="5"/>
      <c r="C159" s="5"/>
      <c r="D159" s="5"/>
      <c r="E159" s="5"/>
      <c r="F159" s="5"/>
      <c r="G159" s="5"/>
      <c r="H159" s="5"/>
      <c r="I159" s="5"/>
      <c r="J159" s="5" t="s">
        <v>358</v>
      </c>
      <c r="K159" s="161">
        <f>IFERROR(ROUND(2*(B151+B152)/1000/(K156/10000)/5,0)*5,"")</f>
        <v>225</v>
      </c>
      <c r="L159" s="161"/>
      <c r="M159" s="5" t="s">
        <v>359</v>
      </c>
    </row>
    <row r="160" spans="1:13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</row>
    <row r="164" spans="1:15" ht="14.1">
      <c r="A164" s="194" t="s">
        <v>404</v>
      </c>
      <c r="B164" s="194"/>
      <c r="C164" s="194"/>
      <c r="D164" s="194"/>
      <c r="E164" s="194"/>
      <c r="F164" s="194"/>
      <c r="G164" s="194"/>
      <c r="H164" s="194"/>
      <c r="I164" s="194"/>
      <c r="J164" s="194"/>
      <c r="K164" s="194"/>
      <c r="L164" s="194"/>
      <c r="M164" s="194"/>
      <c r="N164" s="194"/>
      <c r="O164" s="194"/>
    </row>
    <row r="165" spans="1:15">
      <c r="A165" s="157" t="s">
        <v>405</v>
      </c>
      <c r="B165" s="157"/>
      <c r="C165" s="157"/>
      <c r="D165" s="157"/>
      <c r="E165" s="157"/>
      <c r="F165" s="157"/>
      <c r="G165" s="157"/>
      <c r="H165" s="157"/>
      <c r="I165" s="157"/>
      <c r="J165" s="157"/>
      <c r="K165" s="157"/>
      <c r="L165" s="157"/>
      <c r="M165" s="157"/>
      <c r="N165" s="157"/>
      <c r="O165" s="157"/>
    </row>
    <row r="166" spans="1:15">
      <c r="A166" s="157" t="s">
        <v>406</v>
      </c>
      <c r="B166" s="157"/>
      <c r="C166" s="157"/>
      <c r="D166" s="157"/>
      <c r="E166" s="157"/>
      <c r="F166" s="157"/>
      <c r="G166" s="157"/>
      <c r="H166" s="157"/>
      <c r="I166" s="157"/>
      <c r="J166" s="157"/>
      <c r="K166" s="157"/>
      <c r="L166" s="157"/>
      <c r="M166" s="157"/>
      <c r="N166" s="157"/>
      <c r="O166" s="157"/>
    </row>
    <row r="167" spans="1:15">
      <c r="A167" s="157" t="s">
        <v>407</v>
      </c>
      <c r="B167" s="157"/>
      <c r="C167" s="157"/>
      <c r="D167" s="157"/>
      <c r="E167" s="157"/>
      <c r="F167" s="157"/>
      <c r="G167" s="157"/>
      <c r="H167" s="157"/>
      <c r="I167" s="157"/>
      <c r="J167" s="157"/>
      <c r="K167" s="157"/>
      <c r="L167" s="157"/>
      <c r="M167" s="157"/>
      <c r="N167" s="157"/>
      <c r="O167" s="157"/>
    </row>
    <row r="168" spans="1:1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</row>
    <row r="169" spans="1:15">
      <c r="A169" s="161" t="s">
        <v>408</v>
      </c>
      <c r="B169" s="161"/>
      <c r="C169" s="161"/>
      <c r="D169" s="29">
        <f>D12</f>
        <v>205000</v>
      </c>
      <c r="E169" s="5" t="s">
        <v>20</v>
      </c>
      <c r="F169" s="5"/>
      <c r="G169" s="5"/>
      <c r="H169" s="5"/>
      <c r="I169" s="5"/>
      <c r="J169" s="5"/>
      <c r="K169" s="5"/>
      <c r="L169" s="5"/>
      <c r="M169" s="5"/>
      <c r="N169" s="5"/>
      <c r="O169" s="5"/>
    </row>
    <row r="170" spans="1:1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</row>
    <row r="171" spans="1:15" ht="14.1">
      <c r="A171" s="195" t="s">
        <v>409</v>
      </c>
      <c r="B171" s="195"/>
      <c r="C171" s="195"/>
      <c r="D171" s="195" t="s">
        <v>410</v>
      </c>
      <c r="E171" s="195"/>
      <c r="F171" s="195" t="s">
        <v>411</v>
      </c>
      <c r="G171" s="195"/>
      <c r="H171" s="195" t="s">
        <v>412</v>
      </c>
      <c r="I171" s="195"/>
      <c r="J171" s="195" t="s">
        <v>413</v>
      </c>
      <c r="K171" s="195"/>
      <c r="L171" s="195" t="s">
        <v>414</v>
      </c>
      <c r="M171" s="195"/>
      <c r="N171" s="195" t="s">
        <v>415</v>
      </c>
      <c r="O171" s="195"/>
    </row>
    <row r="172" spans="1:15">
      <c r="A172" s="190" t="s">
        <v>16</v>
      </c>
      <c r="B172" s="190"/>
      <c r="C172" s="190"/>
      <c r="D172" s="193">
        <f>11/720</f>
        <v>1.5277777777777777E-2</v>
      </c>
      <c r="E172" s="190"/>
      <c r="F172" s="190" t="str">
        <f>IF(AND(ISNUMBER($D$169),$D$169&gt;0),TEXT(D172*180*100000/$D$169,"0.00")&amp;" PL²","")</f>
        <v>1.34 PL²</v>
      </c>
      <c r="G172" s="190"/>
      <c r="H172" s="190" t="str">
        <f>IF(AND(ISNUMBER($D$169),$D$169&gt;0),TEXT(D172*200*100000/$D$169,"0.00")&amp;" PL²","")</f>
        <v>1.49 PL²</v>
      </c>
      <c r="I172" s="190"/>
      <c r="J172" s="190" t="str">
        <f>IF(AND(ISNUMBER($D$169),$D$169&gt;0),TEXT(D172*360*100000/$D$169,"0.00")&amp;" PL²","")</f>
        <v>2.68 PL²</v>
      </c>
      <c r="K172" s="190"/>
      <c r="L172" s="190" t="str">
        <f>IF(AND(ISNUMBER($D$169),$D$169&gt;0),TEXT(D172*500*100000/$D$169,"0.00")&amp;" PL²","")</f>
        <v>3.73 PL²</v>
      </c>
      <c r="M172" s="190"/>
      <c r="N172" s="190" t="s">
        <v>416</v>
      </c>
      <c r="O172" s="190"/>
    </row>
    <row r="173" spans="1:15">
      <c r="A173" s="191" t="s">
        <v>417</v>
      </c>
      <c r="B173" s="191"/>
      <c r="C173" s="191"/>
      <c r="D173" s="192">
        <f>1/320</f>
        <v>3.1250000000000002E-3</v>
      </c>
      <c r="E173" s="191"/>
      <c r="F173" s="191" t="str">
        <f>IF(AND(ISNUMBER($D$169),$D$169&gt;0),TEXT(D173*180*100000/$D$169,"0.00")&amp;" PL²","")</f>
        <v>0.27 PL²</v>
      </c>
      <c r="G173" s="191"/>
      <c r="H173" s="191" t="str">
        <f>IF(AND(ISNUMBER($D$169),$D$169&gt;0),TEXT(D173*200*100000/$D$169,"0.00")&amp;" PL²","")</f>
        <v>0.30 PL²</v>
      </c>
      <c r="I173" s="191"/>
      <c r="J173" s="191" t="str">
        <f>IF(AND(ISNUMBER($D$169),$D$169&gt;0),TEXT(D173*360*100000/$D$169,"0.00")&amp;" PL²","")</f>
        <v>0.55 PL²</v>
      </c>
      <c r="K173" s="191"/>
      <c r="L173" s="191" t="str">
        <f>IF(AND(ISNUMBER($D$169),$D$169&gt;0),TEXT(D173*500*100000/$D$169,"0.00")&amp;" PL²","")</f>
        <v>0.76 PL²</v>
      </c>
      <c r="M173" s="191"/>
      <c r="N173" s="191" t="s">
        <v>416</v>
      </c>
      <c r="O173" s="191"/>
    </row>
    <row r="174" spans="1:15">
      <c r="A174" s="190" t="s">
        <v>418</v>
      </c>
      <c r="B174" s="190"/>
      <c r="C174" s="190"/>
      <c r="D174" s="193">
        <f>4/25</f>
        <v>0.16</v>
      </c>
      <c r="E174" s="190"/>
      <c r="F174" s="190" t="str">
        <f>IF(AND(ISNUMBER($D$169),$D$169&gt;0),TEXT(D174*180*100000/$D$169,"0.00")&amp;" PL²","")</f>
        <v>14.05 PL²</v>
      </c>
      <c r="G174" s="190"/>
      <c r="H174" s="190" t="str">
        <f>IF(AND(ISNUMBER($D$169),$D$169&gt;0),TEXT(D174*200*100000/$D$169,"0.00")&amp;" PL²","")</f>
        <v>15.61 PL²</v>
      </c>
      <c r="I174" s="190"/>
      <c r="J174" s="190" t="str">
        <f>IF(AND(ISNUMBER($D$169),$D$169&gt;0),TEXT(D174*360*100000/$D$169,"0.00")&amp;" PL²","")</f>
        <v>28.10 PL²</v>
      </c>
      <c r="K174" s="190"/>
      <c r="L174" s="190" t="str">
        <f>IF(AND(ISNUMBER($D$169),$D$169&gt;0),TEXT(D174*500*100000/$D$169,"0.00")&amp;" PL²","")</f>
        <v>39.02 PL²</v>
      </c>
      <c r="M174" s="190"/>
      <c r="N174" s="190" t="s">
        <v>419</v>
      </c>
      <c r="O174" s="190"/>
    </row>
    <row r="175" spans="1:1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</row>
    <row r="176" spans="1:15">
      <c r="A176" s="157" t="s">
        <v>420</v>
      </c>
      <c r="B176" s="157"/>
      <c r="C176" s="157"/>
      <c r="D176" s="157"/>
      <c r="E176" s="157"/>
      <c r="F176" s="157"/>
      <c r="G176" s="157"/>
      <c r="H176" s="157"/>
      <c r="I176" s="157"/>
      <c r="J176" s="157"/>
      <c r="K176" s="157"/>
      <c r="L176" s="157"/>
      <c r="M176" s="157"/>
      <c r="N176" s="157"/>
      <c r="O176" s="157"/>
    </row>
    <row r="177" spans="1:15">
      <c r="A177" s="157" t="s">
        <v>421</v>
      </c>
      <c r="B177" s="157"/>
      <c r="C177" s="157"/>
      <c r="D177" s="157"/>
      <c r="E177" s="157"/>
      <c r="F177" s="157"/>
      <c r="G177" s="157"/>
      <c r="H177" s="157"/>
      <c r="I177" s="157"/>
      <c r="J177" s="157"/>
      <c r="K177" s="157"/>
      <c r="L177" s="157"/>
      <c r="M177" s="157"/>
      <c r="N177" s="157"/>
      <c r="O177" s="157"/>
    </row>
    <row r="178" spans="1:15">
      <c r="A178" s="157" t="s">
        <v>422</v>
      </c>
      <c r="B178" s="157"/>
      <c r="C178" s="157"/>
      <c r="D178" s="157"/>
      <c r="E178" s="157"/>
      <c r="F178" s="157"/>
      <c r="G178" s="157"/>
      <c r="H178" s="157"/>
      <c r="I178" s="157"/>
      <c r="J178" s="157"/>
      <c r="K178" s="157"/>
      <c r="L178" s="157"/>
      <c r="M178" s="157"/>
      <c r="N178" s="157"/>
      <c r="O178" s="157"/>
    </row>
    <row r="179" spans="1:15">
      <c r="A179" s="157" t="s">
        <v>423</v>
      </c>
      <c r="B179" s="157"/>
      <c r="C179" s="157"/>
      <c r="D179" s="157"/>
      <c r="E179" s="157"/>
      <c r="F179" s="157"/>
      <c r="G179" s="157"/>
      <c r="H179" s="157"/>
      <c r="I179" s="157"/>
      <c r="J179" s="157"/>
      <c r="K179" s="157"/>
      <c r="L179" s="157"/>
      <c r="M179" s="157"/>
      <c r="N179" s="157"/>
      <c r="O179" s="157"/>
    </row>
    <row r="180" spans="1:1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</row>
    <row r="181" spans="1:15">
      <c r="A181" s="157" t="s">
        <v>424</v>
      </c>
      <c r="B181" s="157"/>
      <c r="C181" s="157"/>
      <c r="D181" s="157"/>
      <c r="E181" s="157"/>
      <c r="F181" s="157"/>
      <c r="G181" s="157"/>
      <c r="H181" s="157"/>
      <c r="I181" s="157"/>
      <c r="J181" s="157"/>
      <c r="K181" s="157"/>
      <c r="L181" s="157"/>
      <c r="M181" s="157"/>
      <c r="N181" s="157"/>
      <c r="O181" s="157"/>
    </row>
    <row r="182" spans="1:15">
      <c r="A182" s="157" t="s">
        <v>502</v>
      </c>
      <c r="B182" s="157"/>
      <c r="C182" s="157"/>
      <c r="D182" s="157"/>
      <c r="E182" s="157"/>
      <c r="F182" s="157"/>
      <c r="G182" s="157"/>
      <c r="H182" s="157"/>
      <c r="I182" s="157"/>
      <c r="J182" s="157"/>
      <c r="K182" s="157"/>
      <c r="L182" s="157"/>
      <c r="M182" s="157"/>
      <c r="N182" s="157"/>
      <c r="O182" s="157"/>
    </row>
    <row r="183" spans="1:15">
      <c r="A183" s="157" t="s">
        <v>425</v>
      </c>
      <c r="B183" s="157"/>
      <c r="C183" s="157"/>
      <c r="D183" s="157"/>
      <c r="E183" s="157"/>
      <c r="F183" s="157"/>
      <c r="G183" s="157"/>
      <c r="H183" s="157"/>
      <c r="I183" s="157"/>
      <c r="J183" s="157"/>
      <c r="K183" s="157"/>
      <c r="L183" s="157"/>
      <c r="M183" s="157"/>
      <c r="N183" s="157"/>
      <c r="O183" s="157"/>
    </row>
    <row r="1003" spans="1:8" hidden="1">
      <c r="A1003" s="3" t="s">
        <v>392</v>
      </c>
    </row>
    <row r="1004" spans="1:8" ht="18.899999999999999" hidden="1">
      <c r="A1004" s="186" t="s">
        <v>23</v>
      </c>
      <c r="B1004" s="186"/>
      <c r="C1004" s="186"/>
      <c r="D1004" s="186"/>
      <c r="E1004" s="186"/>
      <c r="F1004" s="186"/>
      <c r="G1004" s="186"/>
      <c r="H1004" s="186"/>
    </row>
    <row r="1005" spans="1:8" hidden="1">
      <c r="A1005" s="6"/>
      <c r="B1005" s="6"/>
      <c r="C1005" s="6"/>
      <c r="D1005" s="6"/>
      <c r="E1005" s="6"/>
      <c r="F1005" s="6"/>
      <c r="G1005" s="6"/>
      <c r="H1005" s="6"/>
    </row>
    <row r="1006" spans="1:8" hidden="1">
      <c r="A1006" s="6"/>
      <c r="B1006" s="6"/>
      <c r="C1006" s="6"/>
      <c r="D1006" s="6"/>
      <c r="E1006" s="6"/>
      <c r="F1006" s="6"/>
      <c r="G1006" s="6"/>
      <c r="H1006" s="6"/>
    </row>
    <row r="1007" spans="1:8" hidden="1">
      <c r="A1007" s="6"/>
      <c r="B1007" s="6"/>
      <c r="C1007" s="6"/>
      <c r="D1007" s="6"/>
      <c r="E1007" s="6"/>
      <c r="F1007" s="6"/>
      <c r="G1007" s="6"/>
      <c r="H1007" s="6"/>
    </row>
    <row r="1008" spans="1:8" hidden="1">
      <c r="A1008" s="6"/>
      <c r="B1008" s="6"/>
      <c r="C1008" s="6"/>
      <c r="D1008" s="6"/>
      <c r="E1008" s="6"/>
      <c r="F1008" s="6"/>
      <c r="G1008" s="6"/>
      <c r="H1008" s="6"/>
    </row>
    <row r="1009" spans="1:8" hidden="1">
      <c r="A1009" s="6"/>
      <c r="B1009" s="6"/>
      <c r="C1009" s="6"/>
      <c r="D1009" s="6"/>
      <c r="E1009" s="6"/>
      <c r="F1009" s="6"/>
      <c r="G1009" s="6"/>
      <c r="H1009" s="6"/>
    </row>
    <row r="1010" spans="1:8" hidden="1">
      <c r="A1010" s="6"/>
      <c r="B1010" s="6"/>
      <c r="C1010" s="6"/>
      <c r="D1010" s="6"/>
      <c r="E1010" s="6"/>
      <c r="F1010" s="6"/>
      <c r="G1010" s="6"/>
      <c r="H1010" s="6"/>
    </row>
    <row r="1011" spans="1:8" hidden="1">
      <c r="A1011" s="6"/>
      <c r="B1011" s="6"/>
      <c r="C1011" s="6"/>
      <c r="D1011" s="6"/>
      <c r="E1011" s="6"/>
      <c r="F1011" s="6"/>
      <c r="G1011" s="6"/>
      <c r="H1011" s="6"/>
    </row>
    <row r="1012" spans="1:8" hidden="1">
      <c r="A1012" s="6"/>
      <c r="B1012" s="6"/>
      <c r="C1012" s="6"/>
      <c r="D1012" s="6"/>
      <c r="E1012" s="6"/>
      <c r="F1012" s="6"/>
      <c r="G1012" s="6"/>
      <c r="H1012" s="6"/>
    </row>
    <row r="1013" spans="1:8" hidden="1">
      <c r="A1013" s="6"/>
      <c r="B1013" s="6"/>
      <c r="C1013" s="6"/>
      <c r="D1013" s="6"/>
      <c r="E1013" s="6"/>
      <c r="F1013" s="6"/>
      <c r="G1013" s="6"/>
      <c r="H1013" s="6"/>
    </row>
    <row r="1014" spans="1:8" hidden="1">
      <c r="A1014" s="6"/>
      <c r="B1014" s="6"/>
      <c r="C1014" s="6"/>
      <c r="D1014" s="6"/>
      <c r="E1014" s="6"/>
      <c r="F1014" s="6"/>
      <c r="G1014" s="6"/>
      <c r="H1014" s="6"/>
    </row>
    <row r="1015" spans="1:8" hidden="1">
      <c r="A1015" s="6"/>
      <c r="B1015" s="6"/>
      <c r="C1015" s="6"/>
      <c r="D1015" s="6"/>
      <c r="E1015" s="6"/>
      <c r="F1015" s="6"/>
      <c r="G1015" s="6"/>
      <c r="H1015" s="6"/>
    </row>
    <row r="1016" spans="1:8" hidden="1">
      <c r="A1016" s="6"/>
      <c r="B1016" s="6"/>
      <c r="C1016" s="6"/>
      <c r="D1016" s="6"/>
      <c r="E1016" s="6"/>
      <c r="F1016" s="6"/>
      <c r="G1016" s="6"/>
      <c r="H1016" s="6"/>
    </row>
    <row r="1017" spans="1:8" hidden="1">
      <c r="A1017" s="6"/>
      <c r="B1017" s="6"/>
      <c r="C1017" s="6"/>
      <c r="D1017" s="6"/>
      <c r="E1017" s="6"/>
      <c r="F1017" s="6"/>
      <c r="G1017" s="6"/>
      <c r="H1017" s="6"/>
    </row>
    <row r="1018" spans="1:8" hidden="1">
      <c r="A1018" s="6"/>
      <c r="B1018" s="6"/>
      <c r="C1018" s="6"/>
      <c r="D1018" s="6"/>
      <c r="E1018" s="6"/>
      <c r="F1018" s="6"/>
      <c r="G1018" s="6"/>
      <c r="H1018" s="6"/>
    </row>
    <row r="1019" spans="1:8" hidden="1">
      <c r="A1019" s="6"/>
      <c r="B1019" s="6"/>
      <c r="C1019" s="6"/>
      <c r="D1019" s="6"/>
      <c r="E1019" s="6"/>
      <c r="F1019" s="6"/>
      <c r="G1019" s="6"/>
      <c r="H1019" s="6"/>
    </row>
    <row r="1020" spans="1:8" hidden="1">
      <c r="A1020" s="6"/>
      <c r="B1020" s="6"/>
      <c r="C1020" s="6"/>
      <c r="D1020" s="6"/>
      <c r="E1020" s="6"/>
      <c r="F1020" s="6"/>
      <c r="G1020" s="6"/>
      <c r="H1020" s="6"/>
    </row>
    <row r="1021" spans="1:8" hidden="1">
      <c r="A1021" s="6"/>
      <c r="B1021" s="6"/>
      <c r="C1021" s="6"/>
      <c r="D1021" s="6"/>
      <c r="E1021" s="6"/>
      <c r="F1021" s="6"/>
      <c r="G1021" s="6"/>
      <c r="H1021" s="6"/>
    </row>
    <row r="1022" spans="1:8" hidden="1">
      <c r="A1022" s="6"/>
      <c r="B1022" s="6"/>
      <c r="C1022" s="6"/>
      <c r="D1022" s="6"/>
      <c r="E1022" s="6"/>
      <c r="F1022" s="6"/>
      <c r="G1022" s="6"/>
      <c r="H1022" s="6"/>
    </row>
    <row r="1023" spans="1:8" hidden="1">
      <c r="A1023" s="6"/>
      <c r="B1023" s="6"/>
      <c r="C1023" s="6"/>
      <c r="D1023" s="6"/>
      <c r="E1023" s="6"/>
      <c r="F1023" s="6"/>
      <c r="G1023" s="6"/>
      <c r="H1023" s="6"/>
    </row>
    <row r="1024" spans="1:8" hidden="1">
      <c r="A1024" s="6"/>
      <c r="B1024" s="6"/>
      <c r="C1024" s="6"/>
      <c r="D1024" s="6"/>
      <c r="E1024" s="6"/>
      <c r="F1024" s="6"/>
      <c r="G1024" s="6"/>
      <c r="H1024" s="6"/>
    </row>
    <row r="1025" spans="1:8" hidden="1">
      <c r="A1025" s="6"/>
      <c r="B1025" s="6"/>
      <c r="C1025" s="6"/>
      <c r="D1025" s="6"/>
      <c r="E1025" s="6"/>
      <c r="F1025" s="6"/>
      <c r="G1025" s="6"/>
      <c r="H1025" s="6"/>
    </row>
    <row r="1026" spans="1:8" hidden="1">
      <c r="A1026" s="6"/>
      <c r="B1026" s="6"/>
      <c r="C1026" s="6"/>
      <c r="D1026" s="6"/>
      <c r="E1026" s="6"/>
      <c r="F1026" s="6"/>
      <c r="G1026" s="6"/>
      <c r="H1026" s="6"/>
    </row>
    <row r="1027" spans="1:8" hidden="1">
      <c r="A1027" s="6"/>
      <c r="B1027" s="6"/>
      <c r="C1027" s="6"/>
      <c r="D1027" s="6"/>
      <c r="E1027" s="6"/>
      <c r="F1027" s="6"/>
      <c r="G1027" s="6"/>
      <c r="H1027" s="6"/>
    </row>
    <row r="1028" spans="1:8" hidden="1">
      <c r="A1028" s="6"/>
      <c r="B1028" s="6"/>
      <c r="C1028" s="6"/>
      <c r="D1028" s="6"/>
      <c r="E1028" s="6"/>
      <c r="F1028" s="6"/>
      <c r="G1028" s="6"/>
      <c r="H1028" s="6"/>
    </row>
    <row r="1029" spans="1:8" hidden="1">
      <c r="A1029" s="6"/>
      <c r="B1029" s="6"/>
      <c r="C1029" s="6"/>
      <c r="D1029" s="6"/>
      <c r="E1029" s="6"/>
      <c r="F1029" s="6"/>
      <c r="G1029" s="6"/>
      <c r="H1029" s="6"/>
    </row>
    <row r="1030" spans="1:8" hidden="1">
      <c r="A1030" s="6"/>
      <c r="B1030" s="6"/>
      <c r="C1030" s="6"/>
      <c r="D1030" s="6"/>
      <c r="E1030" s="6"/>
      <c r="F1030" s="6"/>
      <c r="G1030" s="6"/>
      <c r="H1030" s="6"/>
    </row>
    <row r="1031" spans="1:8" hidden="1">
      <c r="A1031" s="6"/>
      <c r="B1031" s="6"/>
      <c r="C1031" s="6"/>
      <c r="D1031" s="6"/>
      <c r="E1031" s="6"/>
      <c r="F1031" s="6"/>
      <c r="G1031" s="6"/>
      <c r="H1031" s="6"/>
    </row>
    <row r="1032" spans="1:8" hidden="1">
      <c r="A1032" s="6"/>
      <c r="B1032" s="6"/>
      <c r="C1032" s="6"/>
      <c r="D1032" s="6"/>
      <c r="E1032" s="6"/>
      <c r="F1032" s="6"/>
      <c r="G1032" s="6"/>
      <c r="H1032" s="6"/>
    </row>
    <row r="1033" spans="1:8" hidden="1">
      <c r="A1033" s="6"/>
      <c r="B1033" s="6"/>
      <c r="C1033" s="6"/>
      <c r="D1033" s="6"/>
      <c r="E1033" s="6"/>
      <c r="F1033" s="6"/>
      <c r="G1033" s="6"/>
      <c r="H1033" s="6"/>
    </row>
    <row r="1034" spans="1:8" hidden="1">
      <c r="A1034" s="6"/>
      <c r="B1034" s="6"/>
      <c r="C1034" s="6"/>
      <c r="D1034" s="6"/>
      <c r="E1034" s="6"/>
      <c r="F1034" s="6"/>
      <c r="G1034" s="6"/>
      <c r="H1034" s="6"/>
    </row>
    <row r="1035" spans="1:8" hidden="1">
      <c r="A1035" s="6"/>
      <c r="B1035" s="6"/>
      <c r="C1035" s="6"/>
      <c r="D1035" s="6"/>
      <c r="E1035" s="6"/>
      <c r="F1035" s="6"/>
      <c r="G1035" s="6"/>
      <c r="H1035" s="6"/>
    </row>
    <row r="1036" spans="1:8" hidden="1">
      <c r="A1036" s="6"/>
      <c r="B1036" s="6"/>
      <c r="C1036" s="6"/>
      <c r="D1036" s="6"/>
      <c r="E1036" s="6"/>
      <c r="F1036" s="6"/>
      <c r="G1036" s="6"/>
      <c r="H1036" s="6"/>
    </row>
    <row r="1037" spans="1:8" hidden="1">
      <c r="A1037" s="6"/>
      <c r="B1037" s="6"/>
      <c r="C1037" s="6"/>
      <c r="D1037" s="6"/>
      <c r="E1037" s="6"/>
      <c r="F1037" s="6"/>
      <c r="G1037" s="6"/>
      <c r="H1037" s="6"/>
    </row>
    <row r="1038" spans="1:8" hidden="1">
      <c r="A1038" s="6"/>
      <c r="B1038" s="6"/>
      <c r="C1038" s="6"/>
      <c r="D1038" s="6"/>
      <c r="E1038" s="6"/>
      <c r="F1038" s="6"/>
      <c r="G1038" s="6"/>
      <c r="H1038" s="6"/>
    </row>
    <row r="1039" spans="1:8" hidden="1">
      <c r="A1039" s="6"/>
      <c r="B1039" s="6"/>
      <c r="C1039" s="6"/>
      <c r="D1039" s="6"/>
      <c r="E1039" s="6"/>
      <c r="F1039" s="6"/>
      <c r="G1039" s="6"/>
      <c r="H1039" s="6"/>
    </row>
    <row r="1040" spans="1:8" hidden="1">
      <c r="A1040" s="6"/>
      <c r="B1040" s="6"/>
      <c r="C1040" s="6"/>
      <c r="D1040" s="6"/>
      <c r="E1040" s="6"/>
      <c r="F1040" s="6"/>
      <c r="G1040" s="6"/>
      <c r="H1040" s="6"/>
    </row>
    <row r="1041" spans="1:8" hidden="1">
      <c r="A1041" s="6"/>
      <c r="B1041" s="6"/>
      <c r="C1041" s="6"/>
      <c r="D1041" s="6"/>
      <c r="E1041" s="6"/>
      <c r="F1041" s="6"/>
      <c r="G1041" s="6"/>
      <c r="H1041" s="6"/>
    </row>
    <row r="1042" spans="1:8" hidden="1">
      <c r="A1042" s="6"/>
      <c r="B1042" s="6"/>
      <c r="C1042" s="6"/>
      <c r="D1042" s="6"/>
      <c r="E1042" s="6"/>
      <c r="F1042" s="6"/>
      <c r="G1042" s="6"/>
      <c r="H1042" s="6"/>
    </row>
    <row r="1043" spans="1:8" hidden="1">
      <c r="A1043" s="31"/>
      <c r="B1043" s="31"/>
      <c r="C1043" s="31"/>
      <c r="D1043" s="31"/>
      <c r="E1043" s="31"/>
      <c r="F1043" s="31"/>
      <c r="G1043" s="31"/>
      <c r="H1043" s="31"/>
    </row>
    <row r="1044" spans="1:8" hidden="1">
      <c r="A1044" s="31"/>
      <c r="B1044" s="31"/>
      <c r="C1044" s="31"/>
      <c r="D1044" s="31"/>
      <c r="E1044" s="31"/>
      <c r="F1044" s="31"/>
      <c r="G1044" s="31"/>
      <c r="H1044" s="31"/>
    </row>
    <row r="1045" spans="1:8" ht="17.7" hidden="1">
      <c r="A1045" s="187" t="s">
        <v>24</v>
      </c>
      <c r="B1045" s="187"/>
      <c r="C1045" s="187"/>
      <c r="D1045" s="187"/>
      <c r="E1045" s="187"/>
      <c r="F1045" s="187"/>
      <c r="G1045" s="187"/>
      <c r="H1045" s="187"/>
    </row>
    <row r="1046" spans="1:8" hidden="1">
      <c r="A1046" s="158" t="s">
        <v>25</v>
      </c>
      <c r="B1046" s="158"/>
      <c r="C1046" s="158"/>
      <c r="D1046" s="158"/>
      <c r="E1046" s="158"/>
      <c r="F1046" s="158"/>
      <c r="G1046" s="158"/>
      <c r="H1046" s="158"/>
    </row>
    <row r="1047" spans="1:8" hidden="1">
      <c r="A1047" s="31"/>
      <c r="B1047" s="31"/>
      <c r="C1047" s="31"/>
      <c r="D1047" s="31"/>
      <c r="E1047" s="31"/>
      <c r="F1047" s="31"/>
      <c r="G1047" s="31"/>
      <c r="H1047" s="31"/>
    </row>
    <row r="1048" spans="1:8" hidden="1">
      <c r="A1048" s="188" t="s">
        <v>26</v>
      </c>
      <c r="B1048" s="188"/>
      <c r="C1048" s="188"/>
      <c r="D1048" s="32">
        <v>205000</v>
      </c>
      <c r="E1048" s="31"/>
      <c r="F1048" s="31"/>
      <c r="G1048" s="31"/>
      <c r="H1048" s="31"/>
    </row>
    <row r="1049" spans="1:8" hidden="1">
      <c r="A1049" s="188" t="s">
        <v>21</v>
      </c>
      <c r="B1049" s="188"/>
      <c r="C1049" s="188"/>
      <c r="D1049" s="31">
        <v>360</v>
      </c>
      <c r="E1049" s="31"/>
      <c r="F1049" s="31"/>
      <c r="G1049" s="31"/>
      <c r="H1049" s="31"/>
    </row>
    <row r="1050" spans="1:8" hidden="1">
      <c r="A1050" s="158" t="s">
        <v>27</v>
      </c>
      <c r="B1050" s="158"/>
      <c r="C1050" s="158"/>
      <c r="D1050" s="158"/>
      <c r="E1050" s="158"/>
      <c r="F1050" s="158"/>
      <c r="G1050" s="158"/>
      <c r="H1050" s="158"/>
    </row>
    <row r="1051" spans="1:8" hidden="1">
      <c r="A1051" s="31"/>
      <c r="B1051" s="31"/>
      <c r="C1051" s="31"/>
      <c r="D1051" s="31"/>
      <c r="E1051" s="31"/>
      <c r="F1051" s="31"/>
      <c r="G1051" s="31"/>
      <c r="H1051" s="31"/>
    </row>
    <row r="1052" spans="1:8" ht="28.2" hidden="1">
      <c r="A1052" s="189" t="s">
        <v>28</v>
      </c>
      <c r="B1052" s="189"/>
      <c r="C1052" s="189"/>
      <c r="D1052" s="33" t="s">
        <v>29</v>
      </c>
      <c r="E1052" s="33" t="s">
        <v>30</v>
      </c>
      <c r="F1052" s="33" t="s">
        <v>31</v>
      </c>
      <c r="G1052" s="189" t="s">
        <v>32</v>
      </c>
      <c r="H1052" s="189"/>
    </row>
    <row r="1053" spans="1:8" hidden="1">
      <c r="A1053" s="158" t="s">
        <v>33</v>
      </c>
      <c r="B1053" s="158"/>
      <c r="C1053" s="158"/>
      <c r="D1053" s="34">
        <f>1/48</f>
        <v>2.0833333333333332E-2</v>
      </c>
      <c r="E1053" s="34">
        <f>D1053*$D$1049*100000/$D$1048</f>
        <v>3.6585365853658538</v>
      </c>
      <c r="F1053" s="35">
        <v>3.66</v>
      </c>
      <c r="G1053" s="158" t="str">
        <f>"I ≈ "&amp;TEXT(E1053,"0.00")&amp;"PL²"</f>
        <v>I ≈ 3.66PL²</v>
      </c>
      <c r="H1053" s="158"/>
    </row>
    <row r="1054" spans="1:8" hidden="1">
      <c r="A1054" s="158" t="s">
        <v>34</v>
      </c>
      <c r="B1054" s="158"/>
      <c r="C1054" s="158"/>
      <c r="D1054" s="34">
        <f>23/1296</f>
        <v>1.7746913580246913E-2</v>
      </c>
      <c r="E1054" s="34">
        <f>D1054*$D$1049*100000/$D$1048</f>
        <v>3.116531165311653</v>
      </c>
      <c r="F1054" s="35">
        <v>3.12</v>
      </c>
      <c r="G1054" s="158" t="str">
        <f>"I ≈ "&amp;TEXT(E1054,"0.00")&amp;"PL²"</f>
        <v>I ≈ 3.12PL²</v>
      </c>
      <c r="H1054" s="158"/>
    </row>
    <row r="1055" spans="1:8" hidden="1">
      <c r="A1055" s="158" t="s">
        <v>35</v>
      </c>
      <c r="B1055" s="158"/>
      <c r="C1055" s="158"/>
      <c r="D1055" s="34">
        <f>19/1152</f>
        <v>1.6493055555555556E-2</v>
      </c>
      <c r="E1055" s="34">
        <f>D1055*$D$1049*100000/$D$1048</f>
        <v>2.8963414634146343</v>
      </c>
      <c r="F1055" s="35">
        <v>2.9</v>
      </c>
      <c r="G1055" s="158" t="str">
        <f>"I ≈ "&amp;TEXT(E1055,"0.00")&amp;"PL²"</f>
        <v>I ≈ 2.90PL²</v>
      </c>
      <c r="H1055" s="158"/>
    </row>
    <row r="1056" spans="1:8" hidden="1">
      <c r="A1056" s="158" t="s">
        <v>36</v>
      </c>
      <c r="B1056" s="158"/>
      <c r="C1056" s="158"/>
      <c r="D1056" s="34">
        <f>63/4000</f>
        <v>1.575E-2</v>
      </c>
      <c r="E1056" s="34">
        <f>D1056*$D$1049*100000/$D$1048</f>
        <v>2.7658536585365852</v>
      </c>
      <c r="F1056" s="35">
        <v>2.77</v>
      </c>
      <c r="G1056" s="158" t="str">
        <f>"I ≈ "&amp;TEXT(E1056,"0.00")&amp;"PL²"</f>
        <v>I ≈ 2.77PL²</v>
      </c>
      <c r="H1056" s="158"/>
    </row>
    <row r="1057" spans="1:8" hidden="1">
      <c r="A1057" s="158" t="s">
        <v>37</v>
      </c>
      <c r="B1057" s="158"/>
      <c r="C1057" s="158"/>
      <c r="D1057" s="34">
        <f>5/384</f>
        <v>1.3020833333333334E-2</v>
      </c>
      <c r="E1057" s="34">
        <f>D1057*$D$1049*100000/$D$1048</f>
        <v>2.2865853658536586</v>
      </c>
      <c r="F1057" s="35">
        <v>2.29</v>
      </c>
      <c r="G1057" s="158" t="str">
        <f>"I ≈ "&amp;TEXT(E1057,"0.00")&amp;"WL²"</f>
        <v>I ≈ 2.29WL²</v>
      </c>
      <c r="H1057" s="158"/>
    </row>
    <row r="1058" spans="1:8" hidden="1">
      <c r="A1058" s="31"/>
      <c r="B1058" s="31"/>
      <c r="C1058" s="31"/>
      <c r="D1058" s="31"/>
      <c r="E1058" s="31"/>
      <c r="F1058" s="31"/>
      <c r="G1058" s="31"/>
      <c r="H1058" s="31"/>
    </row>
    <row r="1059" spans="1:8" hidden="1">
      <c r="A1059" s="158" t="s">
        <v>38</v>
      </c>
      <c r="B1059" s="158"/>
      <c r="C1059" s="158"/>
      <c r="D1059" s="158"/>
      <c r="E1059" s="158"/>
      <c r="F1059" s="158"/>
      <c r="G1059" s="158"/>
      <c r="H1059" s="158"/>
    </row>
    <row r="1060" spans="1:8" hidden="1">
      <c r="A1060" s="158" t="s">
        <v>39</v>
      </c>
      <c r="B1060" s="158"/>
      <c r="C1060" s="158"/>
      <c r="D1060" s="158"/>
      <c r="E1060" s="158"/>
      <c r="F1060" s="158"/>
      <c r="G1060" s="158"/>
      <c r="H1060" s="158"/>
    </row>
    <row r="1061" spans="1:8" hidden="1">
      <c r="A1061" s="31"/>
      <c r="B1061" s="31"/>
      <c r="C1061" s="31"/>
      <c r="D1061" s="31"/>
      <c r="E1061" s="31"/>
      <c r="F1061" s="31"/>
      <c r="G1061" s="31"/>
      <c r="H1061" s="31"/>
    </row>
    <row r="1062" spans="1:8" hidden="1">
      <c r="A1062" s="158" t="s">
        <v>40</v>
      </c>
      <c r="B1062" s="158"/>
      <c r="C1062" s="158"/>
      <c r="D1062" s="158"/>
      <c r="E1062" s="158"/>
      <c r="F1062" s="158"/>
      <c r="G1062" s="158"/>
      <c r="H1062" s="158"/>
    </row>
    <row r="1063" spans="1:8" hidden="1">
      <c r="A1063" s="158" t="s">
        <v>41</v>
      </c>
      <c r="B1063" s="158"/>
      <c r="C1063" s="158"/>
      <c r="D1063" s="158"/>
      <c r="E1063" s="158"/>
      <c r="F1063" s="158"/>
      <c r="G1063" s="158"/>
      <c r="H1063" s="158"/>
    </row>
    <row r="1064" spans="1:8" hidden="1">
      <c r="A1064" s="31"/>
      <c r="B1064" s="31"/>
      <c r="C1064" s="31"/>
      <c r="D1064" s="31"/>
      <c r="E1064" s="31"/>
      <c r="F1064" s="31"/>
      <c r="G1064" s="31"/>
      <c r="H1064" s="31"/>
    </row>
    <row r="1065" spans="1:8" hidden="1">
      <c r="A1065" s="158" t="s">
        <v>42</v>
      </c>
      <c r="B1065" s="158"/>
      <c r="C1065" s="158"/>
      <c r="D1065" s="158"/>
      <c r="E1065" s="158"/>
      <c r="F1065" s="158"/>
      <c r="G1065" s="158"/>
      <c r="H1065" s="158"/>
    </row>
    <row r="1066" spans="1:8" hidden="1">
      <c r="A1066" s="158" t="s">
        <v>43</v>
      </c>
      <c r="B1066" s="158"/>
      <c r="C1066" s="158"/>
      <c r="D1066" s="158"/>
      <c r="E1066" s="158"/>
      <c r="F1066" s="158"/>
      <c r="G1066" s="158"/>
      <c r="H1066" s="158"/>
    </row>
    <row r="1067" spans="1:8" hidden="1">
      <c r="A1067" s="158" t="s">
        <v>44</v>
      </c>
      <c r="B1067" s="158"/>
      <c r="C1067" s="158"/>
      <c r="D1067" s="158"/>
      <c r="E1067" s="158"/>
      <c r="F1067" s="158"/>
      <c r="G1067" s="158"/>
      <c r="H1067" s="158"/>
    </row>
    <row r="1068" spans="1:8" hidden="1">
      <c r="A1068" s="31"/>
      <c r="B1068" s="31"/>
      <c r="C1068" s="31"/>
      <c r="D1068" s="31"/>
      <c r="E1068" s="31"/>
      <c r="F1068" s="31"/>
      <c r="G1068" s="31"/>
      <c r="H1068" s="31"/>
    </row>
    <row r="1069" spans="1:8" hidden="1">
      <c r="A1069" s="158" t="s">
        <v>45</v>
      </c>
      <c r="B1069" s="158"/>
      <c r="C1069" s="158"/>
      <c r="D1069" s="158"/>
      <c r="E1069" s="158"/>
      <c r="F1069" s="158"/>
      <c r="G1069" s="158"/>
      <c r="H1069" s="158"/>
    </row>
    <row r="1070" spans="1:8" hidden="1">
      <c r="A1070" s="158" t="s">
        <v>46</v>
      </c>
      <c r="B1070" s="158"/>
      <c r="C1070" s="158"/>
      <c r="D1070" s="158"/>
      <c r="E1070" s="158"/>
      <c r="F1070" s="158"/>
      <c r="G1070" s="158"/>
      <c r="H1070" s="158"/>
    </row>
    <row r="1071" spans="1:8" hidden="1">
      <c r="A1071" s="31"/>
      <c r="B1071" s="31"/>
      <c r="C1071" s="31"/>
      <c r="D1071" s="31"/>
      <c r="E1071" s="31"/>
      <c r="F1071" s="31"/>
      <c r="G1071" s="31"/>
      <c r="H1071" s="31"/>
    </row>
    <row r="1072" spans="1:8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spans="1:13" hidden="1"/>
    <row r="1202" spans="1:13" hidden="1"/>
    <row r="1203" spans="1:13" hidden="1">
      <c r="A1203" s="3" t="s">
        <v>393</v>
      </c>
    </row>
    <row r="1204" spans="1:13" hidden="1">
      <c r="A1204" s="156" t="s">
        <v>47</v>
      </c>
      <c r="B1204" s="156"/>
      <c r="C1204" s="156"/>
      <c r="D1204" s="156"/>
      <c r="E1204" s="156"/>
      <c r="F1204" s="156"/>
      <c r="G1204" s="156"/>
      <c r="H1204" s="156"/>
      <c r="I1204" s="156"/>
      <c r="J1204" s="156"/>
      <c r="K1204" s="156"/>
      <c r="L1204" s="156"/>
      <c r="M1204" s="156"/>
    </row>
    <row r="1205" spans="1:13" hidden="1">
      <c r="A1205" s="156" t="s">
        <v>48</v>
      </c>
      <c r="B1205" s="156"/>
      <c r="C1205" s="156"/>
      <c r="D1205" s="156"/>
      <c r="E1205" s="156"/>
      <c r="F1205" s="156"/>
      <c r="G1205" s="156"/>
      <c r="H1205" s="156"/>
      <c r="I1205" s="156"/>
      <c r="J1205" s="156"/>
      <c r="K1205" s="156"/>
      <c r="L1205" s="156"/>
      <c r="M1205" s="156"/>
    </row>
    <row r="1206" spans="1:13" hidden="1">
      <c r="A1206" s="36"/>
      <c r="B1206" s="36"/>
      <c r="C1206" s="36"/>
      <c r="D1206" s="36"/>
      <c r="E1206" s="36"/>
      <c r="F1206" s="36"/>
      <c r="G1206" s="36"/>
      <c r="H1206" s="36"/>
      <c r="I1206" s="36"/>
      <c r="J1206" s="36"/>
      <c r="K1206" s="36"/>
      <c r="L1206" s="36"/>
      <c r="M1206" s="36"/>
    </row>
    <row r="1207" spans="1:13" hidden="1">
      <c r="A1207" s="36"/>
      <c r="B1207" s="36"/>
      <c r="C1207" s="36"/>
      <c r="D1207" s="36"/>
      <c r="E1207" s="36"/>
      <c r="F1207" s="36"/>
      <c r="G1207" s="36"/>
      <c r="H1207" s="36"/>
      <c r="I1207" s="36"/>
      <c r="J1207" s="36"/>
      <c r="K1207" s="36"/>
      <c r="L1207" s="36"/>
      <c r="M1207" s="36"/>
    </row>
    <row r="1208" spans="1:13" hidden="1">
      <c r="A1208" s="156" t="s">
        <v>49</v>
      </c>
      <c r="B1208" s="156"/>
      <c r="C1208" s="156"/>
      <c r="D1208" s="156"/>
      <c r="E1208" s="156"/>
      <c r="F1208" s="156"/>
      <c r="G1208" s="156"/>
      <c r="H1208" s="156"/>
      <c r="I1208" s="156"/>
      <c r="J1208" s="156"/>
      <c r="K1208" s="156"/>
      <c r="L1208" s="156"/>
      <c r="M1208" s="156"/>
    </row>
    <row r="1209" spans="1:13" hidden="1">
      <c r="A1209" s="36" t="s">
        <v>3</v>
      </c>
      <c r="B1209" s="36" t="s">
        <v>50</v>
      </c>
      <c r="C1209" s="36" t="s">
        <v>5</v>
      </c>
      <c r="D1209" s="36" t="s">
        <v>51</v>
      </c>
      <c r="E1209" s="36" t="s">
        <v>52</v>
      </c>
      <c r="F1209" s="36" t="s">
        <v>53</v>
      </c>
      <c r="G1209" s="36" t="s">
        <v>54</v>
      </c>
      <c r="H1209" s="36" t="s">
        <v>55</v>
      </c>
      <c r="I1209" s="36" t="s">
        <v>56</v>
      </c>
      <c r="J1209" s="36" t="s">
        <v>57</v>
      </c>
      <c r="K1209" s="36" t="s">
        <v>58</v>
      </c>
      <c r="L1209" s="36" t="s">
        <v>59</v>
      </c>
      <c r="M1209" s="36" t="s">
        <v>60</v>
      </c>
    </row>
    <row r="1210" spans="1:13" hidden="1">
      <c r="A1210" s="36" t="str">
        <f>IF('Steel Beam Design'!A26="","",'Steel Beam Design'!A26)</f>
        <v>SB1</v>
      </c>
      <c r="B1210" s="36">
        <f>IF('Steel Beam Design'!$B$26="","",'Steel Beam Design'!$B$26)</f>
        <v>2.5</v>
      </c>
      <c r="C1210" s="36" t="str">
        <f>IF('Steel Beam Design'!C26="","",'Steel Beam Design'!C26)</f>
        <v>Simply Supported</v>
      </c>
      <c r="D1210" s="36">
        <f>IF('Steel Beam Design'!D26="","",'Steel Beam Design'!D26)</f>
        <v>0</v>
      </c>
      <c r="E1210" s="36">
        <f>IF('Steel Beam Design'!E26="","",'Steel Beam Design'!E26)</f>
        <v>0</v>
      </c>
      <c r="F1210" s="36">
        <f>IF('Steel Beam Design'!F26="","",'Steel Beam Design'!F26)</f>
        <v>0</v>
      </c>
      <c r="G1210" s="36">
        <f>IF('Steel Beam Design'!G26="","",'Steel Beam Design'!G26)</f>
        <v>0</v>
      </c>
      <c r="H1210" s="36">
        <f>IF('Steel Beam Design'!H26="","",'Steel Beam Design'!H26)</f>
        <v>0</v>
      </c>
      <c r="I1210" s="36">
        <f>IF('Steel Beam Design'!I26="","",'Steel Beam Design'!I26)</f>
        <v>0</v>
      </c>
      <c r="J1210" s="36">
        <f>IF('Steel Beam Design'!J26="","",'Steel Beam Design'!J26)</f>
        <v>0</v>
      </c>
      <c r="K1210" s="36">
        <f>IF('Steel Beam Design'!K26="","",'Steel Beam Design'!K26)</f>
        <v>0</v>
      </c>
      <c r="L1210" s="36">
        <f>IF('Steel Beam Design'!N26="","",'Steel Beam Design'!N26)</f>
        <v>88.999999999999986</v>
      </c>
      <c r="M1210" s="36" t="b">
        <f>AND(ISNUMBER(B1210),B1210&gt;0,OR(C1210="Cantilever Supported",C1210="Simply Supported",C1210="Fixed-Fixed"),OR(L1210="",AND(ISNUMBER(L1210),L1210&gt;=0)),OR(D1210="",AND(ISNUMBER(D1210),D1210&gt;=0)),OR(N(D1210)=0,AND(ISNUMBER(E1210),E1210&gt;=0,E1210&lt;=B1210)),OR(F1210="",AND(ISNUMBER(F1210),F1210&gt;=0)),OR(N(F1210)=0,AND(ISNUMBER(G1210),G1210&gt;=0,G1210&lt;=B1210)),OR(H1210="",AND(ISNUMBER(H1210),H1210&gt;=0)),OR(N(H1210)=0,AND(ISNUMBER(I1210),I1210&gt;=0,I1210&lt;=B1210)),OR(J1210="",AND(ISNUMBER(J1210),J1210&gt;=0)),OR(N(J1210)=0,AND(ISNUMBER(K1210),K1210&gt;=0,K1210&lt;=B1210)))</f>
        <v>1</v>
      </c>
    </row>
    <row r="1211" spans="1:13" hidden="1">
      <c r="A1211" s="36"/>
      <c r="B1211" s="36"/>
      <c r="C1211" s="36"/>
      <c r="D1211" s="36"/>
      <c r="E1211" s="36"/>
      <c r="F1211" s="36"/>
      <c r="G1211" s="36"/>
      <c r="H1211" s="36"/>
      <c r="I1211" s="36"/>
      <c r="J1211" s="36"/>
      <c r="K1211" s="36"/>
      <c r="L1211" s="36"/>
      <c r="M1211" s="36"/>
    </row>
    <row r="1212" spans="1:13" hidden="1">
      <c r="A1212" s="36" t="s">
        <v>61</v>
      </c>
      <c r="B1212" s="36">
        <f>IF(M1210,IF(C1210="Cantilever Supported",-(N(D1210)*N(E1210)+N(F1210)*N(G1210)+N(H1210)*N(I1210)+N(J1210)*N(K1210))-N(L1210)*B1210^2/2,IF(C1210="Fixed-Fixed",-(N(D1210)*N(E1210)*(B1210-N(E1210))^2/B1210^2+N(F1210)*N(G1210)*(B1210-N(G1210))^2/B1210^2+N(H1210)*N(I1210)*(B1210-N(I1210))^2/B1210^2+N(J1210)*N(K1210)*(B1210-N(K1210))^2/B1210^2)-N(L1210)*B1210^2/12,0)),0)</f>
        <v>0</v>
      </c>
      <c r="C1212" s="36" t="s">
        <v>62</v>
      </c>
      <c r="D1212" s="36">
        <f>IF(M1210,IF(C1210="Fixed-Fixed",-(N(D1210)*N(E1210)^2*(B1210-N(E1210))/B1210^2+N(F1210)*N(G1210)^2*(B1210-N(G1210))/B1210^2+N(H1210)*N(I1210)^2*(B1210-N(I1210))/B1210^2+N(J1210)*N(K1210)^2*(B1210-N(K1210))/B1210^2)-N(L1210)*B1210^2/12,0),0)</f>
        <v>0</v>
      </c>
      <c r="E1212" s="36" t="s">
        <v>63</v>
      </c>
      <c r="F1212" s="36">
        <f>IF(M1210,IF(C1210="Cantilever Supported",N(D1210)+N(F1210)+N(H1210)+N(J1210)+N(L1210)*B1210,((N(D1210)*(B1210-N(E1210))+N(F1210)*(B1210-N(G1210))+N(H1210)*(B1210-N(I1210))+N(J1210)*(B1210-N(K1210)))+N(L1210)*B1210^2/2+D1212-B1212)/B1210),0)</f>
        <v>111.24999999999997</v>
      </c>
      <c r="G1212" s="36" t="s">
        <v>64</v>
      </c>
      <c r="H1212" s="36">
        <f>MAX(MAX(B1215:B1220),-MIN(B1215:B1220),MAX(E1215:E1219),-MIN(E1215:E1219))</f>
        <v>69.531249999999972</v>
      </c>
      <c r="I1212" s="36"/>
      <c r="J1212" s="36"/>
      <c r="K1212" s="36"/>
      <c r="L1212" s="36"/>
      <c r="M1212" s="36"/>
    </row>
    <row r="1213" spans="1:13" hidden="1">
      <c r="A1213" s="36"/>
      <c r="B1213" s="36"/>
      <c r="C1213" s="36"/>
      <c r="D1213" s="36"/>
      <c r="E1213" s="36"/>
      <c r="F1213" s="36"/>
      <c r="G1213" s="36"/>
      <c r="H1213" s="36"/>
      <c r="I1213" s="36"/>
      <c r="J1213" s="36"/>
      <c r="K1213" s="36"/>
      <c r="L1213" s="36"/>
      <c r="M1213" s="36"/>
    </row>
    <row r="1214" spans="1:13" hidden="1">
      <c r="A1214" s="36" t="s">
        <v>65</v>
      </c>
      <c r="B1214" s="36" t="s">
        <v>66</v>
      </c>
      <c r="C1214" s="36" t="s">
        <v>67</v>
      </c>
      <c r="D1214" s="36" t="s">
        <v>68</v>
      </c>
      <c r="E1214" s="36" t="s">
        <v>69</v>
      </c>
      <c r="F1214" s="36"/>
      <c r="G1214" s="36"/>
      <c r="H1214" s="36">
        <f>0</f>
        <v>0</v>
      </c>
      <c r="I1214" s="36">
        <f>IF(N(D1210)=0,0,N(E1210))</f>
        <v>0</v>
      </c>
      <c r="J1214" s="36">
        <f>IF(N(F1210)=0,0,N(G1210))</f>
        <v>0</v>
      </c>
      <c r="K1214" s="36">
        <f>IF(N(H1210)=0,0,N(I1210))</f>
        <v>0</v>
      </c>
      <c r="L1214" s="36">
        <f>IF(N(J1210)=0,0,N(K1210))</f>
        <v>0</v>
      </c>
      <c r="M1214" s="36">
        <f>IF(M1210,B1210,0)</f>
        <v>2.5</v>
      </c>
    </row>
    <row r="1215" spans="1:13" hidden="1">
      <c r="A1215" s="37">
        <f>SMALL(H1214:M1214,1)</f>
        <v>0</v>
      </c>
      <c r="B1215" s="37">
        <f>IF(M1210,B1212+F1212*A1215-N(L1210)*A1215^2/2-(N(D1210)*MAX(0,A1215-N(E1210))+N(F1210)*MAX(0,A1215-N(G1210))+N(H1210)*MAX(0,A1215-N(I1210))+N(J1210)*MAX(0,A1215-N(K1210))),0)</f>
        <v>0</v>
      </c>
      <c r="C1215" s="37">
        <f>A1216</f>
        <v>0</v>
      </c>
      <c r="D1215" s="37">
        <f>IF(AND(M1210,N(L1210)&gt;0),MAX(A1215,MIN(C1215,(F1212-(IF(N(E1210)&lt;=A1215,N(D1210),0)+IF(N(G1210)&lt;=A1215,N(F1210),0)+IF(N(I1210)&lt;=A1215,N(H1210),0)+IF(N(K1210)&lt;=A1215,N(J1210),0)))/N(L1210))),A1215)</f>
        <v>0</v>
      </c>
      <c r="E1215" s="37">
        <f>IF(M1210,B1212+F1212*D1215-N(L1210)*D1215^2/2-(N(D1210)*MAX(0,D1215-N(E1210))+N(F1210)*MAX(0,D1215-N(G1210))+N(H1210)*MAX(0,D1215-N(I1210))+N(J1210)*MAX(0,D1215-N(K1210))),0)</f>
        <v>0</v>
      </c>
      <c r="F1215" s="37"/>
      <c r="G1215" s="37"/>
      <c r="H1215" s="37"/>
      <c r="I1215" s="37"/>
      <c r="J1215" s="37"/>
      <c r="K1215" s="37"/>
      <c r="L1215" s="37"/>
      <c r="M1215" s="37"/>
    </row>
    <row r="1216" spans="1:13" hidden="1">
      <c r="A1216" s="37">
        <f>SMALL(H1214:M1214,2)</f>
        <v>0</v>
      </c>
      <c r="B1216" s="37">
        <f>IF(M1210,B1212+F1212*A1216-N(L1210)*A1216^2/2-(N(D1210)*MAX(0,A1216-N(E1210))+N(F1210)*MAX(0,A1216-N(G1210))+N(H1210)*MAX(0,A1216-N(I1210))+N(J1210)*MAX(0,A1216-N(K1210))),0)</f>
        <v>0</v>
      </c>
      <c r="C1216" s="37">
        <f>A1217</f>
        <v>0</v>
      </c>
      <c r="D1216" s="37">
        <f>IF(AND(M1210,N(L1210)&gt;0),MAX(A1216,MIN(C1216,(F1212-(IF(N(E1210)&lt;=A1216,N(D1210),0)+IF(N(G1210)&lt;=A1216,N(F1210),0)+IF(N(I1210)&lt;=A1216,N(H1210),0)+IF(N(K1210)&lt;=A1216,N(J1210),0)))/N(L1210))),A1216)</f>
        <v>0</v>
      </c>
      <c r="E1216" s="37">
        <f>IF(M1210,B1212+F1212*D1216-N(L1210)*D1216^2/2-(N(D1210)*MAX(0,D1216-N(E1210))+N(F1210)*MAX(0,D1216-N(G1210))+N(H1210)*MAX(0,D1216-N(I1210))+N(J1210)*MAX(0,D1216-N(K1210))),0)</f>
        <v>0</v>
      </c>
      <c r="F1216" s="37"/>
      <c r="G1216" s="37"/>
      <c r="H1216" s="37"/>
      <c r="I1216" s="37"/>
      <c r="J1216" s="37"/>
      <c r="K1216" s="37"/>
      <c r="L1216" s="37"/>
      <c r="M1216" s="37"/>
    </row>
    <row r="1217" spans="1:13" hidden="1">
      <c r="A1217" s="37">
        <f>SMALL(H1214:M1214,3)</f>
        <v>0</v>
      </c>
      <c r="B1217" s="37">
        <f>IF(M1210,B1212+F1212*A1217-N(L1210)*A1217^2/2-(N(D1210)*MAX(0,A1217-N(E1210))+N(F1210)*MAX(0,A1217-N(G1210))+N(H1210)*MAX(0,A1217-N(I1210))+N(J1210)*MAX(0,A1217-N(K1210))),0)</f>
        <v>0</v>
      </c>
      <c r="C1217" s="37">
        <f>A1218</f>
        <v>0</v>
      </c>
      <c r="D1217" s="37">
        <f>IF(AND(M1210,N(L1210)&gt;0),MAX(A1217,MIN(C1217,(F1212-(IF(N(E1210)&lt;=A1217,N(D1210),0)+IF(N(G1210)&lt;=A1217,N(F1210),0)+IF(N(I1210)&lt;=A1217,N(H1210),0)+IF(N(K1210)&lt;=A1217,N(J1210),0)))/N(L1210))),A1217)</f>
        <v>0</v>
      </c>
      <c r="E1217" s="37">
        <f>IF(M1210,B1212+F1212*D1217-N(L1210)*D1217^2/2-(N(D1210)*MAX(0,D1217-N(E1210))+N(F1210)*MAX(0,D1217-N(G1210))+N(H1210)*MAX(0,D1217-N(I1210))+N(J1210)*MAX(0,D1217-N(K1210))),0)</f>
        <v>0</v>
      </c>
      <c r="F1217" s="37"/>
      <c r="G1217" s="37"/>
      <c r="H1217" s="37"/>
      <c r="I1217" s="37"/>
      <c r="J1217" s="37"/>
      <c r="K1217" s="37"/>
      <c r="L1217" s="37"/>
      <c r="M1217" s="37"/>
    </row>
    <row r="1218" spans="1:13" hidden="1">
      <c r="A1218" s="37">
        <f>SMALL(H1214:M1214,4)</f>
        <v>0</v>
      </c>
      <c r="B1218" s="37">
        <f>IF(M1210,B1212+F1212*A1218-N(L1210)*A1218^2/2-(N(D1210)*MAX(0,A1218-N(E1210))+N(F1210)*MAX(0,A1218-N(G1210))+N(H1210)*MAX(0,A1218-N(I1210))+N(J1210)*MAX(0,A1218-N(K1210))),0)</f>
        <v>0</v>
      </c>
      <c r="C1218" s="37">
        <f>A1219</f>
        <v>0</v>
      </c>
      <c r="D1218" s="37">
        <f>IF(AND(M1210,N(L1210)&gt;0),MAX(A1218,MIN(C1218,(F1212-(IF(N(E1210)&lt;=A1218,N(D1210),0)+IF(N(G1210)&lt;=A1218,N(F1210),0)+IF(N(I1210)&lt;=A1218,N(H1210),0)+IF(N(K1210)&lt;=A1218,N(J1210),0)))/N(L1210))),A1218)</f>
        <v>0</v>
      </c>
      <c r="E1218" s="37">
        <f>IF(M1210,B1212+F1212*D1218-N(L1210)*D1218^2/2-(N(D1210)*MAX(0,D1218-N(E1210))+N(F1210)*MAX(0,D1218-N(G1210))+N(H1210)*MAX(0,D1218-N(I1210))+N(J1210)*MAX(0,D1218-N(K1210))),0)</f>
        <v>0</v>
      </c>
      <c r="F1218" s="37"/>
      <c r="G1218" s="37"/>
      <c r="H1218" s="37"/>
      <c r="I1218" s="37"/>
      <c r="J1218" s="37"/>
      <c r="K1218" s="37"/>
      <c r="L1218" s="37"/>
      <c r="M1218" s="37"/>
    </row>
    <row r="1219" spans="1:13" hidden="1">
      <c r="A1219" s="37">
        <f>SMALL(H1214:M1214,5)</f>
        <v>0</v>
      </c>
      <c r="B1219" s="37">
        <f>IF(M1210,B1212+F1212*A1219-N(L1210)*A1219^2/2-(N(D1210)*MAX(0,A1219-N(E1210))+N(F1210)*MAX(0,A1219-N(G1210))+N(H1210)*MAX(0,A1219-N(I1210))+N(J1210)*MAX(0,A1219-N(K1210))),0)</f>
        <v>0</v>
      </c>
      <c r="C1219" s="37">
        <f>A1220</f>
        <v>2.5</v>
      </c>
      <c r="D1219" s="37">
        <f>IF(AND(M1210,N(L1210)&gt;0),MAX(A1219,MIN(C1219,(F1212-(IF(N(E1210)&lt;=A1219,N(D1210),0)+IF(N(G1210)&lt;=A1219,N(F1210),0)+IF(N(I1210)&lt;=A1219,N(H1210),0)+IF(N(K1210)&lt;=A1219,N(J1210),0)))/N(L1210))),A1219)</f>
        <v>1.2499999999999998</v>
      </c>
      <c r="E1219" s="37">
        <f>IF(M1210,B1212+F1212*D1219-N(L1210)*D1219^2/2-(N(D1210)*MAX(0,D1219-N(E1210))+N(F1210)*MAX(0,D1219-N(G1210))+N(H1210)*MAX(0,D1219-N(I1210))+N(J1210)*MAX(0,D1219-N(K1210))),0)</f>
        <v>69.531249999999972</v>
      </c>
      <c r="F1219" s="37"/>
      <c r="G1219" s="37"/>
      <c r="H1219" s="37"/>
      <c r="I1219" s="37"/>
      <c r="J1219" s="37"/>
      <c r="K1219" s="37"/>
      <c r="L1219" s="37"/>
      <c r="M1219" s="37"/>
    </row>
    <row r="1220" spans="1:13" hidden="1">
      <c r="A1220" s="37">
        <f>SMALL(H1214:M1214,6)</f>
        <v>2.5</v>
      </c>
      <c r="B1220" s="37">
        <f>IF(M1210,B1212+F1212*A1220-N(L1210)*A1220^2/2-(N(D1210)*MAX(0,A1220-N(E1210))+N(F1210)*MAX(0,A1220-N(G1210))+N(H1210)*MAX(0,A1220-N(I1210))+N(J1210)*MAX(0,A1220-N(K1210))),0)</f>
        <v>0</v>
      </c>
      <c r="C1220" s="37"/>
      <c r="D1220" s="37"/>
      <c r="E1220" s="37"/>
      <c r="F1220" s="37"/>
      <c r="G1220" s="37"/>
      <c r="H1220" s="37"/>
      <c r="I1220" s="37"/>
      <c r="J1220" s="37"/>
      <c r="K1220" s="37"/>
      <c r="L1220" s="37"/>
      <c r="M1220" s="37"/>
    </row>
    <row r="1221" spans="1:13" hidden="1">
      <c r="A1221" s="36"/>
      <c r="B1221" s="36"/>
      <c r="C1221" s="36"/>
      <c r="D1221" s="36"/>
      <c r="E1221" s="36"/>
      <c r="F1221" s="36"/>
      <c r="G1221" s="36"/>
      <c r="H1221" s="36"/>
      <c r="I1221" s="36"/>
      <c r="J1221" s="36"/>
      <c r="K1221" s="36"/>
      <c r="L1221" s="36"/>
      <c r="M1221" s="36"/>
    </row>
    <row r="1222" spans="1:13" hidden="1">
      <c r="A1222" s="36"/>
      <c r="B1222" s="36"/>
      <c r="C1222" s="36"/>
      <c r="D1222" s="36"/>
      <c r="E1222" s="36"/>
      <c r="F1222" s="36"/>
      <c r="G1222" s="36"/>
      <c r="H1222" s="36"/>
      <c r="I1222" s="36"/>
      <c r="J1222" s="36"/>
      <c r="K1222" s="36"/>
      <c r="L1222" s="36"/>
      <c r="M1222" s="36"/>
    </row>
    <row r="1223" spans="1:13" hidden="1">
      <c r="A1223" s="36"/>
      <c r="B1223" s="36"/>
      <c r="C1223" s="36"/>
      <c r="D1223" s="36"/>
      <c r="E1223" s="36"/>
      <c r="F1223" s="36"/>
      <c r="G1223" s="36"/>
      <c r="H1223" s="36"/>
      <c r="I1223" s="36"/>
      <c r="J1223" s="36"/>
      <c r="K1223" s="36"/>
      <c r="L1223" s="36"/>
      <c r="M1223" s="36"/>
    </row>
    <row r="1224" spans="1:13" hidden="1">
      <c r="A1224" s="36"/>
      <c r="B1224" s="36"/>
      <c r="C1224" s="36"/>
      <c r="D1224" s="36"/>
      <c r="E1224" s="36"/>
      <c r="F1224" s="36"/>
      <c r="G1224" s="36"/>
      <c r="H1224" s="36"/>
      <c r="I1224" s="36"/>
      <c r="J1224" s="36"/>
      <c r="K1224" s="36"/>
      <c r="L1224" s="36"/>
      <c r="M1224" s="36"/>
    </row>
    <row r="1225" spans="1:13" hidden="1">
      <c r="A1225" s="36"/>
      <c r="B1225" s="36"/>
      <c r="C1225" s="36"/>
      <c r="D1225" s="36"/>
      <c r="E1225" s="36"/>
      <c r="F1225" s="36"/>
      <c r="G1225" s="36"/>
      <c r="H1225" s="36"/>
      <c r="I1225" s="36"/>
      <c r="J1225" s="36"/>
      <c r="K1225" s="36"/>
      <c r="L1225" s="36"/>
      <c r="M1225" s="36"/>
    </row>
    <row r="1226" spans="1:13" hidden="1">
      <c r="A1226" s="36"/>
      <c r="B1226" s="36"/>
      <c r="C1226" s="36"/>
      <c r="D1226" s="36"/>
      <c r="E1226" s="36"/>
      <c r="F1226" s="36"/>
      <c r="G1226" s="36"/>
      <c r="H1226" s="36"/>
      <c r="I1226" s="36"/>
      <c r="J1226" s="36"/>
      <c r="K1226" s="36"/>
      <c r="L1226" s="36"/>
      <c r="M1226" s="36"/>
    </row>
    <row r="1227" spans="1:13" hidden="1">
      <c r="A1227" s="36"/>
      <c r="B1227" s="36"/>
      <c r="C1227" s="36"/>
      <c r="D1227" s="36"/>
      <c r="E1227" s="36"/>
      <c r="F1227" s="36"/>
      <c r="G1227" s="36"/>
      <c r="H1227" s="36"/>
      <c r="I1227" s="36"/>
      <c r="J1227" s="36"/>
      <c r="K1227" s="36"/>
      <c r="L1227" s="36"/>
      <c r="M1227" s="36"/>
    </row>
    <row r="1228" spans="1:13" hidden="1">
      <c r="A1228" s="36"/>
      <c r="B1228" s="36"/>
      <c r="C1228" s="36"/>
      <c r="D1228" s="36"/>
      <c r="E1228" s="36"/>
      <c r="F1228" s="36"/>
      <c r="G1228" s="36"/>
      <c r="H1228" s="36"/>
      <c r="I1228" s="36"/>
      <c r="J1228" s="36"/>
      <c r="K1228" s="36"/>
      <c r="L1228" s="36"/>
      <c r="M1228" s="36"/>
    </row>
    <row r="1229" spans="1:13" hidden="1">
      <c r="A1229" s="36"/>
      <c r="B1229" s="36"/>
      <c r="C1229" s="36"/>
      <c r="D1229" s="36"/>
      <c r="E1229" s="36"/>
      <c r="F1229" s="36"/>
      <c r="G1229" s="36"/>
      <c r="H1229" s="36"/>
      <c r="I1229" s="36"/>
      <c r="J1229" s="36"/>
      <c r="K1229" s="36"/>
      <c r="L1229" s="36"/>
      <c r="M1229" s="36"/>
    </row>
    <row r="1230" spans="1:13" hidden="1">
      <c r="A1230" s="36"/>
      <c r="B1230" s="36"/>
      <c r="C1230" s="36"/>
      <c r="D1230" s="36"/>
      <c r="E1230" s="36"/>
      <c r="F1230" s="36"/>
      <c r="G1230" s="36"/>
      <c r="H1230" s="36"/>
      <c r="I1230" s="36"/>
      <c r="J1230" s="36"/>
      <c r="K1230" s="36"/>
      <c r="L1230" s="36"/>
      <c r="M1230" s="36"/>
    </row>
    <row r="1231" spans="1:13" hidden="1">
      <c r="A1231" s="36"/>
      <c r="B1231" s="36"/>
      <c r="C1231" s="36"/>
      <c r="D1231" s="36"/>
      <c r="E1231" s="36"/>
      <c r="F1231" s="36"/>
      <c r="G1231" s="36"/>
      <c r="H1231" s="36"/>
      <c r="I1231" s="36"/>
      <c r="J1231" s="36"/>
      <c r="K1231" s="36"/>
      <c r="L1231" s="36"/>
      <c r="M1231" s="36"/>
    </row>
    <row r="1232" spans="1:13" hidden="1">
      <c r="A1232" s="36"/>
      <c r="B1232" s="36"/>
      <c r="C1232" s="36"/>
      <c r="D1232" s="36"/>
      <c r="E1232" s="36"/>
      <c r="F1232" s="36"/>
      <c r="G1232" s="36"/>
      <c r="H1232" s="36"/>
      <c r="I1232" s="36"/>
      <c r="J1232" s="36"/>
      <c r="K1232" s="36"/>
      <c r="L1232" s="36"/>
      <c r="M1232" s="36"/>
    </row>
    <row r="1233" spans="1:13" hidden="1">
      <c r="A1233" s="156" t="s">
        <v>70</v>
      </c>
      <c r="B1233" s="156"/>
      <c r="C1233" s="156"/>
      <c r="D1233" s="156"/>
      <c r="E1233" s="156"/>
      <c r="F1233" s="156"/>
      <c r="G1233" s="156"/>
      <c r="H1233" s="156"/>
      <c r="I1233" s="156"/>
      <c r="J1233" s="156"/>
      <c r="K1233" s="156"/>
      <c r="L1233" s="156"/>
      <c r="M1233" s="156"/>
    </row>
    <row r="1234" spans="1:13" hidden="1">
      <c r="A1234" s="36" t="s">
        <v>3</v>
      </c>
      <c r="B1234" s="36" t="s">
        <v>50</v>
      </c>
      <c r="C1234" s="36" t="s">
        <v>5</v>
      </c>
      <c r="D1234" s="36" t="s">
        <v>51</v>
      </c>
      <c r="E1234" s="36" t="s">
        <v>52</v>
      </c>
      <c r="F1234" s="36" t="s">
        <v>53</v>
      </c>
      <c r="G1234" s="36" t="s">
        <v>54</v>
      </c>
      <c r="H1234" s="36" t="s">
        <v>55</v>
      </c>
      <c r="I1234" s="36" t="s">
        <v>56</v>
      </c>
      <c r="J1234" s="36" t="s">
        <v>57</v>
      </c>
      <c r="K1234" s="36" t="s">
        <v>58</v>
      </c>
      <c r="L1234" s="36" t="s">
        <v>59</v>
      </c>
      <c r="M1234" s="36" t="s">
        <v>60</v>
      </c>
    </row>
    <row r="1235" spans="1:13" hidden="1">
      <c r="A1235" s="36" t="str">
        <f>IF('Steel Beam Design'!A27="","",'Steel Beam Design'!A27)</f>
        <v>SB2</v>
      </c>
      <c r="B1235" s="36">
        <f>IF('Steel Beam Design'!B27="","",'Steel Beam Design'!B27)</f>
        <v>10</v>
      </c>
      <c r="C1235" s="36" t="str">
        <f>IF('Steel Beam Design'!C27="","",'Steel Beam Design'!C27)</f>
        <v>Simply Supported</v>
      </c>
      <c r="D1235" s="36">
        <f>IF('Steel Beam Design'!D27="","",'Steel Beam Design'!D27)</f>
        <v>111.24999999999999</v>
      </c>
      <c r="E1235" s="36">
        <f>IF('Steel Beam Design'!E27="","",'Steel Beam Design'!E27)</f>
        <v>5</v>
      </c>
      <c r="F1235" s="36">
        <f>IF('Steel Beam Design'!F27="","",'Steel Beam Design'!F27)</f>
        <v>0</v>
      </c>
      <c r="G1235" s="36">
        <f>IF('Steel Beam Design'!G27="","",'Steel Beam Design'!G27)</f>
        <v>0</v>
      </c>
      <c r="H1235" s="36">
        <f>IF('Steel Beam Design'!H27="","",'Steel Beam Design'!H27)</f>
        <v>0</v>
      </c>
      <c r="I1235" s="36">
        <f>IF('Steel Beam Design'!I27="","",'Steel Beam Design'!I27)</f>
        <v>0</v>
      </c>
      <c r="J1235" s="36">
        <f>IF('Steel Beam Design'!J27="","",'Steel Beam Design'!J27)</f>
        <v>0</v>
      </c>
      <c r="K1235" s="36">
        <f>IF('Steel Beam Design'!K27="","",'Steel Beam Design'!K27)</f>
        <v>0</v>
      </c>
      <c r="L1235" s="36">
        <f>IF('Steel Beam Design'!N27="","",'Steel Beam Design'!N27)</f>
        <v>0</v>
      </c>
      <c r="M1235" s="36" t="b">
        <f>AND(ISNUMBER(B1235),B1235&gt;0,OR(C1235="Cantilever Supported",C1235="Simply Supported",C1235="Fixed-Fixed"),OR(L1235="",AND(ISNUMBER(L1235),L1235&gt;=0)),OR(D1235="",AND(ISNUMBER(D1235),D1235&gt;=0)),OR(N(D1235)=0,AND(ISNUMBER(E1235),E1235&gt;=0,E1235&lt;=B1235)),OR(F1235="",AND(ISNUMBER(F1235),F1235&gt;=0)),OR(N(F1235)=0,AND(ISNUMBER(G1235),G1235&gt;=0,G1235&lt;=B1235)),OR(H1235="",AND(ISNUMBER(H1235),H1235&gt;=0)),OR(N(H1235)=0,AND(ISNUMBER(I1235),I1235&gt;=0,I1235&lt;=B1235)),OR(J1235="",AND(ISNUMBER(J1235),J1235&gt;=0)),OR(N(J1235)=0,AND(ISNUMBER(K1235),K1235&gt;=0,K1235&lt;=B1235)))</f>
        <v>1</v>
      </c>
    </row>
    <row r="1236" spans="1:13" hidden="1">
      <c r="A1236" s="36"/>
      <c r="B1236" s="36"/>
      <c r="C1236" s="36"/>
      <c r="D1236" s="36"/>
      <c r="E1236" s="36"/>
      <c r="F1236" s="36"/>
      <c r="G1236" s="36"/>
      <c r="H1236" s="36"/>
      <c r="I1236" s="36"/>
      <c r="J1236" s="36"/>
      <c r="K1236" s="36"/>
      <c r="L1236" s="36"/>
      <c r="M1236" s="36"/>
    </row>
    <row r="1237" spans="1:13" hidden="1">
      <c r="A1237" s="36" t="s">
        <v>61</v>
      </c>
      <c r="B1237" s="36">
        <f>IF(M1235,IF(C1235="Cantilever Supported",-(N(D1235)*N(E1235)+N(F1235)*N(G1235)+N(H1235)*N(I1235)+N(J1235)*N(K1235))-N(L1235)*B1235^2/2,IF(C1235="Fixed-Fixed",-(N(D1235)*N(E1235)*(B1235-N(E1235))^2/B1235^2+N(F1235)*N(G1235)*(B1235-N(G1235))^2/B1235^2+N(H1235)*N(I1235)*(B1235-N(I1235))^2/B1235^2+N(J1235)*N(K1235)*(B1235-N(K1235))^2/B1235^2)-N(L1235)*B1235^2/12,0)),0)</f>
        <v>0</v>
      </c>
      <c r="C1237" s="36" t="s">
        <v>62</v>
      </c>
      <c r="D1237" s="36">
        <f>IF(M1235,IF(C1235="Fixed-Fixed",-(N(D1235)*N(E1235)^2*(B1235-N(E1235))/B1235^2+N(F1235)*N(G1235)^2*(B1235-N(G1235))/B1235^2+N(H1235)*N(I1235)^2*(B1235-N(I1235))/B1235^2+N(J1235)*N(K1235)^2*(B1235-N(K1235))/B1235^2)-N(L1235)*B1235^2/12,0),0)</f>
        <v>0</v>
      </c>
      <c r="E1237" s="36" t="s">
        <v>63</v>
      </c>
      <c r="F1237" s="36">
        <f>IF(M1235,IF(C1235="Cantilever Supported",N(D1235)+N(F1235)+N(H1235)+N(J1235)+N(L1235)*B1235,((N(D1235)*(B1235-N(E1235))+N(F1235)*(B1235-N(G1235))+N(H1235)*(B1235-N(I1235))+N(J1235)*(B1235-N(K1235)))+N(L1235)*B1235^2/2+D1237-B1237)/B1235),0)</f>
        <v>55.624999999999986</v>
      </c>
      <c r="G1237" s="36" t="s">
        <v>64</v>
      </c>
      <c r="H1237" s="36">
        <f>MAX(MAX(B1240:B1245),-MIN(B1240:B1245),MAX(E1240:E1244),-MIN(E1240:E1244))</f>
        <v>278.12499999999994</v>
      </c>
      <c r="I1237" s="36"/>
      <c r="J1237" s="36"/>
      <c r="K1237" s="36"/>
      <c r="L1237" s="36"/>
      <c r="M1237" s="36"/>
    </row>
    <row r="1238" spans="1:13" hidden="1">
      <c r="A1238" s="36"/>
      <c r="B1238" s="36"/>
      <c r="C1238" s="36"/>
      <c r="D1238" s="36"/>
      <c r="E1238" s="36"/>
      <c r="F1238" s="36"/>
      <c r="G1238" s="36"/>
      <c r="H1238" s="36"/>
      <c r="I1238" s="36"/>
      <c r="J1238" s="36"/>
      <c r="K1238" s="36"/>
      <c r="L1238" s="36"/>
      <c r="M1238" s="36"/>
    </row>
    <row r="1239" spans="1:13" hidden="1">
      <c r="A1239" s="36" t="s">
        <v>65</v>
      </c>
      <c r="B1239" s="36" t="s">
        <v>66</v>
      </c>
      <c r="C1239" s="36" t="s">
        <v>67</v>
      </c>
      <c r="D1239" s="36" t="s">
        <v>68</v>
      </c>
      <c r="E1239" s="36" t="s">
        <v>69</v>
      </c>
      <c r="F1239" s="36"/>
      <c r="G1239" s="36"/>
      <c r="H1239" s="36">
        <f>0</f>
        <v>0</v>
      </c>
      <c r="I1239" s="36">
        <f>IF(N(D1235)=0,0,N(E1235))</f>
        <v>5</v>
      </c>
      <c r="J1239" s="36">
        <f>IF(N(F1235)=0,0,N(G1235))</f>
        <v>0</v>
      </c>
      <c r="K1239" s="36">
        <f>IF(N(H1235)=0,0,N(I1235))</f>
        <v>0</v>
      </c>
      <c r="L1239" s="36">
        <f>IF(N(J1235)=0,0,N(K1235))</f>
        <v>0</v>
      </c>
      <c r="M1239" s="36">
        <f>IF(M1235,B1235,0)</f>
        <v>10</v>
      </c>
    </row>
    <row r="1240" spans="1:13" hidden="1">
      <c r="A1240" s="37">
        <f>SMALL(H1239:M1239,1)</f>
        <v>0</v>
      </c>
      <c r="B1240" s="37">
        <f>IF(M1235,B1237+F1237*A1240-N(L1235)*A1240^2/2-(N(D1235)*MAX(0,A1240-N(E1235))+N(F1235)*MAX(0,A1240-N(G1235))+N(H1235)*MAX(0,A1240-N(I1235))+N(J1235)*MAX(0,A1240-N(K1235))),0)</f>
        <v>0</v>
      </c>
      <c r="C1240" s="37">
        <f>A1241</f>
        <v>0</v>
      </c>
      <c r="D1240" s="37">
        <f>IF(AND(M1235,N(L1235)&gt;0),MAX(A1240,MIN(C1240,(F1237-(IF(N(E1235)&lt;=A1240,N(D1235),0)+IF(N(G1235)&lt;=A1240,N(F1235),0)+IF(N(I1235)&lt;=A1240,N(H1235),0)+IF(N(K1235)&lt;=A1240,N(J1235),0)))/N(L1235))),A1240)</f>
        <v>0</v>
      </c>
      <c r="E1240" s="37">
        <f>IF(M1235,B1237+F1237*D1240-N(L1235)*D1240^2/2-(N(D1235)*MAX(0,D1240-N(E1235))+N(F1235)*MAX(0,D1240-N(G1235))+N(H1235)*MAX(0,D1240-N(I1235))+N(J1235)*MAX(0,D1240-N(K1235))),0)</f>
        <v>0</v>
      </c>
      <c r="F1240" s="37"/>
      <c r="G1240" s="37"/>
      <c r="H1240" s="37"/>
      <c r="I1240" s="37"/>
      <c r="J1240" s="37"/>
      <c r="K1240" s="37"/>
      <c r="L1240" s="37"/>
      <c r="M1240" s="37"/>
    </row>
    <row r="1241" spans="1:13" hidden="1">
      <c r="A1241" s="37">
        <f>SMALL(H1239:M1239,2)</f>
        <v>0</v>
      </c>
      <c r="B1241" s="37">
        <f>IF(M1235,B1237+F1237*A1241-N(L1235)*A1241^2/2-(N(D1235)*MAX(0,A1241-N(E1235))+N(F1235)*MAX(0,A1241-N(G1235))+N(H1235)*MAX(0,A1241-N(I1235))+N(J1235)*MAX(0,A1241-N(K1235))),0)</f>
        <v>0</v>
      </c>
      <c r="C1241" s="37">
        <f>A1242</f>
        <v>0</v>
      </c>
      <c r="D1241" s="37">
        <f>IF(AND(M1235,N(L1235)&gt;0),MAX(A1241,MIN(C1241,(F1237-(IF(N(E1235)&lt;=A1241,N(D1235),0)+IF(N(G1235)&lt;=A1241,N(F1235),0)+IF(N(I1235)&lt;=A1241,N(H1235),0)+IF(N(K1235)&lt;=A1241,N(J1235),0)))/N(L1235))),A1241)</f>
        <v>0</v>
      </c>
      <c r="E1241" s="37">
        <f>IF(M1235,B1237+F1237*D1241-N(L1235)*D1241^2/2-(N(D1235)*MAX(0,D1241-N(E1235))+N(F1235)*MAX(0,D1241-N(G1235))+N(H1235)*MAX(0,D1241-N(I1235))+N(J1235)*MAX(0,D1241-N(K1235))),0)</f>
        <v>0</v>
      </c>
      <c r="F1241" s="37"/>
      <c r="G1241" s="37"/>
      <c r="H1241" s="37"/>
      <c r="I1241" s="37"/>
      <c r="J1241" s="37"/>
      <c r="K1241" s="37"/>
      <c r="L1241" s="37"/>
      <c r="M1241" s="37"/>
    </row>
    <row r="1242" spans="1:13" hidden="1">
      <c r="A1242" s="37">
        <f>SMALL(H1239:M1239,3)</f>
        <v>0</v>
      </c>
      <c r="B1242" s="37">
        <f>IF(M1235,B1237+F1237*A1242-N(L1235)*A1242^2/2-(N(D1235)*MAX(0,A1242-N(E1235))+N(F1235)*MAX(0,A1242-N(G1235))+N(H1235)*MAX(0,A1242-N(I1235))+N(J1235)*MAX(0,A1242-N(K1235))),0)</f>
        <v>0</v>
      </c>
      <c r="C1242" s="37">
        <f>A1243</f>
        <v>0</v>
      </c>
      <c r="D1242" s="37">
        <f>IF(AND(M1235,N(L1235)&gt;0),MAX(A1242,MIN(C1242,(F1237-(IF(N(E1235)&lt;=A1242,N(D1235),0)+IF(N(G1235)&lt;=A1242,N(F1235),0)+IF(N(I1235)&lt;=A1242,N(H1235),0)+IF(N(K1235)&lt;=A1242,N(J1235),0)))/N(L1235))),A1242)</f>
        <v>0</v>
      </c>
      <c r="E1242" s="37">
        <f>IF(M1235,B1237+F1237*D1242-N(L1235)*D1242^2/2-(N(D1235)*MAX(0,D1242-N(E1235))+N(F1235)*MAX(0,D1242-N(G1235))+N(H1235)*MAX(0,D1242-N(I1235))+N(J1235)*MAX(0,D1242-N(K1235))),0)</f>
        <v>0</v>
      </c>
      <c r="F1242" s="37"/>
      <c r="G1242" s="37"/>
      <c r="H1242" s="37"/>
      <c r="I1242" s="37"/>
      <c r="J1242" s="37"/>
      <c r="K1242" s="37"/>
      <c r="L1242" s="37"/>
      <c r="M1242" s="37"/>
    </row>
    <row r="1243" spans="1:13" hidden="1">
      <c r="A1243" s="37">
        <f>SMALL(H1239:M1239,4)</f>
        <v>0</v>
      </c>
      <c r="B1243" s="37">
        <f>IF(M1235,B1237+F1237*A1243-N(L1235)*A1243^2/2-(N(D1235)*MAX(0,A1243-N(E1235))+N(F1235)*MAX(0,A1243-N(G1235))+N(H1235)*MAX(0,A1243-N(I1235))+N(J1235)*MAX(0,A1243-N(K1235))),0)</f>
        <v>0</v>
      </c>
      <c r="C1243" s="37">
        <f>A1244</f>
        <v>5</v>
      </c>
      <c r="D1243" s="37">
        <f>IF(AND(M1235,N(L1235)&gt;0),MAX(A1243,MIN(C1243,(F1237-(IF(N(E1235)&lt;=A1243,N(D1235),0)+IF(N(G1235)&lt;=A1243,N(F1235),0)+IF(N(I1235)&lt;=A1243,N(H1235),0)+IF(N(K1235)&lt;=A1243,N(J1235),0)))/N(L1235))),A1243)</f>
        <v>0</v>
      </c>
      <c r="E1243" s="37">
        <f>IF(M1235,B1237+F1237*D1243-N(L1235)*D1243^2/2-(N(D1235)*MAX(0,D1243-N(E1235))+N(F1235)*MAX(0,D1243-N(G1235))+N(H1235)*MAX(0,D1243-N(I1235))+N(J1235)*MAX(0,D1243-N(K1235))),0)</f>
        <v>0</v>
      </c>
      <c r="F1243" s="37"/>
      <c r="G1243" s="37"/>
      <c r="H1243" s="37"/>
      <c r="I1243" s="37"/>
      <c r="J1243" s="37"/>
      <c r="K1243" s="37"/>
      <c r="L1243" s="37"/>
      <c r="M1243" s="37"/>
    </row>
    <row r="1244" spans="1:13" hidden="1">
      <c r="A1244" s="37">
        <f>SMALL(H1239:M1239,5)</f>
        <v>5</v>
      </c>
      <c r="B1244" s="37">
        <f>IF(M1235,B1237+F1237*A1244-N(L1235)*A1244^2/2-(N(D1235)*MAX(0,A1244-N(E1235))+N(F1235)*MAX(0,A1244-N(G1235))+N(H1235)*MAX(0,A1244-N(I1235))+N(J1235)*MAX(0,A1244-N(K1235))),0)</f>
        <v>278.12499999999994</v>
      </c>
      <c r="C1244" s="37">
        <f>A1245</f>
        <v>10</v>
      </c>
      <c r="D1244" s="37">
        <f>IF(AND(M1235,N(L1235)&gt;0),MAX(A1244,MIN(C1244,(F1237-(IF(N(E1235)&lt;=A1244,N(D1235),0)+IF(N(G1235)&lt;=A1244,N(F1235),0)+IF(N(I1235)&lt;=A1244,N(H1235),0)+IF(N(K1235)&lt;=A1244,N(J1235),0)))/N(L1235))),A1244)</f>
        <v>5</v>
      </c>
      <c r="E1244" s="37">
        <f>IF(M1235,B1237+F1237*D1244-N(L1235)*D1244^2/2-(N(D1235)*MAX(0,D1244-N(E1235))+N(F1235)*MAX(0,D1244-N(G1235))+N(H1235)*MAX(0,D1244-N(I1235))+N(J1235)*MAX(0,D1244-N(K1235))),0)</f>
        <v>278.12499999999994</v>
      </c>
      <c r="F1244" s="37"/>
      <c r="G1244" s="37"/>
      <c r="H1244" s="37"/>
      <c r="I1244" s="37"/>
      <c r="J1244" s="37"/>
      <c r="K1244" s="37"/>
      <c r="L1244" s="37"/>
      <c r="M1244" s="37"/>
    </row>
    <row r="1245" spans="1:13" hidden="1">
      <c r="A1245" s="37">
        <f>SMALL(H1239:M1239,6)</f>
        <v>10</v>
      </c>
      <c r="B1245" s="37">
        <f>IF(M1235,B1237+F1237*A1245-N(L1235)*A1245^2/2-(N(D1235)*MAX(0,A1245-N(E1235))+N(F1235)*MAX(0,A1245-N(G1235))+N(H1235)*MAX(0,A1245-N(I1235))+N(J1235)*MAX(0,A1245-N(K1235))),0)</f>
        <v>0</v>
      </c>
      <c r="C1245" s="37"/>
      <c r="D1245" s="37"/>
      <c r="E1245" s="37"/>
      <c r="F1245" s="37"/>
      <c r="G1245" s="37"/>
      <c r="H1245" s="37"/>
      <c r="I1245" s="37"/>
      <c r="J1245" s="37"/>
      <c r="K1245" s="37"/>
      <c r="L1245" s="37"/>
      <c r="M1245" s="37"/>
    </row>
    <row r="1246" spans="1:13" hidden="1">
      <c r="A1246" s="36"/>
      <c r="B1246" s="36"/>
      <c r="C1246" s="36"/>
      <c r="D1246" s="36"/>
      <c r="E1246" s="36"/>
      <c r="F1246" s="36"/>
      <c r="G1246" s="36"/>
      <c r="H1246" s="36"/>
      <c r="I1246" s="36"/>
      <c r="J1246" s="36"/>
      <c r="K1246" s="36"/>
      <c r="L1246" s="36"/>
      <c r="M1246" s="36"/>
    </row>
    <row r="1247" spans="1:13" hidden="1">
      <c r="A1247" s="36"/>
      <c r="B1247" s="36"/>
      <c r="C1247" s="36"/>
      <c r="D1247" s="36"/>
      <c r="E1247" s="36"/>
      <c r="F1247" s="36"/>
      <c r="G1247" s="36"/>
      <c r="H1247" s="36"/>
      <c r="I1247" s="36"/>
      <c r="J1247" s="36"/>
      <c r="K1247" s="36"/>
      <c r="L1247" s="36"/>
      <c r="M1247" s="36"/>
    </row>
    <row r="1248" spans="1:13" hidden="1">
      <c r="A1248" s="36"/>
      <c r="B1248" s="36"/>
      <c r="C1248" s="36"/>
      <c r="D1248" s="36"/>
      <c r="E1248" s="36"/>
      <c r="F1248" s="36"/>
      <c r="G1248" s="36"/>
      <c r="H1248" s="36"/>
      <c r="I1248" s="36"/>
      <c r="J1248" s="36"/>
      <c r="K1248" s="36"/>
      <c r="L1248" s="36"/>
      <c r="M1248" s="36"/>
    </row>
    <row r="1249" spans="1:13" hidden="1">
      <c r="A1249" s="36"/>
      <c r="B1249" s="36"/>
      <c r="C1249" s="36"/>
      <c r="D1249" s="36"/>
      <c r="E1249" s="36"/>
      <c r="F1249" s="36"/>
      <c r="G1249" s="36"/>
      <c r="H1249" s="36"/>
      <c r="I1249" s="36"/>
      <c r="J1249" s="36"/>
      <c r="K1249" s="36"/>
      <c r="L1249" s="36"/>
      <c r="M1249" s="36"/>
    </row>
    <row r="1250" spans="1:13" hidden="1">
      <c r="A1250" s="36"/>
      <c r="B1250" s="36"/>
      <c r="C1250" s="36"/>
      <c r="D1250" s="36"/>
      <c r="E1250" s="36"/>
      <c r="F1250" s="36"/>
      <c r="G1250" s="36"/>
      <c r="H1250" s="36"/>
      <c r="I1250" s="36"/>
      <c r="J1250" s="36"/>
      <c r="K1250" s="36"/>
      <c r="L1250" s="36"/>
      <c r="M1250" s="36"/>
    </row>
    <row r="1251" spans="1:13" hidden="1">
      <c r="A1251" s="36"/>
      <c r="B1251" s="36"/>
      <c r="C1251" s="36"/>
      <c r="D1251" s="36"/>
      <c r="E1251" s="36"/>
      <c r="F1251" s="36"/>
      <c r="G1251" s="36"/>
      <c r="H1251" s="36"/>
      <c r="I1251" s="36"/>
      <c r="J1251" s="36"/>
      <c r="K1251" s="36"/>
      <c r="L1251" s="36"/>
      <c r="M1251" s="36"/>
    </row>
    <row r="1252" spans="1:13" hidden="1">
      <c r="A1252" s="36"/>
      <c r="B1252" s="36"/>
      <c r="C1252" s="36"/>
      <c r="D1252" s="36"/>
      <c r="E1252" s="36"/>
      <c r="F1252" s="36"/>
      <c r="G1252" s="36"/>
      <c r="H1252" s="36"/>
      <c r="I1252" s="36"/>
      <c r="J1252" s="36"/>
      <c r="K1252" s="36"/>
      <c r="L1252" s="36"/>
      <c r="M1252" s="36"/>
    </row>
    <row r="1253" spans="1:13" hidden="1">
      <c r="A1253" s="36"/>
      <c r="B1253" s="36"/>
      <c r="C1253" s="36"/>
      <c r="D1253" s="36"/>
      <c r="E1253" s="36"/>
      <c r="F1253" s="36"/>
      <c r="G1253" s="36"/>
      <c r="H1253" s="36"/>
      <c r="I1253" s="36"/>
      <c r="J1253" s="36"/>
      <c r="K1253" s="36"/>
      <c r="L1253" s="36"/>
      <c r="M1253" s="36"/>
    </row>
    <row r="1254" spans="1:13" hidden="1">
      <c r="A1254" s="36"/>
      <c r="B1254" s="36"/>
      <c r="C1254" s="36"/>
      <c r="D1254" s="36"/>
      <c r="E1254" s="36"/>
      <c r="F1254" s="36"/>
      <c r="G1254" s="36"/>
      <c r="H1254" s="36"/>
      <c r="I1254" s="36"/>
      <c r="J1254" s="36"/>
      <c r="K1254" s="36"/>
      <c r="L1254" s="36"/>
      <c r="M1254" s="36"/>
    </row>
    <row r="1255" spans="1:13" hidden="1">
      <c r="A1255" s="36"/>
      <c r="B1255" s="36"/>
      <c r="C1255" s="36"/>
      <c r="D1255" s="36"/>
      <c r="E1255" s="36"/>
      <c r="F1255" s="36"/>
      <c r="G1255" s="36"/>
      <c r="H1255" s="36"/>
      <c r="I1255" s="36"/>
      <c r="J1255" s="36"/>
      <c r="K1255" s="36"/>
      <c r="L1255" s="36"/>
      <c r="M1255" s="36"/>
    </row>
    <row r="1256" spans="1:13" hidden="1">
      <c r="A1256" s="36"/>
      <c r="B1256" s="36"/>
      <c r="C1256" s="36"/>
      <c r="D1256" s="36"/>
      <c r="E1256" s="36"/>
      <c r="F1256" s="36"/>
      <c r="G1256" s="36"/>
      <c r="H1256" s="36"/>
      <c r="I1256" s="36"/>
      <c r="J1256" s="36"/>
      <c r="K1256" s="36"/>
      <c r="L1256" s="36"/>
      <c r="M1256" s="36"/>
    </row>
    <row r="1257" spans="1:13" hidden="1">
      <c r="A1257" s="36"/>
      <c r="B1257" s="36"/>
      <c r="C1257" s="36"/>
      <c r="D1257" s="36"/>
      <c r="E1257" s="36"/>
      <c r="F1257" s="36"/>
      <c r="G1257" s="36"/>
      <c r="H1257" s="36"/>
      <c r="I1257" s="36"/>
      <c r="J1257" s="36"/>
      <c r="K1257" s="36"/>
      <c r="L1257" s="36"/>
      <c r="M1257" s="36"/>
    </row>
    <row r="1258" spans="1:13" hidden="1">
      <c r="A1258" s="156" t="s">
        <v>71</v>
      </c>
      <c r="B1258" s="156"/>
      <c r="C1258" s="156"/>
      <c r="D1258" s="156"/>
      <c r="E1258" s="156"/>
      <c r="F1258" s="156"/>
      <c r="G1258" s="156"/>
      <c r="H1258" s="156"/>
      <c r="I1258" s="156"/>
      <c r="J1258" s="156"/>
      <c r="K1258" s="156"/>
      <c r="L1258" s="156"/>
      <c r="M1258" s="156"/>
    </row>
    <row r="1259" spans="1:13" hidden="1">
      <c r="A1259" s="36" t="s">
        <v>3</v>
      </c>
      <c r="B1259" s="36" t="s">
        <v>50</v>
      </c>
      <c r="C1259" s="36" t="s">
        <v>5</v>
      </c>
      <c r="D1259" s="36" t="s">
        <v>51</v>
      </c>
      <c r="E1259" s="36" t="s">
        <v>52</v>
      </c>
      <c r="F1259" s="36" t="s">
        <v>53</v>
      </c>
      <c r="G1259" s="36" t="s">
        <v>54</v>
      </c>
      <c r="H1259" s="36" t="s">
        <v>55</v>
      </c>
      <c r="I1259" s="36" t="s">
        <v>56</v>
      </c>
      <c r="J1259" s="36" t="s">
        <v>57</v>
      </c>
      <c r="K1259" s="36" t="s">
        <v>58</v>
      </c>
      <c r="L1259" s="36" t="s">
        <v>59</v>
      </c>
      <c r="M1259" s="36" t="s">
        <v>60</v>
      </c>
    </row>
    <row r="1260" spans="1:13" hidden="1">
      <c r="A1260" s="36" t="str">
        <f>IF('Steel Beam Design'!A28="","",'Steel Beam Design'!A28)</f>
        <v>CSB3</v>
      </c>
      <c r="B1260" s="36" t="str">
        <f>IF('Steel Beam Design'!B28="","",'Steel Beam Design'!B28)</f>
        <v/>
      </c>
      <c r="C1260" s="36" t="str">
        <f>IF('Steel Beam Design'!C28="","",'Steel Beam Design'!C28)</f>
        <v>Cantilever Supported</v>
      </c>
      <c r="D1260" s="36" t="str">
        <f>IF('Steel Beam Design'!D28="","",'Steel Beam Design'!D28)</f>
        <v/>
      </c>
      <c r="E1260" s="36" t="str">
        <f>IF('Steel Beam Design'!E28="","",'Steel Beam Design'!E28)</f>
        <v/>
      </c>
      <c r="F1260" s="36" t="str">
        <f>IF('Steel Beam Design'!F28="","",'Steel Beam Design'!F28)</f>
        <v/>
      </c>
      <c r="G1260" s="36" t="str">
        <f>IF('Steel Beam Design'!G28="","",'Steel Beam Design'!G28)</f>
        <v/>
      </c>
      <c r="H1260" s="36" t="str">
        <f>IF('Steel Beam Design'!H28="","",'Steel Beam Design'!H28)</f>
        <v/>
      </c>
      <c r="I1260" s="36" t="str">
        <f>IF('Steel Beam Design'!I28="","",'Steel Beam Design'!I28)</f>
        <v/>
      </c>
      <c r="J1260" s="36" t="str">
        <f>IF('Steel Beam Design'!J28="","",'Steel Beam Design'!J28)</f>
        <v/>
      </c>
      <c r="K1260" s="36" t="str">
        <f>IF('Steel Beam Design'!K28="","",'Steel Beam Design'!K28)</f>
        <v/>
      </c>
      <c r="L1260" s="36" t="str">
        <f>IF('Steel Beam Design'!L28="","",'Steel Beam Design'!L28)</f>
        <v/>
      </c>
      <c r="M1260" s="36" t="b">
        <f>AND(ISNUMBER(B1260),B1260&gt;0,OR(C1260="Cantilever Supported",C1260="Simply Supported",C1260="Fixed-Fixed"),OR(L1260="",AND(ISNUMBER(L1260),L1260&gt;=0)),OR(D1260="",AND(ISNUMBER(D1260),D1260&gt;=0)),OR(N(D1260)=0,AND(ISNUMBER(E1260),E1260&gt;=0,E1260&lt;=B1260)),OR(F1260="",AND(ISNUMBER(F1260),F1260&gt;=0)),OR(N(F1260)=0,AND(ISNUMBER(G1260),G1260&gt;=0,G1260&lt;=B1260)),OR(H1260="",AND(ISNUMBER(H1260),H1260&gt;=0)),OR(N(H1260)=0,AND(ISNUMBER(I1260),I1260&gt;=0,I1260&lt;=B1260)),OR(J1260="",AND(ISNUMBER(J1260),J1260&gt;=0)),OR(N(J1260)=0,AND(ISNUMBER(K1260),K1260&gt;=0,K1260&lt;=B1260)))</f>
        <v>0</v>
      </c>
    </row>
    <row r="1261" spans="1:13" hidden="1">
      <c r="A1261" s="36"/>
      <c r="B1261" s="36"/>
      <c r="C1261" s="36"/>
      <c r="D1261" s="36"/>
      <c r="E1261" s="36"/>
      <c r="F1261" s="36"/>
      <c r="G1261" s="36"/>
      <c r="H1261" s="36"/>
      <c r="I1261" s="36"/>
      <c r="J1261" s="36"/>
      <c r="K1261" s="36"/>
      <c r="L1261" s="36"/>
      <c r="M1261" s="36"/>
    </row>
    <row r="1262" spans="1:13" hidden="1">
      <c r="A1262" s="36" t="s">
        <v>61</v>
      </c>
      <c r="B1262" s="36">
        <f>IF(M1260,IF(C1260="Cantilever Supported",-(N(D1260)*N(E1260)+N(F1260)*N(G1260)+N(H1260)*N(I1260)+N(J1260)*N(K1260))-N(L1260)*B1260^2/2,IF(C1260="Fixed-Fixed",-(N(D1260)*N(E1260)*(B1260-N(E1260))^2/B1260^2+N(F1260)*N(G1260)*(B1260-N(G1260))^2/B1260^2+N(H1260)*N(I1260)*(B1260-N(I1260))^2/B1260^2+N(J1260)*N(K1260)*(B1260-N(K1260))^2/B1260^2)-N(L1260)*B1260^2/12,0)),0)</f>
        <v>0</v>
      </c>
      <c r="C1262" s="36" t="s">
        <v>62</v>
      </c>
      <c r="D1262" s="36">
        <f>IF(M1260,IF(C1260="Fixed-Fixed",-(N(D1260)*N(E1260)^2*(B1260-N(E1260))/B1260^2+N(F1260)*N(G1260)^2*(B1260-N(G1260))/B1260^2+N(H1260)*N(I1260)^2*(B1260-N(I1260))/B1260^2+N(J1260)*N(K1260)^2*(B1260-N(K1260))/B1260^2)-N(L1260)*B1260^2/12,0),0)</f>
        <v>0</v>
      </c>
      <c r="E1262" s="36" t="s">
        <v>63</v>
      </c>
      <c r="F1262" s="36">
        <f>IF(M1260,IF(C1260="Cantilever Supported",N(D1260)+N(F1260)+N(H1260)+N(J1260)+N(L1260)*B1260,((N(D1260)*(B1260-N(E1260))+N(F1260)*(B1260-N(G1260))+N(H1260)*(B1260-N(I1260))+N(J1260)*(B1260-N(K1260)))+N(L1260)*B1260^2/2+D1262-B1262)/B1260),0)</f>
        <v>0</v>
      </c>
      <c r="G1262" s="36" t="s">
        <v>64</v>
      </c>
      <c r="H1262" s="36">
        <f>MAX(MAX(B1265:B1270),-MIN(B1265:B1270),MAX(E1265:E1269),-MIN(E1265:E1269))</f>
        <v>0</v>
      </c>
      <c r="I1262" s="36"/>
      <c r="J1262" s="36"/>
      <c r="K1262" s="36"/>
      <c r="L1262" s="36"/>
      <c r="M1262" s="36"/>
    </row>
    <row r="1263" spans="1:13" hidden="1">
      <c r="A1263" s="36"/>
      <c r="B1263" s="36"/>
      <c r="C1263" s="36"/>
      <c r="D1263" s="36"/>
      <c r="E1263" s="36"/>
      <c r="F1263" s="36"/>
      <c r="G1263" s="36"/>
      <c r="H1263" s="36"/>
      <c r="I1263" s="36"/>
      <c r="J1263" s="36"/>
      <c r="K1263" s="36"/>
      <c r="L1263" s="36"/>
      <c r="M1263" s="36"/>
    </row>
    <row r="1264" spans="1:13" hidden="1">
      <c r="A1264" s="36" t="s">
        <v>65</v>
      </c>
      <c r="B1264" s="36" t="s">
        <v>66</v>
      </c>
      <c r="C1264" s="36" t="s">
        <v>67</v>
      </c>
      <c r="D1264" s="36" t="s">
        <v>68</v>
      </c>
      <c r="E1264" s="36" t="s">
        <v>69</v>
      </c>
      <c r="F1264" s="36"/>
      <c r="G1264" s="36"/>
      <c r="H1264" s="36">
        <f>0</f>
        <v>0</v>
      </c>
      <c r="I1264" s="36">
        <f>IF(N(D1260)=0,0,N(E1260))</f>
        <v>0</v>
      </c>
      <c r="J1264" s="36">
        <f>IF(N(F1260)=0,0,N(G1260))</f>
        <v>0</v>
      </c>
      <c r="K1264" s="36">
        <f>IF(N(H1260)=0,0,N(I1260))</f>
        <v>0</v>
      </c>
      <c r="L1264" s="36">
        <f>IF(N(J1260)=0,0,N(K1260))</f>
        <v>0</v>
      </c>
      <c r="M1264" s="36">
        <f>IF(M1260,B1260,0)</f>
        <v>0</v>
      </c>
    </row>
    <row r="1265" spans="1:13" hidden="1">
      <c r="A1265" s="37">
        <f>SMALL(H1264:M1264,1)</f>
        <v>0</v>
      </c>
      <c r="B1265" s="37">
        <f>IF(M1260,B1262+F1262*A1265-N(L1260)*A1265^2/2-(N(D1260)*MAX(0,A1265-N(E1260))+N(F1260)*MAX(0,A1265-N(G1260))+N(H1260)*MAX(0,A1265-N(I1260))+N(J1260)*MAX(0,A1265-N(K1260))),0)</f>
        <v>0</v>
      </c>
      <c r="C1265" s="37">
        <f>A1266</f>
        <v>0</v>
      </c>
      <c r="D1265" s="37">
        <f>IF(AND(M1260,N(L1260)&gt;0),MAX(A1265,MIN(C1265,(F1262-(IF(N(E1260)&lt;=A1265,N(D1260),0)+IF(N(G1260)&lt;=A1265,N(F1260),0)+IF(N(I1260)&lt;=A1265,N(H1260),0)+IF(N(K1260)&lt;=A1265,N(J1260),0)))/N(L1260))),A1265)</f>
        <v>0</v>
      </c>
      <c r="E1265" s="37">
        <f>IF(M1260,B1262+F1262*D1265-N(L1260)*D1265^2/2-(N(D1260)*MAX(0,D1265-N(E1260))+N(F1260)*MAX(0,D1265-N(G1260))+N(H1260)*MAX(0,D1265-N(I1260))+N(J1260)*MAX(0,D1265-N(K1260))),0)</f>
        <v>0</v>
      </c>
      <c r="F1265" s="37"/>
      <c r="G1265" s="37"/>
      <c r="H1265" s="37"/>
      <c r="I1265" s="37"/>
      <c r="J1265" s="37"/>
      <c r="K1265" s="37"/>
      <c r="L1265" s="37"/>
      <c r="M1265" s="37"/>
    </row>
    <row r="1266" spans="1:13" hidden="1">
      <c r="A1266" s="37">
        <f>SMALL(H1264:M1264,2)</f>
        <v>0</v>
      </c>
      <c r="B1266" s="37">
        <f>IF(M1260,B1262+F1262*A1266-N(L1260)*A1266^2/2-(N(D1260)*MAX(0,A1266-N(E1260))+N(F1260)*MAX(0,A1266-N(G1260))+N(H1260)*MAX(0,A1266-N(I1260))+N(J1260)*MAX(0,A1266-N(K1260))),0)</f>
        <v>0</v>
      </c>
      <c r="C1266" s="37">
        <f>A1267</f>
        <v>0</v>
      </c>
      <c r="D1266" s="37">
        <f>IF(AND(M1260,N(L1260)&gt;0),MAX(A1266,MIN(C1266,(F1262-(IF(N(E1260)&lt;=A1266,N(D1260),0)+IF(N(G1260)&lt;=A1266,N(F1260),0)+IF(N(I1260)&lt;=A1266,N(H1260),0)+IF(N(K1260)&lt;=A1266,N(J1260),0)))/N(L1260))),A1266)</f>
        <v>0</v>
      </c>
      <c r="E1266" s="37">
        <f>IF(M1260,B1262+F1262*D1266-N(L1260)*D1266^2/2-(N(D1260)*MAX(0,D1266-N(E1260))+N(F1260)*MAX(0,D1266-N(G1260))+N(H1260)*MAX(0,D1266-N(I1260))+N(J1260)*MAX(0,D1266-N(K1260))),0)</f>
        <v>0</v>
      </c>
      <c r="F1266" s="37"/>
      <c r="G1266" s="37"/>
      <c r="H1266" s="37"/>
      <c r="I1266" s="37"/>
      <c r="J1266" s="37"/>
      <c r="K1266" s="37"/>
      <c r="L1266" s="37"/>
      <c r="M1266" s="37"/>
    </row>
    <row r="1267" spans="1:13" hidden="1">
      <c r="A1267" s="37">
        <f>SMALL(H1264:M1264,3)</f>
        <v>0</v>
      </c>
      <c r="B1267" s="37">
        <f>IF(M1260,B1262+F1262*A1267-N(L1260)*A1267^2/2-(N(D1260)*MAX(0,A1267-N(E1260))+N(F1260)*MAX(0,A1267-N(G1260))+N(H1260)*MAX(0,A1267-N(I1260))+N(J1260)*MAX(0,A1267-N(K1260))),0)</f>
        <v>0</v>
      </c>
      <c r="C1267" s="37">
        <f>A1268</f>
        <v>0</v>
      </c>
      <c r="D1267" s="37">
        <f>IF(AND(M1260,N(L1260)&gt;0),MAX(A1267,MIN(C1267,(F1262-(IF(N(E1260)&lt;=A1267,N(D1260),0)+IF(N(G1260)&lt;=A1267,N(F1260),0)+IF(N(I1260)&lt;=A1267,N(H1260),0)+IF(N(K1260)&lt;=A1267,N(J1260),0)))/N(L1260))),A1267)</f>
        <v>0</v>
      </c>
      <c r="E1267" s="37">
        <f>IF(M1260,B1262+F1262*D1267-N(L1260)*D1267^2/2-(N(D1260)*MAX(0,D1267-N(E1260))+N(F1260)*MAX(0,D1267-N(G1260))+N(H1260)*MAX(0,D1267-N(I1260))+N(J1260)*MAX(0,D1267-N(K1260))),0)</f>
        <v>0</v>
      </c>
      <c r="F1267" s="37"/>
      <c r="G1267" s="37"/>
      <c r="H1267" s="37"/>
      <c r="I1267" s="37"/>
      <c r="J1267" s="37"/>
      <c r="K1267" s="37"/>
      <c r="L1267" s="37"/>
      <c r="M1267" s="37"/>
    </row>
    <row r="1268" spans="1:13" hidden="1">
      <c r="A1268" s="37">
        <f>SMALL(H1264:M1264,4)</f>
        <v>0</v>
      </c>
      <c r="B1268" s="37">
        <f>IF(M1260,B1262+F1262*A1268-N(L1260)*A1268^2/2-(N(D1260)*MAX(0,A1268-N(E1260))+N(F1260)*MAX(0,A1268-N(G1260))+N(H1260)*MAX(0,A1268-N(I1260))+N(J1260)*MAX(0,A1268-N(K1260))),0)</f>
        <v>0</v>
      </c>
      <c r="C1268" s="37">
        <f>A1269</f>
        <v>0</v>
      </c>
      <c r="D1268" s="37">
        <f>IF(AND(M1260,N(L1260)&gt;0),MAX(A1268,MIN(C1268,(F1262-(IF(N(E1260)&lt;=A1268,N(D1260),0)+IF(N(G1260)&lt;=A1268,N(F1260),0)+IF(N(I1260)&lt;=A1268,N(H1260),0)+IF(N(K1260)&lt;=A1268,N(J1260),0)))/N(L1260))),A1268)</f>
        <v>0</v>
      </c>
      <c r="E1268" s="37">
        <f>IF(M1260,B1262+F1262*D1268-N(L1260)*D1268^2/2-(N(D1260)*MAX(0,D1268-N(E1260))+N(F1260)*MAX(0,D1268-N(G1260))+N(H1260)*MAX(0,D1268-N(I1260))+N(J1260)*MAX(0,D1268-N(K1260))),0)</f>
        <v>0</v>
      </c>
      <c r="F1268" s="37"/>
      <c r="G1268" s="37"/>
      <c r="H1268" s="37"/>
      <c r="I1268" s="37"/>
      <c r="J1268" s="37"/>
      <c r="K1268" s="37"/>
      <c r="L1268" s="37"/>
      <c r="M1268" s="37"/>
    </row>
    <row r="1269" spans="1:13" hidden="1">
      <c r="A1269" s="37">
        <f>SMALL(H1264:M1264,5)</f>
        <v>0</v>
      </c>
      <c r="B1269" s="37">
        <f>IF(M1260,B1262+F1262*A1269-N(L1260)*A1269^2/2-(N(D1260)*MAX(0,A1269-N(E1260))+N(F1260)*MAX(0,A1269-N(G1260))+N(H1260)*MAX(0,A1269-N(I1260))+N(J1260)*MAX(0,A1269-N(K1260))),0)</f>
        <v>0</v>
      </c>
      <c r="C1269" s="37">
        <f>A1270</f>
        <v>0</v>
      </c>
      <c r="D1269" s="37">
        <f>IF(AND(M1260,N(L1260)&gt;0),MAX(A1269,MIN(C1269,(F1262-(IF(N(E1260)&lt;=A1269,N(D1260),0)+IF(N(G1260)&lt;=A1269,N(F1260),0)+IF(N(I1260)&lt;=A1269,N(H1260),0)+IF(N(K1260)&lt;=A1269,N(J1260),0)))/N(L1260))),A1269)</f>
        <v>0</v>
      </c>
      <c r="E1269" s="37">
        <f>IF(M1260,B1262+F1262*D1269-N(L1260)*D1269^2/2-(N(D1260)*MAX(0,D1269-N(E1260))+N(F1260)*MAX(0,D1269-N(G1260))+N(H1260)*MAX(0,D1269-N(I1260))+N(J1260)*MAX(0,D1269-N(K1260))),0)</f>
        <v>0</v>
      </c>
      <c r="F1269" s="37"/>
      <c r="G1269" s="37"/>
      <c r="H1269" s="37"/>
      <c r="I1269" s="37"/>
      <c r="J1269" s="37"/>
      <c r="K1269" s="37"/>
      <c r="L1269" s="37"/>
      <c r="M1269" s="37"/>
    </row>
    <row r="1270" spans="1:13" hidden="1">
      <c r="A1270" s="37">
        <f>SMALL(H1264:M1264,6)</f>
        <v>0</v>
      </c>
      <c r="B1270" s="37">
        <f>IF(M1260,B1262+F1262*A1270-N(L1260)*A1270^2/2-(N(D1260)*MAX(0,A1270-N(E1260))+N(F1260)*MAX(0,A1270-N(G1260))+N(H1260)*MAX(0,A1270-N(I1260))+N(J1260)*MAX(0,A1270-N(K1260))),0)</f>
        <v>0</v>
      </c>
      <c r="C1270" s="37"/>
      <c r="D1270" s="37"/>
      <c r="E1270" s="37"/>
      <c r="F1270" s="37"/>
      <c r="G1270" s="37"/>
      <c r="H1270" s="37"/>
      <c r="I1270" s="37"/>
      <c r="J1270" s="37"/>
      <c r="K1270" s="37"/>
      <c r="L1270" s="37"/>
      <c r="M1270" s="37"/>
    </row>
    <row r="1271" spans="1:13" hidden="1">
      <c r="A1271" s="36"/>
      <c r="B1271" s="36"/>
      <c r="C1271" s="36"/>
      <c r="D1271" s="36"/>
      <c r="E1271" s="36"/>
      <c r="F1271" s="36"/>
      <c r="G1271" s="36"/>
      <c r="H1271" s="36"/>
      <c r="I1271" s="36"/>
      <c r="J1271" s="36"/>
      <c r="K1271" s="36"/>
      <c r="L1271" s="36"/>
      <c r="M1271" s="36"/>
    </row>
    <row r="1272" spans="1:13" hidden="1">
      <c r="A1272" s="36"/>
      <c r="B1272" s="36"/>
      <c r="C1272" s="36"/>
      <c r="D1272" s="36"/>
      <c r="E1272" s="36"/>
      <c r="F1272" s="36"/>
      <c r="G1272" s="36"/>
      <c r="H1272" s="36"/>
      <c r="I1272" s="36"/>
      <c r="J1272" s="36"/>
      <c r="K1272" s="36"/>
      <c r="L1272" s="36"/>
      <c r="M1272" s="36"/>
    </row>
    <row r="1273" spans="1:13" hidden="1">
      <c r="A1273" s="36"/>
      <c r="B1273" s="36"/>
      <c r="C1273" s="36"/>
      <c r="D1273" s="36"/>
      <c r="E1273" s="36"/>
      <c r="F1273" s="36"/>
      <c r="G1273" s="36"/>
      <c r="H1273" s="36"/>
      <c r="I1273" s="36"/>
      <c r="J1273" s="36"/>
      <c r="K1273" s="36"/>
      <c r="L1273" s="36"/>
      <c r="M1273" s="36"/>
    </row>
    <row r="1274" spans="1:13" hidden="1">
      <c r="A1274" s="36"/>
      <c r="B1274" s="36"/>
      <c r="C1274" s="36"/>
      <c r="D1274" s="36"/>
      <c r="E1274" s="36"/>
      <c r="F1274" s="36"/>
      <c r="G1274" s="36"/>
      <c r="H1274" s="36"/>
      <c r="I1274" s="36"/>
      <c r="J1274" s="36"/>
      <c r="K1274" s="36"/>
      <c r="L1274" s="36"/>
      <c r="M1274" s="36"/>
    </row>
    <row r="1275" spans="1:13" hidden="1">
      <c r="A1275" s="36"/>
      <c r="B1275" s="36"/>
      <c r="C1275" s="36"/>
      <c r="D1275" s="36"/>
      <c r="E1275" s="36"/>
      <c r="F1275" s="36"/>
      <c r="G1275" s="36"/>
      <c r="H1275" s="36"/>
      <c r="I1275" s="36"/>
      <c r="J1275" s="36"/>
      <c r="K1275" s="36"/>
      <c r="L1275" s="36"/>
      <c r="M1275" s="36"/>
    </row>
    <row r="1276" spans="1:13" hidden="1">
      <c r="A1276" s="36"/>
      <c r="B1276" s="36"/>
      <c r="C1276" s="36"/>
      <c r="D1276" s="36"/>
      <c r="E1276" s="36"/>
      <c r="F1276" s="36"/>
      <c r="G1276" s="36"/>
      <c r="H1276" s="36"/>
      <c r="I1276" s="36"/>
      <c r="J1276" s="36"/>
      <c r="K1276" s="36"/>
      <c r="L1276" s="36"/>
      <c r="M1276" s="36"/>
    </row>
    <row r="1277" spans="1:13" hidden="1">
      <c r="A1277" s="36"/>
      <c r="B1277" s="36"/>
      <c r="C1277" s="36"/>
      <c r="D1277" s="36"/>
      <c r="E1277" s="36"/>
      <c r="F1277" s="36"/>
      <c r="G1277" s="36"/>
      <c r="H1277" s="36"/>
      <c r="I1277" s="36"/>
      <c r="J1277" s="36"/>
      <c r="K1277" s="36"/>
      <c r="L1277" s="36"/>
      <c r="M1277" s="36"/>
    </row>
    <row r="1278" spans="1:13" hidden="1">
      <c r="A1278" s="36"/>
      <c r="B1278" s="36"/>
      <c r="C1278" s="36"/>
      <c r="D1278" s="36"/>
      <c r="E1278" s="36"/>
      <c r="F1278" s="36"/>
      <c r="G1278" s="36"/>
      <c r="H1278" s="36"/>
      <c r="I1278" s="36"/>
      <c r="J1278" s="36"/>
      <c r="K1278" s="36"/>
      <c r="L1278" s="36"/>
      <c r="M1278" s="36"/>
    </row>
    <row r="1279" spans="1:13" hidden="1">
      <c r="A1279" s="36"/>
      <c r="B1279" s="36"/>
      <c r="C1279" s="36"/>
      <c r="D1279" s="36"/>
      <c r="E1279" s="36"/>
      <c r="F1279" s="36"/>
      <c r="G1279" s="36"/>
      <c r="H1279" s="36"/>
      <c r="I1279" s="36"/>
      <c r="J1279" s="36"/>
      <c r="K1279" s="36"/>
      <c r="L1279" s="36"/>
      <c r="M1279" s="36"/>
    </row>
    <row r="1280" spans="1:13" hidden="1">
      <c r="A1280" s="36"/>
      <c r="B1280" s="36"/>
      <c r="C1280" s="36"/>
      <c r="D1280" s="36"/>
      <c r="E1280" s="36"/>
      <c r="F1280" s="36"/>
      <c r="G1280" s="36"/>
      <c r="H1280" s="36"/>
      <c r="I1280" s="36"/>
      <c r="J1280" s="36"/>
      <c r="K1280" s="36"/>
      <c r="L1280" s="36"/>
      <c r="M1280" s="36"/>
    </row>
    <row r="1281" spans="1:13" hidden="1">
      <c r="A1281" s="36"/>
      <c r="B1281" s="36"/>
      <c r="C1281" s="36"/>
      <c r="D1281" s="36"/>
      <c r="E1281" s="36"/>
      <c r="F1281" s="36"/>
      <c r="G1281" s="36"/>
      <c r="H1281" s="36"/>
      <c r="I1281" s="36"/>
      <c r="J1281" s="36"/>
      <c r="K1281" s="36"/>
      <c r="L1281" s="36"/>
      <c r="M1281" s="36"/>
    </row>
    <row r="1282" spans="1:13" hidden="1">
      <c r="A1282" s="36"/>
      <c r="B1282" s="36"/>
      <c r="C1282" s="36"/>
      <c r="D1282" s="36"/>
      <c r="E1282" s="36"/>
      <c r="F1282" s="36"/>
      <c r="G1282" s="36"/>
      <c r="H1282" s="36"/>
      <c r="I1282" s="36"/>
      <c r="J1282" s="36"/>
      <c r="K1282" s="36"/>
      <c r="L1282" s="36"/>
      <c r="M1282" s="36"/>
    </row>
    <row r="1283" spans="1:13" hidden="1">
      <c r="A1283" s="156" t="s">
        <v>72</v>
      </c>
      <c r="B1283" s="156"/>
      <c r="C1283" s="156"/>
      <c r="D1283" s="156"/>
      <c r="E1283" s="156"/>
      <c r="F1283" s="156"/>
      <c r="G1283" s="156"/>
      <c r="H1283" s="156"/>
      <c r="I1283" s="156"/>
      <c r="J1283" s="156"/>
      <c r="K1283" s="156"/>
      <c r="L1283" s="156"/>
      <c r="M1283" s="156"/>
    </row>
    <row r="1284" spans="1:13" hidden="1">
      <c r="A1284" s="36" t="s">
        <v>3</v>
      </c>
      <c r="B1284" s="36" t="s">
        <v>50</v>
      </c>
      <c r="C1284" s="36" t="s">
        <v>5</v>
      </c>
      <c r="D1284" s="36" t="s">
        <v>51</v>
      </c>
      <c r="E1284" s="36" t="s">
        <v>52</v>
      </c>
      <c r="F1284" s="36" t="s">
        <v>53</v>
      </c>
      <c r="G1284" s="36" t="s">
        <v>54</v>
      </c>
      <c r="H1284" s="36" t="s">
        <v>55</v>
      </c>
      <c r="I1284" s="36" t="s">
        <v>56</v>
      </c>
      <c r="J1284" s="36" t="s">
        <v>57</v>
      </c>
      <c r="K1284" s="36" t="s">
        <v>58</v>
      </c>
      <c r="L1284" s="36" t="s">
        <v>59</v>
      </c>
      <c r="M1284" s="36" t="s">
        <v>60</v>
      </c>
    </row>
    <row r="1285" spans="1:13" hidden="1">
      <c r="A1285" s="36" t="str">
        <f>IF('Steel Beam Design'!A29="","",'Steel Beam Design'!A29)</f>
        <v/>
      </c>
      <c r="B1285" s="36" t="str">
        <f>IF('Steel Beam Design'!B29="","",'Steel Beam Design'!B29)</f>
        <v/>
      </c>
      <c r="C1285" s="36" t="str">
        <f>IF('Steel Beam Design'!C29="","",'Steel Beam Design'!C29)</f>
        <v/>
      </c>
      <c r="D1285" s="36" t="str">
        <f>IF('Steel Beam Design'!D29="","",'Steel Beam Design'!D29)</f>
        <v/>
      </c>
      <c r="E1285" s="36" t="str">
        <f>IF('Steel Beam Design'!E29="","",'Steel Beam Design'!E29)</f>
        <v/>
      </c>
      <c r="F1285" s="36" t="str">
        <f>IF('Steel Beam Design'!F29="","",'Steel Beam Design'!F29)</f>
        <v/>
      </c>
      <c r="G1285" s="36" t="str">
        <f>IF('Steel Beam Design'!G29="","",'Steel Beam Design'!G29)</f>
        <v/>
      </c>
      <c r="H1285" s="36" t="str">
        <f>IF('Steel Beam Design'!H29="","",'Steel Beam Design'!H29)</f>
        <v/>
      </c>
      <c r="I1285" s="36" t="str">
        <f>IF('Steel Beam Design'!I29="","",'Steel Beam Design'!I29)</f>
        <v/>
      </c>
      <c r="J1285" s="36" t="str">
        <f>IF('Steel Beam Design'!J29="","",'Steel Beam Design'!J29)</f>
        <v/>
      </c>
      <c r="K1285" s="36" t="str">
        <f>IF('Steel Beam Design'!K29="","",'Steel Beam Design'!K29)</f>
        <v/>
      </c>
      <c r="L1285" s="36" t="str">
        <f>IF('Steel Beam Design'!L29="","",'Steel Beam Design'!L29)</f>
        <v/>
      </c>
      <c r="M1285" s="36" t="b">
        <f>AND(ISNUMBER(B1285),B1285&gt;0,OR(C1285="Cantilever Supported",C1285="Simply Supported",C1285="Fixed-Fixed"),OR(L1285="",AND(ISNUMBER(L1285),L1285&gt;=0)),OR(D1285="",AND(ISNUMBER(D1285),D1285&gt;=0)),OR(N(D1285)=0,AND(ISNUMBER(E1285),E1285&gt;=0,E1285&lt;=B1285)),OR(F1285="",AND(ISNUMBER(F1285),F1285&gt;=0)),OR(N(F1285)=0,AND(ISNUMBER(G1285),G1285&gt;=0,G1285&lt;=B1285)),OR(H1285="",AND(ISNUMBER(H1285),H1285&gt;=0)),OR(N(H1285)=0,AND(ISNUMBER(I1285),I1285&gt;=0,I1285&lt;=B1285)),OR(J1285="",AND(ISNUMBER(J1285),J1285&gt;=0)),OR(N(J1285)=0,AND(ISNUMBER(K1285),K1285&gt;=0,K1285&lt;=B1285)))</f>
        <v>0</v>
      </c>
    </row>
    <row r="1286" spans="1:13" hidden="1">
      <c r="A1286" s="36"/>
      <c r="B1286" s="36"/>
      <c r="C1286" s="36"/>
      <c r="D1286" s="36"/>
      <c r="E1286" s="36"/>
      <c r="F1286" s="36"/>
      <c r="G1286" s="36"/>
      <c r="H1286" s="36"/>
      <c r="I1286" s="36"/>
      <c r="J1286" s="36"/>
      <c r="K1286" s="36"/>
      <c r="L1286" s="36"/>
      <c r="M1286" s="36"/>
    </row>
    <row r="1287" spans="1:13" hidden="1">
      <c r="A1287" s="36" t="s">
        <v>61</v>
      </c>
      <c r="B1287" s="36">
        <f>IF(M1285,IF(C1285="Cantilever Supported",-(N(D1285)*N(E1285)+N(F1285)*N(G1285)+N(H1285)*N(I1285)+N(J1285)*N(K1285))-N(L1285)*B1285^2/2,IF(C1285="Fixed-Fixed",-(N(D1285)*N(E1285)*(B1285-N(E1285))^2/B1285^2+N(F1285)*N(G1285)*(B1285-N(G1285))^2/B1285^2+N(H1285)*N(I1285)*(B1285-N(I1285))^2/B1285^2+N(J1285)*N(K1285)*(B1285-N(K1285))^2/B1285^2)-N(L1285)*B1285^2/12,0)),0)</f>
        <v>0</v>
      </c>
      <c r="C1287" s="36" t="s">
        <v>62</v>
      </c>
      <c r="D1287" s="36">
        <f>IF(M1285,IF(C1285="Fixed-Fixed",-(N(D1285)*N(E1285)^2*(B1285-N(E1285))/B1285^2+N(F1285)*N(G1285)^2*(B1285-N(G1285))/B1285^2+N(H1285)*N(I1285)^2*(B1285-N(I1285))/B1285^2+N(J1285)*N(K1285)^2*(B1285-N(K1285))/B1285^2)-N(L1285)*B1285^2/12,0),0)</f>
        <v>0</v>
      </c>
      <c r="E1287" s="36" t="s">
        <v>63</v>
      </c>
      <c r="F1287" s="36">
        <f>IF(M1285,IF(C1285="Cantilever Supported",N(D1285)+N(F1285)+N(H1285)+N(J1285)+N(L1285)*B1285,((N(D1285)*(B1285-N(E1285))+N(F1285)*(B1285-N(G1285))+N(H1285)*(B1285-N(I1285))+N(J1285)*(B1285-N(K1285)))+N(L1285)*B1285^2/2+D1287-B1287)/B1285),0)</f>
        <v>0</v>
      </c>
      <c r="G1287" s="36" t="s">
        <v>64</v>
      </c>
      <c r="H1287" s="36">
        <f>MAX(MAX(B1290:B1295),-MIN(B1290:B1295),MAX(E1290:E1294),-MIN(E1290:E1294))</f>
        <v>0</v>
      </c>
      <c r="I1287" s="36"/>
      <c r="J1287" s="36"/>
      <c r="K1287" s="36"/>
      <c r="L1287" s="36"/>
      <c r="M1287" s="36"/>
    </row>
    <row r="1288" spans="1:13" hidden="1">
      <c r="A1288" s="36"/>
      <c r="B1288" s="36"/>
      <c r="C1288" s="36"/>
      <c r="D1288" s="36"/>
      <c r="E1288" s="36"/>
      <c r="F1288" s="36"/>
      <c r="G1288" s="36"/>
      <c r="H1288" s="36"/>
      <c r="I1288" s="36"/>
      <c r="J1288" s="36"/>
      <c r="K1288" s="36"/>
      <c r="L1288" s="36"/>
      <c r="M1288" s="36"/>
    </row>
    <row r="1289" spans="1:13" hidden="1">
      <c r="A1289" s="36" t="s">
        <v>65</v>
      </c>
      <c r="B1289" s="36" t="s">
        <v>66</v>
      </c>
      <c r="C1289" s="36" t="s">
        <v>67</v>
      </c>
      <c r="D1289" s="36" t="s">
        <v>68</v>
      </c>
      <c r="E1289" s="36" t="s">
        <v>69</v>
      </c>
      <c r="F1289" s="36"/>
      <c r="G1289" s="36"/>
      <c r="H1289" s="36">
        <f>0</f>
        <v>0</v>
      </c>
      <c r="I1289" s="36">
        <f>IF(N(D1285)=0,0,N(E1285))</f>
        <v>0</v>
      </c>
      <c r="J1289" s="36">
        <f>IF(N(F1285)=0,0,N(G1285))</f>
        <v>0</v>
      </c>
      <c r="K1289" s="36">
        <f>IF(N(H1285)=0,0,N(I1285))</f>
        <v>0</v>
      </c>
      <c r="L1289" s="36">
        <f>IF(N(J1285)=0,0,N(K1285))</f>
        <v>0</v>
      </c>
      <c r="M1289" s="36">
        <f>IF(M1285,B1285,0)</f>
        <v>0</v>
      </c>
    </row>
    <row r="1290" spans="1:13" hidden="1">
      <c r="A1290" s="37">
        <f>SMALL(H1289:M1289,1)</f>
        <v>0</v>
      </c>
      <c r="B1290" s="37">
        <f>IF(M1285,B1287+F1287*A1290-N(L1285)*A1290^2/2-(N(D1285)*MAX(0,A1290-N(E1285))+N(F1285)*MAX(0,A1290-N(G1285))+N(H1285)*MAX(0,A1290-N(I1285))+N(J1285)*MAX(0,A1290-N(K1285))),0)</f>
        <v>0</v>
      </c>
      <c r="C1290" s="37">
        <f>A1291</f>
        <v>0</v>
      </c>
      <c r="D1290" s="37">
        <f>IF(AND(M1285,N(L1285)&gt;0),MAX(A1290,MIN(C1290,(F1287-(IF(N(E1285)&lt;=A1290,N(D1285),0)+IF(N(G1285)&lt;=A1290,N(F1285),0)+IF(N(I1285)&lt;=A1290,N(H1285),0)+IF(N(K1285)&lt;=A1290,N(J1285),0)))/N(L1285))),A1290)</f>
        <v>0</v>
      </c>
      <c r="E1290" s="37">
        <f>IF(M1285,B1287+F1287*D1290-N(L1285)*D1290^2/2-(N(D1285)*MAX(0,D1290-N(E1285))+N(F1285)*MAX(0,D1290-N(G1285))+N(H1285)*MAX(0,D1290-N(I1285))+N(J1285)*MAX(0,D1290-N(K1285))),0)</f>
        <v>0</v>
      </c>
      <c r="F1290" s="37"/>
      <c r="G1290" s="37"/>
      <c r="H1290" s="37"/>
      <c r="I1290" s="37"/>
      <c r="J1290" s="37"/>
      <c r="K1290" s="37"/>
      <c r="L1290" s="37"/>
      <c r="M1290" s="37"/>
    </row>
    <row r="1291" spans="1:13" hidden="1">
      <c r="A1291" s="37">
        <f>SMALL(H1289:M1289,2)</f>
        <v>0</v>
      </c>
      <c r="B1291" s="37">
        <f>IF(M1285,B1287+F1287*A1291-N(L1285)*A1291^2/2-(N(D1285)*MAX(0,A1291-N(E1285))+N(F1285)*MAX(0,A1291-N(G1285))+N(H1285)*MAX(0,A1291-N(I1285))+N(J1285)*MAX(0,A1291-N(K1285))),0)</f>
        <v>0</v>
      </c>
      <c r="C1291" s="37">
        <f>A1292</f>
        <v>0</v>
      </c>
      <c r="D1291" s="37">
        <f>IF(AND(M1285,N(L1285)&gt;0),MAX(A1291,MIN(C1291,(F1287-(IF(N(E1285)&lt;=A1291,N(D1285),0)+IF(N(G1285)&lt;=A1291,N(F1285),0)+IF(N(I1285)&lt;=A1291,N(H1285),0)+IF(N(K1285)&lt;=A1291,N(J1285),0)))/N(L1285))),A1291)</f>
        <v>0</v>
      </c>
      <c r="E1291" s="37">
        <f>IF(M1285,B1287+F1287*D1291-N(L1285)*D1291^2/2-(N(D1285)*MAX(0,D1291-N(E1285))+N(F1285)*MAX(0,D1291-N(G1285))+N(H1285)*MAX(0,D1291-N(I1285))+N(J1285)*MAX(0,D1291-N(K1285))),0)</f>
        <v>0</v>
      </c>
      <c r="F1291" s="37"/>
      <c r="G1291" s="37"/>
      <c r="H1291" s="37"/>
      <c r="I1291" s="37"/>
      <c r="J1291" s="37"/>
      <c r="K1291" s="37"/>
      <c r="L1291" s="37"/>
      <c r="M1291" s="37"/>
    </row>
    <row r="1292" spans="1:13" hidden="1">
      <c r="A1292" s="37">
        <f>SMALL(H1289:M1289,3)</f>
        <v>0</v>
      </c>
      <c r="B1292" s="37">
        <f>IF(M1285,B1287+F1287*A1292-N(L1285)*A1292^2/2-(N(D1285)*MAX(0,A1292-N(E1285))+N(F1285)*MAX(0,A1292-N(G1285))+N(H1285)*MAX(0,A1292-N(I1285))+N(J1285)*MAX(0,A1292-N(K1285))),0)</f>
        <v>0</v>
      </c>
      <c r="C1292" s="37">
        <f>A1293</f>
        <v>0</v>
      </c>
      <c r="D1292" s="37">
        <f>IF(AND(M1285,N(L1285)&gt;0),MAX(A1292,MIN(C1292,(F1287-(IF(N(E1285)&lt;=A1292,N(D1285),0)+IF(N(G1285)&lt;=A1292,N(F1285),0)+IF(N(I1285)&lt;=A1292,N(H1285),0)+IF(N(K1285)&lt;=A1292,N(J1285),0)))/N(L1285))),A1292)</f>
        <v>0</v>
      </c>
      <c r="E1292" s="37">
        <f>IF(M1285,B1287+F1287*D1292-N(L1285)*D1292^2/2-(N(D1285)*MAX(0,D1292-N(E1285))+N(F1285)*MAX(0,D1292-N(G1285))+N(H1285)*MAX(0,D1292-N(I1285))+N(J1285)*MAX(0,D1292-N(K1285))),0)</f>
        <v>0</v>
      </c>
      <c r="F1292" s="37"/>
      <c r="G1292" s="37"/>
      <c r="H1292" s="37"/>
      <c r="I1292" s="37"/>
      <c r="J1292" s="37"/>
      <c r="K1292" s="37"/>
      <c r="L1292" s="37"/>
      <c r="M1292" s="37"/>
    </row>
    <row r="1293" spans="1:13" hidden="1">
      <c r="A1293" s="37">
        <f>SMALL(H1289:M1289,4)</f>
        <v>0</v>
      </c>
      <c r="B1293" s="37">
        <f>IF(M1285,B1287+F1287*A1293-N(L1285)*A1293^2/2-(N(D1285)*MAX(0,A1293-N(E1285))+N(F1285)*MAX(0,A1293-N(G1285))+N(H1285)*MAX(0,A1293-N(I1285))+N(J1285)*MAX(0,A1293-N(K1285))),0)</f>
        <v>0</v>
      </c>
      <c r="C1293" s="37">
        <f>A1294</f>
        <v>0</v>
      </c>
      <c r="D1293" s="37">
        <f>IF(AND(M1285,N(L1285)&gt;0),MAX(A1293,MIN(C1293,(F1287-(IF(N(E1285)&lt;=A1293,N(D1285),0)+IF(N(G1285)&lt;=A1293,N(F1285),0)+IF(N(I1285)&lt;=A1293,N(H1285),0)+IF(N(K1285)&lt;=A1293,N(J1285),0)))/N(L1285))),A1293)</f>
        <v>0</v>
      </c>
      <c r="E1293" s="37">
        <f>IF(M1285,B1287+F1287*D1293-N(L1285)*D1293^2/2-(N(D1285)*MAX(0,D1293-N(E1285))+N(F1285)*MAX(0,D1293-N(G1285))+N(H1285)*MAX(0,D1293-N(I1285))+N(J1285)*MAX(0,D1293-N(K1285))),0)</f>
        <v>0</v>
      </c>
      <c r="F1293" s="37"/>
      <c r="G1293" s="37"/>
      <c r="H1293" s="37"/>
      <c r="I1293" s="37"/>
      <c r="J1293" s="37"/>
      <c r="K1293" s="37"/>
      <c r="L1293" s="37"/>
      <c r="M1293" s="37"/>
    </row>
    <row r="1294" spans="1:13" hidden="1">
      <c r="A1294" s="37">
        <f>SMALL(H1289:M1289,5)</f>
        <v>0</v>
      </c>
      <c r="B1294" s="37">
        <f>IF(M1285,B1287+F1287*A1294-N(L1285)*A1294^2/2-(N(D1285)*MAX(0,A1294-N(E1285))+N(F1285)*MAX(0,A1294-N(G1285))+N(H1285)*MAX(0,A1294-N(I1285))+N(J1285)*MAX(0,A1294-N(K1285))),0)</f>
        <v>0</v>
      </c>
      <c r="C1294" s="37">
        <f>A1295</f>
        <v>0</v>
      </c>
      <c r="D1294" s="37">
        <f>IF(AND(M1285,N(L1285)&gt;0),MAX(A1294,MIN(C1294,(F1287-(IF(N(E1285)&lt;=A1294,N(D1285),0)+IF(N(G1285)&lt;=A1294,N(F1285),0)+IF(N(I1285)&lt;=A1294,N(H1285),0)+IF(N(K1285)&lt;=A1294,N(J1285),0)))/N(L1285))),A1294)</f>
        <v>0</v>
      </c>
      <c r="E1294" s="37">
        <f>IF(M1285,B1287+F1287*D1294-N(L1285)*D1294^2/2-(N(D1285)*MAX(0,D1294-N(E1285))+N(F1285)*MAX(0,D1294-N(G1285))+N(H1285)*MAX(0,D1294-N(I1285))+N(J1285)*MAX(0,D1294-N(K1285))),0)</f>
        <v>0</v>
      </c>
      <c r="F1294" s="37"/>
      <c r="G1294" s="37"/>
      <c r="H1294" s="37"/>
      <c r="I1294" s="37"/>
      <c r="J1294" s="37"/>
      <c r="K1294" s="37"/>
      <c r="L1294" s="37"/>
      <c r="M1294" s="37"/>
    </row>
    <row r="1295" spans="1:13" hidden="1">
      <c r="A1295" s="37">
        <f>SMALL(H1289:M1289,6)</f>
        <v>0</v>
      </c>
      <c r="B1295" s="37">
        <f>IF(M1285,B1287+F1287*A1295-N(L1285)*A1295^2/2-(N(D1285)*MAX(0,A1295-N(E1285))+N(F1285)*MAX(0,A1295-N(G1285))+N(H1285)*MAX(0,A1295-N(I1285))+N(J1285)*MAX(0,A1295-N(K1285))),0)</f>
        <v>0</v>
      </c>
      <c r="C1295" s="37"/>
      <c r="D1295" s="37"/>
      <c r="E1295" s="37"/>
      <c r="F1295" s="37"/>
      <c r="G1295" s="37"/>
      <c r="H1295" s="37"/>
      <c r="I1295" s="37"/>
      <c r="J1295" s="37"/>
      <c r="K1295" s="37"/>
      <c r="L1295" s="37"/>
      <c r="M1295" s="37"/>
    </row>
    <row r="1296" spans="1:13" hidden="1">
      <c r="A1296" s="36"/>
      <c r="B1296" s="36"/>
      <c r="C1296" s="36"/>
      <c r="D1296" s="36"/>
      <c r="E1296" s="36"/>
      <c r="F1296" s="36"/>
      <c r="G1296" s="36"/>
      <c r="H1296" s="36"/>
      <c r="I1296" s="36"/>
      <c r="J1296" s="36"/>
      <c r="K1296" s="36"/>
      <c r="L1296" s="36"/>
      <c r="M1296" s="36"/>
    </row>
    <row r="1297" spans="1:13" hidden="1">
      <c r="A1297" s="36"/>
      <c r="B1297" s="36"/>
      <c r="C1297" s="36"/>
      <c r="D1297" s="36"/>
      <c r="E1297" s="36"/>
      <c r="F1297" s="36"/>
      <c r="G1297" s="36"/>
      <c r="H1297" s="36"/>
      <c r="I1297" s="36"/>
      <c r="J1297" s="36"/>
      <c r="K1297" s="36"/>
      <c r="L1297" s="36"/>
      <c r="M1297" s="36"/>
    </row>
    <row r="1298" spans="1:13" hidden="1">
      <c r="A1298" s="36"/>
      <c r="B1298" s="36"/>
      <c r="C1298" s="36"/>
      <c r="D1298" s="36"/>
      <c r="E1298" s="36"/>
      <c r="F1298" s="36"/>
      <c r="G1298" s="36"/>
      <c r="H1298" s="36"/>
      <c r="I1298" s="36"/>
      <c r="J1298" s="36"/>
      <c r="K1298" s="36"/>
      <c r="L1298" s="36"/>
      <c r="M1298" s="36"/>
    </row>
    <row r="1299" spans="1:13" hidden="1">
      <c r="A1299" s="36"/>
      <c r="B1299" s="36"/>
      <c r="C1299" s="36"/>
      <c r="D1299" s="36"/>
      <c r="E1299" s="36"/>
      <c r="F1299" s="36"/>
      <c r="G1299" s="36"/>
      <c r="H1299" s="36"/>
      <c r="I1299" s="36"/>
      <c r="J1299" s="36"/>
      <c r="K1299" s="36"/>
      <c r="L1299" s="36"/>
      <c r="M1299" s="36"/>
    </row>
    <row r="1300" spans="1:13" hidden="1">
      <c r="A1300" s="36"/>
      <c r="B1300" s="36"/>
      <c r="C1300" s="36"/>
      <c r="D1300" s="36"/>
      <c r="E1300" s="36"/>
      <c r="F1300" s="36"/>
      <c r="G1300" s="36"/>
      <c r="H1300" s="36"/>
      <c r="I1300" s="36"/>
      <c r="J1300" s="36"/>
      <c r="K1300" s="36"/>
      <c r="L1300" s="36"/>
      <c r="M1300" s="36"/>
    </row>
    <row r="1301" spans="1:13" hidden="1">
      <c r="A1301" s="36"/>
      <c r="B1301" s="36"/>
      <c r="C1301" s="36"/>
      <c r="D1301" s="36"/>
      <c r="E1301" s="36"/>
      <c r="F1301" s="36"/>
      <c r="G1301" s="36"/>
      <c r="H1301" s="36"/>
      <c r="I1301" s="36"/>
      <c r="J1301" s="36"/>
      <c r="K1301" s="36"/>
      <c r="L1301" s="36"/>
      <c r="M1301" s="36"/>
    </row>
    <row r="1302" spans="1:13" hidden="1">
      <c r="A1302" s="36"/>
      <c r="B1302" s="36"/>
      <c r="C1302" s="36"/>
      <c r="D1302" s="36"/>
      <c r="E1302" s="36"/>
      <c r="F1302" s="36"/>
      <c r="G1302" s="36"/>
      <c r="H1302" s="36"/>
      <c r="I1302" s="36"/>
      <c r="J1302" s="36"/>
      <c r="K1302" s="36"/>
      <c r="L1302" s="36"/>
      <c r="M1302" s="36"/>
    </row>
    <row r="1303" spans="1:13" hidden="1">
      <c r="A1303" s="36"/>
      <c r="B1303" s="36"/>
      <c r="C1303" s="36"/>
      <c r="D1303" s="36"/>
      <c r="E1303" s="36"/>
      <c r="F1303" s="36"/>
      <c r="G1303" s="36"/>
      <c r="H1303" s="36"/>
      <c r="I1303" s="36"/>
      <c r="J1303" s="36"/>
      <c r="K1303" s="36"/>
      <c r="L1303" s="36"/>
      <c r="M1303" s="36"/>
    </row>
    <row r="1304" spans="1:13" hidden="1">
      <c r="A1304" s="36"/>
      <c r="B1304" s="36"/>
      <c r="C1304" s="36"/>
      <c r="D1304" s="36"/>
      <c r="E1304" s="36"/>
      <c r="F1304" s="36"/>
      <c r="G1304" s="36"/>
      <c r="H1304" s="36"/>
      <c r="I1304" s="36"/>
      <c r="J1304" s="36"/>
      <c r="K1304" s="36"/>
      <c r="L1304" s="36"/>
      <c r="M1304" s="36"/>
    </row>
    <row r="1305" spans="1:13" hidden="1">
      <c r="A1305" s="36"/>
      <c r="B1305" s="36"/>
      <c r="C1305" s="36"/>
      <c r="D1305" s="36"/>
      <c r="E1305" s="36"/>
      <c r="F1305" s="36"/>
      <c r="G1305" s="36"/>
      <c r="H1305" s="36"/>
      <c r="I1305" s="36"/>
      <c r="J1305" s="36"/>
      <c r="K1305" s="36"/>
      <c r="L1305" s="36"/>
      <c r="M1305" s="36"/>
    </row>
    <row r="1306" spans="1:13" hidden="1">
      <c r="A1306" s="36"/>
      <c r="B1306" s="36"/>
      <c r="C1306" s="36"/>
      <c r="D1306" s="36"/>
      <c r="E1306" s="36"/>
      <c r="F1306" s="36"/>
      <c r="G1306" s="36"/>
      <c r="H1306" s="36"/>
      <c r="I1306" s="36"/>
      <c r="J1306" s="36"/>
      <c r="K1306" s="36"/>
      <c r="L1306" s="36"/>
      <c r="M1306" s="36"/>
    </row>
    <row r="1307" spans="1:13" hidden="1">
      <c r="A1307" s="36"/>
      <c r="B1307" s="36"/>
      <c r="C1307" s="36"/>
      <c r="D1307" s="36"/>
      <c r="E1307" s="36"/>
      <c r="F1307" s="36"/>
      <c r="G1307" s="36"/>
      <c r="H1307" s="36"/>
      <c r="I1307" s="36"/>
      <c r="J1307" s="36"/>
      <c r="K1307" s="36"/>
      <c r="L1307" s="36"/>
      <c r="M1307" s="36"/>
    </row>
    <row r="1308" spans="1:13" hidden="1">
      <c r="A1308" s="156" t="s">
        <v>73</v>
      </c>
      <c r="B1308" s="156"/>
      <c r="C1308" s="156"/>
      <c r="D1308" s="156"/>
      <c r="E1308" s="156"/>
      <c r="F1308" s="156"/>
      <c r="G1308" s="156"/>
      <c r="H1308" s="156"/>
      <c r="I1308" s="156"/>
      <c r="J1308" s="156"/>
      <c r="K1308" s="156"/>
      <c r="L1308" s="156"/>
      <c r="M1308" s="156"/>
    </row>
    <row r="1309" spans="1:13" hidden="1">
      <c r="A1309" s="36" t="s">
        <v>3</v>
      </c>
      <c r="B1309" s="36" t="s">
        <v>50</v>
      </c>
      <c r="C1309" s="36" t="s">
        <v>5</v>
      </c>
      <c r="D1309" s="36" t="s">
        <v>51</v>
      </c>
      <c r="E1309" s="36" t="s">
        <v>52</v>
      </c>
      <c r="F1309" s="36" t="s">
        <v>53</v>
      </c>
      <c r="G1309" s="36" t="s">
        <v>54</v>
      </c>
      <c r="H1309" s="36" t="s">
        <v>55</v>
      </c>
      <c r="I1309" s="36" t="s">
        <v>56</v>
      </c>
      <c r="J1309" s="36" t="s">
        <v>57</v>
      </c>
      <c r="K1309" s="36" t="s">
        <v>58</v>
      </c>
      <c r="L1309" s="36" t="s">
        <v>59</v>
      </c>
      <c r="M1309" s="36" t="s">
        <v>60</v>
      </c>
    </row>
    <row r="1310" spans="1:13" hidden="1">
      <c r="A1310" s="36" t="str">
        <f>IF('Steel Beam Design'!A30="","",'Steel Beam Design'!A30)</f>
        <v/>
      </c>
      <c r="B1310" s="36" t="str">
        <f>IF('Steel Beam Design'!B30="","",'Steel Beam Design'!B30)</f>
        <v/>
      </c>
      <c r="C1310" s="36" t="str">
        <f>IF('Steel Beam Design'!C30="","",'Steel Beam Design'!C30)</f>
        <v/>
      </c>
      <c r="D1310" s="36" t="str">
        <f>IF('Steel Beam Design'!D30="","",'Steel Beam Design'!D30)</f>
        <v/>
      </c>
      <c r="E1310" s="36" t="str">
        <f>IF('Steel Beam Design'!E30="","",'Steel Beam Design'!E30)</f>
        <v/>
      </c>
      <c r="F1310" s="36" t="str">
        <f>IF('Steel Beam Design'!F30="","",'Steel Beam Design'!F30)</f>
        <v/>
      </c>
      <c r="G1310" s="36" t="str">
        <f>IF('Steel Beam Design'!G30="","",'Steel Beam Design'!G30)</f>
        <v/>
      </c>
      <c r="H1310" s="36" t="str">
        <f>IF('Steel Beam Design'!H30="","",'Steel Beam Design'!H30)</f>
        <v/>
      </c>
      <c r="I1310" s="36" t="str">
        <f>IF('Steel Beam Design'!I30="","",'Steel Beam Design'!I30)</f>
        <v/>
      </c>
      <c r="J1310" s="36" t="str">
        <f>IF('Steel Beam Design'!J30="","",'Steel Beam Design'!J30)</f>
        <v/>
      </c>
      <c r="K1310" s="36" t="str">
        <f>IF('Steel Beam Design'!K30="","",'Steel Beam Design'!K30)</f>
        <v/>
      </c>
      <c r="L1310" s="36" t="str">
        <f>IF('Steel Beam Design'!L30="","",'Steel Beam Design'!L30)</f>
        <v/>
      </c>
      <c r="M1310" s="36" t="b">
        <f>AND(ISNUMBER(B1310),B1310&gt;0,OR(C1310="Cantilever Supported",C1310="Simply Supported",C1310="Fixed-Fixed"),OR(L1310="",AND(ISNUMBER(L1310),L1310&gt;=0)),OR(D1310="",AND(ISNUMBER(D1310),D1310&gt;=0)),OR(N(D1310)=0,AND(ISNUMBER(E1310),E1310&gt;=0,E1310&lt;=B1310)),OR(F1310="",AND(ISNUMBER(F1310),F1310&gt;=0)),OR(N(F1310)=0,AND(ISNUMBER(G1310),G1310&gt;=0,G1310&lt;=B1310)),OR(H1310="",AND(ISNUMBER(H1310),H1310&gt;=0)),OR(N(H1310)=0,AND(ISNUMBER(I1310),I1310&gt;=0,I1310&lt;=B1310)),OR(J1310="",AND(ISNUMBER(J1310),J1310&gt;=0)),OR(N(J1310)=0,AND(ISNUMBER(K1310),K1310&gt;=0,K1310&lt;=B1310)))</f>
        <v>0</v>
      </c>
    </row>
    <row r="1311" spans="1:13" hidden="1">
      <c r="A1311" s="36"/>
      <c r="B1311" s="36"/>
      <c r="C1311" s="36"/>
      <c r="D1311" s="36"/>
      <c r="E1311" s="36"/>
      <c r="F1311" s="36"/>
      <c r="G1311" s="36"/>
      <c r="H1311" s="36"/>
      <c r="I1311" s="36"/>
      <c r="J1311" s="36"/>
      <c r="K1311" s="36"/>
      <c r="L1311" s="36"/>
      <c r="M1311" s="36"/>
    </row>
    <row r="1312" spans="1:13" hidden="1">
      <c r="A1312" s="36" t="s">
        <v>61</v>
      </c>
      <c r="B1312" s="36">
        <f>IF(M1310,IF(C1310="Cantilever Supported",-(N(D1310)*N(E1310)+N(F1310)*N(G1310)+N(H1310)*N(I1310)+N(J1310)*N(K1310))-N(L1310)*B1310^2/2,IF(C1310="Fixed-Fixed",-(N(D1310)*N(E1310)*(B1310-N(E1310))^2/B1310^2+N(F1310)*N(G1310)*(B1310-N(G1310))^2/B1310^2+N(H1310)*N(I1310)*(B1310-N(I1310))^2/B1310^2+N(J1310)*N(K1310)*(B1310-N(K1310))^2/B1310^2)-N(L1310)*B1310^2/12,0)),0)</f>
        <v>0</v>
      </c>
      <c r="C1312" s="36" t="s">
        <v>62</v>
      </c>
      <c r="D1312" s="36">
        <f>IF(M1310,IF(C1310="Fixed-Fixed",-(N(D1310)*N(E1310)^2*(B1310-N(E1310))/B1310^2+N(F1310)*N(G1310)^2*(B1310-N(G1310))/B1310^2+N(H1310)*N(I1310)^2*(B1310-N(I1310))/B1310^2+N(J1310)*N(K1310)^2*(B1310-N(K1310))/B1310^2)-N(L1310)*B1310^2/12,0),0)</f>
        <v>0</v>
      </c>
      <c r="E1312" s="36" t="s">
        <v>63</v>
      </c>
      <c r="F1312" s="36">
        <f>IF(M1310,IF(C1310="Cantilever Supported",N(D1310)+N(F1310)+N(H1310)+N(J1310)+N(L1310)*B1310,((N(D1310)*(B1310-N(E1310))+N(F1310)*(B1310-N(G1310))+N(H1310)*(B1310-N(I1310))+N(J1310)*(B1310-N(K1310)))+N(L1310)*B1310^2/2+D1312-B1312)/B1310),0)</f>
        <v>0</v>
      </c>
      <c r="G1312" s="36" t="s">
        <v>64</v>
      </c>
      <c r="H1312" s="36">
        <f>MAX(MAX(B1315:B1320),-MIN(B1315:B1320),MAX(E1315:E1319),-MIN(E1315:E1319))</f>
        <v>0</v>
      </c>
      <c r="I1312" s="36"/>
      <c r="J1312" s="36"/>
      <c r="K1312" s="36"/>
      <c r="L1312" s="36"/>
      <c r="M1312" s="36"/>
    </row>
    <row r="1313" spans="1:13" hidden="1">
      <c r="A1313" s="36"/>
      <c r="B1313" s="36"/>
      <c r="C1313" s="36"/>
      <c r="D1313" s="36"/>
      <c r="E1313" s="36"/>
      <c r="F1313" s="36"/>
      <c r="G1313" s="36"/>
      <c r="H1313" s="36"/>
      <c r="I1313" s="36"/>
      <c r="J1313" s="36"/>
      <c r="K1313" s="36"/>
      <c r="L1313" s="36"/>
      <c r="M1313" s="36"/>
    </row>
    <row r="1314" spans="1:13" hidden="1">
      <c r="A1314" s="36" t="s">
        <v>65</v>
      </c>
      <c r="B1314" s="36" t="s">
        <v>66</v>
      </c>
      <c r="C1314" s="36" t="s">
        <v>67</v>
      </c>
      <c r="D1314" s="36" t="s">
        <v>68</v>
      </c>
      <c r="E1314" s="36" t="s">
        <v>69</v>
      </c>
      <c r="F1314" s="36"/>
      <c r="G1314" s="36"/>
      <c r="H1314" s="36">
        <f>0</f>
        <v>0</v>
      </c>
      <c r="I1314" s="36">
        <f>IF(N(D1310)=0,0,N(E1310))</f>
        <v>0</v>
      </c>
      <c r="J1314" s="36">
        <f>IF(N(F1310)=0,0,N(G1310))</f>
        <v>0</v>
      </c>
      <c r="K1314" s="36">
        <f>IF(N(H1310)=0,0,N(I1310))</f>
        <v>0</v>
      </c>
      <c r="L1314" s="36">
        <f>IF(N(J1310)=0,0,N(K1310))</f>
        <v>0</v>
      </c>
      <c r="M1314" s="36">
        <f>IF(M1310,B1310,0)</f>
        <v>0</v>
      </c>
    </row>
    <row r="1315" spans="1:13" hidden="1">
      <c r="A1315" s="37">
        <f>SMALL(H1314:M1314,1)</f>
        <v>0</v>
      </c>
      <c r="B1315" s="37">
        <f>IF(M1310,B1312+F1312*A1315-N(L1310)*A1315^2/2-(N(D1310)*MAX(0,A1315-N(E1310))+N(F1310)*MAX(0,A1315-N(G1310))+N(H1310)*MAX(0,A1315-N(I1310))+N(J1310)*MAX(0,A1315-N(K1310))),0)</f>
        <v>0</v>
      </c>
      <c r="C1315" s="37">
        <f>A1316</f>
        <v>0</v>
      </c>
      <c r="D1315" s="37">
        <f>IF(AND(M1310,N(L1310)&gt;0),MAX(A1315,MIN(C1315,(F1312-(IF(N(E1310)&lt;=A1315,N(D1310),0)+IF(N(G1310)&lt;=A1315,N(F1310),0)+IF(N(I1310)&lt;=A1315,N(H1310),0)+IF(N(K1310)&lt;=A1315,N(J1310),0)))/N(L1310))),A1315)</f>
        <v>0</v>
      </c>
      <c r="E1315" s="37">
        <f>IF(M1310,B1312+F1312*D1315-N(L1310)*D1315^2/2-(N(D1310)*MAX(0,D1315-N(E1310))+N(F1310)*MAX(0,D1315-N(G1310))+N(H1310)*MAX(0,D1315-N(I1310))+N(J1310)*MAX(0,D1315-N(K1310))),0)</f>
        <v>0</v>
      </c>
      <c r="F1315" s="37"/>
      <c r="G1315" s="37"/>
      <c r="H1315" s="37"/>
      <c r="I1315" s="37"/>
      <c r="J1315" s="37"/>
      <c r="K1315" s="37"/>
      <c r="L1315" s="37"/>
      <c r="M1315" s="37"/>
    </row>
    <row r="1316" spans="1:13" hidden="1">
      <c r="A1316" s="37">
        <f>SMALL(H1314:M1314,2)</f>
        <v>0</v>
      </c>
      <c r="B1316" s="37">
        <f>IF(M1310,B1312+F1312*A1316-N(L1310)*A1316^2/2-(N(D1310)*MAX(0,A1316-N(E1310))+N(F1310)*MAX(0,A1316-N(G1310))+N(H1310)*MAX(0,A1316-N(I1310))+N(J1310)*MAX(0,A1316-N(K1310))),0)</f>
        <v>0</v>
      </c>
      <c r="C1316" s="37">
        <f>A1317</f>
        <v>0</v>
      </c>
      <c r="D1316" s="37">
        <f>IF(AND(M1310,N(L1310)&gt;0),MAX(A1316,MIN(C1316,(F1312-(IF(N(E1310)&lt;=A1316,N(D1310),0)+IF(N(G1310)&lt;=A1316,N(F1310),0)+IF(N(I1310)&lt;=A1316,N(H1310),0)+IF(N(K1310)&lt;=A1316,N(J1310),0)))/N(L1310))),A1316)</f>
        <v>0</v>
      </c>
      <c r="E1316" s="37">
        <f>IF(M1310,B1312+F1312*D1316-N(L1310)*D1316^2/2-(N(D1310)*MAX(0,D1316-N(E1310))+N(F1310)*MAX(0,D1316-N(G1310))+N(H1310)*MAX(0,D1316-N(I1310))+N(J1310)*MAX(0,D1316-N(K1310))),0)</f>
        <v>0</v>
      </c>
      <c r="F1316" s="37"/>
      <c r="G1316" s="37"/>
      <c r="H1316" s="37"/>
      <c r="I1316" s="37"/>
      <c r="J1316" s="37"/>
      <c r="K1316" s="37"/>
      <c r="L1316" s="37"/>
      <c r="M1316" s="37"/>
    </row>
    <row r="1317" spans="1:13" hidden="1">
      <c r="A1317" s="37">
        <f>SMALL(H1314:M1314,3)</f>
        <v>0</v>
      </c>
      <c r="B1317" s="37">
        <f>IF(M1310,B1312+F1312*A1317-N(L1310)*A1317^2/2-(N(D1310)*MAX(0,A1317-N(E1310))+N(F1310)*MAX(0,A1317-N(G1310))+N(H1310)*MAX(0,A1317-N(I1310))+N(J1310)*MAX(0,A1317-N(K1310))),0)</f>
        <v>0</v>
      </c>
      <c r="C1317" s="37">
        <f>A1318</f>
        <v>0</v>
      </c>
      <c r="D1317" s="37">
        <f>IF(AND(M1310,N(L1310)&gt;0),MAX(A1317,MIN(C1317,(F1312-(IF(N(E1310)&lt;=A1317,N(D1310),0)+IF(N(G1310)&lt;=A1317,N(F1310),0)+IF(N(I1310)&lt;=A1317,N(H1310),0)+IF(N(K1310)&lt;=A1317,N(J1310),0)))/N(L1310))),A1317)</f>
        <v>0</v>
      </c>
      <c r="E1317" s="37">
        <f>IF(M1310,B1312+F1312*D1317-N(L1310)*D1317^2/2-(N(D1310)*MAX(0,D1317-N(E1310))+N(F1310)*MAX(0,D1317-N(G1310))+N(H1310)*MAX(0,D1317-N(I1310))+N(J1310)*MAX(0,D1317-N(K1310))),0)</f>
        <v>0</v>
      </c>
      <c r="F1317" s="37"/>
      <c r="G1317" s="37"/>
      <c r="H1317" s="37"/>
      <c r="I1317" s="37"/>
      <c r="J1317" s="37"/>
      <c r="K1317" s="37"/>
      <c r="L1317" s="37"/>
      <c r="M1317" s="37"/>
    </row>
    <row r="1318" spans="1:13" hidden="1">
      <c r="A1318" s="37">
        <f>SMALL(H1314:M1314,4)</f>
        <v>0</v>
      </c>
      <c r="B1318" s="37">
        <f>IF(M1310,B1312+F1312*A1318-N(L1310)*A1318^2/2-(N(D1310)*MAX(0,A1318-N(E1310))+N(F1310)*MAX(0,A1318-N(G1310))+N(H1310)*MAX(0,A1318-N(I1310))+N(J1310)*MAX(0,A1318-N(K1310))),0)</f>
        <v>0</v>
      </c>
      <c r="C1318" s="37">
        <f>A1319</f>
        <v>0</v>
      </c>
      <c r="D1318" s="37">
        <f>IF(AND(M1310,N(L1310)&gt;0),MAX(A1318,MIN(C1318,(F1312-(IF(N(E1310)&lt;=A1318,N(D1310),0)+IF(N(G1310)&lt;=A1318,N(F1310),0)+IF(N(I1310)&lt;=A1318,N(H1310),0)+IF(N(K1310)&lt;=A1318,N(J1310),0)))/N(L1310))),A1318)</f>
        <v>0</v>
      </c>
      <c r="E1318" s="37">
        <f>IF(M1310,B1312+F1312*D1318-N(L1310)*D1318^2/2-(N(D1310)*MAX(0,D1318-N(E1310))+N(F1310)*MAX(0,D1318-N(G1310))+N(H1310)*MAX(0,D1318-N(I1310))+N(J1310)*MAX(0,D1318-N(K1310))),0)</f>
        <v>0</v>
      </c>
      <c r="F1318" s="37"/>
      <c r="G1318" s="37"/>
      <c r="H1318" s="37"/>
      <c r="I1318" s="37"/>
      <c r="J1318" s="37"/>
      <c r="K1318" s="37"/>
      <c r="L1318" s="37"/>
      <c r="M1318" s="37"/>
    </row>
    <row r="1319" spans="1:13" hidden="1">
      <c r="A1319" s="37">
        <f>SMALL(H1314:M1314,5)</f>
        <v>0</v>
      </c>
      <c r="B1319" s="37">
        <f>IF(M1310,B1312+F1312*A1319-N(L1310)*A1319^2/2-(N(D1310)*MAX(0,A1319-N(E1310))+N(F1310)*MAX(0,A1319-N(G1310))+N(H1310)*MAX(0,A1319-N(I1310))+N(J1310)*MAX(0,A1319-N(K1310))),0)</f>
        <v>0</v>
      </c>
      <c r="C1319" s="37">
        <f>A1320</f>
        <v>0</v>
      </c>
      <c r="D1319" s="37">
        <f>IF(AND(M1310,N(L1310)&gt;0),MAX(A1319,MIN(C1319,(F1312-(IF(N(E1310)&lt;=A1319,N(D1310),0)+IF(N(G1310)&lt;=A1319,N(F1310),0)+IF(N(I1310)&lt;=A1319,N(H1310),0)+IF(N(K1310)&lt;=A1319,N(J1310),0)))/N(L1310))),A1319)</f>
        <v>0</v>
      </c>
      <c r="E1319" s="37">
        <f>IF(M1310,B1312+F1312*D1319-N(L1310)*D1319^2/2-(N(D1310)*MAX(0,D1319-N(E1310))+N(F1310)*MAX(0,D1319-N(G1310))+N(H1310)*MAX(0,D1319-N(I1310))+N(J1310)*MAX(0,D1319-N(K1310))),0)</f>
        <v>0</v>
      </c>
      <c r="F1319" s="37"/>
      <c r="G1319" s="37"/>
      <c r="H1319" s="37"/>
      <c r="I1319" s="37"/>
      <c r="J1319" s="37"/>
      <c r="K1319" s="37"/>
      <c r="L1319" s="37"/>
      <c r="M1319" s="37"/>
    </row>
    <row r="1320" spans="1:13" hidden="1">
      <c r="A1320" s="37">
        <f>SMALL(H1314:M1314,6)</f>
        <v>0</v>
      </c>
      <c r="B1320" s="37">
        <f>IF(M1310,B1312+F1312*A1320-N(L1310)*A1320^2/2-(N(D1310)*MAX(0,A1320-N(E1310))+N(F1310)*MAX(0,A1320-N(G1310))+N(H1310)*MAX(0,A1320-N(I1310))+N(J1310)*MAX(0,A1320-N(K1310))),0)</f>
        <v>0</v>
      </c>
      <c r="C1320" s="37"/>
      <c r="D1320" s="37"/>
      <c r="E1320" s="37"/>
      <c r="F1320" s="37"/>
      <c r="G1320" s="37"/>
      <c r="H1320" s="37"/>
      <c r="I1320" s="37"/>
      <c r="J1320" s="37"/>
      <c r="K1320" s="37"/>
      <c r="L1320" s="37"/>
      <c r="M1320" s="37"/>
    </row>
    <row r="1321" spans="1:13" hidden="1">
      <c r="A1321" s="36"/>
      <c r="B1321" s="36"/>
      <c r="C1321" s="36"/>
      <c r="D1321" s="36"/>
      <c r="E1321" s="36"/>
      <c r="F1321" s="36"/>
      <c r="G1321" s="36"/>
      <c r="H1321" s="36"/>
      <c r="I1321" s="36"/>
      <c r="J1321" s="36"/>
      <c r="K1321" s="36"/>
      <c r="L1321" s="36"/>
      <c r="M1321" s="36"/>
    </row>
    <row r="1322" spans="1:13" hidden="1">
      <c r="A1322" s="36"/>
      <c r="B1322" s="36"/>
      <c r="C1322" s="36"/>
      <c r="D1322" s="36"/>
      <c r="E1322" s="36"/>
      <c r="F1322" s="36"/>
      <c r="G1322" s="36"/>
      <c r="H1322" s="36"/>
      <c r="I1322" s="36"/>
      <c r="J1322" s="36"/>
      <c r="K1322" s="36"/>
      <c r="L1322" s="36"/>
      <c r="M1322" s="36"/>
    </row>
    <row r="1323" spans="1:13" hidden="1">
      <c r="A1323" s="36"/>
      <c r="B1323" s="36"/>
      <c r="C1323" s="36"/>
      <c r="D1323" s="36"/>
      <c r="E1323" s="36"/>
      <c r="F1323" s="36"/>
      <c r="G1323" s="36"/>
      <c r="H1323" s="36"/>
      <c r="I1323" s="36"/>
      <c r="J1323" s="36"/>
      <c r="K1323" s="36"/>
      <c r="L1323" s="36"/>
      <c r="M1323" s="36"/>
    </row>
    <row r="1324" spans="1:13" hidden="1">
      <c r="A1324" s="36"/>
      <c r="B1324" s="36"/>
      <c r="C1324" s="36"/>
      <c r="D1324" s="36"/>
      <c r="E1324" s="36"/>
      <c r="F1324" s="36"/>
      <c r="G1324" s="36"/>
      <c r="H1324" s="36"/>
      <c r="I1324" s="36"/>
      <c r="J1324" s="36"/>
      <c r="K1324" s="36"/>
      <c r="L1324" s="36"/>
      <c r="M1324" s="36"/>
    </row>
    <row r="1325" spans="1:13" hidden="1">
      <c r="A1325" s="36"/>
      <c r="B1325" s="36"/>
      <c r="C1325" s="36"/>
      <c r="D1325" s="36"/>
      <c r="E1325" s="36"/>
      <c r="F1325" s="36"/>
      <c r="G1325" s="36"/>
      <c r="H1325" s="36"/>
      <c r="I1325" s="36"/>
      <c r="J1325" s="36"/>
      <c r="K1325" s="36"/>
      <c r="L1325" s="36"/>
      <c r="M1325" s="36"/>
    </row>
    <row r="1326" spans="1:13" hidden="1">
      <c r="A1326" s="36"/>
      <c r="B1326" s="36"/>
      <c r="C1326" s="36"/>
      <c r="D1326" s="36"/>
      <c r="E1326" s="36"/>
      <c r="F1326" s="36"/>
      <c r="G1326" s="36"/>
      <c r="H1326" s="36"/>
      <c r="I1326" s="36"/>
      <c r="J1326" s="36"/>
      <c r="K1326" s="36"/>
      <c r="L1326" s="36"/>
      <c r="M1326" s="36"/>
    </row>
    <row r="1327" spans="1:13" hidden="1">
      <c r="A1327" s="36"/>
      <c r="B1327" s="36"/>
      <c r="C1327" s="36"/>
      <c r="D1327" s="36"/>
      <c r="E1327" s="36"/>
      <c r="F1327" s="36"/>
      <c r="G1327" s="36"/>
      <c r="H1327" s="36"/>
      <c r="I1327" s="36"/>
      <c r="J1327" s="36"/>
      <c r="K1327" s="36"/>
      <c r="L1327" s="36"/>
      <c r="M1327" s="36"/>
    </row>
    <row r="1328" spans="1:13" hidden="1">
      <c r="A1328" s="36"/>
      <c r="B1328" s="36"/>
      <c r="C1328" s="36"/>
      <c r="D1328" s="36"/>
      <c r="E1328" s="36"/>
      <c r="F1328" s="36"/>
      <c r="G1328" s="36"/>
      <c r="H1328" s="36"/>
      <c r="I1328" s="36"/>
      <c r="J1328" s="36"/>
      <c r="K1328" s="36"/>
      <c r="L1328" s="36"/>
      <c r="M1328" s="36"/>
    </row>
    <row r="1329" spans="1:13" hidden="1">
      <c r="A1329" s="36"/>
      <c r="B1329" s="36"/>
      <c r="C1329" s="36"/>
      <c r="D1329" s="36"/>
      <c r="E1329" s="36"/>
      <c r="F1329" s="36"/>
      <c r="G1329" s="36"/>
      <c r="H1329" s="36"/>
      <c r="I1329" s="36"/>
      <c r="J1329" s="36"/>
      <c r="K1329" s="36"/>
      <c r="L1329" s="36"/>
      <c r="M1329" s="36"/>
    </row>
    <row r="1330" spans="1:13" hidden="1">
      <c r="A1330" s="36"/>
      <c r="B1330" s="36"/>
      <c r="C1330" s="36"/>
      <c r="D1330" s="36"/>
      <c r="E1330" s="36"/>
      <c r="F1330" s="36"/>
      <c r="G1330" s="36"/>
      <c r="H1330" s="36"/>
      <c r="I1330" s="36"/>
      <c r="J1330" s="36"/>
      <c r="K1330" s="36"/>
      <c r="L1330" s="36"/>
      <c r="M1330" s="36"/>
    </row>
    <row r="1331" spans="1:13" hidden="1">
      <c r="A1331" s="36"/>
      <c r="B1331" s="36"/>
      <c r="C1331" s="36"/>
      <c r="D1331" s="36"/>
      <c r="E1331" s="36"/>
      <c r="F1331" s="36"/>
      <c r="G1331" s="36"/>
      <c r="H1331" s="36"/>
      <c r="I1331" s="36"/>
      <c r="J1331" s="36"/>
      <c r="K1331" s="36"/>
      <c r="L1331" s="36"/>
      <c r="M1331" s="36"/>
    </row>
    <row r="1332" spans="1:13" hidden="1">
      <c r="A1332" s="36"/>
      <c r="B1332" s="36"/>
      <c r="C1332" s="36"/>
      <c r="D1332" s="36"/>
      <c r="E1332" s="36"/>
      <c r="F1332" s="36"/>
      <c r="G1332" s="36"/>
      <c r="H1332" s="36"/>
      <c r="I1332" s="36"/>
      <c r="J1332" s="36"/>
      <c r="K1332" s="36"/>
      <c r="L1332" s="36"/>
      <c r="M1332" s="36"/>
    </row>
    <row r="1333" spans="1:13" hidden="1">
      <c r="A1333" s="156" t="s">
        <v>74</v>
      </c>
      <c r="B1333" s="156"/>
      <c r="C1333" s="156"/>
      <c r="D1333" s="156"/>
      <c r="E1333" s="156"/>
      <c r="F1333" s="156"/>
      <c r="G1333" s="156"/>
      <c r="H1333" s="156"/>
      <c r="I1333" s="156"/>
      <c r="J1333" s="156"/>
      <c r="K1333" s="156"/>
      <c r="L1333" s="156"/>
      <c r="M1333" s="156"/>
    </row>
    <row r="1334" spans="1:13" hidden="1">
      <c r="A1334" s="36" t="s">
        <v>3</v>
      </c>
      <c r="B1334" s="36" t="s">
        <v>50</v>
      </c>
      <c r="C1334" s="36" t="s">
        <v>5</v>
      </c>
      <c r="D1334" s="36" t="s">
        <v>51</v>
      </c>
      <c r="E1334" s="36" t="s">
        <v>52</v>
      </c>
      <c r="F1334" s="36" t="s">
        <v>53</v>
      </c>
      <c r="G1334" s="36" t="s">
        <v>54</v>
      </c>
      <c r="H1334" s="36" t="s">
        <v>55</v>
      </c>
      <c r="I1334" s="36" t="s">
        <v>56</v>
      </c>
      <c r="J1334" s="36" t="s">
        <v>57</v>
      </c>
      <c r="K1334" s="36" t="s">
        <v>58</v>
      </c>
      <c r="L1334" s="36" t="s">
        <v>59</v>
      </c>
      <c r="M1334" s="36" t="s">
        <v>60</v>
      </c>
    </row>
    <row r="1335" spans="1:13" hidden="1">
      <c r="A1335" s="36" t="str">
        <f>IF('Steel Beam Design'!A31="","",'Steel Beam Design'!A31)</f>
        <v/>
      </c>
      <c r="B1335" s="36" t="str">
        <f>IF('Steel Beam Design'!B31="","",'Steel Beam Design'!B31)</f>
        <v/>
      </c>
      <c r="C1335" s="36" t="str">
        <f>IF('Steel Beam Design'!C31="","",'Steel Beam Design'!C31)</f>
        <v/>
      </c>
      <c r="D1335" s="36" t="str">
        <f>IF('Steel Beam Design'!D31="","",'Steel Beam Design'!D31)</f>
        <v/>
      </c>
      <c r="E1335" s="36" t="str">
        <f>IF('Steel Beam Design'!E31="","",'Steel Beam Design'!E31)</f>
        <v/>
      </c>
      <c r="F1335" s="36" t="str">
        <f>IF('Steel Beam Design'!F31="","",'Steel Beam Design'!F31)</f>
        <v/>
      </c>
      <c r="G1335" s="36" t="str">
        <f>IF('Steel Beam Design'!G31="","",'Steel Beam Design'!G31)</f>
        <v/>
      </c>
      <c r="H1335" s="36" t="str">
        <f>IF('Steel Beam Design'!H31="","",'Steel Beam Design'!H31)</f>
        <v/>
      </c>
      <c r="I1335" s="36" t="str">
        <f>IF('Steel Beam Design'!I31="","",'Steel Beam Design'!I31)</f>
        <v/>
      </c>
      <c r="J1335" s="36" t="str">
        <f>IF('Steel Beam Design'!J31="","",'Steel Beam Design'!J31)</f>
        <v/>
      </c>
      <c r="K1335" s="36" t="str">
        <f>IF('Steel Beam Design'!K31="","",'Steel Beam Design'!K31)</f>
        <v/>
      </c>
      <c r="L1335" s="36" t="str">
        <f>IF('Steel Beam Design'!L31="","",'Steel Beam Design'!L31)</f>
        <v/>
      </c>
      <c r="M1335" s="36" t="b">
        <f>AND(ISNUMBER(B1335),B1335&gt;0,OR(C1335="Cantilever Supported",C1335="Simply Supported",C1335="Fixed-Fixed"),OR(L1335="",AND(ISNUMBER(L1335),L1335&gt;=0)),OR(D1335="",AND(ISNUMBER(D1335),D1335&gt;=0)),OR(N(D1335)=0,AND(ISNUMBER(E1335),E1335&gt;=0,E1335&lt;=B1335)),OR(F1335="",AND(ISNUMBER(F1335),F1335&gt;=0)),OR(N(F1335)=0,AND(ISNUMBER(G1335),G1335&gt;=0,G1335&lt;=B1335)),OR(H1335="",AND(ISNUMBER(H1335),H1335&gt;=0)),OR(N(H1335)=0,AND(ISNUMBER(I1335),I1335&gt;=0,I1335&lt;=B1335)),OR(J1335="",AND(ISNUMBER(J1335),J1335&gt;=0)),OR(N(J1335)=0,AND(ISNUMBER(K1335),K1335&gt;=0,K1335&lt;=B1335)))</f>
        <v>0</v>
      </c>
    </row>
    <row r="1336" spans="1:13" hidden="1">
      <c r="A1336" s="36"/>
      <c r="B1336" s="36"/>
      <c r="C1336" s="36"/>
      <c r="D1336" s="36"/>
      <c r="E1336" s="36"/>
      <c r="F1336" s="36"/>
      <c r="G1336" s="36"/>
      <c r="H1336" s="36"/>
      <c r="I1336" s="36"/>
      <c r="J1336" s="36"/>
      <c r="K1336" s="36"/>
      <c r="L1336" s="36"/>
      <c r="M1336" s="36"/>
    </row>
    <row r="1337" spans="1:13" hidden="1">
      <c r="A1337" s="36" t="s">
        <v>61</v>
      </c>
      <c r="B1337" s="36">
        <f>IF(M1335,IF(C1335="Cantilever Supported",-(N(D1335)*N(E1335)+N(F1335)*N(G1335)+N(H1335)*N(I1335)+N(J1335)*N(K1335))-N(L1335)*B1335^2/2,IF(C1335="Fixed-Fixed",-(N(D1335)*N(E1335)*(B1335-N(E1335))^2/B1335^2+N(F1335)*N(G1335)*(B1335-N(G1335))^2/B1335^2+N(H1335)*N(I1335)*(B1335-N(I1335))^2/B1335^2+N(J1335)*N(K1335)*(B1335-N(K1335))^2/B1335^2)-N(L1335)*B1335^2/12,0)),0)</f>
        <v>0</v>
      </c>
      <c r="C1337" s="36" t="s">
        <v>62</v>
      </c>
      <c r="D1337" s="36">
        <f>IF(M1335,IF(C1335="Fixed-Fixed",-(N(D1335)*N(E1335)^2*(B1335-N(E1335))/B1335^2+N(F1335)*N(G1335)^2*(B1335-N(G1335))/B1335^2+N(H1335)*N(I1335)^2*(B1335-N(I1335))/B1335^2+N(J1335)*N(K1335)^2*(B1335-N(K1335))/B1335^2)-N(L1335)*B1335^2/12,0),0)</f>
        <v>0</v>
      </c>
      <c r="E1337" s="36" t="s">
        <v>63</v>
      </c>
      <c r="F1337" s="36">
        <f>IF(M1335,IF(C1335="Cantilever Supported",N(D1335)+N(F1335)+N(H1335)+N(J1335)+N(L1335)*B1335,((N(D1335)*(B1335-N(E1335))+N(F1335)*(B1335-N(G1335))+N(H1335)*(B1335-N(I1335))+N(J1335)*(B1335-N(K1335)))+N(L1335)*B1335^2/2+D1337-B1337)/B1335),0)</f>
        <v>0</v>
      </c>
      <c r="G1337" s="36" t="s">
        <v>64</v>
      </c>
      <c r="H1337" s="36">
        <f>MAX(MAX(B1340:B1345),-MIN(B1340:B1345),MAX(E1340:E1344),-MIN(E1340:E1344))</f>
        <v>0</v>
      </c>
      <c r="I1337" s="36"/>
      <c r="J1337" s="36"/>
      <c r="K1337" s="36"/>
      <c r="L1337" s="36"/>
      <c r="M1337" s="36"/>
    </row>
    <row r="1338" spans="1:13" hidden="1">
      <c r="A1338" s="36"/>
      <c r="B1338" s="36"/>
      <c r="C1338" s="36"/>
      <c r="D1338" s="36"/>
      <c r="E1338" s="36"/>
      <c r="F1338" s="36"/>
      <c r="G1338" s="36"/>
      <c r="H1338" s="36"/>
      <c r="I1338" s="36"/>
      <c r="J1338" s="36"/>
      <c r="K1338" s="36"/>
      <c r="L1338" s="36"/>
      <c r="M1338" s="36"/>
    </row>
    <row r="1339" spans="1:13" hidden="1">
      <c r="A1339" s="36" t="s">
        <v>65</v>
      </c>
      <c r="B1339" s="36" t="s">
        <v>66</v>
      </c>
      <c r="C1339" s="36" t="s">
        <v>67</v>
      </c>
      <c r="D1339" s="36" t="s">
        <v>68</v>
      </c>
      <c r="E1339" s="36" t="s">
        <v>69</v>
      </c>
      <c r="F1339" s="36"/>
      <c r="G1339" s="36"/>
      <c r="H1339" s="36">
        <f>0</f>
        <v>0</v>
      </c>
      <c r="I1339" s="36">
        <f>IF(N(D1335)=0,0,N(E1335))</f>
        <v>0</v>
      </c>
      <c r="J1339" s="36">
        <f>IF(N(F1335)=0,0,N(G1335))</f>
        <v>0</v>
      </c>
      <c r="K1339" s="36">
        <f>IF(N(H1335)=0,0,N(I1335))</f>
        <v>0</v>
      </c>
      <c r="L1339" s="36">
        <f>IF(N(J1335)=0,0,N(K1335))</f>
        <v>0</v>
      </c>
      <c r="M1339" s="36">
        <f>IF(M1335,B1335,0)</f>
        <v>0</v>
      </c>
    </row>
    <row r="1340" spans="1:13" hidden="1">
      <c r="A1340" s="37">
        <f>SMALL(H1339:M1339,1)</f>
        <v>0</v>
      </c>
      <c r="B1340" s="37">
        <f>IF(M1335,B1337+F1337*A1340-N(L1335)*A1340^2/2-(N(D1335)*MAX(0,A1340-N(E1335))+N(F1335)*MAX(0,A1340-N(G1335))+N(H1335)*MAX(0,A1340-N(I1335))+N(J1335)*MAX(0,A1340-N(K1335))),0)</f>
        <v>0</v>
      </c>
      <c r="C1340" s="37">
        <f>A1341</f>
        <v>0</v>
      </c>
      <c r="D1340" s="37">
        <f>IF(AND(M1335,N(L1335)&gt;0),MAX(A1340,MIN(C1340,(F1337-(IF(N(E1335)&lt;=A1340,N(D1335),0)+IF(N(G1335)&lt;=A1340,N(F1335),0)+IF(N(I1335)&lt;=A1340,N(H1335),0)+IF(N(K1335)&lt;=A1340,N(J1335),0)))/N(L1335))),A1340)</f>
        <v>0</v>
      </c>
      <c r="E1340" s="37">
        <f>IF(M1335,B1337+F1337*D1340-N(L1335)*D1340^2/2-(N(D1335)*MAX(0,D1340-N(E1335))+N(F1335)*MAX(0,D1340-N(G1335))+N(H1335)*MAX(0,D1340-N(I1335))+N(J1335)*MAX(0,D1340-N(K1335))),0)</f>
        <v>0</v>
      </c>
      <c r="F1340" s="37"/>
      <c r="G1340" s="37"/>
      <c r="H1340" s="37"/>
      <c r="I1340" s="37"/>
      <c r="J1340" s="37"/>
      <c r="K1340" s="37"/>
      <c r="L1340" s="37"/>
      <c r="M1340" s="37"/>
    </row>
    <row r="1341" spans="1:13" hidden="1">
      <c r="A1341" s="37">
        <f>SMALL(H1339:M1339,2)</f>
        <v>0</v>
      </c>
      <c r="B1341" s="37">
        <f>IF(M1335,B1337+F1337*A1341-N(L1335)*A1341^2/2-(N(D1335)*MAX(0,A1341-N(E1335))+N(F1335)*MAX(0,A1341-N(G1335))+N(H1335)*MAX(0,A1341-N(I1335))+N(J1335)*MAX(0,A1341-N(K1335))),0)</f>
        <v>0</v>
      </c>
      <c r="C1341" s="37">
        <f>A1342</f>
        <v>0</v>
      </c>
      <c r="D1341" s="37">
        <f>IF(AND(M1335,N(L1335)&gt;0),MAX(A1341,MIN(C1341,(F1337-(IF(N(E1335)&lt;=A1341,N(D1335),0)+IF(N(G1335)&lt;=A1341,N(F1335),0)+IF(N(I1335)&lt;=A1341,N(H1335),0)+IF(N(K1335)&lt;=A1341,N(J1335),0)))/N(L1335))),A1341)</f>
        <v>0</v>
      </c>
      <c r="E1341" s="37">
        <f>IF(M1335,B1337+F1337*D1341-N(L1335)*D1341^2/2-(N(D1335)*MAX(0,D1341-N(E1335))+N(F1335)*MAX(0,D1341-N(G1335))+N(H1335)*MAX(0,D1341-N(I1335))+N(J1335)*MAX(0,D1341-N(K1335))),0)</f>
        <v>0</v>
      </c>
      <c r="F1341" s="37"/>
      <c r="G1341" s="37"/>
      <c r="H1341" s="37"/>
      <c r="I1341" s="37"/>
      <c r="J1341" s="37"/>
      <c r="K1341" s="37"/>
      <c r="L1341" s="37"/>
      <c r="M1341" s="37"/>
    </row>
    <row r="1342" spans="1:13" hidden="1">
      <c r="A1342" s="37">
        <f>SMALL(H1339:M1339,3)</f>
        <v>0</v>
      </c>
      <c r="B1342" s="37">
        <f>IF(M1335,B1337+F1337*A1342-N(L1335)*A1342^2/2-(N(D1335)*MAX(0,A1342-N(E1335))+N(F1335)*MAX(0,A1342-N(G1335))+N(H1335)*MAX(0,A1342-N(I1335))+N(J1335)*MAX(0,A1342-N(K1335))),0)</f>
        <v>0</v>
      </c>
      <c r="C1342" s="37">
        <f>A1343</f>
        <v>0</v>
      </c>
      <c r="D1342" s="37">
        <f>IF(AND(M1335,N(L1335)&gt;0),MAX(A1342,MIN(C1342,(F1337-(IF(N(E1335)&lt;=A1342,N(D1335),0)+IF(N(G1335)&lt;=A1342,N(F1335),0)+IF(N(I1335)&lt;=A1342,N(H1335),0)+IF(N(K1335)&lt;=A1342,N(J1335),0)))/N(L1335))),A1342)</f>
        <v>0</v>
      </c>
      <c r="E1342" s="37">
        <f>IF(M1335,B1337+F1337*D1342-N(L1335)*D1342^2/2-(N(D1335)*MAX(0,D1342-N(E1335))+N(F1335)*MAX(0,D1342-N(G1335))+N(H1335)*MAX(0,D1342-N(I1335))+N(J1335)*MAX(0,D1342-N(K1335))),0)</f>
        <v>0</v>
      </c>
      <c r="F1342" s="37"/>
      <c r="G1342" s="37"/>
      <c r="H1342" s="37"/>
      <c r="I1342" s="37"/>
      <c r="J1342" s="37"/>
      <c r="K1342" s="37"/>
      <c r="L1342" s="37"/>
      <c r="M1342" s="37"/>
    </row>
    <row r="1343" spans="1:13" hidden="1">
      <c r="A1343" s="37">
        <f>SMALL(H1339:M1339,4)</f>
        <v>0</v>
      </c>
      <c r="B1343" s="37">
        <f>IF(M1335,B1337+F1337*A1343-N(L1335)*A1343^2/2-(N(D1335)*MAX(0,A1343-N(E1335))+N(F1335)*MAX(0,A1343-N(G1335))+N(H1335)*MAX(0,A1343-N(I1335))+N(J1335)*MAX(0,A1343-N(K1335))),0)</f>
        <v>0</v>
      </c>
      <c r="C1343" s="37">
        <f>A1344</f>
        <v>0</v>
      </c>
      <c r="D1343" s="37">
        <f>IF(AND(M1335,N(L1335)&gt;0),MAX(A1343,MIN(C1343,(F1337-(IF(N(E1335)&lt;=A1343,N(D1335),0)+IF(N(G1335)&lt;=A1343,N(F1335),0)+IF(N(I1335)&lt;=A1343,N(H1335),0)+IF(N(K1335)&lt;=A1343,N(J1335),0)))/N(L1335))),A1343)</f>
        <v>0</v>
      </c>
      <c r="E1343" s="37">
        <f>IF(M1335,B1337+F1337*D1343-N(L1335)*D1343^2/2-(N(D1335)*MAX(0,D1343-N(E1335))+N(F1335)*MAX(0,D1343-N(G1335))+N(H1335)*MAX(0,D1343-N(I1335))+N(J1335)*MAX(0,D1343-N(K1335))),0)</f>
        <v>0</v>
      </c>
      <c r="F1343" s="37"/>
      <c r="G1343" s="37"/>
      <c r="H1343" s="37"/>
      <c r="I1343" s="37"/>
      <c r="J1343" s="37"/>
      <c r="K1343" s="37"/>
      <c r="L1343" s="37"/>
      <c r="M1343" s="37"/>
    </row>
    <row r="1344" spans="1:13" hidden="1">
      <c r="A1344" s="37">
        <f>SMALL(H1339:M1339,5)</f>
        <v>0</v>
      </c>
      <c r="B1344" s="37">
        <f>IF(M1335,B1337+F1337*A1344-N(L1335)*A1344^2/2-(N(D1335)*MAX(0,A1344-N(E1335))+N(F1335)*MAX(0,A1344-N(G1335))+N(H1335)*MAX(0,A1344-N(I1335))+N(J1335)*MAX(0,A1344-N(K1335))),0)</f>
        <v>0</v>
      </c>
      <c r="C1344" s="37">
        <f>A1345</f>
        <v>0</v>
      </c>
      <c r="D1344" s="37">
        <f>IF(AND(M1335,N(L1335)&gt;0),MAX(A1344,MIN(C1344,(F1337-(IF(N(E1335)&lt;=A1344,N(D1335),0)+IF(N(G1335)&lt;=A1344,N(F1335),0)+IF(N(I1335)&lt;=A1344,N(H1335),0)+IF(N(K1335)&lt;=A1344,N(J1335),0)))/N(L1335))),A1344)</f>
        <v>0</v>
      </c>
      <c r="E1344" s="37">
        <f>IF(M1335,B1337+F1337*D1344-N(L1335)*D1344^2/2-(N(D1335)*MAX(0,D1344-N(E1335))+N(F1335)*MAX(0,D1344-N(G1335))+N(H1335)*MAX(0,D1344-N(I1335))+N(J1335)*MAX(0,D1344-N(K1335))),0)</f>
        <v>0</v>
      </c>
      <c r="F1344" s="37"/>
      <c r="G1344" s="37"/>
      <c r="H1344" s="37"/>
      <c r="I1344" s="37"/>
      <c r="J1344" s="37"/>
      <c r="K1344" s="37"/>
      <c r="L1344" s="37"/>
      <c r="M1344" s="37"/>
    </row>
    <row r="1345" spans="1:13" hidden="1">
      <c r="A1345" s="37">
        <f>SMALL(H1339:M1339,6)</f>
        <v>0</v>
      </c>
      <c r="B1345" s="37">
        <f>IF(M1335,B1337+F1337*A1345-N(L1335)*A1345^2/2-(N(D1335)*MAX(0,A1345-N(E1335))+N(F1335)*MAX(0,A1345-N(G1335))+N(H1335)*MAX(0,A1345-N(I1335))+N(J1335)*MAX(0,A1345-N(K1335))),0)</f>
        <v>0</v>
      </c>
      <c r="C1345" s="37"/>
      <c r="D1345" s="37"/>
      <c r="E1345" s="37"/>
      <c r="F1345" s="37"/>
      <c r="G1345" s="37"/>
      <c r="H1345" s="37"/>
      <c r="I1345" s="37"/>
      <c r="J1345" s="37"/>
      <c r="K1345" s="37"/>
      <c r="L1345" s="37"/>
      <c r="M1345" s="37"/>
    </row>
    <row r="1346" spans="1:13" hidden="1">
      <c r="A1346" s="36"/>
      <c r="B1346" s="36"/>
      <c r="C1346" s="36"/>
      <c r="D1346" s="36"/>
      <c r="E1346" s="36"/>
      <c r="F1346" s="36"/>
      <c r="G1346" s="36"/>
      <c r="H1346" s="36"/>
      <c r="I1346" s="36"/>
      <c r="J1346" s="36"/>
      <c r="K1346" s="36"/>
      <c r="L1346" s="36"/>
      <c r="M1346" s="36"/>
    </row>
    <row r="1347" spans="1:13" hidden="1">
      <c r="A1347" s="36"/>
      <c r="B1347" s="36"/>
      <c r="C1347" s="36"/>
      <c r="D1347" s="36"/>
      <c r="E1347" s="36"/>
      <c r="F1347" s="36"/>
      <c r="G1347" s="36"/>
      <c r="H1347" s="36"/>
      <c r="I1347" s="36"/>
      <c r="J1347" s="36"/>
      <c r="K1347" s="36"/>
      <c r="L1347" s="36"/>
      <c r="M1347" s="36"/>
    </row>
    <row r="1348" spans="1:13" hidden="1">
      <c r="A1348" s="36"/>
      <c r="B1348" s="36"/>
      <c r="C1348" s="36"/>
      <c r="D1348" s="36"/>
      <c r="E1348" s="36"/>
      <c r="F1348" s="36"/>
      <c r="G1348" s="36"/>
      <c r="H1348" s="36"/>
      <c r="I1348" s="36"/>
      <c r="J1348" s="36"/>
      <c r="K1348" s="36"/>
      <c r="L1348" s="36"/>
      <c r="M1348" s="36"/>
    </row>
    <row r="1349" spans="1:13" hidden="1">
      <c r="A1349" s="36"/>
      <c r="B1349" s="36"/>
      <c r="C1349" s="36"/>
      <c r="D1349" s="36"/>
      <c r="E1349" s="36"/>
      <c r="F1349" s="36"/>
      <c r="G1349" s="36"/>
      <c r="H1349" s="36"/>
      <c r="I1349" s="36"/>
      <c r="J1349" s="36"/>
      <c r="K1349" s="36"/>
      <c r="L1349" s="36"/>
      <c r="M1349" s="36"/>
    </row>
    <row r="1350" spans="1:13" hidden="1">
      <c r="A1350" s="36"/>
      <c r="B1350" s="36"/>
      <c r="C1350" s="36"/>
      <c r="D1350" s="36"/>
      <c r="E1350" s="36"/>
      <c r="F1350" s="36"/>
      <c r="G1350" s="36"/>
      <c r="H1350" s="36"/>
      <c r="I1350" s="36"/>
      <c r="J1350" s="36"/>
      <c r="K1350" s="36"/>
      <c r="L1350" s="36"/>
      <c r="M1350" s="36"/>
    </row>
    <row r="1351" spans="1:13" hidden="1">
      <c r="A1351" s="36"/>
      <c r="B1351" s="36"/>
      <c r="C1351" s="36"/>
      <c r="D1351" s="36"/>
      <c r="E1351" s="36"/>
      <c r="F1351" s="36"/>
      <c r="G1351" s="36"/>
      <c r="H1351" s="36"/>
      <c r="I1351" s="36"/>
      <c r="J1351" s="36"/>
      <c r="K1351" s="36"/>
      <c r="L1351" s="36"/>
      <c r="M1351" s="36"/>
    </row>
    <row r="1352" spans="1:13" hidden="1">
      <c r="A1352" s="36"/>
      <c r="B1352" s="36"/>
      <c r="C1352" s="36"/>
      <c r="D1352" s="36"/>
      <c r="E1352" s="36"/>
      <c r="F1352" s="36"/>
      <c r="G1352" s="36"/>
      <c r="H1352" s="36"/>
      <c r="I1352" s="36"/>
      <c r="J1352" s="36"/>
      <c r="K1352" s="36"/>
      <c r="L1352" s="36"/>
      <c r="M1352" s="36"/>
    </row>
    <row r="1353" spans="1:13" hidden="1">
      <c r="A1353" s="36"/>
      <c r="B1353" s="36"/>
      <c r="C1353" s="36"/>
      <c r="D1353" s="36"/>
      <c r="E1353" s="36"/>
      <c r="F1353" s="36"/>
      <c r="G1353" s="36"/>
      <c r="H1353" s="36"/>
      <c r="I1353" s="36"/>
      <c r="J1353" s="36"/>
      <c r="K1353" s="36"/>
      <c r="L1353" s="36"/>
      <c r="M1353" s="36"/>
    </row>
    <row r="1354" spans="1:13" hidden="1">
      <c r="A1354" s="36"/>
      <c r="B1354" s="36"/>
      <c r="C1354" s="36"/>
      <c r="D1354" s="36"/>
      <c r="E1354" s="36"/>
      <c r="F1354" s="36"/>
      <c r="G1354" s="36"/>
      <c r="H1354" s="36"/>
      <c r="I1354" s="36"/>
      <c r="J1354" s="36"/>
      <c r="K1354" s="36"/>
      <c r="L1354" s="36"/>
      <c r="M1354" s="36"/>
    </row>
    <row r="1355" spans="1:13" hidden="1">
      <c r="A1355" s="36"/>
      <c r="B1355" s="36"/>
      <c r="C1355" s="36"/>
      <c r="D1355" s="36"/>
      <c r="E1355" s="36"/>
      <c r="F1355" s="36"/>
      <c r="G1355" s="36"/>
      <c r="H1355" s="36"/>
      <c r="I1355" s="36"/>
      <c r="J1355" s="36"/>
      <c r="K1355" s="36"/>
      <c r="L1355" s="36"/>
      <c r="M1355" s="36"/>
    </row>
    <row r="1356" spans="1:13" hidden="1">
      <c r="A1356" s="36"/>
      <c r="B1356" s="36"/>
      <c r="C1356" s="36"/>
      <c r="D1356" s="36"/>
      <c r="E1356" s="36"/>
      <c r="F1356" s="36"/>
      <c r="G1356" s="36"/>
      <c r="H1356" s="36"/>
      <c r="I1356" s="36"/>
      <c r="J1356" s="36"/>
      <c r="K1356" s="36"/>
      <c r="L1356" s="36"/>
      <c r="M1356" s="36"/>
    </row>
    <row r="1357" spans="1:13" hidden="1">
      <c r="A1357" s="36"/>
      <c r="B1357" s="36"/>
      <c r="C1357" s="36"/>
      <c r="D1357" s="36"/>
      <c r="E1357" s="36"/>
      <c r="F1357" s="36"/>
      <c r="G1357" s="36"/>
      <c r="H1357" s="36"/>
      <c r="I1357" s="36"/>
      <c r="J1357" s="36"/>
      <c r="K1357" s="36"/>
      <c r="L1357" s="36"/>
      <c r="M1357" s="36"/>
    </row>
    <row r="1358" spans="1:13" hidden="1">
      <c r="A1358" s="156" t="s">
        <v>75</v>
      </c>
      <c r="B1358" s="156"/>
      <c r="C1358" s="156"/>
      <c r="D1358" s="156"/>
      <c r="E1358" s="156"/>
      <c r="F1358" s="156"/>
      <c r="G1358" s="156"/>
      <c r="H1358" s="156"/>
      <c r="I1358" s="156"/>
      <c r="J1358" s="156"/>
      <c r="K1358" s="156"/>
      <c r="L1358" s="156"/>
      <c r="M1358" s="156"/>
    </row>
    <row r="1359" spans="1:13" hidden="1">
      <c r="A1359" s="36" t="s">
        <v>3</v>
      </c>
      <c r="B1359" s="36" t="s">
        <v>50</v>
      </c>
      <c r="C1359" s="36" t="s">
        <v>5</v>
      </c>
      <c r="D1359" s="36" t="s">
        <v>51</v>
      </c>
      <c r="E1359" s="36" t="s">
        <v>52</v>
      </c>
      <c r="F1359" s="36" t="s">
        <v>53</v>
      </c>
      <c r="G1359" s="36" t="s">
        <v>54</v>
      </c>
      <c r="H1359" s="36" t="s">
        <v>55</v>
      </c>
      <c r="I1359" s="36" t="s">
        <v>56</v>
      </c>
      <c r="J1359" s="36" t="s">
        <v>57</v>
      </c>
      <c r="K1359" s="36" t="s">
        <v>58</v>
      </c>
      <c r="L1359" s="36" t="s">
        <v>59</v>
      </c>
      <c r="M1359" s="36" t="s">
        <v>60</v>
      </c>
    </row>
    <row r="1360" spans="1:13" hidden="1">
      <c r="A1360" s="36" t="str">
        <f>IF('Steel Beam Design'!A32="","",'Steel Beam Design'!A32)</f>
        <v/>
      </c>
      <c r="B1360" s="36" t="str">
        <f>IF('Steel Beam Design'!B32="","",'Steel Beam Design'!B32)</f>
        <v/>
      </c>
      <c r="C1360" s="36" t="str">
        <f>IF('Steel Beam Design'!C32="","",'Steel Beam Design'!C32)</f>
        <v/>
      </c>
      <c r="D1360" s="36" t="str">
        <f>IF('Steel Beam Design'!D32="","",'Steel Beam Design'!D32)</f>
        <v/>
      </c>
      <c r="E1360" s="36" t="str">
        <f>IF('Steel Beam Design'!E32="","",'Steel Beam Design'!E32)</f>
        <v/>
      </c>
      <c r="F1360" s="36" t="str">
        <f>IF('Steel Beam Design'!F32="","",'Steel Beam Design'!F32)</f>
        <v/>
      </c>
      <c r="G1360" s="36" t="str">
        <f>IF('Steel Beam Design'!G32="","",'Steel Beam Design'!G32)</f>
        <v/>
      </c>
      <c r="H1360" s="36" t="str">
        <f>IF('Steel Beam Design'!H32="","",'Steel Beam Design'!H32)</f>
        <v/>
      </c>
      <c r="I1360" s="36" t="str">
        <f>IF('Steel Beam Design'!I32="","",'Steel Beam Design'!I32)</f>
        <v/>
      </c>
      <c r="J1360" s="36" t="str">
        <f>IF('Steel Beam Design'!J32="","",'Steel Beam Design'!J32)</f>
        <v/>
      </c>
      <c r="K1360" s="36" t="str">
        <f>IF('Steel Beam Design'!K32="","",'Steel Beam Design'!K32)</f>
        <v/>
      </c>
      <c r="L1360" s="36" t="str">
        <f>IF('Steel Beam Design'!L32="","",'Steel Beam Design'!L32)</f>
        <v/>
      </c>
      <c r="M1360" s="36" t="b">
        <f>AND(ISNUMBER(B1360),B1360&gt;0,OR(C1360="Cantilever Supported",C1360="Simply Supported",C1360="Fixed-Fixed"),OR(L1360="",AND(ISNUMBER(L1360),L1360&gt;=0)),OR(D1360="",AND(ISNUMBER(D1360),D1360&gt;=0)),OR(N(D1360)=0,AND(ISNUMBER(E1360),E1360&gt;=0,E1360&lt;=B1360)),OR(F1360="",AND(ISNUMBER(F1360),F1360&gt;=0)),OR(N(F1360)=0,AND(ISNUMBER(G1360),G1360&gt;=0,G1360&lt;=B1360)),OR(H1360="",AND(ISNUMBER(H1360),H1360&gt;=0)),OR(N(H1360)=0,AND(ISNUMBER(I1360),I1360&gt;=0,I1360&lt;=B1360)),OR(J1360="",AND(ISNUMBER(J1360),J1360&gt;=0)),OR(N(J1360)=0,AND(ISNUMBER(K1360),K1360&gt;=0,K1360&lt;=B1360)))</f>
        <v>0</v>
      </c>
    </row>
    <row r="1361" spans="1:13" hidden="1">
      <c r="A1361" s="36"/>
      <c r="B1361" s="36"/>
      <c r="C1361" s="36"/>
      <c r="D1361" s="36"/>
      <c r="E1361" s="36"/>
      <c r="F1361" s="36"/>
      <c r="G1361" s="36"/>
      <c r="H1361" s="36"/>
      <c r="I1361" s="36"/>
      <c r="J1361" s="36"/>
      <c r="K1361" s="36"/>
      <c r="L1361" s="36"/>
      <c r="M1361" s="36"/>
    </row>
    <row r="1362" spans="1:13" hidden="1">
      <c r="A1362" s="36" t="s">
        <v>61</v>
      </c>
      <c r="B1362" s="36">
        <f>IF(M1360,IF(C1360="Cantilever Supported",-(N(D1360)*N(E1360)+N(F1360)*N(G1360)+N(H1360)*N(I1360)+N(J1360)*N(K1360))-N(L1360)*B1360^2/2,IF(C1360="Fixed-Fixed",-(N(D1360)*N(E1360)*(B1360-N(E1360))^2/B1360^2+N(F1360)*N(G1360)*(B1360-N(G1360))^2/B1360^2+N(H1360)*N(I1360)*(B1360-N(I1360))^2/B1360^2+N(J1360)*N(K1360)*(B1360-N(K1360))^2/B1360^2)-N(L1360)*B1360^2/12,0)),0)</f>
        <v>0</v>
      </c>
      <c r="C1362" s="36" t="s">
        <v>62</v>
      </c>
      <c r="D1362" s="36">
        <f>IF(M1360,IF(C1360="Fixed-Fixed",-(N(D1360)*N(E1360)^2*(B1360-N(E1360))/B1360^2+N(F1360)*N(G1360)^2*(B1360-N(G1360))/B1360^2+N(H1360)*N(I1360)^2*(B1360-N(I1360))/B1360^2+N(J1360)*N(K1360)^2*(B1360-N(K1360))/B1360^2)-N(L1360)*B1360^2/12,0),0)</f>
        <v>0</v>
      </c>
      <c r="E1362" s="36" t="s">
        <v>63</v>
      </c>
      <c r="F1362" s="36">
        <f>IF(M1360,IF(C1360="Cantilever Supported",N(D1360)+N(F1360)+N(H1360)+N(J1360)+N(L1360)*B1360,((N(D1360)*(B1360-N(E1360))+N(F1360)*(B1360-N(G1360))+N(H1360)*(B1360-N(I1360))+N(J1360)*(B1360-N(K1360)))+N(L1360)*B1360^2/2+D1362-B1362)/B1360),0)</f>
        <v>0</v>
      </c>
      <c r="G1362" s="36" t="s">
        <v>64</v>
      </c>
      <c r="H1362" s="36">
        <f>MAX(MAX(B1365:B1370),-MIN(B1365:B1370),MAX(E1365:E1369),-MIN(E1365:E1369))</f>
        <v>0</v>
      </c>
      <c r="I1362" s="36"/>
      <c r="J1362" s="36"/>
      <c r="K1362" s="36"/>
      <c r="L1362" s="36"/>
      <c r="M1362" s="36"/>
    </row>
    <row r="1363" spans="1:13" hidden="1">
      <c r="A1363" s="36"/>
      <c r="B1363" s="36"/>
      <c r="C1363" s="36"/>
      <c r="D1363" s="36"/>
      <c r="E1363" s="36"/>
      <c r="F1363" s="36"/>
      <c r="G1363" s="36"/>
      <c r="H1363" s="36"/>
      <c r="I1363" s="36"/>
      <c r="J1363" s="36"/>
      <c r="K1363" s="36"/>
      <c r="L1363" s="36"/>
      <c r="M1363" s="36"/>
    </row>
    <row r="1364" spans="1:13" hidden="1">
      <c r="A1364" s="36" t="s">
        <v>65</v>
      </c>
      <c r="B1364" s="36" t="s">
        <v>66</v>
      </c>
      <c r="C1364" s="36" t="s">
        <v>67</v>
      </c>
      <c r="D1364" s="36" t="s">
        <v>68</v>
      </c>
      <c r="E1364" s="36" t="s">
        <v>69</v>
      </c>
      <c r="F1364" s="36"/>
      <c r="G1364" s="36"/>
      <c r="H1364" s="36">
        <f>0</f>
        <v>0</v>
      </c>
      <c r="I1364" s="36">
        <f>IF(N(D1360)=0,0,N(E1360))</f>
        <v>0</v>
      </c>
      <c r="J1364" s="36">
        <f>IF(N(F1360)=0,0,N(G1360))</f>
        <v>0</v>
      </c>
      <c r="K1364" s="36">
        <f>IF(N(H1360)=0,0,N(I1360))</f>
        <v>0</v>
      </c>
      <c r="L1364" s="36">
        <f>IF(N(J1360)=0,0,N(K1360))</f>
        <v>0</v>
      </c>
      <c r="M1364" s="36">
        <f>IF(M1360,B1360,0)</f>
        <v>0</v>
      </c>
    </row>
    <row r="1365" spans="1:13" hidden="1">
      <c r="A1365" s="37">
        <f>SMALL(H1364:M1364,1)</f>
        <v>0</v>
      </c>
      <c r="B1365" s="37">
        <f>IF(M1360,B1362+F1362*A1365-N(L1360)*A1365^2/2-(N(D1360)*MAX(0,A1365-N(E1360))+N(F1360)*MAX(0,A1365-N(G1360))+N(H1360)*MAX(0,A1365-N(I1360))+N(J1360)*MAX(0,A1365-N(K1360))),0)</f>
        <v>0</v>
      </c>
      <c r="C1365" s="37">
        <f>A1366</f>
        <v>0</v>
      </c>
      <c r="D1365" s="37">
        <f>IF(AND(M1360,N(L1360)&gt;0),MAX(A1365,MIN(C1365,(F1362-(IF(N(E1360)&lt;=A1365,N(D1360),0)+IF(N(G1360)&lt;=A1365,N(F1360),0)+IF(N(I1360)&lt;=A1365,N(H1360),0)+IF(N(K1360)&lt;=A1365,N(J1360),0)))/N(L1360))),A1365)</f>
        <v>0</v>
      </c>
      <c r="E1365" s="37">
        <f>IF(M1360,B1362+F1362*D1365-N(L1360)*D1365^2/2-(N(D1360)*MAX(0,D1365-N(E1360))+N(F1360)*MAX(0,D1365-N(G1360))+N(H1360)*MAX(0,D1365-N(I1360))+N(J1360)*MAX(0,D1365-N(K1360))),0)</f>
        <v>0</v>
      </c>
      <c r="F1365" s="37"/>
      <c r="G1365" s="37"/>
      <c r="H1365" s="37"/>
      <c r="I1365" s="37"/>
      <c r="J1365" s="37"/>
      <c r="K1365" s="37"/>
      <c r="L1365" s="37"/>
      <c r="M1365" s="37"/>
    </row>
    <row r="1366" spans="1:13" hidden="1">
      <c r="A1366" s="37">
        <f>SMALL(H1364:M1364,2)</f>
        <v>0</v>
      </c>
      <c r="B1366" s="37">
        <f>IF(M1360,B1362+F1362*A1366-N(L1360)*A1366^2/2-(N(D1360)*MAX(0,A1366-N(E1360))+N(F1360)*MAX(0,A1366-N(G1360))+N(H1360)*MAX(0,A1366-N(I1360))+N(J1360)*MAX(0,A1366-N(K1360))),0)</f>
        <v>0</v>
      </c>
      <c r="C1366" s="37">
        <f>A1367</f>
        <v>0</v>
      </c>
      <c r="D1366" s="37">
        <f>IF(AND(M1360,N(L1360)&gt;0),MAX(A1366,MIN(C1366,(F1362-(IF(N(E1360)&lt;=A1366,N(D1360),0)+IF(N(G1360)&lt;=A1366,N(F1360),0)+IF(N(I1360)&lt;=A1366,N(H1360),0)+IF(N(K1360)&lt;=A1366,N(J1360),0)))/N(L1360))),A1366)</f>
        <v>0</v>
      </c>
      <c r="E1366" s="37">
        <f>IF(M1360,B1362+F1362*D1366-N(L1360)*D1366^2/2-(N(D1360)*MAX(0,D1366-N(E1360))+N(F1360)*MAX(0,D1366-N(G1360))+N(H1360)*MAX(0,D1366-N(I1360))+N(J1360)*MAX(0,D1366-N(K1360))),0)</f>
        <v>0</v>
      </c>
      <c r="F1366" s="37"/>
      <c r="G1366" s="37"/>
      <c r="H1366" s="37"/>
      <c r="I1366" s="37"/>
      <c r="J1366" s="37"/>
      <c r="K1366" s="37"/>
      <c r="L1366" s="37"/>
      <c r="M1366" s="37"/>
    </row>
    <row r="1367" spans="1:13" hidden="1">
      <c r="A1367" s="37">
        <f>SMALL(H1364:M1364,3)</f>
        <v>0</v>
      </c>
      <c r="B1367" s="37">
        <f>IF(M1360,B1362+F1362*A1367-N(L1360)*A1367^2/2-(N(D1360)*MAX(0,A1367-N(E1360))+N(F1360)*MAX(0,A1367-N(G1360))+N(H1360)*MAX(0,A1367-N(I1360))+N(J1360)*MAX(0,A1367-N(K1360))),0)</f>
        <v>0</v>
      </c>
      <c r="C1367" s="37">
        <f>A1368</f>
        <v>0</v>
      </c>
      <c r="D1367" s="37">
        <f>IF(AND(M1360,N(L1360)&gt;0),MAX(A1367,MIN(C1367,(F1362-(IF(N(E1360)&lt;=A1367,N(D1360),0)+IF(N(G1360)&lt;=A1367,N(F1360),0)+IF(N(I1360)&lt;=A1367,N(H1360),0)+IF(N(K1360)&lt;=A1367,N(J1360),0)))/N(L1360))),A1367)</f>
        <v>0</v>
      </c>
      <c r="E1367" s="37">
        <f>IF(M1360,B1362+F1362*D1367-N(L1360)*D1367^2/2-(N(D1360)*MAX(0,D1367-N(E1360))+N(F1360)*MAX(0,D1367-N(G1360))+N(H1360)*MAX(0,D1367-N(I1360))+N(J1360)*MAX(0,D1367-N(K1360))),0)</f>
        <v>0</v>
      </c>
      <c r="F1367" s="37"/>
      <c r="G1367" s="37"/>
      <c r="H1367" s="37"/>
      <c r="I1367" s="37"/>
      <c r="J1367" s="37"/>
      <c r="K1367" s="37"/>
      <c r="L1367" s="37"/>
      <c r="M1367" s="37"/>
    </row>
    <row r="1368" spans="1:13" hidden="1">
      <c r="A1368" s="37">
        <f>SMALL(H1364:M1364,4)</f>
        <v>0</v>
      </c>
      <c r="B1368" s="37">
        <f>IF(M1360,B1362+F1362*A1368-N(L1360)*A1368^2/2-(N(D1360)*MAX(0,A1368-N(E1360))+N(F1360)*MAX(0,A1368-N(G1360))+N(H1360)*MAX(0,A1368-N(I1360))+N(J1360)*MAX(0,A1368-N(K1360))),0)</f>
        <v>0</v>
      </c>
      <c r="C1368" s="37">
        <f>A1369</f>
        <v>0</v>
      </c>
      <c r="D1368" s="37">
        <f>IF(AND(M1360,N(L1360)&gt;0),MAX(A1368,MIN(C1368,(F1362-(IF(N(E1360)&lt;=A1368,N(D1360),0)+IF(N(G1360)&lt;=A1368,N(F1360),0)+IF(N(I1360)&lt;=A1368,N(H1360),0)+IF(N(K1360)&lt;=A1368,N(J1360),0)))/N(L1360))),A1368)</f>
        <v>0</v>
      </c>
      <c r="E1368" s="37">
        <f>IF(M1360,B1362+F1362*D1368-N(L1360)*D1368^2/2-(N(D1360)*MAX(0,D1368-N(E1360))+N(F1360)*MAX(0,D1368-N(G1360))+N(H1360)*MAX(0,D1368-N(I1360))+N(J1360)*MAX(0,D1368-N(K1360))),0)</f>
        <v>0</v>
      </c>
      <c r="F1368" s="37"/>
      <c r="G1368" s="37"/>
      <c r="H1368" s="37"/>
      <c r="I1368" s="37"/>
      <c r="J1368" s="37"/>
      <c r="K1368" s="37"/>
      <c r="L1368" s="37"/>
      <c r="M1368" s="37"/>
    </row>
    <row r="1369" spans="1:13" hidden="1">
      <c r="A1369" s="37">
        <f>SMALL(H1364:M1364,5)</f>
        <v>0</v>
      </c>
      <c r="B1369" s="37">
        <f>IF(M1360,B1362+F1362*A1369-N(L1360)*A1369^2/2-(N(D1360)*MAX(0,A1369-N(E1360))+N(F1360)*MAX(0,A1369-N(G1360))+N(H1360)*MAX(0,A1369-N(I1360))+N(J1360)*MAX(0,A1369-N(K1360))),0)</f>
        <v>0</v>
      </c>
      <c r="C1369" s="37">
        <f>A1370</f>
        <v>0</v>
      </c>
      <c r="D1369" s="37">
        <f>IF(AND(M1360,N(L1360)&gt;0),MAX(A1369,MIN(C1369,(F1362-(IF(N(E1360)&lt;=A1369,N(D1360),0)+IF(N(G1360)&lt;=A1369,N(F1360),0)+IF(N(I1360)&lt;=A1369,N(H1360),0)+IF(N(K1360)&lt;=A1369,N(J1360),0)))/N(L1360))),A1369)</f>
        <v>0</v>
      </c>
      <c r="E1369" s="37">
        <f>IF(M1360,B1362+F1362*D1369-N(L1360)*D1369^2/2-(N(D1360)*MAX(0,D1369-N(E1360))+N(F1360)*MAX(0,D1369-N(G1360))+N(H1360)*MAX(0,D1369-N(I1360))+N(J1360)*MAX(0,D1369-N(K1360))),0)</f>
        <v>0</v>
      </c>
      <c r="F1369" s="37"/>
      <c r="G1369" s="37"/>
      <c r="H1369" s="37"/>
      <c r="I1369" s="37"/>
      <c r="J1369" s="37"/>
      <c r="K1369" s="37"/>
      <c r="L1369" s="37"/>
      <c r="M1369" s="37"/>
    </row>
    <row r="1370" spans="1:13" hidden="1">
      <c r="A1370" s="37">
        <f>SMALL(H1364:M1364,6)</f>
        <v>0</v>
      </c>
      <c r="B1370" s="37">
        <f>IF(M1360,B1362+F1362*A1370-N(L1360)*A1370^2/2-(N(D1360)*MAX(0,A1370-N(E1360))+N(F1360)*MAX(0,A1370-N(G1360))+N(H1360)*MAX(0,A1370-N(I1360))+N(J1360)*MAX(0,A1370-N(K1360))),0)</f>
        <v>0</v>
      </c>
      <c r="C1370" s="37"/>
      <c r="D1370" s="37"/>
      <c r="E1370" s="37"/>
      <c r="F1370" s="37"/>
      <c r="G1370" s="37"/>
      <c r="H1370" s="37"/>
      <c r="I1370" s="37"/>
      <c r="J1370" s="37"/>
      <c r="K1370" s="37"/>
      <c r="L1370" s="37"/>
      <c r="M1370" s="37"/>
    </row>
    <row r="1371" spans="1:13" hidden="1">
      <c r="A1371" s="36"/>
      <c r="B1371" s="36"/>
      <c r="C1371" s="36"/>
      <c r="D1371" s="36"/>
      <c r="E1371" s="36"/>
      <c r="F1371" s="36"/>
      <c r="G1371" s="36"/>
      <c r="H1371" s="36"/>
      <c r="I1371" s="36"/>
      <c r="J1371" s="36"/>
      <c r="K1371" s="36"/>
      <c r="L1371" s="36"/>
      <c r="M1371" s="36"/>
    </row>
    <row r="1372" spans="1:13" hidden="1">
      <c r="A1372" s="36"/>
      <c r="B1372" s="36"/>
      <c r="C1372" s="36"/>
      <c r="D1372" s="36"/>
      <c r="E1372" s="36"/>
      <c r="F1372" s="36"/>
      <c r="G1372" s="36"/>
      <c r="H1372" s="36"/>
      <c r="I1372" s="36"/>
      <c r="J1372" s="36"/>
      <c r="K1372" s="36"/>
      <c r="L1372" s="36"/>
      <c r="M1372" s="36"/>
    </row>
    <row r="1373" spans="1:13" hidden="1">
      <c r="A1373" s="36"/>
      <c r="B1373" s="36"/>
      <c r="C1373" s="36"/>
      <c r="D1373" s="36"/>
      <c r="E1373" s="36"/>
      <c r="F1373" s="36"/>
      <c r="G1373" s="36"/>
      <c r="H1373" s="36"/>
      <c r="I1373" s="36"/>
      <c r="J1373" s="36"/>
      <c r="K1373" s="36"/>
      <c r="L1373" s="36"/>
      <c r="M1373" s="36"/>
    </row>
    <row r="1374" spans="1:13" hidden="1">
      <c r="A1374" s="36"/>
      <c r="B1374" s="36"/>
      <c r="C1374" s="36"/>
      <c r="D1374" s="36"/>
      <c r="E1374" s="36"/>
      <c r="F1374" s="36"/>
      <c r="G1374" s="36"/>
      <c r="H1374" s="36"/>
      <c r="I1374" s="36"/>
      <c r="J1374" s="36"/>
      <c r="K1374" s="36"/>
      <c r="L1374" s="36"/>
      <c r="M1374" s="36"/>
    </row>
    <row r="1375" spans="1:13" hidden="1">
      <c r="A1375" s="36"/>
      <c r="B1375" s="36"/>
      <c r="C1375" s="36"/>
      <c r="D1375" s="36"/>
      <c r="E1375" s="36"/>
      <c r="F1375" s="36"/>
      <c r="G1375" s="36"/>
      <c r="H1375" s="36"/>
      <c r="I1375" s="36"/>
      <c r="J1375" s="36"/>
      <c r="K1375" s="36"/>
      <c r="L1375" s="36"/>
      <c r="M1375" s="36"/>
    </row>
    <row r="1376" spans="1:13" hidden="1">
      <c r="A1376" s="36"/>
      <c r="B1376" s="36"/>
      <c r="C1376" s="36"/>
      <c r="D1376" s="36"/>
      <c r="E1376" s="36"/>
      <c r="F1376" s="36"/>
      <c r="G1376" s="36"/>
      <c r="H1376" s="36"/>
      <c r="I1376" s="36"/>
      <c r="J1376" s="36"/>
      <c r="K1376" s="36"/>
      <c r="L1376" s="36"/>
      <c r="M1376" s="36"/>
    </row>
    <row r="1377" spans="1:13" hidden="1">
      <c r="A1377" s="36"/>
      <c r="B1377" s="36"/>
      <c r="C1377" s="36"/>
      <c r="D1377" s="36"/>
      <c r="E1377" s="36"/>
      <c r="F1377" s="36"/>
      <c r="G1377" s="36"/>
      <c r="H1377" s="36"/>
      <c r="I1377" s="36"/>
      <c r="J1377" s="36"/>
      <c r="K1377" s="36"/>
      <c r="L1377" s="36"/>
      <c r="M1377" s="36"/>
    </row>
    <row r="1378" spans="1:13" hidden="1">
      <c r="A1378" s="36"/>
      <c r="B1378" s="36"/>
      <c r="C1378" s="36"/>
      <c r="D1378" s="36"/>
      <c r="E1378" s="36"/>
      <c r="F1378" s="36"/>
      <c r="G1378" s="36"/>
      <c r="H1378" s="36"/>
      <c r="I1378" s="36"/>
      <c r="J1378" s="36"/>
      <c r="K1378" s="36"/>
      <c r="L1378" s="36"/>
      <c r="M1378" s="36"/>
    </row>
    <row r="1379" spans="1:13" hidden="1">
      <c r="A1379" s="36"/>
      <c r="B1379" s="36"/>
      <c r="C1379" s="36"/>
      <c r="D1379" s="36"/>
      <c r="E1379" s="36"/>
      <c r="F1379" s="36"/>
      <c r="G1379" s="36"/>
      <c r="H1379" s="36"/>
      <c r="I1379" s="36"/>
      <c r="J1379" s="36"/>
      <c r="K1379" s="36"/>
      <c r="L1379" s="36"/>
      <c r="M1379" s="36"/>
    </row>
    <row r="1380" spans="1:13" hidden="1">
      <c r="A1380" s="36"/>
      <c r="B1380" s="36"/>
      <c r="C1380" s="36"/>
      <c r="D1380" s="36"/>
      <c r="E1380" s="36"/>
      <c r="F1380" s="36"/>
      <c r="G1380" s="36"/>
      <c r="H1380" s="36"/>
      <c r="I1380" s="36"/>
      <c r="J1380" s="36"/>
      <c r="K1380" s="36"/>
      <c r="L1380" s="36"/>
      <c r="M1380" s="36"/>
    </row>
    <row r="1381" spans="1:13" hidden="1">
      <c r="A1381" s="36"/>
      <c r="B1381" s="36"/>
      <c r="C1381" s="36"/>
      <c r="D1381" s="36"/>
      <c r="E1381" s="36"/>
      <c r="F1381" s="36"/>
      <c r="G1381" s="36"/>
      <c r="H1381" s="36"/>
      <c r="I1381" s="36"/>
      <c r="J1381" s="36"/>
      <c r="K1381" s="36"/>
      <c r="L1381" s="36"/>
      <c r="M1381" s="36"/>
    </row>
    <row r="1382" spans="1:13" hidden="1">
      <c r="A1382" s="36"/>
      <c r="B1382" s="36"/>
      <c r="C1382" s="36"/>
      <c r="D1382" s="36"/>
      <c r="E1382" s="36"/>
      <c r="F1382" s="36"/>
      <c r="G1382" s="36"/>
      <c r="H1382" s="36"/>
      <c r="I1382" s="36"/>
      <c r="J1382" s="36"/>
      <c r="K1382" s="36"/>
      <c r="L1382" s="36"/>
      <c r="M1382" s="36"/>
    </row>
    <row r="1383" spans="1:13" hidden="1">
      <c r="A1383" s="156" t="s">
        <v>76</v>
      </c>
      <c r="B1383" s="156"/>
      <c r="C1383" s="156"/>
      <c r="D1383" s="156"/>
      <c r="E1383" s="156"/>
      <c r="F1383" s="156"/>
      <c r="G1383" s="156"/>
      <c r="H1383" s="156"/>
      <c r="I1383" s="156"/>
      <c r="J1383" s="156"/>
      <c r="K1383" s="156"/>
      <c r="L1383" s="156"/>
      <c r="M1383" s="156"/>
    </row>
    <row r="1384" spans="1:13" hidden="1">
      <c r="A1384" s="36" t="s">
        <v>3</v>
      </c>
      <c r="B1384" s="36" t="s">
        <v>50</v>
      </c>
      <c r="C1384" s="36" t="s">
        <v>5</v>
      </c>
      <c r="D1384" s="36" t="s">
        <v>51</v>
      </c>
      <c r="E1384" s="36" t="s">
        <v>52</v>
      </c>
      <c r="F1384" s="36" t="s">
        <v>53</v>
      </c>
      <c r="G1384" s="36" t="s">
        <v>54</v>
      </c>
      <c r="H1384" s="36" t="s">
        <v>55</v>
      </c>
      <c r="I1384" s="36" t="s">
        <v>56</v>
      </c>
      <c r="J1384" s="36" t="s">
        <v>57</v>
      </c>
      <c r="K1384" s="36" t="s">
        <v>58</v>
      </c>
      <c r="L1384" s="36" t="s">
        <v>59</v>
      </c>
      <c r="M1384" s="36" t="s">
        <v>60</v>
      </c>
    </row>
    <row r="1385" spans="1:13" hidden="1">
      <c r="A1385" s="36" t="str">
        <f>IF('Steel Beam Design'!A33="","",'Steel Beam Design'!A33)</f>
        <v/>
      </c>
      <c r="B1385" s="36" t="str">
        <f>IF('Steel Beam Design'!B33="","",'Steel Beam Design'!B33)</f>
        <v/>
      </c>
      <c r="C1385" s="36" t="str">
        <f>IF('Steel Beam Design'!C33="","",'Steel Beam Design'!C33)</f>
        <v/>
      </c>
      <c r="D1385" s="36" t="str">
        <f>IF('Steel Beam Design'!D33="","",'Steel Beam Design'!D33)</f>
        <v/>
      </c>
      <c r="E1385" s="36" t="str">
        <f>IF('Steel Beam Design'!E33="","",'Steel Beam Design'!E33)</f>
        <v/>
      </c>
      <c r="F1385" s="36" t="str">
        <f>IF('Steel Beam Design'!F33="","",'Steel Beam Design'!F33)</f>
        <v/>
      </c>
      <c r="G1385" s="36" t="str">
        <f>IF('Steel Beam Design'!G33="","",'Steel Beam Design'!G33)</f>
        <v/>
      </c>
      <c r="H1385" s="36" t="str">
        <f>IF('Steel Beam Design'!H33="","",'Steel Beam Design'!H33)</f>
        <v/>
      </c>
      <c r="I1385" s="36" t="str">
        <f>IF('Steel Beam Design'!I33="","",'Steel Beam Design'!I33)</f>
        <v/>
      </c>
      <c r="J1385" s="36" t="str">
        <f>IF('Steel Beam Design'!J33="","",'Steel Beam Design'!J33)</f>
        <v/>
      </c>
      <c r="K1385" s="36" t="str">
        <f>IF('Steel Beam Design'!K33="","",'Steel Beam Design'!K33)</f>
        <v/>
      </c>
      <c r="L1385" s="36" t="str">
        <f>IF('Steel Beam Design'!L33="","",'Steel Beam Design'!L33)</f>
        <v/>
      </c>
      <c r="M1385" s="36" t="b">
        <f>AND(ISNUMBER(B1385),B1385&gt;0,OR(C1385="Cantilever Supported",C1385="Simply Supported",C1385="Fixed-Fixed"),OR(L1385="",AND(ISNUMBER(L1385),L1385&gt;=0)),OR(D1385="",AND(ISNUMBER(D1385),D1385&gt;=0)),OR(N(D1385)=0,AND(ISNUMBER(E1385),E1385&gt;=0,E1385&lt;=B1385)),OR(F1385="",AND(ISNUMBER(F1385),F1385&gt;=0)),OR(N(F1385)=0,AND(ISNUMBER(G1385),G1385&gt;=0,G1385&lt;=B1385)),OR(H1385="",AND(ISNUMBER(H1385),H1385&gt;=0)),OR(N(H1385)=0,AND(ISNUMBER(I1385),I1385&gt;=0,I1385&lt;=B1385)),OR(J1385="",AND(ISNUMBER(J1385),J1385&gt;=0)),OR(N(J1385)=0,AND(ISNUMBER(K1385),K1385&gt;=0,K1385&lt;=B1385)))</f>
        <v>0</v>
      </c>
    </row>
    <row r="1386" spans="1:13" hidden="1">
      <c r="A1386" s="36"/>
      <c r="B1386" s="36"/>
      <c r="C1386" s="36"/>
      <c r="D1386" s="36"/>
      <c r="E1386" s="36"/>
      <c r="F1386" s="36"/>
      <c r="G1386" s="36"/>
      <c r="H1386" s="36"/>
      <c r="I1386" s="36"/>
      <c r="J1386" s="36"/>
      <c r="K1386" s="36"/>
      <c r="L1386" s="36"/>
      <c r="M1386" s="36"/>
    </row>
    <row r="1387" spans="1:13" hidden="1">
      <c r="A1387" s="36" t="s">
        <v>61</v>
      </c>
      <c r="B1387" s="36">
        <f>IF(M1385,IF(C1385="Cantilever Supported",-(N(D1385)*N(E1385)+N(F1385)*N(G1385)+N(H1385)*N(I1385)+N(J1385)*N(K1385))-N(L1385)*B1385^2/2,IF(C1385="Fixed-Fixed",-(N(D1385)*N(E1385)*(B1385-N(E1385))^2/B1385^2+N(F1385)*N(G1385)*(B1385-N(G1385))^2/B1385^2+N(H1385)*N(I1385)*(B1385-N(I1385))^2/B1385^2+N(J1385)*N(K1385)*(B1385-N(K1385))^2/B1385^2)-N(L1385)*B1385^2/12,0)),0)</f>
        <v>0</v>
      </c>
      <c r="C1387" s="36" t="s">
        <v>62</v>
      </c>
      <c r="D1387" s="36">
        <f>IF(M1385,IF(C1385="Fixed-Fixed",-(N(D1385)*N(E1385)^2*(B1385-N(E1385))/B1385^2+N(F1385)*N(G1385)^2*(B1385-N(G1385))/B1385^2+N(H1385)*N(I1385)^2*(B1385-N(I1385))/B1385^2+N(J1385)*N(K1385)^2*(B1385-N(K1385))/B1385^2)-N(L1385)*B1385^2/12,0),0)</f>
        <v>0</v>
      </c>
      <c r="E1387" s="36" t="s">
        <v>63</v>
      </c>
      <c r="F1387" s="36">
        <f>IF(M1385,IF(C1385="Cantilever Supported",N(D1385)+N(F1385)+N(H1385)+N(J1385)+N(L1385)*B1385,((N(D1385)*(B1385-N(E1385))+N(F1385)*(B1385-N(G1385))+N(H1385)*(B1385-N(I1385))+N(J1385)*(B1385-N(K1385)))+N(L1385)*B1385^2/2+D1387-B1387)/B1385),0)</f>
        <v>0</v>
      </c>
      <c r="G1387" s="36" t="s">
        <v>64</v>
      </c>
      <c r="H1387" s="36">
        <f>MAX(MAX(B1390:B1395),-MIN(B1390:B1395),MAX(E1390:E1394),-MIN(E1390:E1394))</f>
        <v>0</v>
      </c>
      <c r="I1387" s="36"/>
      <c r="J1387" s="36"/>
      <c r="K1387" s="36"/>
      <c r="L1387" s="36"/>
      <c r="M1387" s="36"/>
    </row>
    <row r="1388" spans="1:13" hidden="1">
      <c r="A1388" s="36"/>
      <c r="B1388" s="36"/>
      <c r="C1388" s="36"/>
      <c r="D1388" s="36"/>
      <c r="E1388" s="36"/>
      <c r="F1388" s="36"/>
      <c r="G1388" s="36"/>
      <c r="H1388" s="36"/>
      <c r="I1388" s="36"/>
      <c r="J1388" s="36"/>
      <c r="K1388" s="36"/>
      <c r="L1388" s="36"/>
      <c r="M1388" s="36"/>
    </row>
    <row r="1389" spans="1:13" hidden="1">
      <c r="A1389" s="36" t="s">
        <v>65</v>
      </c>
      <c r="B1389" s="36" t="s">
        <v>66</v>
      </c>
      <c r="C1389" s="36" t="s">
        <v>67</v>
      </c>
      <c r="D1389" s="36" t="s">
        <v>68</v>
      </c>
      <c r="E1389" s="36" t="s">
        <v>69</v>
      </c>
      <c r="F1389" s="36"/>
      <c r="G1389" s="36"/>
      <c r="H1389" s="36">
        <f>0</f>
        <v>0</v>
      </c>
      <c r="I1389" s="36">
        <f>IF(N(D1385)=0,0,N(E1385))</f>
        <v>0</v>
      </c>
      <c r="J1389" s="36">
        <f>IF(N(F1385)=0,0,N(G1385))</f>
        <v>0</v>
      </c>
      <c r="K1389" s="36">
        <f>IF(N(H1385)=0,0,N(I1385))</f>
        <v>0</v>
      </c>
      <c r="L1389" s="36">
        <f>IF(N(J1385)=0,0,N(K1385))</f>
        <v>0</v>
      </c>
      <c r="M1389" s="36">
        <f>IF(M1385,B1385,0)</f>
        <v>0</v>
      </c>
    </row>
    <row r="1390" spans="1:13" hidden="1">
      <c r="A1390" s="37">
        <f>SMALL(H1389:M1389,1)</f>
        <v>0</v>
      </c>
      <c r="B1390" s="37">
        <f>IF(M1385,B1387+F1387*A1390-N(L1385)*A1390^2/2-(N(D1385)*MAX(0,A1390-N(E1385))+N(F1385)*MAX(0,A1390-N(G1385))+N(H1385)*MAX(0,A1390-N(I1385))+N(J1385)*MAX(0,A1390-N(K1385))),0)</f>
        <v>0</v>
      </c>
      <c r="C1390" s="37">
        <f>A1391</f>
        <v>0</v>
      </c>
      <c r="D1390" s="37">
        <f>IF(AND(M1385,N(L1385)&gt;0),MAX(A1390,MIN(C1390,(F1387-(IF(N(E1385)&lt;=A1390,N(D1385),0)+IF(N(G1385)&lt;=A1390,N(F1385),0)+IF(N(I1385)&lt;=A1390,N(H1385),0)+IF(N(K1385)&lt;=A1390,N(J1385),0)))/N(L1385))),A1390)</f>
        <v>0</v>
      </c>
      <c r="E1390" s="37">
        <f>IF(M1385,B1387+F1387*D1390-N(L1385)*D1390^2/2-(N(D1385)*MAX(0,D1390-N(E1385))+N(F1385)*MAX(0,D1390-N(G1385))+N(H1385)*MAX(0,D1390-N(I1385))+N(J1385)*MAX(0,D1390-N(K1385))),0)</f>
        <v>0</v>
      </c>
      <c r="F1390" s="37"/>
      <c r="G1390" s="37"/>
      <c r="H1390" s="37"/>
      <c r="I1390" s="37"/>
      <c r="J1390" s="37"/>
      <c r="K1390" s="37"/>
      <c r="L1390" s="37"/>
      <c r="M1390" s="37"/>
    </row>
    <row r="1391" spans="1:13" hidden="1">
      <c r="A1391" s="37">
        <f>SMALL(H1389:M1389,2)</f>
        <v>0</v>
      </c>
      <c r="B1391" s="37">
        <f>IF(M1385,B1387+F1387*A1391-N(L1385)*A1391^2/2-(N(D1385)*MAX(0,A1391-N(E1385))+N(F1385)*MAX(0,A1391-N(G1385))+N(H1385)*MAX(0,A1391-N(I1385))+N(J1385)*MAX(0,A1391-N(K1385))),0)</f>
        <v>0</v>
      </c>
      <c r="C1391" s="37">
        <f>A1392</f>
        <v>0</v>
      </c>
      <c r="D1391" s="37">
        <f>IF(AND(M1385,N(L1385)&gt;0),MAX(A1391,MIN(C1391,(F1387-(IF(N(E1385)&lt;=A1391,N(D1385),0)+IF(N(G1385)&lt;=A1391,N(F1385),0)+IF(N(I1385)&lt;=A1391,N(H1385),0)+IF(N(K1385)&lt;=A1391,N(J1385),0)))/N(L1385))),A1391)</f>
        <v>0</v>
      </c>
      <c r="E1391" s="37">
        <f>IF(M1385,B1387+F1387*D1391-N(L1385)*D1391^2/2-(N(D1385)*MAX(0,D1391-N(E1385))+N(F1385)*MAX(0,D1391-N(G1385))+N(H1385)*MAX(0,D1391-N(I1385))+N(J1385)*MAX(0,D1391-N(K1385))),0)</f>
        <v>0</v>
      </c>
      <c r="F1391" s="37"/>
      <c r="G1391" s="37"/>
      <c r="H1391" s="37"/>
      <c r="I1391" s="37"/>
      <c r="J1391" s="37"/>
      <c r="K1391" s="37"/>
      <c r="L1391" s="37"/>
      <c r="M1391" s="37"/>
    </row>
    <row r="1392" spans="1:13" hidden="1">
      <c r="A1392" s="37">
        <f>SMALL(H1389:M1389,3)</f>
        <v>0</v>
      </c>
      <c r="B1392" s="37">
        <f>IF(M1385,B1387+F1387*A1392-N(L1385)*A1392^2/2-(N(D1385)*MAX(0,A1392-N(E1385))+N(F1385)*MAX(0,A1392-N(G1385))+N(H1385)*MAX(0,A1392-N(I1385))+N(J1385)*MAX(0,A1392-N(K1385))),0)</f>
        <v>0</v>
      </c>
      <c r="C1392" s="37">
        <f>A1393</f>
        <v>0</v>
      </c>
      <c r="D1392" s="37">
        <f>IF(AND(M1385,N(L1385)&gt;0),MAX(A1392,MIN(C1392,(F1387-(IF(N(E1385)&lt;=A1392,N(D1385),0)+IF(N(G1385)&lt;=A1392,N(F1385),0)+IF(N(I1385)&lt;=A1392,N(H1385),0)+IF(N(K1385)&lt;=A1392,N(J1385),0)))/N(L1385))),A1392)</f>
        <v>0</v>
      </c>
      <c r="E1392" s="37">
        <f>IF(M1385,B1387+F1387*D1392-N(L1385)*D1392^2/2-(N(D1385)*MAX(0,D1392-N(E1385))+N(F1385)*MAX(0,D1392-N(G1385))+N(H1385)*MAX(0,D1392-N(I1385))+N(J1385)*MAX(0,D1392-N(K1385))),0)</f>
        <v>0</v>
      </c>
      <c r="F1392" s="37"/>
      <c r="G1392" s="37"/>
      <c r="H1392" s="37"/>
      <c r="I1392" s="37"/>
      <c r="J1392" s="37"/>
      <c r="K1392" s="37"/>
      <c r="L1392" s="37"/>
      <c r="M1392" s="37"/>
    </row>
    <row r="1393" spans="1:13" hidden="1">
      <c r="A1393" s="37">
        <f>SMALL(H1389:M1389,4)</f>
        <v>0</v>
      </c>
      <c r="B1393" s="37">
        <f>IF(M1385,B1387+F1387*A1393-N(L1385)*A1393^2/2-(N(D1385)*MAX(0,A1393-N(E1385))+N(F1385)*MAX(0,A1393-N(G1385))+N(H1385)*MAX(0,A1393-N(I1385))+N(J1385)*MAX(0,A1393-N(K1385))),0)</f>
        <v>0</v>
      </c>
      <c r="C1393" s="37">
        <f>A1394</f>
        <v>0</v>
      </c>
      <c r="D1393" s="37">
        <f>IF(AND(M1385,N(L1385)&gt;0),MAX(A1393,MIN(C1393,(F1387-(IF(N(E1385)&lt;=A1393,N(D1385),0)+IF(N(G1385)&lt;=A1393,N(F1385),0)+IF(N(I1385)&lt;=A1393,N(H1385),0)+IF(N(K1385)&lt;=A1393,N(J1385),0)))/N(L1385))),A1393)</f>
        <v>0</v>
      </c>
      <c r="E1393" s="37">
        <f>IF(M1385,B1387+F1387*D1393-N(L1385)*D1393^2/2-(N(D1385)*MAX(0,D1393-N(E1385))+N(F1385)*MAX(0,D1393-N(G1385))+N(H1385)*MAX(0,D1393-N(I1385))+N(J1385)*MAX(0,D1393-N(K1385))),0)</f>
        <v>0</v>
      </c>
      <c r="F1393" s="37"/>
      <c r="G1393" s="37"/>
      <c r="H1393" s="37"/>
      <c r="I1393" s="37"/>
      <c r="J1393" s="37"/>
      <c r="K1393" s="37"/>
      <c r="L1393" s="37"/>
      <c r="M1393" s="37"/>
    </row>
    <row r="1394" spans="1:13" hidden="1">
      <c r="A1394" s="37">
        <f>SMALL(H1389:M1389,5)</f>
        <v>0</v>
      </c>
      <c r="B1394" s="37">
        <f>IF(M1385,B1387+F1387*A1394-N(L1385)*A1394^2/2-(N(D1385)*MAX(0,A1394-N(E1385))+N(F1385)*MAX(0,A1394-N(G1385))+N(H1385)*MAX(0,A1394-N(I1385))+N(J1385)*MAX(0,A1394-N(K1385))),0)</f>
        <v>0</v>
      </c>
      <c r="C1394" s="37">
        <f>A1395</f>
        <v>0</v>
      </c>
      <c r="D1394" s="37">
        <f>IF(AND(M1385,N(L1385)&gt;0),MAX(A1394,MIN(C1394,(F1387-(IF(N(E1385)&lt;=A1394,N(D1385),0)+IF(N(G1385)&lt;=A1394,N(F1385),0)+IF(N(I1385)&lt;=A1394,N(H1385),0)+IF(N(K1385)&lt;=A1394,N(J1385),0)))/N(L1385))),A1394)</f>
        <v>0</v>
      </c>
      <c r="E1394" s="37">
        <f>IF(M1385,B1387+F1387*D1394-N(L1385)*D1394^2/2-(N(D1385)*MAX(0,D1394-N(E1385))+N(F1385)*MAX(0,D1394-N(G1385))+N(H1385)*MAX(0,D1394-N(I1385))+N(J1385)*MAX(0,D1394-N(K1385))),0)</f>
        <v>0</v>
      </c>
      <c r="F1394" s="37"/>
      <c r="G1394" s="37"/>
      <c r="H1394" s="37"/>
      <c r="I1394" s="37"/>
      <c r="J1394" s="37"/>
      <c r="K1394" s="37"/>
      <c r="L1394" s="37"/>
      <c r="M1394" s="37"/>
    </row>
    <row r="1395" spans="1:13" hidden="1">
      <c r="A1395" s="37">
        <f>SMALL(H1389:M1389,6)</f>
        <v>0</v>
      </c>
      <c r="B1395" s="37">
        <f>IF(M1385,B1387+F1387*A1395-N(L1385)*A1395^2/2-(N(D1385)*MAX(0,A1395-N(E1385))+N(F1385)*MAX(0,A1395-N(G1385))+N(H1385)*MAX(0,A1395-N(I1385))+N(J1385)*MAX(0,A1395-N(K1385))),0)</f>
        <v>0</v>
      </c>
      <c r="C1395" s="37"/>
      <c r="D1395" s="37"/>
      <c r="E1395" s="37"/>
      <c r="F1395" s="37"/>
      <c r="G1395" s="37"/>
      <c r="H1395" s="37"/>
      <c r="I1395" s="37"/>
      <c r="J1395" s="37"/>
      <c r="K1395" s="37"/>
      <c r="L1395" s="37"/>
      <c r="M1395" s="37"/>
    </row>
    <row r="1396" spans="1:13" hidden="1">
      <c r="A1396" s="36"/>
      <c r="B1396" s="36"/>
      <c r="C1396" s="36"/>
      <c r="D1396" s="36"/>
      <c r="E1396" s="36"/>
      <c r="F1396" s="36"/>
      <c r="G1396" s="36"/>
      <c r="H1396" s="36"/>
      <c r="I1396" s="36"/>
      <c r="J1396" s="36"/>
      <c r="K1396" s="36"/>
      <c r="L1396" s="36"/>
      <c r="M1396" s="36"/>
    </row>
    <row r="1397" spans="1:13" hidden="1">
      <c r="A1397" s="36"/>
      <c r="B1397" s="36"/>
      <c r="C1397" s="36"/>
      <c r="D1397" s="36"/>
      <c r="E1397" s="36"/>
      <c r="F1397" s="36"/>
      <c r="G1397" s="36"/>
      <c r="H1397" s="36"/>
      <c r="I1397" s="36"/>
      <c r="J1397" s="36"/>
      <c r="K1397" s="36"/>
      <c r="L1397" s="36"/>
      <c r="M1397" s="36"/>
    </row>
    <row r="1398" spans="1:13" hidden="1">
      <c r="A1398" s="36"/>
      <c r="B1398" s="36"/>
      <c r="C1398" s="36"/>
      <c r="D1398" s="36"/>
      <c r="E1398" s="36"/>
      <c r="F1398" s="36"/>
      <c r="G1398" s="36"/>
      <c r="H1398" s="36"/>
      <c r="I1398" s="36"/>
      <c r="J1398" s="36"/>
      <c r="K1398" s="36"/>
      <c r="L1398" s="36"/>
      <c r="M1398" s="36"/>
    </row>
    <row r="1399" spans="1:13" hidden="1">
      <c r="A1399" s="36"/>
      <c r="B1399" s="36"/>
      <c r="C1399" s="36"/>
      <c r="D1399" s="36"/>
      <c r="E1399" s="36"/>
      <c r="F1399" s="36"/>
      <c r="G1399" s="36"/>
      <c r="H1399" s="36"/>
      <c r="I1399" s="36"/>
      <c r="J1399" s="36"/>
      <c r="K1399" s="36"/>
      <c r="L1399" s="36"/>
      <c r="M1399" s="36"/>
    </row>
    <row r="1400" spans="1:13" hidden="1">
      <c r="A1400" s="36"/>
      <c r="B1400" s="36"/>
      <c r="C1400" s="36"/>
      <c r="D1400" s="36"/>
      <c r="E1400" s="36"/>
      <c r="F1400" s="36"/>
      <c r="G1400" s="36"/>
      <c r="H1400" s="36"/>
      <c r="I1400" s="36"/>
      <c r="J1400" s="36"/>
      <c r="K1400" s="36"/>
      <c r="L1400" s="36"/>
      <c r="M1400" s="36"/>
    </row>
    <row r="1401" spans="1:13" hidden="1">
      <c r="A1401" s="36"/>
      <c r="B1401" s="36"/>
      <c r="C1401" s="36"/>
      <c r="D1401" s="36"/>
      <c r="E1401" s="36"/>
      <c r="F1401" s="36"/>
      <c r="G1401" s="36"/>
      <c r="H1401" s="36"/>
      <c r="I1401" s="36"/>
      <c r="J1401" s="36"/>
      <c r="K1401" s="36"/>
      <c r="L1401" s="36"/>
      <c r="M1401" s="36"/>
    </row>
    <row r="1402" spans="1:13" hidden="1">
      <c r="A1402" s="36"/>
      <c r="B1402" s="36"/>
      <c r="C1402" s="36"/>
      <c r="D1402" s="36"/>
      <c r="E1402" s="36"/>
      <c r="F1402" s="36"/>
      <c r="G1402" s="36"/>
      <c r="H1402" s="36"/>
      <c r="I1402" s="36"/>
      <c r="J1402" s="36"/>
      <c r="K1402" s="36"/>
      <c r="L1402" s="36"/>
      <c r="M1402" s="36"/>
    </row>
    <row r="1403" spans="1:13" hidden="1">
      <c r="A1403" s="36"/>
      <c r="B1403" s="36"/>
      <c r="C1403" s="36"/>
      <c r="D1403" s="36"/>
      <c r="E1403" s="36"/>
      <c r="F1403" s="36"/>
      <c r="G1403" s="36"/>
      <c r="H1403" s="36"/>
      <c r="I1403" s="36"/>
      <c r="J1403" s="36"/>
      <c r="K1403" s="36"/>
      <c r="L1403" s="36"/>
      <c r="M1403" s="36"/>
    </row>
    <row r="1404" spans="1:13" hidden="1">
      <c r="A1404" s="36"/>
      <c r="B1404" s="36"/>
      <c r="C1404" s="36"/>
      <c r="D1404" s="36"/>
      <c r="E1404" s="36"/>
      <c r="F1404" s="36"/>
      <c r="G1404" s="36"/>
      <c r="H1404" s="36"/>
      <c r="I1404" s="36"/>
      <c r="J1404" s="36"/>
      <c r="K1404" s="36"/>
      <c r="L1404" s="36"/>
      <c r="M1404" s="36"/>
    </row>
    <row r="1405" spans="1:13" hidden="1">
      <c r="A1405" s="36"/>
      <c r="B1405" s="36"/>
      <c r="C1405" s="36"/>
      <c r="D1405" s="36"/>
      <c r="E1405" s="36"/>
      <c r="F1405" s="36"/>
      <c r="G1405" s="36"/>
      <c r="H1405" s="36"/>
      <c r="I1405" s="36"/>
      <c r="J1405" s="36"/>
      <c r="K1405" s="36"/>
      <c r="L1405" s="36"/>
      <c r="M1405" s="36"/>
    </row>
    <row r="1406" spans="1:13" hidden="1">
      <c r="A1406" s="36"/>
      <c r="B1406" s="36"/>
      <c r="C1406" s="36"/>
      <c r="D1406" s="36"/>
      <c r="E1406" s="36"/>
      <c r="F1406" s="36"/>
      <c r="G1406" s="36"/>
      <c r="H1406" s="36"/>
      <c r="I1406" s="36"/>
      <c r="J1406" s="36"/>
      <c r="K1406" s="36"/>
      <c r="L1406" s="36"/>
      <c r="M1406" s="36"/>
    </row>
    <row r="1407" spans="1:13" hidden="1">
      <c r="A1407" s="36"/>
      <c r="B1407" s="36"/>
      <c r="C1407" s="36"/>
      <c r="D1407" s="36"/>
      <c r="E1407" s="36"/>
      <c r="F1407" s="36"/>
      <c r="G1407" s="36"/>
      <c r="H1407" s="36"/>
      <c r="I1407" s="36"/>
      <c r="J1407" s="36"/>
      <c r="K1407" s="36"/>
      <c r="L1407" s="36"/>
      <c r="M1407" s="36"/>
    </row>
    <row r="1408" spans="1:13" hidden="1">
      <c r="A1408" s="156" t="s">
        <v>77</v>
      </c>
      <c r="B1408" s="156"/>
      <c r="C1408" s="156"/>
      <c r="D1408" s="156"/>
      <c r="E1408" s="156"/>
      <c r="F1408" s="156"/>
      <c r="G1408" s="156"/>
      <c r="H1408" s="156"/>
      <c r="I1408" s="156"/>
      <c r="J1408" s="156"/>
      <c r="K1408" s="156"/>
      <c r="L1408" s="156"/>
      <c r="M1408" s="156"/>
    </row>
    <row r="1409" spans="1:13" hidden="1">
      <c r="A1409" s="36" t="s">
        <v>3</v>
      </c>
      <c r="B1409" s="36" t="s">
        <v>50</v>
      </c>
      <c r="C1409" s="36" t="s">
        <v>5</v>
      </c>
      <c r="D1409" s="36" t="s">
        <v>51</v>
      </c>
      <c r="E1409" s="36" t="s">
        <v>52</v>
      </c>
      <c r="F1409" s="36" t="s">
        <v>53</v>
      </c>
      <c r="G1409" s="36" t="s">
        <v>54</v>
      </c>
      <c r="H1409" s="36" t="s">
        <v>55</v>
      </c>
      <c r="I1409" s="36" t="s">
        <v>56</v>
      </c>
      <c r="J1409" s="36" t="s">
        <v>57</v>
      </c>
      <c r="K1409" s="36" t="s">
        <v>58</v>
      </c>
      <c r="L1409" s="36" t="s">
        <v>59</v>
      </c>
      <c r="M1409" s="36" t="s">
        <v>60</v>
      </c>
    </row>
    <row r="1410" spans="1:13" hidden="1">
      <c r="A1410" s="36" t="str">
        <f>IF('Steel Beam Design'!A34="","",'Steel Beam Design'!A34)</f>
        <v/>
      </c>
      <c r="B1410" s="36" t="str">
        <f>IF('Steel Beam Design'!B34="","",'Steel Beam Design'!B34)</f>
        <v/>
      </c>
      <c r="C1410" s="36" t="str">
        <f>IF('Steel Beam Design'!C34="","",'Steel Beam Design'!C34)</f>
        <v/>
      </c>
      <c r="D1410" s="36" t="str">
        <f>IF('Steel Beam Design'!D34="","",'Steel Beam Design'!D34)</f>
        <v/>
      </c>
      <c r="E1410" s="36" t="str">
        <f>IF('Steel Beam Design'!E34="","",'Steel Beam Design'!E34)</f>
        <v/>
      </c>
      <c r="F1410" s="36" t="str">
        <f>IF('Steel Beam Design'!F34="","",'Steel Beam Design'!F34)</f>
        <v/>
      </c>
      <c r="G1410" s="36" t="str">
        <f>IF('Steel Beam Design'!G34="","",'Steel Beam Design'!G34)</f>
        <v/>
      </c>
      <c r="H1410" s="36" t="str">
        <f>IF('Steel Beam Design'!H34="","",'Steel Beam Design'!H34)</f>
        <v/>
      </c>
      <c r="I1410" s="36" t="str">
        <f>IF('Steel Beam Design'!I34="","",'Steel Beam Design'!I34)</f>
        <v/>
      </c>
      <c r="J1410" s="36" t="str">
        <f>IF('Steel Beam Design'!J34="","",'Steel Beam Design'!J34)</f>
        <v/>
      </c>
      <c r="K1410" s="36" t="str">
        <f>IF('Steel Beam Design'!K34="","",'Steel Beam Design'!K34)</f>
        <v/>
      </c>
      <c r="L1410" s="36" t="str">
        <f>IF('Steel Beam Design'!L34="","",'Steel Beam Design'!L34)</f>
        <v/>
      </c>
      <c r="M1410" s="36" t="b">
        <f>AND(ISNUMBER(B1410),B1410&gt;0,OR(C1410="Cantilever Supported",C1410="Simply Supported",C1410="Fixed-Fixed"),OR(L1410="",AND(ISNUMBER(L1410),L1410&gt;=0)),OR(D1410="",AND(ISNUMBER(D1410),D1410&gt;=0)),OR(N(D1410)=0,AND(ISNUMBER(E1410),E1410&gt;=0,E1410&lt;=B1410)),OR(F1410="",AND(ISNUMBER(F1410),F1410&gt;=0)),OR(N(F1410)=0,AND(ISNUMBER(G1410),G1410&gt;=0,G1410&lt;=B1410)),OR(H1410="",AND(ISNUMBER(H1410),H1410&gt;=0)),OR(N(H1410)=0,AND(ISNUMBER(I1410),I1410&gt;=0,I1410&lt;=B1410)),OR(J1410="",AND(ISNUMBER(J1410),J1410&gt;=0)),OR(N(J1410)=0,AND(ISNUMBER(K1410),K1410&gt;=0,K1410&lt;=B1410)))</f>
        <v>0</v>
      </c>
    </row>
    <row r="1411" spans="1:13" hidden="1">
      <c r="A1411" s="36"/>
      <c r="B1411" s="36"/>
      <c r="C1411" s="36"/>
      <c r="D1411" s="36"/>
      <c r="E1411" s="36"/>
      <c r="F1411" s="36"/>
      <c r="G1411" s="36"/>
      <c r="H1411" s="36"/>
      <c r="I1411" s="36"/>
      <c r="J1411" s="36"/>
      <c r="K1411" s="36"/>
      <c r="L1411" s="36"/>
      <c r="M1411" s="36"/>
    </row>
    <row r="1412" spans="1:13" hidden="1">
      <c r="A1412" s="36" t="s">
        <v>61</v>
      </c>
      <c r="B1412" s="36">
        <f>IF(M1410,IF(C1410="Cantilever Supported",-(N(D1410)*N(E1410)+N(F1410)*N(G1410)+N(H1410)*N(I1410)+N(J1410)*N(K1410))-N(L1410)*B1410^2/2,IF(C1410="Fixed-Fixed",-(N(D1410)*N(E1410)*(B1410-N(E1410))^2/B1410^2+N(F1410)*N(G1410)*(B1410-N(G1410))^2/B1410^2+N(H1410)*N(I1410)*(B1410-N(I1410))^2/B1410^2+N(J1410)*N(K1410)*(B1410-N(K1410))^2/B1410^2)-N(L1410)*B1410^2/12,0)),0)</f>
        <v>0</v>
      </c>
      <c r="C1412" s="36" t="s">
        <v>62</v>
      </c>
      <c r="D1412" s="36">
        <f>IF(M1410,IF(C1410="Fixed-Fixed",-(N(D1410)*N(E1410)^2*(B1410-N(E1410))/B1410^2+N(F1410)*N(G1410)^2*(B1410-N(G1410))/B1410^2+N(H1410)*N(I1410)^2*(B1410-N(I1410))/B1410^2+N(J1410)*N(K1410)^2*(B1410-N(K1410))/B1410^2)-N(L1410)*B1410^2/12,0),0)</f>
        <v>0</v>
      </c>
      <c r="E1412" s="36" t="s">
        <v>63</v>
      </c>
      <c r="F1412" s="36">
        <f>IF(M1410,IF(C1410="Cantilever Supported",N(D1410)+N(F1410)+N(H1410)+N(J1410)+N(L1410)*B1410,((N(D1410)*(B1410-N(E1410))+N(F1410)*(B1410-N(G1410))+N(H1410)*(B1410-N(I1410))+N(J1410)*(B1410-N(K1410)))+N(L1410)*B1410^2/2+D1412-B1412)/B1410),0)</f>
        <v>0</v>
      </c>
      <c r="G1412" s="36" t="s">
        <v>64</v>
      </c>
      <c r="H1412" s="36">
        <f>MAX(MAX(B1415:B1420),-MIN(B1415:B1420),MAX(E1415:E1419),-MIN(E1415:E1419))</f>
        <v>0</v>
      </c>
      <c r="I1412" s="36"/>
      <c r="J1412" s="36"/>
      <c r="K1412" s="36"/>
      <c r="L1412" s="36"/>
      <c r="M1412" s="36"/>
    </row>
    <row r="1413" spans="1:13" hidden="1">
      <c r="A1413" s="36"/>
      <c r="B1413" s="36"/>
      <c r="C1413" s="36"/>
      <c r="D1413" s="36"/>
      <c r="E1413" s="36"/>
      <c r="F1413" s="36"/>
      <c r="G1413" s="36"/>
      <c r="H1413" s="36"/>
      <c r="I1413" s="36"/>
      <c r="J1413" s="36"/>
      <c r="K1413" s="36"/>
      <c r="L1413" s="36"/>
      <c r="M1413" s="36"/>
    </row>
    <row r="1414" spans="1:13" hidden="1">
      <c r="A1414" s="36" t="s">
        <v>65</v>
      </c>
      <c r="B1414" s="36" t="s">
        <v>66</v>
      </c>
      <c r="C1414" s="36" t="s">
        <v>67</v>
      </c>
      <c r="D1414" s="36" t="s">
        <v>68</v>
      </c>
      <c r="E1414" s="36" t="s">
        <v>69</v>
      </c>
      <c r="F1414" s="36"/>
      <c r="G1414" s="36"/>
      <c r="H1414" s="36">
        <f>0</f>
        <v>0</v>
      </c>
      <c r="I1414" s="36">
        <f>IF(N(D1410)=0,0,N(E1410))</f>
        <v>0</v>
      </c>
      <c r="J1414" s="36">
        <f>IF(N(F1410)=0,0,N(G1410))</f>
        <v>0</v>
      </c>
      <c r="K1414" s="36">
        <f>IF(N(H1410)=0,0,N(I1410))</f>
        <v>0</v>
      </c>
      <c r="L1414" s="36">
        <f>IF(N(J1410)=0,0,N(K1410))</f>
        <v>0</v>
      </c>
      <c r="M1414" s="36">
        <f>IF(M1410,B1410,0)</f>
        <v>0</v>
      </c>
    </row>
    <row r="1415" spans="1:13" hidden="1">
      <c r="A1415" s="37">
        <f>SMALL(H1414:M1414,1)</f>
        <v>0</v>
      </c>
      <c r="B1415" s="37">
        <f>IF(M1410,B1412+F1412*A1415-N(L1410)*A1415^2/2-(N(D1410)*MAX(0,A1415-N(E1410))+N(F1410)*MAX(0,A1415-N(G1410))+N(H1410)*MAX(0,A1415-N(I1410))+N(J1410)*MAX(0,A1415-N(K1410))),0)</f>
        <v>0</v>
      </c>
      <c r="C1415" s="37">
        <f>A1416</f>
        <v>0</v>
      </c>
      <c r="D1415" s="37">
        <f>IF(AND(M1410,N(L1410)&gt;0),MAX(A1415,MIN(C1415,(F1412-(IF(N(E1410)&lt;=A1415,N(D1410),0)+IF(N(G1410)&lt;=A1415,N(F1410),0)+IF(N(I1410)&lt;=A1415,N(H1410),0)+IF(N(K1410)&lt;=A1415,N(J1410),0)))/N(L1410))),A1415)</f>
        <v>0</v>
      </c>
      <c r="E1415" s="37">
        <f>IF(M1410,B1412+F1412*D1415-N(L1410)*D1415^2/2-(N(D1410)*MAX(0,D1415-N(E1410))+N(F1410)*MAX(0,D1415-N(G1410))+N(H1410)*MAX(0,D1415-N(I1410))+N(J1410)*MAX(0,D1415-N(K1410))),0)</f>
        <v>0</v>
      </c>
      <c r="F1415" s="37"/>
      <c r="G1415" s="37"/>
      <c r="H1415" s="37"/>
      <c r="I1415" s="37"/>
      <c r="J1415" s="37"/>
      <c r="K1415" s="37"/>
      <c r="L1415" s="37"/>
      <c r="M1415" s="37"/>
    </row>
    <row r="1416" spans="1:13" hidden="1">
      <c r="A1416" s="37">
        <f>SMALL(H1414:M1414,2)</f>
        <v>0</v>
      </c>
      <c r="B1416" s="37">
        <f>IF(M1410,B1412+F1412*A1416-N(L1410)*A1416^2/2-(N(D1410)*MAX(0,A1416-N(E1410))+N(F1410)*MAX(0,A1416-N(G1410))+N(H1410)*MAX(0,A1416-N(I1410))+N(J1410)*MAX(0,A1416-N(K1410))),0)</f>
        <v>0</v>
      </c>
      <c r="C1416" s="37">
        <f>A1417</f>
        <v>0</v>
      </c>
      <c r="D1416" s="37">
        <f>IF(AND(M1410,N(L1410)&gt;0),MAX(A1416,MIN(C1416,(F1412-(IF(N(E1410)&lt;=A1416,N(D1410),0)+IF(N(G1410)&lt;=A1416,N(F1410),0)+IF(N(I1410)&lt;=A1416,N(H1410),0)+IF(N(K1410)&lt;=A1416,N(J1410),0)))/N(L1410))),A1416)</f>
        <v>0</v>
      </c>
      <c r="E1416" s="37">
        <f>IF(M1410,B1412+F1412*D1416-N(L1410)*D1416^2/2-(N(D1410)*MAX(0,D1416-N(E1410))+N(F1410)*MAX(0,D1416-N(G1410))+N(H1410)*MAX(0,D1416-N(I1410))+N(J1410)*MAX(0,D1416-N(K1410))),0)</f>
        <v>0</v>
      </c>
      <c r="F1416" s="37"/>
      <c r="G1416" s="37"/>
      <c r="H1416" s="37"/>
      <c r="I1416" s="37"/>
      <c r="J1416" s="37"/>
      <c r="K1416" s="37"/>
      <c r="L1416" s="37"/>
      <c r="M1416" s="37"/>
    </row>
    <row r="1417" spans="1:13" hidden="1">
      <c r="A1417" s="37">
        <f>SMALL(H1414:M1414,3)</f>
        <v>0</v>
      </c>
      <c r="B1417" s="37">
        <f>IF(M1410,B1412+F1412*A1417-N(L1410)*A1417^2/2-(N(D1410)*MAX(0,A1417-N(E1410))+N(F1410)*MAX(0,A1417-N(G1410))+N(H1410)*MAX(0,A1417-N(I1410))+N(J1410)*MAX(0,A1417-N(K1410))),0)</f>
        <v>0</v>
      </c>
      <c r="C1417" s="37">
        <f>A1418</f>
        <v>0</v>
      </c>
      <c r="D1417" s="37">
        <f>IF(AND(M1410,N(L1410)&gt;0),MAX(A1417,MIN(C1417,(F1412-(IF(N(E1410)&lt;=A1417,N(D1410),0)+IF(N(G1410)&lt;=A1417,N(F1410),0)+IF(N(I1410)&lt;=A1417,N(H1410),0)+IF(N(K1410)&lt;=A1417,N(J1410),0)))/N(L1410))),A1417)</f>
        <v>0</v>
      </c>
      <c r="E1417" s="37">
        <f>IF(M1410,B1412+F1412*D1417-N(L1410)*D1417^2/2-(N(D1410)*MAX(0,D1417-N(E1410))+N(F1410)*MAX(0,D1417-N(G1410))+N(H1410)*MAX(0,D1417-N(I1410))+N(J1410)*MAX(0,D1417-N(K1410))),0)</f>
        <v>0</v>
      </c>
      <c r="F1417" s="37"/>
      <c r="G1417" s="37"/>
      <c r="H1417" s="37"/>
      <c r="I1417" s="37"/>
      <c r="J1417" s="37"/>
      <c r="K1417" s="37"/>
      <c r="L1417" s="37"/>
      <c r="M1417" s="37"/>
    </row>
    <row r="1418" spans="1:13" hidden="1">
      <c r="A1418" s="37">
        <f>SMALL(H1414:M1414,4)</f>
        <v>0</v>
      </c>
      <c r="B1418" s="37">
        <f>IF(M1410,B1412+F1412*A1418-N(L1410)*A1418^2/2-(N(D1410)*MAX(0,A1418-N(E1410))+N(F1410)*MAX(0,A1418-N(G1410))+N(H1410)*MAX(0,A1418-N(I1410))+N(J1410)*MAX(0,A1418-N(K1410))),0)</f>
        <v>0</v>
      </c>
      <c r="C1418" s="37">
        <f>A1419</f>
        <v>0</v>
      </c>
      <c r="D1418" s="37">
        <f>IF(AND(M1410,N(L1410)&gt;0),MAX(A1418,MIN(C1418,(F1412-(IF(N(E1410)&lt;=A1418,N(D1410),0)+IF(N(G1410)&lt;=A1418,N(F1410),0)+IF(N(I1410)&lt;=A1418,N(H1410),0)+IF(N(K1410)&lt;=A1418,N(J1410),0)))/N(L1410))),A1418)</f>
        <v>0</v>
      </c>
      <c r="E1418" s="37">
        <f>IF(M1410,B1412+F1412*D1418-N(L1410)*D1418^2/2-(N(D1410)*MAX(0,D1418-N(E1410))+N(F1410)*MAX(0,D1418-N(G1410))+N(H1410)*MAX(0,D1418-N(I1410))+N(J1410)*MAX(0,D1418-N(K1410))),0)</f>
        <v>0</v>
      </c>
      <c r="F1418" s="37"/>
      <c r="G1418" s="37"/>
      <c r="H1418" s="37"/>
      <c r="I1418" s="37"/>
      <c r="J1418" s="37"/>
      <c r="K1418" s="37"/>
      <c r="L1418" s="37"/>
      <c r="M1418" s="37"/>
    </row>
    <row r="1419" spans="1:13" hidden="1">
      <c r="A1419" s="37">
        <f>SMALL(H1414:M1414,5)</f>
        <v>0</v>
      </c>
      <c r="B1419" s="37">
        <f>IF(M1410,B1412+F1412*A1419-N(L1410)*A1419^2/2-(N(D1410)*MAX(0,A1419-N(E1410))+N(F1410)*MAX(0,A1419-N(G1410))+N(H1410)*MAX(0,A1419-N(I1410))+N(J1410)*MAX(0,A1419-N(K1410))),0)</f>
        <v>0</v>
      </c>
      <c r="C1419" s="37">
        <f>A1420</f>
        <v>0</v>
      </c>
      <c r="D1419" s="37">
        <f>IF(AND(M1410,N(L1410)&gt;0),MAX(A1419,MIN(C1419,(F1412-(IF(N(E1410)&lt;=A1419,N(D1410),0)+IF(N(G1410)&lt;=A1419,N(F1410),0)+IF(N(I1410)&lt;=A1419,N(H1410),0)+IF(N(K1410)&lt;=A1419,N(J1410),0)))/N(L1410))),A1419)</f>
        <v>0</v>
      </c>
      <c r="E1419" s="37">
        <f>IF(M1410,B1412+F1412*D1419-N(L1410)*D1419^2/2-(N(D1410)*MAX(0,D1419-N(E1410))+N(F1410)*MAX(0,D1419-N(G1410))+N(H1410)*MAX(0,D1419-N(I1410))+N(J1410)*MAX(0,D1419-N(K1410))),0)</f>
        <v>0</v>
      </c>
      <c r="F1419" s="37"/>
      <c r="G1419" s="37"/>
      <c r="H1419" s="37"/>
      <c r="I1419" s="37"/>
      <c r="J1419" s="37"/>
      <c r="K1419" s="37"/>
      <c r="L1419" s="37"/>
      <c r="M1419" s="37"/>
    </row>
    <row r="1420" spans="1:13" hidden="1">
      <c r="A1420" s="37">
        <f>SMALL(H1414:M1414,6)</f>
        <v>0</v>
      </c>
      <c r="B1420" s="37">
        <f>IF(M1410,B1412+F1412*A1420-N(L1410)*A1420^2/2-(N(D1410)*MAX(0,A1420-N(E1410))+N(F1410)*MAX(0,A1420-N(G1410))+N(H1410)*MAX(0,A1420-N(I1410))+N(J1410)*MAX(0,A1420-N(K1410))),0)</f>
        <v>0</v>
      </c>
      <c r="C1420" s="37"/>
      <c r="D1420" s="37"/>
      <c r="E1420" s="37"/>
      <c r="F1420" s="37"/>
      <c r="G1420" s="37"/>
      <c r="H1420" s="37"/>
      <c r="I1420" s="37"/>
      <c r="J1420" s="37"/>
      <c r="K1420" s="37"/>
      <c r="L1420" s="37"/>
      <c r="M1420" s="37"/>
    </row>
    <row r="1421" spans="1:13" hidden="1">
      <c r="A1421" s="36"/>
      <c r="B1421" s="36"/>
      <c r="C1421" s="36"/>
      <c r="D1421" s="36"/>
      <c r="E1421" s="36"/>
      <c r="F1421" s="36"/>
      <c r="G1421" s="36"/>
      <c r="H1421" s="36"/>
      <c r="I1421" s="36"/>
      <c r="J1421" s="36"/>
      <c r="K1421" s="36"/>
      <c r="L1421" s="36"/>
      <c r="M1421" s="36"/>
    </row>
    <row r="1422" spans="1:13" hidden="1">
      <c r="A1422" s="36"/>
      <c r="B1422" s="36"/>
      <c r="C1422" s="36"/>
      <c r="D1422" s="36"/>
      <c r="E1422" s="36"/>
      <c r="F1422" s="36"/>
      <c r="G1422" s="36"/>
      <c r="H1422" s="36"/>
      <c r="I1422" s="36"/>
      <c r="J1422" s="36"/>
      <c r="K1422" s="36"/>
      <c r="L1422" s="36"/>
      <c r="M1422" s="36"/>
    </row>
    <row r="1423" spans="1:13" hidden="1">
      <c r="A1423" s="36"/>
      <c r="B1423" s="36"/>
      <c r="C1423" s="36"/>
      <c r="D1423" s="36"/>
      <c r="E1423" s="36"/>
      <c r="F1423" s="36"/>
      <c r="G1423" s="36"/>
      <c r="H1423" s="36"/>
      <c r="I1423" s="36"/>
      <c r="J1423" s="36"/>
      <c r="K1423" s="36"/>
      <c r="L1423" s="36"/>
      <c r="M1423" s="36"/>
    </row>
    <row r="1424" spans="1:13" hidden="1">
      <c r="A1424" s="36"/>
      <c r="B1424" s="36"/>
      <c r="C1424" s="36"/>
      <c r="D1424" s="36"/>
      <c r="E1424" s="36"/>
      <c r="F1424" s="36"/>
      <c r="G1424" s="36"/>
      <c r="H1424" s="36"/>
      <c r="I1424" s="36"/>
      <c r="J1424" s="36"/>
      <c r="K1424" s="36"/>
      <c r="L1424" s="36"/>
      <c r="M1424" s="36"/>
    </row>
    <row r="1425" spans="1:13" hidden="1">
      <c r="A1425" s="36"/>
      <c r="B1425" s="36"/>
      <c r="C1425" s="36"/>
      <c r="D1425" s="36"/>
      <c r="E1425" s="36"/>
      <c r="F1425" s="36"/>
      <c r="G1425" s="36"/>
      <c r="H1425" s="36"/>
      <c r="I1425" s="36"/>
      <c r="J1425" s="36"/>
      <c r="K1425" s="36"/>
      <c r="L1425" s="36"/>
      <c r="M1425" s="36"/>
    </row>
    <row r="1426" spans="1:13" hidden="1">
      <c r="A1426" s="36"/>
      <c r="B1426" s="36"/>
      <c r="C1426" s="36"/>
      <c r="D1426" s="36"/>
      <c r="E1426" s="36"/>
      <c r="F1426" s="36"/>
      <c r="G1426" s="36"/>
      <c r="H1426" s="36"/>
      <c r="I1426" s="36"/>
      <c r="J1426" s="36"/>
      <c r="K1426" s="36"/>
      <c r="L1426" s="36"/>
      <c r="M1426" s="36"/>
    </row>
    <row r="1427" spans="1:13" hidden="1">
      <c r="A1427" s="36"/>
      <c r="B1427" s="36"/>
      <c r="C1427" s="36"/>
      <c r="D1427" s="36"/>
      <c r="E1427" s="36"/>
      <c r="F1427" s="36"/>
      <c r="G1427" s="36"/>
      <c r="H1427" s="36"/>
      <c r="I1427" s="36"/>
      <c r="J1427" s="36"/>
      <c r="K1427" s="36"/>
      <c r="L1427" s="36"/>
      <c r="M1427" s="36"/>
    </row>
    <row r="1428" spans="1:13" hidden="1">
      <c r="A1428" s="36"/>
      <c r="B1428" s="36"/>
      <c r="C1428" s="36"/>
      <c r="D1428" s="36"/>
      <c r="E1428" s="36"/>
      <c r="F1428" s="36"/>
      <c r="G1428" s="36"/>
      <c r="H1428" s="36"/>
      <c r="I1428" s="36"/>
      <c r="J1428" s="36"/>
      <c r="K1428" s="36"/>
      <c r="L1428" s="36"/>
      <c r="M1428" s="36"/>
    </row>
    <row r="1429" spans="1:13" hidden="1">
      <c r="A1429" s="36"/>
      <c r="B1429" s="36"/>
      <c r="C1429" s="36"/>
      <c r="D1429" s="36"/>
      <c r="E1429" s="36"/>
      <c r="F1429" s="36"/>
      <c r="G1429" s="36"/>
      <c r="H1429" s="36"/>
      <c r="I1429" s="36"/>
      <c r="J1429" s="36"/>
      <c r="K1429" s="36"/>
      <c r="L1429" s="36"/>
      <c r="M1429" s="36"/>
    </row>
    <row r="1430" spans="1:13" hidden="1">
      <c r="A1430" s="36"/>
      <c r="B1430" s="36"/>
      <c r="C1430" s="36"/>
      <c r="D1430" s="36"/>
      <c r="E1430" s="36"/>
      <c r="F1430" s="36"/>
      <c r="G1430" s="36"/>
      <c r="H1430" s="36"/>
      <c r="I1430" s="36"/>
      <c r="J1430" s="36"/>
      <c r="K1430" s="36"/>
      <c r="L1430" s="36"/>
      <c r="M1430" s="36"/>
    </row>
    <row r="1431" spans="1:13" hidden="1">
      <c r="A1431" s="36"/>
      <c r="B1431" s="36"/>
      <c r="C1431" s="36"/>
      <c r="D1431" s="36"/>
      <c r="E1431" s="36"/>
      <c r="F1431" s="36"/>
      <c r="G1431" s="36"/>
      <c r="H1431" s="36"/>
      <c r="I1431" s="36"/>
      <c r="J1431" s="36"/>
      <c r="K1431" s="36"/>
      <c r="L1431" s="36"/>
      <c r="M1431" s="36"/>
    </row>
    <row r="1432" spans="1:13" hidden="1">
      <c r="A1432" s="36"/>
      <c r="B1432" s="36"/>
      <c r="C1432" s="36"/>
      <c r="D1432" s="36"/>
      <c r="E1432" s="36"/>
      <c r="F1432" s="36"/>
      <c r="G1432" s="36"/>
      <c r="H1432" s="36"/>
      <c r="I1432" s="36"/>
      <c r="J1432" s="36"/>
      <c r="K1432" s="36"/>
      <c r="L1432" s="36"/>
      <c r="M1432" s="36"/>
    </row>
    <row r="1433" spans="1:13" hidden="1">
      <c r="A1433" s="156" t="s">
        <v>78</v>
      </c>
      <c r="B1433" s="156"/>
      <c r="C1433" s="156"/>
      <c r="D1433" s="156"/>
      <c r="E1433" s="156"/>
      <c r="F1433" s="156"/>
      <c r="G1433" s="156"/>
      <c r="H1433" s="156"/>
      <c r="I1433" s="156"/>
      <c r="J1433" s="156"/>
      <c r="K1433" s="156"/>
      <c r="L1433" s="156"/>
      <c r="M1433" s="156"/>
    </row>
    <row r="1434" spans="1:13" hidden="1">
      <c r="A1434" s="36" t="s">
        <v>3</v>
      </c>
      <c r="B1434" s="36" t="s">
        <v>50</v>
      </c>
      <c r="C1434" s="36" t="s">
        <v>5</v>
      </c>
      <c r="D1434" s="36" t="s">
        <v>51</v>
      </c>
      <c r="E1434" s="36" t="s">
        <v>52</v>
      </c>
      <c r="F1434" s="36" t="s">
        <v>53</v>
      </c>
      <c r="G1434" s="36" t="s">
        <v>54</v>
      </c>
      <c r="H1434" s="36" t="s">
        <v>55</v>
      </c>
      <c r="I1434" s="36" t="s">
        <v>56</v>
      </c>
      <c r="J1434" s="36" t="s">
        <v>57</v>
      </c>
      <c r="K1434" s="36" t="s">
        <v>58</v>
      </c>
      <c r="L1434" s="36" t="s">
        <v>59</v>
      </c>
      <c r="M1434" s="36" t="s">
        <v>60</v>
      </c>
    </row>
    <row r="1435" spans="1:13" hidden="1">
      <c r="A1435" s="36" t="str">
        <f>IF('Steel Beam Design'!A35="","",'Steel Beam Design'!A35)</f>
        <v/>
      </c>
      <c r="B1435" s="36" t="str">
        <f>IF('Steel Beam Design'!B35="","",'Steel Beam Design'!B35)</f>
        <v/>
      </c>
      <c r="C1435" s="36" t="str">
        <f>IF('Steel Beam Design'!C35="","",'Steel Beam Design'!C35)</f>
        <v/>
      </c>
      <c r="D1435" s="36" t="str">
        <f>IF('Steel Beam Design'!D35="","",'Steel Beam Design'!D35)</f>
        <v/>
      </c>
      <c r="E1435" s="36" t="str">
        <f>IF('Steel Beam Design'!E35="","",'Steel Beam Design'!E35)</f>
        <v/>
      </c>
      <c r="F1435" s="36" t="str">
        <f>IF('Steel Beam Design'!F35="","",'Steel Beam Design'!F35)</f>
        <v/>
      </c>
      <c r="G1435" s="36" t="str">
        <f>IF('Steel Beam Design'!G35="","",'Steel Beam Design'!G35)</f>
        <v/>
      </c>
      <c r="H1435" s="36" t="str">
        <f>IF('Steel Beam Design'!H35="","",'Steel Beam Design'!H35)</f>
        <v/>
      </c>
      <c r="I1435" s="36" t="str">
        <f>IF('Steel Beam Design'!I35="","",'Steel Beam Design'!I35)</f>
        <v/>
      </c>
      <c r="J1435" s="36" t="str">
        <f>IF('Steel Beam Design'!J35="","",'Steel Beam Design'!J35)</f>
        <v/>
      </c>
      <c r="K1435" s="36" t="str">
        <f>IF('Steel Beam Design'!K35="","",'Steel Beam Design'!K35)</f>
        <v/>
      </c>
      <c r="L1435" s="36" t="str">
        <f>IF('Steel Beam Design'!L35="","",'Steel Beam Design'!L35)</f>
        <v/>
      </c>
      <c r="M1435" s="36" t="b">
        <f>AND(ISNUMBER(B1435),B1435&gt;0,OR(C1435="Cantilever Supported",C1435="Simply Supported",C1435="Fixed-Fixed"),OR(L1435="",AND(ISNUMBER(L1435),L1435&gt;=0)),OR(D1435="",AND(ISNUMBER(D1435),D1435&gt;=0)),OR(N(D1435)=0,AND(ISNUMBER(E1435),E1435&gt;=0,E1435&lt;=B1435)),OR(F1435="",AND(ISNUMBER(F1435),F1435&gt;=0)),OR(N(F1435)=0,AND(ISNUMBER(G1435),G1435&gt;=0,G1435&lt;=B1435)),OR(H1435="",AND(ISNUMBER(H1435),H1435&gt;=0)),OR(N(H1435)=0,AND(ISNUMBER(I1435),I1435&gt;=0,I1435&lt;=B1435)),OR(J1435="",AND(ISNUMBER(J1435),J1435&gt;=0)),OR(N(J1435)=0,AND(ISNUMBER(K1435),K1435&gt;=0,K1435&lt;=B1435)))</f>
        <v>0</v>
      </c>
    </row>
    <row r="1436" spans="1:13" hidden="1">
      <c r="A1436" s="36"/>
      <c r="B1436" s="36"/>
      <c r="C1436" s="36"/>
      <c r="D1436" s="36"/>
      <c r="E1436" s="36"/>
      <c r="F1436" s="36"/>
      <c r="G1436" s="36"/>
      <c r="H1436" s="36"/>
      <c r="I1436" s="36"/>
      <c r="J1436" s="36"/>
      <c r="K1436" s="36"/>
      <c r="L1436" s="36"/>
      <c r="M1436" s="36"/>
    </row>
    <row r="1437" spans="1:13" hidden="1">
      <c r="A1437" s="36" t="s">
        <v>61</v>
      </c>
      <c r="B1437" s="36">
        <f>IF(M1435,IF(C1435="Cantilever Supported",-(N(D1435)*N(E1435)+N(F1435)*N(G1435)+N(H1435)*N(I1435)+N(J1435)*N(K1435))-N(L1435)*B1435^2/2,IF(C1435="Fixed-Fixed",-(N(D1435)*N(E1435)*(B1435-N(E1435))^2/B1435^2+N(F1435)*N(G1435)*(B1435-N(G1435))^2/B1435^2+N(H1435)*N(I1435)*(B1435-N(I1435))^2/B1435^2+N(J1435)*N(K1435)*(B1435-N(K1435))^2/B1435^2)-N(L1435)*B1435^2/12,0)),0)</f>
        <v>0</v>
      </c>
      <c r="C1437" s="36" t="s">
        <v>62</v>
      </c>
      <c r="D1437" s="36">
        <f>IF(M1435,IF(C1435="Fixed-Fixed",-(N(D1435)*N(E1435)^2*(B1435-N(E1435))/B1435^2+N(F1435)*N(G1435)^2*(B1435-N(G1435))/B1435^2+N(H1435)*N(I1435)^2*(B1435-N(I1435))/B1435^2+N(J1435)*N(K1435)^2*(B1435-N(K1435))/B1435^2)-N(L1435)*B1435^2/12,0),0)</f>
        <v>0</v>
      </c>
      <c r="E1437" s="36" t="s">
        <v>63</v>
      </c>
      <c r="F1437" s="36">
        <f>IF(M1435,IF(C1435="Cantilever Supported",N(D1435)+N(F1435)+N(H1435)+N(J1435)+N(L1435)*B1435,((N(D1435)*(B1435-N(E1435))+N(F1435)*(B1435-N(G1435))+N(H1435)*(B1435-N(I1435))+N(J1435)*(B1435-N(K1435)))+N(L1435)*B1435^2/2+D1437-B1437)/B1435),0)</f>
        <v>0</v>
      </c>
      <c r="G1437" s="36" t="s">
        <v>64</v>
      </c>
      <c r="H1437" s="36">
        <f>MAX(MAX(B1440:B1445),-MIN(B1440:B1445),MAX(E1440:E1444),-MIN(E1440:E1444))</f>
        <v>0</v>
      </c>
      <c r="I1437" s="36"/>
      <c r="J1437" s="36"/>
      <c r="K1437" s="36"/>
      <c r="L1437" s="36"/>
      <c r="M1437" s="36"/>
    </row>
    <row r="1438" spans="1:13" hidden="1">
      <c r="A1438" s="36"/>
      <c r="B1438" s="36"/>
      <c r="C1438" s="36"/>
      <c r="D1438" s="36"/>
      <c r="E1438" s="36"/>
      <c r="F1438" s="36"/>
      <c r="G1438" s="36"/>
      <c r="H1438" s="36"/>
      <c r="I1438" s="36"/>
      <c r="J1438" s="36"/>
      <c r="K1438" s="36"/>
      <c r="L1438" s="36"/>
      <c r="M1438" s="36"/>
    </row>
    <row r="1439" spans="1:13" hidden="1">
      <c r="A1439" s="36" t="s">
        <v>65</v>
      </c>
      <c r="B1439" s="36" t="s">
        <v>66</v>
      </c>
      <c r="C1439" s="36" t="s">
        <v>67</v>
      </c>
      <c r="D1439" s="36" t="s">
        <v>68</v>
      </c>
      <c r="E1439" s="36" t="s">
        <v>69</v>
      </c>
      <c r="F1439" s="36"/>
      <c r="G1439" s="36"/>
      <c r="H1439" s="36">
        <f>0</f>
        <v>0</v>
      </c>
      <c r="I1439" s="36">
        <f>IF(N(D1435)=0,0,N(E1435))</f>
        <v>0</v>
      </c>
      <c r="J1439" s="36">
        <f>IF(N(F1435)=0,0,N(G1435))</f>
        <v>0</v>
      </c>
      <c r="K1439" s="36">
        <f>IF(N(H1435)=0,0,N(I1435))</f>
        <v>0</v>
      </c>
      <c r="L1439" s="36">
        <f>IF(N(J1435)=0,0,N(K1435))</f>
        <v>0</v>
      </c>
      <c r="M1439" s="36">
        <f>IF(M1435,B1435,0)</f>
        <v>0</v>
      </c>
    </row>
    <row r="1440" spans="1:13" hidden="1">
      <c r="A1440" s="37">
        <f>SMALL(H1439:M1439,1)</f>
        <v>0</v>
      </c>
      <c r="B1440" s="37">
        <f>IF(M1435,B1437+F1437*A1440-N(L1435)*A1440^2/2-(N(D1435)*MAX(0,A1440-N(E1435))+N(F1435)*MAX(0,A1440-N(G1435))+N(H1435)*MAX(0,A1440-N(I1435))+N(J1435)*MAX(0,A1440-N(K1435))),0)</f>
        <v>0</v>
      </c>
      <c r="C1440" s="37">
        <f>A1441</f>
        <v>0</v>
      </c>
      <c r="D1440" s="37">
        <f>IF(AND(M1435,N(L1435)&gt;0),MAX(A1440,MIN(C1440,(F1437-(IF(N(E1435)&lt;=A1440,N(D1435),0)+IF(N(G1435)&lt;=A1440,N(F1435),0)+IF(N(I1435)&lt;=A1440,N(H1435),0)+IF(N(K1435)&lt;=A1440,N(J1435),0)))/N(L1435))),A1440)</f>
        <v>0</v>
      </c>
      <c r="E1440" s="37">
        <f>IF(M1435,B1437+F1437*D1440-N(L1435)*D1440^2/2-(N(D1435)*MAX(0,D1440-N(E1435))+N(F1435)*MAX(0,D1440-N(G1435))+N(H1435)*MAX(0,D1440-N(I1435))+N(J1435)*MAX(0,D1440-N(K1435))),0)</f>
        <v>0</v>
      </c>
      <c r="F1440" s="37"/>
      <c r="G1440" s="37"/>
      <c r="H1440" s="37"/>
      <c r="I1440" s="37"/>
      <c r="J1440" s="37"/>
      <c r="K1440" s="37"/>
      <c r="L1440" s="37"/>
      <c r="M1440" s="37"/>
    </row>
    <row r="1441" spans="1:13" hidden="1">
      <c r="A1441" s="37">
        <f>SMALL(H1439:M1439,2)</f>
        <v>0</v>
      </c>
      <c r="B1441" s="37">
        <f>IF(M1435,B1437+F1437*A1441-N(L1435)*A1441^2/2-(N(D1435)*MAX(0,A1441-N(E1435))+N(F1435)*MAX(0,A1441-N(G1435))+N(H1435)*MAX(0,A1441-N(I1435))+N(J1435)*MAX(0,A1441-N(K1435))),0)</f>
        <v>0</v>
      </c>
      <c r="C1441" s="37">
        <f>A1442</f>
        <v>0</v>
      </c>
      <c r="D1441" s="37">
        <f>IF(AND(M1435,N(L1435)&gt;0),MAX(A1441,MIN(C1441,(F1437-(IF(N(E1435)&lt;=A1441,N(D1435),0)+IF(N(G1435)&lt;=A1441,N(F1435),0)+IF(N(I1435)&lt;=A1441,N(H1435),0)+IF(N(K1435)&lt;=A1441,N(J1435),0)))/N(L1435))),A1441)</f>
        <v>0</v>
      </c>
      <c r="E1441" s="37">
        <f>IF(M1435,B1437+F1437*D1441-N(L1435)*D1441^2/2-(N(D1435)*MAX(0,D1441-N(E1435))+N(F1435)*MAX(0,D1441-N(G1435))+N(H1435)*MAX(0,D1441-N(I1435))+N(J1435)*MAX(0,D1441-N(K1435))),0)</f>
        <v>0</v>
      </c>
      <c r="F1441" s="37"/>
      <c r="G1441" s="37"/>
      <c r="H1441" s="37"/>
      <c r="I1441" s="37"/>
      <c r="J1441" s="37"/>
      <c r="K1441" s="37"/>
      <c r="L1441" s="37"/>
      <c r="M1441" s="37"/>
    </row>
    <row r="1442" spans="1:13" hidden="1">
      <c r="A1442" s="37">
        <f>SMALL(H1439:M1439,3)</f>
        <v>0</v>
      </c>
      <c r="B1442" s="37">
        <f>IF(M1435,B1437+F1437*A1442-N(L1435)*A1442^2/2-(N(D1435)*MAX(0,A1442-N(E1435))+N(F1435)*MAX(0,A1442-N(G1435))+N(H1435)*MAX(0,A1442-N(I1435))+N(J1435)*MAX(0,A1442-N(K1435))),0)</f>
        <v>0</v>
      </c>
      <c r="C1442" s="37">
        <f>A1443</f>
        <v>0</v>
      </c>
      <c r="D1442" s="37">
        <f>IF(AND(M1435,N(L1435)&gt;0),MAX(A1442,MIN(C1442,(F1437-(IF(N(E1435)&lt;=A1442,N(D1435),0)+IF(N(G1435)&lt;=A1442,N(F1435),0)+IF(N(I1435)&lt;=A1442,N(H1435),0)+IF(N(K1435)&lt;=A1442,N(J1435),0)))/N(L1435))),A1442)</f>
        <v>0</v>
      </c>
      <c r="E1442" s="37">
        <f>IF(M1435,B1437+F1437*D1442-N(L1435)*D1442^2/2-(N(D1435)*MAX(0,D1442-N(E1435))+N(F1435)*MAX(0,D1442-N(G1435))+N(H1435)*MAX(0,D1442-N(I1435))+N(J1435)*MAX(0,D1442-N(K1435))),0)</f>
        <v>0</v>
      </c>
      <c r="F1442" s="37"/>
      <c r="G1442" s="37"/>
      <c r="H1442" s="37"/>
      <c r="I1442" s="37"/>
      <c r="J1442" s="37"/>
      <c r="K1442" s="37"/>
      <c r="L1442" s="37"/>
      <c r="M1442" s="37"/>
    </row>
    <row r="1443" spans="1:13" hidden="1">
      <c r="A1443" s="37">
        <f>SMALL(H1439:M1439,4)</f>
        <v>0</v>
      </c>
      <c r="B1443" s="37">
        <f>IF(M1435,B1437+F1437*A1443-N(L1435)*A1443^2/2-(N(D1435)*MAX(0,A1443-N(E1435))+N(F1435)*MAX(0,A1443-N(G1435))+N(H1435)*MAX(0,A1443-N(I1435))+N(J1435)*MAX(0,A1443-N(K1435))),0)</f>
        <v>0</v>
      </c>
      <c r="C1443" s="37">
        <f>A1444</f>
        <v>0</v>
      </c>
      <c r="D1443" s="37">
        <f>IF(AND(M1435,N(L1435)&gt;0),MAX(A1443,MIN(C1443,(F1437-(IF(N(E1435)&lt;=A1443,N(D1435),0)+IF(N(G1435)&lt;=A1443,N(F1435),0)+IF(N(I1435)&lt;=A1443,N(H1435),0)+IF(N(K1435)&lt;=A1443,N(J1435),0)))/N(L1435))),A1443)</f>
        <v>0</v>
      </c>
      <c r="E1443" s="37">
        <f>IF(M1435,B1437+F1437*D1443-N(L1435)*D1443^2/2-(N(D1435)*MAX(0,D1443-N(E1435))+N(F1435)*MAX(0,D1443-N(G1435))+N(H1435)*MAX(0,D1443-N(I1435))+N(J1435)*MAX(0,D1443-N(K1435))),0)</f>
        <v>0</v>
      </c>
      <c r="F1443" s="37"/>
      <c r="G1443" s="37"/>
      <c r="H1443" s="37"/>
      <c r="I1443" s="37"/>
      <c r="J1443" s="37"/>
      <c r="K1443" s="37"/>
      <c r="L1443" s="37"/>
      <c r="M1443" s="37"/>
    </row>
    <row r="1444" spans="1:13" hidden="1">
      <c r="A1444" s="37">
        <f>SMALL(H1439:M1439,5)</f>
        <v>0</v>
      </c>
      <c r="B1444" s="37">
        <f>IF(M1435,B1437+F1437*A1444-N(L1435)*A1444^2/2-(N(D1435)*MAX(0,A1444-N(E1435))+N(F1435)*MAX(0,A1444-N(G1435))+N(H1435)*MAX(0,A1444-N(I1435))+N(J1435)*MAX(0,A1444-N(K1435))),0)</f>
        <v>0</v>
      </c>
      <c r="C1444" s="37">
        <f>A1445</f>
        <v>0</v>
      </c>
      <c r="D1444" s="37">
        <f>IF(AND(M1435,N(L1435)&gt;0),MAX(A1444,MIN(C1444,(F1437-(IF(N(E1435)&lt;=A1444,N(D1435),0)+IF(N(G1435)&lt;=A1444,N(F1435),0)+IF(N(I1435)&lt;=A1444,N(H1435),0)+IF(N(K1435)&lt;=A1444,N(J1435),0)))/N(L1435))),A1444)</f>
        <v>0</v>
      </c>
      <c r="E1444" s="37">
        <f>IF(M1435,B1437+F1437*D1444-N(L1435)*D1444^2/2-(N(D1435)*MAX(0,D1444-N(E1435))+N(F1435)*MAX(0,D1444-N(G1435))+N(H1435)*MAX(0,D1444-N(I1435))+N(J1435)*MAX(0,D1444-N(K1435))),0)</f>
        <v>0</v>
      </c>
      <c r="F1444" s="37"/>
      <c r="G1444" s="37"/>
      <c r="H1444" s="37"/>
      <c r="I1444" s="37"/>
      <c r="J1444" s="37"/>
      <c r="K1444" s="37"/>
      <c r="L1444" s="37"/>
      <c r="M1444" s="37"/>
    </row>
    <row r="1445" spans="1:13" hidden="1">
      <c r="A1445" s="37">
        <f>SMALL(H1439:M1439,6)</f>
        <v>0</v>
      </c>
      <c r="B1445" s="37">
        <f>IF(M1435,B1437+F1437*A1445-N(L1435)*A1445^2/2-(N(D1435)*MAX(0,A1445-N(E1435))+N(F1435)*MAX(0,A1445-N(G1435))+N(H1435)*MAX(0,A1445-N(I1435))+N(J1435)*MAX(0,A1445-N(K1435))),0)</f>
        <v>0</v>
      </c>
      <c r="C1445" s="37"/>
      <c r="D1445" s="37"/>
      <c r="E1445" s="37"/>
      <c r="F1445" s="37"/>
      <c r="G1445" s="37"/>
      <c r="H1445" s="37"/>
      <c r="I1445" s="37"/>
      <c r="J1445" s="37"/>
      <c r="K1445" s="37"/>
      <c r="L1445" s="37"/>
      <c r="M1445" s="37"/>
    </row>
    <row r="1446" spans="1:13" hidden="1">
      <c r="A1446" s="36"/>
      <c r="B1446" s="36"/>
      <c r="C1446" s="36"/>
      <c r="D1446" s="36"/>
      <c r="E1446" s="36"/>
      <c r="F1446" s="36"/>
      <c r="G1446" s="36"/>
      <c r="H1446" s="36"/>
      <c r="I1446" s="36"/>
      <c r="J1446" s="36"/>
      <c r="K1446" s="36"/>
      <c r="L1446" s="36"/>
      <c r="M1446" s="36"/>
    </row>
    <row r="1447" spans="1:13" hidden="1">
      <c r="A1447" s="36"/>
      <c r="B1447" s="36"/>
      <c r="C1447" s="36"/>
      <c r="D1447" s="36"/>
      <c r="E1447" s="36"/>
      <c r="F1447" s="36"/>
      <c r="G1447" s="36"/>
      <c r="H1447" s="36"/>
      <c r="I1447" s="36"/>
      <c r="J1447" s="36"/>
      <c r="K1447" s="36"/>
      <c r="L1447" s="36"/>
      <c r="M1447" s="36"/>
    </row>
    <row r="1448" spans="1:13" hidden="1">
      <c r="A1448" s="36"/>
      <c r="B1448" s="36"/>
      <c r="C1448" s="36"/>
      <c r="D1448" s="36"/>
      <c r="E1448" s="36"/>
      <c r="F1448" s="36"/>
      <c r="G1448" s="36"/>
      <c r="H1448" s="36"/>
      <c r="I1448" s="36"/>
      <c r="J1448" s="36"/>
      <c r="K1448" s="36"/>
      <c r="L1448" s="36"/>
      <c r="M1448" s="36"/>
    </row>
    <row r="1449" spans="1:13" hidden="1">
      <c r="A1449" s="36"/>
      <c r="B1449" s="36"/>
      <c r="C1449" s="36"/>
      <c r="D1449" s="36"/>
      <c r="E1449" s="36"/>
      <c r="F1449" s="36"/>
      <c r="G1449" s="36"/>
      <c r="H1449" s="36"/>
      <c r="I1449" s="36"/>
      <c r="J1449" s="36"/>
      <c r="K1449" s="36"/>
      <c r="L1449" s="36"/>
      <c r="M1449" s="36"/>
    </row>
    <row r="1450" spans="1:13" hidden="1">
      <c r="A1450" s="36"/>
      <c r="B1450" s="36"/>
      <c r="C1450" s="36"/>
      <c r="D1450" s="36"/>
      <c r="E1450" s="36"/>
      <c r="F1450" s="36"/>
      <c r="G1450" s="36"/>
      <c r="H1450" s="36"/>
      <c r="I1450" s="36"/>
      <c r="J1450" s="36"/>
      <c r="K1450" s="36"/>
      <c r="L1450" s="36"/>
      <c r="M1450" s="36"/>
    </row>
    <row r="1451" spans="1:13" hidden="1">
      <c r="A1451" s="36"/>
      <c r="B1451" s="36"/>
      <c r="C1451" s="36"/>
      <c r="D1451" s="36"/>
      <c r="E1451" s="36"/>
      <c r="F1451" s="36"/>
      <c r="G1451" s="36"/>
      <c r="H1451" s="36"/>
      <c r="I1451" s="36"/>
      <c r="J1451" s="36"/>
      <c r="K1451" s="36"/>
      <c r="L1451" s="36"/>
      <c r="M1451" s="36"/>
    </row>
    <row r="1452" spans="1:13" hidden="1">
      <c r="A1452" s="36"/>
      <c r="B1452" s="36"/>
      <c r="C1452" s="36"/>
      <c r="D1452" s="36"/>
      <c r="E1452" s="36"/>
      <c r="F1452" s="36"/>
      <c r="G1452" s="36"/>
      <c r="H1452" s="36"/>
      <c r="I1452" s="36"/>
      <c r="J1452" s="36"/>
      <c r="K1452" s="36"/>
      <c r="L1452" s="36"/>
      <c r="M1452" s="36"/>
    </row>
    <row r="1453" spans="1:13" hidden="1">
      <c r="A1453" s="36"/>
      <c r="B1453" s="36"/>
      <c r="C1453" s="36"/>
      <c r="D1453" s="36"/>
      <c r="E1453" s="36"/>
      <c r="F1453" s="36"/>
      <c r="G1453" s="36"/>
      <c r="H1453" s="36"/>
      <c r="I1453" s="36"/>
      <c r="J1453" s="36"/>
      <c r="K1453" s="36"/>
      <c r="L1453" s="36"/>
      <c r="M1453" s="36"/>
    </row>
    <row r="1454" spans="1:13" hidden="1">
      <c r="A1454" s="36"/>
      <c r="B1454" s="36"/>
      <c r="C1454" s="36"/>
      <c r="D1454" s="36"/>
      <c r="E1454" s="36"/>
      <c r="F1454" s="36"/>
      <c r="G1454" s="36"/>
      <c r="H1454" s="36"/>
      <c r="I1454" s="36"/>
      <c r="J1454" s="36"/>
      <c r="K1454" s="36"/>
      <c r="L1454" s="36"/>
      <c r="M1454" s="36"/>
    </row>
    <row r="1455" spans="1:13" hidden="1">
      <c r="A1455" s="36"/>
      <c r="B1455" s="36"/>
      <c r="C1455" s="36"/>
      <c r="D1455" s="36"/>
      <c r="E1455" s="36"/>
      <c r="F1455" s="36"/>
      <c r="G1455" s="36"/>
      <c r="H1455" s="36"/>
      <c r="I1455" s="36"/>
      <c r="J1455" s="36"/>
      <c r="K1455" s="36"/>
      <c r="L1455" s="36"/>
      <c r="M1455" s="36"/>
    </row>
    <row r="1456" spans="1:13" hidden="1">
      <c r="A1456" s="36"/>
      <c r="B1456" s="36"/>
      <c r="C1456" s="36"/>
      <c r="D1456" s="36"/>
      <c r="E1456" s="36"/>
      <c r="F1456" s="36"/>
      <c r="G1456" s="36"/>
      <c r="H1456" s="36"/>
      <c r="I1456" s="36"/>
      <c r="J1456" s="36"/>
      <c r="K1456" s="36"/>
      <c r="L1456" s="36"/>
      <c r="M1456" s="36"/>
    </row>
    <row r="1457" spans="1:13" hidden="1">
      <c r="A1457" s="36"/>
      <c r="B1457" s="36"/>
      <c r="C1457" s="36"/>
      <c r="D1457" s="36"/>
      <c r="E1457" s="36"/>
      <c r="F1457" s="36"/>
      <c r="G1457" s="36"/>
      <c r="H1457" s="36"/>
      <c r="I1457" s="36"/>
      <c r="J1457" s="36"/>
      <c r="K1457" s="36"/>
      <c r="L1457" s="36"/>
      <c r="M1457" s="36"/>
    </row>
    <row r="1458" spans="1:13" hidden="1">
      <c r="A1458" s="156" t="s">
        <v>79</v>
      </c>
      <c r="B1458" s="156"/>
      <c r="C1458" s="156"/>
      <c r="D1458" s="156"/>
      <c r="E1458" s="156"/>
      <c r="F1458" s="156"/>
      <c r="G1458" s="156"/>
      <c r="H1458" s="156"/>
      <c r="I1458" s="156"/>
      <c r="J1458" s="156"/>
      <c r="K1458" s="156"/>
      <c r="L1458" s="156"/>
      <c r="M1458" s="156"/>
    </row>
    <row r="1459" spans="1:13" hidden="1">
      <c r="A1459" s="36" t="s">
        <v>3</v>
      </c>
      <c r="B1459" s="36" t="s">
        <v>50</v>
      </c>
      <c r="C1459" s="36" t="s">
        <v>5</v>
      </c>
      <c r="D1459" s="36" t="s">
        <v>51</v>
      </c>
      <c r="E1459" s="36" t="s">
        <v>52</v>
      </c>
      <c r="F1459" s="36" t="s">
        <v>53</v>
      </c>
      <c r="G1459" s="36" t="s">
        <v>54</v>
      </c>
      <c r="H1459" s="36" t="s">
        <v>55</v>
      </c>
      <c r="I1459" s="36" t="s">
        <v>56</v>
      </c>
      <c r="J1459" s="36" t="s">
        <v>57</v>
      </c>
      <c r="K1459" s="36" t="s">
        <v>58</v>
      </c>
      <c r="L1459" s="36" t="s">
        <v>59</v>
      </c>
      <c r="M1459" s="36" t="s">
        <v>60</v>
      </c>
    </row>
    <row r="1460" spans="1:13" hidden="1">
      <c r="A1460" s="36" t="str">
        <f>IF('Steel Beam Design'!A36="","",'Steel Beam Design'!A36)</f>
        <v/>
      </c>
      <c r="B1460" s="36" t="str">
        <f>IF('Steel Beam Design'!B36="","",'Steel Beam Design'!B36)</f>
        <v/>
      </c>
      <c r="C1460" s="36" t="str">
        <f>IF('Steel Beam Design'!C36="","",'Steel Beam Design'!C36)</f>
        <v/>
      </c>
      <c r="D1460" s="36" t="str">
        <f>IF('Steel Beam Design'!D36="","",'Steel Beam Design'!D36)</f>
        <v/>
      </c>
      <c r="E1460" s="36" t="str">
        <f>IF('Steel Beam Design'!E36="","",'Steel Beam Design'!E36)</f>
        <v/>
      </c>
      <c r="F1460" s="36" t="str">
        <f>IF('Steel Beam Design'!F36="","",'Steel Beam Design'!F36)</f>
        <v/>
      </c>
      <c r="G1460" s="36" t="str">
        <f>IF('Steel Beam Design'!G36="","",'Steel Beam Design'!G36)</f>
        <v/>
      </c>
      <c r="H1460" s="36" t="str">
        <f>IF('Steel Beam Design'!H36="","",'Steel Beam Design'!H36)</f>
        <v/>
      </c>
      <c r="I1460" s="36" t="str">
        <f>IF('Steel Beam Design'!I36="","",'Steel Beam Design'!I36)</f>
        <v/>
      </c>
      <c r="J1460" s="36" t="str">
        <f>IF('Steel Beam Design'!J36="","",'Steel Beam Design'!J36)</f>
        <v/>
      </c>
      <c r="K1460" s="36" t="str">
        <f>IF('Steel Beam Design'!K36="","",'Steel Beam Design'!K36)</f>
        <v/>
      </c>
      <c r="L1460" s="36" t="str">
        <f>IF('Steel Beam Design'!L36="","",'Steel Beam Design'!L36)</f>
        <v/>
      </c>
      <c r="M1460" s="36" t="b">
        <f>AND(ISNUMBER(B1460),B1460&gt;0,OR(C1460="Cantilever Supported",C1460="Simply Supported",C1460="Fixed-Fixed"),OR(L1460="",AND(ISNUMBER(L1460),L1460&gt;=0)),OR(D1460="",AND(ISNUMBER(D1460),D1460&gt;=0)),OR(N(D1460)=0,AND(ISNUMBER(E1460),E1460&gt;=0,E1460&lt;=B1460)),OR(F1460="",AND(ISNUMBER(F1460),F1460&gt;=0)),OR(N(F1460)=0,AND(ISNUMBER(G1460),G1460&gt;=0,G1460&lt;=B1460)),OR(H1460="",AND(ISNUMBER(H1460),H1460&gt;=0)),OR(N(H1460)=0,AND(ISNUMBER(I1460),I1460&gt;=0,I1460&lt;=B1460)),OR(J1460="",AND(ISNUMBER(J1460),J1460&gt;=0)),OR(N(J1460)=0,AND(ISNUMBER(K1460),K1460&gt;=0,K1460&lt;=B1460)))</f>
        <v>0</v>
      </c>
    </row>
    <row r="1461" spans="1:13" hidden="1">
      <c r="A1461" s="36"/>
      <c r="B1461" s="36"/>
      <c r="C1461" s="36"/>
      <c r="D1461" s="36"/>
      <c r="E1461" s="36"/>
      <c r="F1461" s="36"/>
      <c r="G1461" s="36"/>
      <c r="H1461" s="36"/>
      <c r="I1461" s="36"/>
      <c r="J1461" s="36"/>
      <c r="K1461" s="36"/>
      <c r="L1461" s="36"/>
      <c r="M1461" s="36"/>
    </row>
    <row r="1462" spans="1:13" hidden="1">
      <c r="A1462" s="36" t="s">
        <v>61</v>
      </c>
      <c r="B1462" s="36">
        <f>IF(M1460,IF(C1460="Cantilever Supported",-(N(D1460)*N(E1460)+N(F1460)*N(G1460)+N(H1460)*N(I1460)+N(J1460)*N(K1460))-N(L1460)*B1460^2/2,IF(C1460="Fixed-Fixed",-(N(D1460)*N(E1460)*(B1460-N(E1460))^2/B1460^2+N(F1460)*N(G1460)*(B1460-N(G1460))^2/B1460^2+N(H1460)*N(I1460)*(B1460-N(I1460))^2/B1460^2+N(J1460)*N(K1460)*(B1460-N(K1460))^2/B1460^2)-N(L1460)*B1460^2/12,0)),0)</f>
        <v>0</v>
      </c>
      <c r="C1462" s="36" t="s">
        <v>62</v>
      </c>
      <c r="D1462" s="36">
        <f>IF(M1460,IF(C1460="Fixed-Fixed",-(N(D1460)*N(E1460)^2*(B1460-N(E1460))/B1460^2+N(F1460)*N(G1460)^2*(B1460-N(G1460))/B1460^2+N(H1460)*N(I1460)^2*(B1460-N(I1460))/B1460^2+N(J1460)*N(K1460)^2*(B1460-N(K1460))/B1460^2)-N(L1460)*B1460^2/12,0),0)</f>
        <v>0</v>
      </c>
      <c r="E1462" s="36" t="s">
        <v>63</v>
      </c>
      <c r="F1462" s="36">
        <f>IF(M1460,IF(C1460="Cantilever Supported",N(D1460)+N(F1460)+N(H1460)+N(J1460)+N(L1460)*B1460,((N(D1460)*(B1460-N(E1460))+N(F1460)*(B1460-N(G1460))+N(H1460)*(B1460-N(I1460))+N(J1460)*(B1460-N(K1460)))+N(L1460)*B1460^2/2+D1462-B1462)/B1460),0)</f>
        <v>0</v>
      </c>
      <c r="G1462" s="36" t="s">
        <v>64</v>
      </c>
      <c r="H1462" s="36">
        <f>MAX(MAX(B1465:B1470),-MIN(B1465:B1470),MAX(E1465:E1469),-MIN(E1465:E1469))</f>
        <v>0</v>
      </c>
      <c r="I1462" s="36"/>
      <c r="J1462" s="36"/>
      <c r="K1462" s="36"/>
      <c r="L1462" s="36"/>
      <c r="M1462" s="36"/>
    </row>
    <row r="1463" spans="1:13" hidden="1">
      <c r="A1463" s="36"/>
      <c r="B1463" s="36"/>
      <c r="C1463" s="36"/>
      <c r="D1463" s="36"/>
      <c r="E1463" s="36"/>
      <c r="F1463" s="36"/>
      <c r="G1463" s="36"/>
      <c r="H1463" s="36"/>
      <c r="I1463" s="36"/>
      <c r="J1463" s="36"/>
      <c r="K1463" s="36"/>
      <c r="L1463" s="36"/>
      <c r="M1463" s="36"/>
    </row>
    <row r="1464" spans="1:13" hidden="1">
      <c r="A1464" s="36" t="s">
        <v>65</v>
      </c>
      <c r="B1464" s="36" t="s">
        <v>66</v>
      </c>
      <c r="C1464" s="36" t="s">
        <v>67</v>
      </c>
      <c r="D1464" s="36" t="s">
        <v>68</v>
      </c>
      <c r="E1464" s="36" t="s">
        <v>69</v>
      </c>
      <c r="F1464" s="36"/>
      <c r="G1464" s="36"/>
      <c r="H1464" s="36">
        <f>0</f>
        <v>0</v>
      </c>
      <c r="I1464" s="36">
        <f>IF(N(D1460)=0,0,N(E1460))</f>
        <v>0</v>
      </c>
      <c r="J1464" s="36">
        <f>IF(N(F1460)=0,0,N(G1460))</f>
        <v>0</v>
      </c>
      <c r="K1464" s="36">
        <f>IF(N(H1460)=0,0,N(I1460))</f>
        <v>0</v>
      </c>
      <c r="L1464" s="36">
        <f>IF(N(J1460)=0,0,N(K1460))</f>
        <v>0</v>
      </c>
      <c r="M1464" s="36">
        <f>IF(M1460,B1460,0)</f>
        <v>0</v>
      </c>
    </row>
    <row r="1465" spans="1:13" hidden="1">
      <c r="A1465" s="37">
        <f>SMALL(H1464:M1464,1)</f>
        <v>0</v>
      </c>
      <c r="B1465" s="37">
        <f>IF(M1460,B1462+F1462*A1465-N(L1460)*A1465^2/2-(N(D1460)*MAX(0,A1465-N(E1460))+N(F1460)*MAX(0,A1465-N(G1460))+N(H1460)*MAX(0,A1465-N(I1460))+N(J1460)*MAX(0,A1465-N(K1460))),0)</f>
        <v>0</v>
      </c>
      <c r="C1465" s="37">
        <f>A1466</f>
        <v>0</v>
      </c>
      <c r="D1465" s="37">
        <f>IF(AND(M1460,N(L1460)&gt;0),MAX(A1465,MIN(C1465,(F1462-(IF(N(E1460)&lt;=A1465,N(D1460),0)+IF(N(G1460)&lt;=A1465,N(F1460),0)+IF(N(I1460)&lt;=A1465,N(H1460),0)+IF(N(K1460)&lt;=A1465,N(J1460),0)))/N(L1460))),A1465)</f>
        <v>0</v>
      </c>
      <c r="E1465" s="37">
        <f>IF(M1460,B1462+F1462*D1465-N(L1460)*D1465^2/2-(N(D1460)*MAX(0,D1465-N(E1460))+N(F1460)*MAX(0,D1465-N(G1460))+N(H1460)*MAX(0,D1465-N(I1460))+N(J1460)*MAX(0,D1465-N(K1460))),0)</f>
        <v>0</v>
      </c>
      <c r="F1465" s="37"/>
      <c r="G1465" s="37"/>
      <c r="H1465" s="37"/>
      <c r="I1465" s="37"/>
      <c r="J1465" s="37"/>
      <c r="K1465" s="37"/>
      <c r="L1465" s="37"/>
      <c r="M1465" s="37"/>
    </row>
    <row r="1466" spans="1:13" hidden="1">
      <c r="A1466" s="37">
        <f>SMALL(H1464:M1464,2)</f>
        <v>0</v>
      </c>
      <c r="B1466" s="37">
        <f>IF(M1460,B1462+F1462*A1466-N(L1460)*A1466^2/2-(N(D1460)*MAX(0,A1466-N(E1460))+N(F1460)*MAX(0,A1466-N(G1460))+N(H1460)*MAX(0,A1466-N(I1460))+N(J1460)*MAX(0,A1466-N(K1460))),0)</f>
        <v>0</v>
      </c>
      <c r="C1466" s="37">
        <f>A1467</f>
        <v>0</v>
      </c>
      <c r="D1466" s="37">
        <f>IF(AND(M1460,N(L1460)&gt;0),MAX(A1466,MIN(C1466,(F1462-(IF(N(E1460)&lt;=A1466,N(D1460),0)+IF(N(G1460)&lt;=A1466,N(F1460),0)+IF(N(I1460)&lt;=A1466,N(H1460),0)+IF(N(K1460)&lt;=A1466,N(J1460),0)))/N(L1460))),A1466)</f>
        <v>0</v>
      </c>
      <c r="E1466" s="37">
        <f>IF(M1460,B1462+F1462*D1466-N(L1460)*D1466^2/2-(N(D1460)*MAX(0,D1466-N(E1460))+N(F1460)*MAX(0,D1466-N(G1460))+N(H1460)*MAX(0,D1466-N(I1460))+N(J1460)*MAX(0,D1466-N(K1460))),0)</f>
        <v>0</v>
      </c>
      <c r="F1466" s="37"/>
      <c r="G1466" s="37"/>
      <c r="H1466" s="37"/>
      <c r="I1466" s="37"/>
      <c r="J1466" s="37"/>
      <c r="K1466" s="37"/>
      <c r="L1466" s="37"/>
      <c r="M1466" s="37"/>
    </row>
    <row r="1467" spans="1:13" hidden="1">
      <c r="A1467" s="37">
        <f>SMALL(H1464:M1464,3)</f>
        <v>0</v>
      </c>
      <c r="B1467" s="37">
        <f>IF(M1460,B1462+F1462*A1467-N(L1460)*A1467^2/2-(N(D1460)*MAX(0,A1467-N(E1460))+N(F1460)*MAX(0,A1467-N(G1460))+N(H1460)*MAX(0,A1467-N(I1460))+N(J1460)*MAX(0,A1467-N(K1460))),0)</f>
        <v>0</v>
      </c>
      <c r="C1467" s="37">
        <f>A1468</f>
        <v>0</v>
      </c>
      <c r="D1467" s="37">
        <f>IF(AND(M1460,N(L1460)&gt;0),MAX(A1467,MIN(C1467,(F1462-(IF(N(E1460)&lt;=A1467,N(D1460),0)+IF(N(G1460)&lt;=A1467,N(F1460),0)+IF(N(I1460)&lt;=A1467,N(H1460),0)+IF(N(K1460)&lt;=A1467,N(J1460),0)))/N(L1460))),A1467)</f>
        <v>0</v>
      </c>
      <c r="E1467" s="37">
        <f>IF(M1460,B1462+F1462*D1467-N(L1460)*D1467^2/2-(N(D1460)*MAX(0,D1467-N(E1460))+N(F1460)*MAX(0,D1467-N(G1460))+N(H1460)*MAX(0,D1467-N(I1460))+N(J1460)*MAX(0,D1467-N(K1460))),0)</f>
        <v>0</v>
      </c>
      <c r="F1467" s="37"/>
      <c r="G1467" s="37"/>
      <c r="H1467" s="37"/>
      <c r="I1467" s="37"/>
      <c r="J1467" s="37"/>
      <c r="K1467" s="37"/>
      <c r="L1467" s="37"/>
      <c r="M1467" s="37"/>
    </row>
    <row r="1468" spans="1:13" hidden="1">
      <c r="A1468" s="37">
        <f>SMALL(H1464:M1464,4)</f>
        <v>0</v>
      </c>
      <c r="B1468" s="37">
        <f>IF(M1460,B1462+F1462*A1468-N(L1460)*A1468^2/2-(N(D1460)*MAX(0,A1468-N(E1460))+N(F1460)*MAX(0,A1468-N(G1460))+N(H1460)*MAX(0,A1468-N(I1460))+N(J1460)*MAX(0,A1468-N(K1460))),0)</f>
        <v>0</v>
      </c>
      <c r="C1468" s="37">
        <f>A1469</f>
        <v>0</v>
      </c>
      <c r="D1468" s="37">
        <f>IF(AND(M1460,N(L1460)&gt;0),MAX(A1468,MIN(C1468,(F1462-(IF(N(E1460)&lt;=A1468,N(D1460),0)+IF(N(G1460)&lt;=A1468,N(F1460),0)+IF(N(I1460)&lt;=A1468,N(H1460),0)+IF(N(K1460)&lt;=A1468,N(J1460),0)))/N(L1460))),A1468)</f>
        <v>0</v>
      </c>
      <c r="E1468" s="37">
        <f>IF(M1460,B1462+F1462*D1468-N(L1460)*D1468^2/2-(N(D1460)*MAX(0,D1468-N(E1460))+N(F1460)*MAX(0,D1468-N(G1460))+N(H1460)*MAX(0,D1468-N(I1460))+N(J1460)*MAX(0,D1468-N(K1460))),0)</f>
        <v>0</v>
      </c>
      <c r="F1468" s="37"/>
      <c r="G1468" s="37"/>
      <c r="H1468" s="37"/>
      <c r="I1468" s="37"/>
      <c r="J1468" s="37"/>
      <c r="K1468" s="37"/>
      <c r="L1468" s="37"/>
      <c r="M1468" s="37"/>
    </row>
    <row r="1469" spans="1:13" hidden="1">
      <c r="A1469" s="37">
        <f>SMALL(H1464:M1464,5)</f>
        <v>0</v>
      </c>
      <c r="B1469" s="37">
        <f>IF(M1460,B1462+F1462*A1469-N(L1460)*A1469^2/2-(N(D1460)*MAX(0,A1469-N(E1460))+N(F1460)*MAX(0,A1469-N(G1460))+N(H1460)*MAX(0,A1469-N(I1460))+N(J1460)*MAX(0,A1469-N(K1460))),0)</f>
        <v>0</v>
      </c>
      <c r="C1469" s="37">
        <f>A1470</f>
        <v>0</v>
      </c>
      <c r="D1469" s="37">
        <f>IF(AND(M1460,N(L1460)&gt;0),MAX(A1469,MIN(C1469,(F1462-(IF(N(E1460)&lt;=A1469,N(D1460),0)+IF(N(G1460)&lt;=A1469,N(F1460),0)+IF(N(I1460)&lt;=A1469,N(H1460),0)+IF(N(K1460)&lt;=A1469,N(J1460),0)))/N(L1460))),A1469)</f>
        <v>0</v>
      </c>
      <c r="E1469" s="37">
        <f>IF(M1460,B1462+F1462*D1469-N(L1460)*D1469^2/2-(N(D1460)*MAX(0,D1469-N(E1460))+N(F1460)*MAX(0,D1469-N(G1460))+N(H1460)*MAX(0,D1469-N(I1460))+N(J1460)*MAX(0,D1469-N(K1460))),0)</f>
        <v>0</v>
      </c>
      <c r="F1469" s="37"/>
      <c r="G1469" s="37"/>
      <c r="H1469" s="37"/>
      <c r="I1469" s="37"/>
      <c r="J1469" s="37"/>
      <c r="K1469" s="37"/>
      <c r="L1469" s="37"/>
      <c r="M1469" s="37"/>
    </row>
    <row r="1470" spans="1:13" hidden="1">
      <c r="A1470" s="37">
        <f>SMALL(H1464:M1464,6)</f>
        <v>0</v>
      </c>
      <c r="B1470" s="37">
        <f>IF(M1460,B1462+F1462*A1470-N(L1460)*A1470^2/2-(N(D1460)*MAX(0,A1470-N(E1460))+N(F1460)*MAX(0,A1470-N(G1460))+N(H1460)*MAX(0,A1470-N(I1460))+N(J1460)*MAX(0,A1470-N(K1460))),0)</f>
        <v>0</v>
      </c>
      <c r="C1470" s="37"/>
      <c r="D1470" s="37"/>
      <c r="E1470" s="37"/>
      <c r="F1470" s="37"/>
      <c r="G1470" s="37"/>
      <c r="H1470" s="37"/>
      <c r="I1470" s="37"/>
      <c r="J1470" s="37"/>
      <c r="K1470" s="37"/>
      <c r="L1470" s="37"/>
      <c r="M1470" s="37"/>
    </row>
    <row r="1471" spans="1:13" hidden="1">
      <c r="A1471" s="36"/>
      <c r="B1471" s="36"/>
      <c r="C1471" s="36"/>
      <c r="D1471" s="36"/>
      <c r="E1471" s="36"/>
      <c r="F1471" s="36"/>
      <c r="G1471" s="36"/>
      <c r="H1471" s="36"/>
      <c r="I1471" s="36"/>
      <c r="J1471" s="36"/>
      <c r="K1471" s="36"/>
      <c r="L1471" s="36"/>
      <c r="M1471" s="36"/>
    </row>
    <row r="1472" spans="1:13" hidden="1">
      <c r="A1472" s="36"/>
      <c r="B1472" s="36"/>
      <c r="C1472" s="36"/>
      <c r="D1472" s="36"/>
      <c r="E1472" s="36"/>
      <c r="F1472" s="36"/>
      <c r="G1472" s="36"/>
      <c r="H1472" s="36"/>
      <c r="I1472" s="36"/>
      <c r="J1472" s="36"/>
      <c r="K1472" s="36"/>
      <c r="L1472" s="36"/>
      <c r="M1472" s="36"/>
    </row>
    <row r="1473" spans="1:13" hidden="1">
      <c r="A1473" s="36"/>
      <c r="B1473" s="36"/>
      <c r="C1473" s="36"/>
      <c r="D1473" s="36"/>
      <c r="E1473" s="36"/>
      <c r="F1473" s="36"/>
      <c r="G1473" s="36"/>
      <c r="H1473" s="36"/>
      <c r="I1473" s="36"/>
      <c r="J1473" s="36"/>
      <c r="K1473" s="36"/>
      <c r="L1473" s="36"/>
      <c r="M1473" s="36"/>
    </row>
    <row r="1474" spans="1:13" hidden="1">
      <c r="A1474" s="36"/>
      <c r="B1474" s="36"/>
      <c r="C1474" s="36"/>
      <c r="D1474" s="36"/>
      <c r="E1474" s="36"/>
      <c r="F1474" s="36"/>
      <c r="G1474" s="36"/>
      <c r="H1474" s="36"/>
      <c r="I1474" s="36"/>
      <c r="J1474" s="36"/>
      <c r="K1474" s="36"/>
      <c r="L1474" s="36"/>
      <c r="M1474" s="36"/>
    </row>
    <row r="1475" spans="1:13" hidden="1">
      <c r="A1475" s="36"/>
      <c r="B1475" s="36"/>
      <c r="C1475" s="36"/>
      <c r="D1475" s="36"/>
      <c r="E1475" s="36"/>
      <c r="F1475" s="36"/>
      <c r="G1475" s="36"/>
      <c r="H1475" s="36"/>
      <c r="I1475" s="36"/>
      <c r="J1475" s="36"/>
      <c r="K1475" s="36"/>
      <c r="L1475" s="36"/>
      <c r="M1475" s="36"/>
    </row>
    <row r="1476" spans="1:13" hidden="1">
      <c r="A1476" s="36"/>
      <c r="B1476" s="36"/>
      <c r="C1476" s="36"/>
      <c r="D1476" s="36"/>
      <c r="E1476" s="36"/>
      <c r="F1476" s="36"/>
      <c r="G1476" s="36"/>
      <c r="H1476" s="36"/>
      <c r="I1476" s="36"/>
      <c r="J1476" s="36"/>
      <c r="K1476" s="36"/>
      <c r="L1476" s="36"/>
      <c r="M1476" s="36"/>
    </row>
    <row r="1477" spans="1:13" hidden="1">
      <c r="A1477" s="36"/>
      <c r="B1477" s="36"/>
      <c r="C1477" s="36"/>
      <c r="D1477" s="36"/>
      <c r="E1477" s="36"/>
      <c r="F1477" s="36"/>
      <c r="G1477" s="36"/>
      <c r="H1477" s="36"/>
      <c r="I1477" s="36"/>
      <c r="J1477" s="36"/>
      <c r="K1477" s="36"/>
      <c r="L1477" s="36"/>
      <c r="M1477" s="36"/>
    </row>
    <row r="1478" spans="1:13" hidden="1">
      <c r="A1478" s="36"/>
      <c r="B1478" s="36"/>
      <c r="C1478" s="36"/>
      <c r="D1478" s="36"/>
      <c r="E1478" s="36"/>
      <c r="F1478" s="36"/>
      <c r="G1478" s="36"/>
      <c r="H1478" s="36"/>
      <c r="I1478" s="36"/>
      <c r="J1478" s="36"/>
      <c r="K1478" s="36"/>
      <c r="L1478" s="36"/>
      <c r="M1478" s="36"/>
    </row>
    <row r="1479" spans="1:13" hidden="1">
      <c r="A1479" s="36"/>
      <c r="B1479" s="36"/>
      <c r="C1479" s="36"/>
      <c r="D1479" s="36"/>
      <c r="E1479" s="36"/>
      <c r="F1479" s="36"/>
      <c r="G1479" s="36"/>
      <c r="H1479" s="36"/>
      <c r="I1479" s="36"/>
      <c r="J1479" s="36"/>
      <c r="K1479" s="36"/>
      <c r="L1479" s="36"/>
      <c r="M1479" s="36"/>
    </row>
    <row r="1480" spans="1:13" hidden="1">
      <c r="A1480" s="36"/>
      <c r="B1480" s="36"/>
      <c r="C1480" s="36"/>
      <c r="D1480" s="36"/>
      <c r="E1480" s="36"/>
      <c r="F1480" s="36"/>
      <c r="G1480" s="36"/>
      <c r="H1480" s="36"/>
      <c r="I1480" s="36"/>
      <c r="J1480" s="36"/>
      <c r="K1480" s="36"/>
      <c r="L1480" s="36"/>
      <c r="M1480" s="36"/>
    </row>
    <row r="1481" spans="1:13" hidden="1">
      <c r="A1481" s="36"/>
      <c r="B1481" s="36"/>
      <c r="C1481" s="36"/>
      <c r="D1481" s="36"/>
      <c r="E1481" s="36"/>
      <c r="F1481" s="36"/>
      <c r="G1481" s="36"/>
      <c r="H1481" s="36"/>
      <c r="I1481" s="36"/>
      <c r="J1481" s="36"/>
      <c r="K1481" s="36"/>
      <c r="L1481" s="36"/>
      <c r="M1481" s="36"/>
    </row>
    <row r="1482" spans="1:13" hidden="1">
      <c r="A1482" s="36"/>
      <c r="B1482" s="36"/>
      <c r="C1482" s="36"/>
      <c r="D1482" s="36"/>
      <c r="E1482" s="36"/>
      <c r="F1482" s="36"/>
      <c r="G1482" s="36"/>
      <c r="H1482" s="36"/>
      <c r="I1482" s="36"/>
      <c r="J1482" s="36"/>
      <c r="K1482" s="36"/>
      <c r="L1482" s="36"/>
      <c r="M1482" s="36"/>
    </row>
    <row r="1483" spans="1:13" hidden="1">
      <c r="A1483" s="156" t="s">
        <v>80</v>
      </c>
      <c r="B1483" s="156"/>
      <c r="C1483" s="156"/>
      <c r="D1483" s="156"/>
      <c r="E1483" s="156"/>
      <c r="F1483" s="156"/>
      <c r="G1483" s="156"/>
      <c r="H1483" s="156"/>
      <c r="I1483" s="156"/>
      <c r="J1483" s="156"/>
      <c r="K1483" s="156"/>
      <c r="L1483" s="156"/>
      <c r="M1483" s="156"/>
    </row>
    <row r="1484" spans="1:13" hidden="1">
      <c r="A1484" s="36" t="s">
        <v>3</v>
      </c>
      <c r="B1484" s="36" t="s">
        <v>50</v>
      </c>
      <c r="C1484" s="36" t="s">
        <v>5</v>
      </c>
      <c r="D1484" s="36" t="s">
        <v>51</v>
      </c>
      <c r="E1484" s="36" t="s">
        <v>52</v>
      </c>
      <c r="F1484" s="36" t="s">
        <v>53</v>
      </c>
      <c r="G1484" s="36" t="s">
        <v>54</v>
      </c>
      <c r="H1484" s="36" t="s">
        <v>55</v>
      </c>
      <c r="I1484" s="36" t="s">
        <v>56</v>
      </c>
      <c r="J1484" s="36" t="s">
        <v>57</v>
      </c>
      <c r="K1484" s="36" t="s">
        <v>58</v>
      </c>
      <c r="L1484" s="36" t="s">
        <v>59</v>
      </c>
      <c r="M1484" s="36" t="s">
        <v>60</v>
      </c>
    </row>
    <row r="1485" spans="1:13" hidden="1">
      <c r="A1485" s="36" t="str">
        <f>IF('Steel Beam Design'!A37="","",'Steel Beam Design'!A37)</f>
        <v/>
      </c>
      <c r="B1485" s="36" t="str">
        <f>IF('Steel Beam Design'!B37="","",'Steel Beam Design'!B37)</f>
        <v/>
      </c>
      <c r="C1485" s="36" t="str">
        <f>IF('Steel Beam Design'!C37="","",'Steel Beam Design'!C37)</f>
        <v/>
      </c>
      <c r="D1485" s="36" t="str">
        <f>IF('Steel Beam Design'!D37="","",'Steel Beam Design'!D37)</f>
        <v/>
      </c>
      <c r="E1485" s="36" t="str">
        <f>IF('Steel Beam Design'!E37="","",'Steel Beam Design'!E37)</f>
        <v/>
      </c>
      <c r="F1485" s="36" t="str">
        <f>IF('Steel Beam Design'!F37="","",'Steel Beam Design'!F37)</f>
        <v/>
      </c>
      <c r="G1485" s="36" t="str">
        <f>IF('Steel Beam Design'!G37="","",'Steel Beam Design'!G37)</f>
        <v/>
      </c>
      <c r="H1485" s="36" t="str">
        <f>IF('Steel Beam Design'!H37="","",'Steel Beam Design'!H37)</f>
        <v/>
      </c>
      <c r="I1485" s="36" t="str">
        <f>IF('Steel Beam Design'!I37="","",'Steel Beam Design'!I37)</f>
        <v/>
      </c>
      <c r="J1485" s="36" t="str">
        <f>IF('Steel Beam Design'!J37="","",'Steel Beam Design'!J37)</f>
        <v/>
      </c>
      <c r="K1485" s="36" t="str">
        <f>IF('Steel Beam Design'!K37="","",'Steel Beam Design'!K37)</f>
        <v/>
      </c>
      <c r="L1485" s="36" t="str">
        <f>IF('Steel Beam Design'!L37="","",'Steel Beam Design'!L37)</f>
        <v/>
      </c>
      <c r="M1485" s="36" t="b">
        <f>AND(ISNUMBER(B1485),B1485&gt;0,OR(C1485="Cantilever Supported",C1485="Simply Supported",C1485="Fixed-Fixed"),OR(L1485="",AND(ISNUMBER(L1485),L1485&gt;=0)),OR(D1485="",AND(ISNUMBER(D1485),D1485&gt;=0)),OR(N(D1485)=0,AND(ISNUMBER(E1485),E1485&gt;=0,E1485&lt;=B1485)),OR(F1485="",AND(ISNUMBER(F1485),F1485&gt;=0)),OR(N(F1485)=0,AND(ISNUMBER(G1485),G1485&gt;=0,G1485&lt;=B1485)),OR(H1485="",AND(ISNUMBER(H1485),H1485&gt;=0)),OR(N(H1485)=0,AND(ISNUMBER(I1485),I1485&gt;=0,I1485&lt;=B1485)),OR(J1485="",AND(ISNUMBER(J1485),J1485&gt;=0)),OR(N(J1485)=0,AND(ISNUMBER(K1485),K1485&gt;=0,K1485&lt;=B1485)))</f>
        <v>0</v>
      </c>
    </row>
    <row r="1486" spans="1:13" hidden="1">
      <c r="A1486" s="36"/>
      <c r="B1486" s="36"/>
      <c r="C1486" s="36"/>
      <c r="D1486" s="36"/>
      <c r="E1486" s="36"/>
      <c r="F1486" s="36"/>
      <c r="G1486" s="36"/>
      <c r="H1486" s="36"/>
      <c r="I1486" s="36"/>
      <c r="J1486" s="36"/>
      <c r="K1486" s="36"/>
      <c r="L1486" s="36"/>
      <c r="M1486" s="36"/>
    </row>
    <row r="1487" spans="1:13" hidden="1">
      <c r="A1487" s="36" t="s">
        <v>61</v>
      </c>
      <c r="B1487" s="36">
        <f>IF(M1485,IF(C1485="Cantilever Supported",-(N(D1485)*N(E1485)+N(F1485)*N(G1485)+N(H1485)*N(I1485)+N(J1485)*N(K1485))-N(L1485)*B1485^2/2,IF(C1485="Fixed-Fixed",-(N(D1485)*N(E1485)*(B1485-N(E1485))^2/B1485^2+N(F1485)*N(G1485)*(B1485-N(G1485))^2/B1485^2+N(H1485)*N(I1485)*(B1485-N(I1485))^2/B1485^2+N(J1485)*N(K1485)*(B1485-N(K1485))^2/B1485^2)-N(L1485)*B1485^2/12,0)),0)</f>
        <v>0</v>
      </c>
      <c r="C1487" s="36" t="s">
        <v>62</v>
      </c>
      <c r="D1487" s="36">
        <f>IF(M1485,IF(C1485="Fixed-Fixed",-(N(D1485)*N(E1485)^2*(B1485-N(E1485))/B1485^2+N(F1485)*N(G1485)^2*(B1485-N(G1485))/B1485^2+N(H1485)*N(I1485)^2*(B1485-N(I1485))/B1485^2+N(J1485)*N(K1485)^2*(B1485-N(K1485))/B1485^2)-N(L1485)*B1485^2/12,0),0)</f>
        <v>0</v>
      </c>
      <c r="E1487" s="36" t="s">
        <v>63</v>
      </c>
      <c r="F1487" s="36">
        <f>IF(M1485,IF(C1485="Cantilever Supported",N(D1485)+N(F1485)+N(H1485)+N(J1485)+N(L1485)*B1485,((N(D1485)*(B1485-N(E1485))+N(F1485)*(B1485-N(G1485))+N(H1485)*(B1485-N(I1485))+N(J1485)*(B1485-N(K1485)))+N(L1485)*B1485^2/2+D1487-B1487)/B1485),0)</f>
        <v>0</v>
      </c>
      <c r="G1487" s="36" t="s">
        <v>64</v>
      </c>
      <c r="H1487" s="36">
        <f>MAX(MAX(B1490:B1495),-MIN(B1490:B1495),MAX(E1490:E1494),-MIN(E1490:E1494))</f>
        <v>0</v>
      </c>
      <c r="I1487" s="36"/>
      <c r="J1487" s="36"/>
      <c r="K1487" s="36"/>
      <c r="L1487" s="36"/>
      <c r="M1487" s="36"/>
    </row>
    <row r="1488" spans="1:13" hidden="1">
      <c r="A1488" s="36"/>
      <c r="B1488" s="36"/>
      <c r="C1488" s="36"/>
      <c r="D1488" s="36"/>
      <c r="E1488" s="36"/>
      <c r="F1488" s="36"/>
      <c r="G1488" s="36"/>
      <c r="H1488" s="36"/>
      <c r="I1488" s="36"/>
      <c r="J1488" s="36"/>
      <c r="K1488" s="36"/>
      <c r="L1488" s="36"/>
      <c r="M1488" s="36"/>
    </row>
    <row r="1489" spans="1:13" hidden="1">
      <c r="A1489" s="36" t="s">
        <v>65</v>
      </c>
      <c r="B1489" s="36" t="s">
        <v>66</v>
      </c>
      <c r="C1489" s="36" t="s">
        <v>67</v>
      </c>
      <c r="D1489" s="36" t="s">
        <v>68</v>
      </c>
      <c r="E1489" s="36" t="s">
        <v>69</v>
      </c>
      <c r="F1489" s="36"/>
      <c r="G1489" s="36"/>
      <c r="H1489" s="36">
        <f>0</f>
        <v>0</v>
      </c>
      <c r="I1489" s="36">
        <f>IF(N(D1485)=0,0,N(E1485))</f>
        <v>0</v>
      </c>
      <c r="J1489" s="36">
        <f>IF(N(F1485)=0,0,N(G1485))</f>
        <v>0</v>
      </c>
      <c r="K1489" s="36">
        <f>IF(N(H1485)=0,0,N(I1485))</f>
        <v>0</v>
      </c>
      <c r="L1489" s="36">
        <f>IF(N(J1485)=0,0,N(K1485))</f>
        <v>0</v>
      </c>
      <c r="M1489" s="36">
        <f>IF(M1485,B1485,0)</f>
        <v>0</v>
      </c>
    </row>
    <row r="1490" spans="1:13" hidden="1">
      <c r="A1490" s="37">
        <f>SMALL(H1489:M1489,1)</f>
        <v>0</v>
      </c>
      <c r="B1490" s="37">
        <f>IF(M1485,B1487+F1487*A1490-N(L1485)*A1490^2/2-(N(D1485)*MAX(0,A1490-N(E1485))+N(F1485)*MAX(0,A1490-N(G1485))+N(H1485)*MAX(0,A1490-N(I1485))+N(J1485)*MAX(0,A1490-N(K1485))),0)</f>
        <v>0</v>
      </c>
      <c r="C1490" s="37">
        <f>A1491</f>
        <v>0</v>
      </c>
      <c r="D1490" s="37">
        <f>IF(AND(M1485,N(L1485)&gt;0),MAX(A1490,MIN(C1490,(F1487-(IF(N(E1485)&lt;=A1490,N(D1485),0)+IF(N(G1485)&lt;=A1490,N(F1485),0)+IF(N(I1485)&lt;=A1490,N(H1485),0)+IF(N(K1485)&lt;=A1490,N(J1485),0)))/N(L1485))),A1490)</f>
        <v>0</v>
      </c>
      <c r="E1490" s="37">
        <f>IF(M1485,B1487+F1487*D1490-N(L1485)*D1490^2/2-(N(D1485)*MAX(0,D1490-N(E1485))+N(F1485)*MAX(0,D1490-N(G1485))+N(H1485)*MAX(0,D1490-N(I1485))+N(J1485)*MAX(0,D1490-N(K1485))),0)</f>
        <v>0</v>
      </c>
      <c r="F1490" s="37"/>
      <c r="G1490" s="37"/>
      <c r="H1490" s="37"/>
      <c r="I1490" s="37"/>
      <c r="J1490" s="37"/>
      <c r="K1490" s="37"/>
      <c r="L1490" s="37"/>
      <c r="M1490" s="37"/>
    </row>
    <row r="1491" spans="1:13" hidden="1">
      <c r="A1491" s="37">
        <f>SMALL(H1489:M1489,2)</f>
        <v>0</v>
      </c>
      <c r="B1491" s="37">
        <f>IF(M1485,B1487+F1487*A1491-N(L1485)*A1491^2/2-(N(D1485)*MAX(0,A1491-N(E1485))+N(F1485)*MAX(0,A1491-N(G1485))+N(H1485)*MAX(0,A1491-N(I1485))+N(J1485)*MAX(0,A1491-N(K1485))),0)</f>
        <v>0</v>
      </c>
      <c r="C1491" s="37">
        <f>A1492</f>
        <v>0</v>
      </c>
      <c r="D1491" s="37">
        <f>IF(AND(M1485,N(L1485)&gt;0),MAX(A1491,MIN(C1491,(F1487-(IF(N(E1485)&lt;=A1491,N(D1485),0)+IF(N(G1485)&lt;=A1491,N(F1485),0)+IF(N(I1485)&lt;=A1491,N(H1485),0)+IF(N(K1485)&lt;=A1491,N(J1485),0)))/N(L1485))),A1491)</f>
        <v>0</v>
      </c>
      <c r="E1491" s="37">
        <f>IF(M1485,B1487+F1487*D1491-N(L1485)*D1491^2/2-(N(D1485)*MAX(0,D1491-N(E1485))+N(F1485)*MAX(0,D1491-N(G1485))+N(H1485)*MAX(0,D1491-N(I1485))+N(J1485)*MAX(0,D1491-N(K1485))),0)</f>
        <v>0</v>
      </c>
      <c r="F1491" s="37"/>
      <c r="G1491" s="37"/>
      <c r="H1491" s="37"/>
      <c r="I1491" s="37"/>
      <c r="J1491" s="37"/>
      <c r="K1491" s="37"/>
      <c r="L1491" s="37"/>
      <c r="M1491" s="37"/>
    </row>
    <row r="1492" spans="1:13" hidden="1">
      <c r="A1492" s="37">
        <f>SMALL(H1489:M1489,3)</f>
        <v>0</v>
      </c>
      <c r="B1492" s="37">
        <f>IF(M1485,B1487+F1487*A1492-N(L1485)*A1492^2/2-(N(D1485)*MAX(0,A1492-N(E1485))+N(F1485)*MAX(0,A1492-N(G1485))+N(H1485)*MAX(0,A1492-N(I1485))+N(J1485)*MAX(0,A1492-N(K1485))),0)</f>
        <v>0</v>
      </c>
      <c r="C1492" s="37">
        <f>A1493</f>
        <v>0</v>
      </c>
      <c r="D1492" s="37">
        <f>IF(AND(M1485,N(L1485)&gt;0),MAX(A1492,MIN(C1492,(F1487-(IF(N(E1485)&lt;=A1492,N(D1485),0)+IF(N(G1485)&lt;=A1492,N(F1485),0)+IF(N(I1485)&lt;=A1492,N(H1485),0)+IF(N(K1485)&lt;=A1492,N(J1485),0)))/N(L1485))),A1492)</f>
        <v>0</v>
      </c>
      <c r="E1492" s="37">
        <f>IF(M1485,B1487+F1487*D1492-N(L1485)*D1492^2/2-(N(D1485)*MAX(0,D1492-N(E1485))+N(F1485)*MAX(0,D1492-N(G1485))+N(H1485)*MAX(0,D1492-N(I1485))+N(J1485)*MAX(0,D1492-N(K1485))),0)</f>
        <v>0</v>
      </c>
      <c r="F1492" s="37"/>
      <c r="G1492" s="37"/>
      <c r="H1492" s="37"/>
      <c r="I1492" s="37"/>
      <c r="J1492" s="37"/>
      <c r="K1492" s="37"/>
      <c r="L1492" s="37"/>
      <c r="M1492" s="37"/>
    </row>
    <row r="1493" spans="1:13" hidden="1">
      <c r="A1493" s="37">
        <f>SMALL(H1489:M1489,4)</f>
        <v>0</v>
      </c>
      <c r="B1493" s="37">
        <f>IF(M1485,B1487+F1487*A1493-N(L1485)*A1493^2/2-(N(D1485)*MAX(0,A1493-N(E1485))+N(F1485)*MAX(0,A1493-N(G1485))+N(H1485)*MAX(0,A1493-N(I1485))+N(J1485)*MAX(0,A1493-N(K1485))),0)</f>
        <v>0</v>
      </c>
      <c r="C1493" s="37">
        <f>A1494</f>
        <v>0</v>
      </c>
      <c r="D1493" s="37">
        <f>IF(AND(M1485,N(L1485)&gt;0),MAX(A1493,MIN(C1493,(F1487-(IF(N(E1485)&lt;=A1493,N(D1485),0)+IF(N(G1485)&lt;=A1493,N(F1485),0)+IF(N(I1485)&lt;=A1493,N(H1485),0)+IF(N(K1485)&lt;=A1493,N(J1485),0)))/N(L1485))),A1493)</f>
        <v>0</v>
      </c>
      <c r="E1493" s="37">
        <f>IF(M1485,B1487+F1487*D1493-N(L1485)*D1493^2/2-(N(D1485)*MAX(0,D1493-N(E1485))+N(F1485)*MAX(0,D1493-N(G1485))+N(H1485)*MAX(0,D1493-N(I1485))+N(J1485)*MAX(0,D1493-N(K1485))),0)</f>
        <v>0</v>
      </c>
      <c r="F1493" s="37"/>
      <c r="G1493" s="37"/>
      <c r="H1493" s="37"/>
      <c r="I1493" s="37"/>
      <c r="J1493" s="37"/>
      <c r="K1493" s="37"/>
      <c r="L1493" s="37"/>
      <c r="M1493" s="37"/>
    </row>
    <row r="1494" spans="1:13" hidden="1">
      <c r="A1494" s="37">
        <f>SMALL(H1489:M1489,5)</f>
        <v>0</v>
      </c>
      <c r="B1494" s="37">
        <f>IF(M1485,B1487+F1487*A1494-N(L1485)*A1494^2/2-(N(D1485)*MAX(0,A1494-N(E1485))+N(F1485)*MAX(0,A1494-N(G1485))+N(H1485)*MAX(0,A1494-N(I1485))+N(J1485)*MAX(0,A1494-N(K1485))),0)</f>
        <v>0</v>
      </c>
      <c r="C1494" s="37">
        <f>A1495</f>
        <v>0</v>
      </c>
      <c r="D1494" s="37">
        <f>IF(AND(M1485,N(L1485)&gt;0),MAX(A1494,MIN(C1494,(F1487-(IF(N(E1485)&lt;=A1494,N(D1485),0)+IF(N(G1485)&lt;=A1494,N(F1485),0)+IF(N(I1485)&lt;=A1494,N(H1485),0)+IF(N(K1485)&lt;=A1494,N(J1485),0)))/N(L1485))),A1494)</f>
        <v>0</v>
      </c>
      <c r="E1494" s="37">
        <f>IF(M1485,B1487+F1487*D1494-N(L1485)*D1494^2/2-(N(D1485)*MAX(0,D1494-N(E1485))+N(F1485)*MAX(0,D1494-N(G1485))+N(H1485)*MAX(0,D1494-N(I1485))+N(J1485)*MAX(0,D1494-N(K1485))),0)</f>
        <v>0</v>
      </c>
      <c r="F1494" s="37"/>
      <c r="G1494" s="37"/>
      <c r="H1494" s="37"/>
      <c r="I1494" s="37"/>
      <c r="J1494" s="37"/>
      <c r="K1494" s="37"/>
      <c r="L1494" s="37"/>
      <c r="M1494" s="37"/>
    </row>
    <row r="1495" spans="1:13" hidden="1">
      <c r="A1495" s="37">
        <f>SMALL(H1489:M1489,6)</f>
        <v>0</v>
      </c>
      <c r="B1495" s="37">
        <f>IF(M1485,B1487+F1487*A1495-N(L1485)*A1495^2/2-(N(D1485)*MAX(0,A1495-N(E1485))+N(F1485)*MAX(0,A1495-N(G1485))+N(H1485)*MAX(0,A1495-N(I1485))+N(J1485)*MAX(0,A1495-N(K1485))),0)</f>
        <v>0</v>
      </c>
      <c r="C1495" s="37"/>
      <c r="D1495" s="37"/>
      <c r="E1495" s="37"/>
      <c r="F1495" s="37"/>
      <c r="G1495" s="37"/>
      <c r="H1495" s="37"/>
      <c r="I1495" s="37"/>
      <c r="J1495" s="37"/>
      <c r="K1495" s="37"/>
      <c r="L1495" s="37"/>
      <c r="M1495" s="37"/>
    </row>
    <row r="1496" spans="1:13" hidden="1">
      <c r="A1496" s="36"/>
      <c r="B1496" s="36"/>
      <c r="C1496" s="36"/>
      <c r="D1496" s="36"/>
      <c r="E1496" s="36"/>
      <c r="F1496" s="36"/>
      <c r="G1496" s="36"/>
      <c r="H1496" s="36"/>
      <c r="I1496" s="36"/>
      <c r="J1496" s="36"/>
      <c r="K1496" s="36"/>
      <c r="L1496" s="36"/>
      <c r="M1496" s="36"/>
    </row>
    <row r="1497" spans="1:13" hidden="1">
      <c r="A1497" s="36"/>
      <c r="B1497" s="36"/>
      <c r="C1497" s="36"/>
      <c r="D1497" s="36"/>
      <c r="E1497" s="36"/>
      <c r="F1497" s="36"/>
      <c r="G1497" s="36"/>
      <c r="H1497" s="36"/>
      <c r="I1497" s="36"/>
      <c r="J1497" s="36"/>
      <c r="K1497" s="36"/>
      <c r="L1497" s="36"/>
      <c r="M1497" s="36"/>
    </row>
    <row r="1498" spans="1:13" hidden="1">
      <c r="A1498" s="36"/>
      <c r="B1498" s="36"/>
      <c r="C1498" s="36"/>
      <c r="D1498" s="36"/>
      <c r="E1498" s="36"/>
      <c r="F1498" s="36"/>
      <c r="G1498" s="36"/>
      <c r="H1498" s="36"/>
      <c r="I1498" s="36"/>
      <c r="J1498" s="36"/>
      <c r="K1498" s="36"/>
      <c r="L1498" s="36"/>
      <c r="M1498" s="36"/>
    </row>
    <row r="1499" spans="1:13" hidden="1">
      <c r="A1499" s="36"/>
      <c r="B1499" s="36"/>
      <c r="C1499" s="36"/>
      <c r="D1499" s="36"/>
      <c r="E1499" s="36"/>
      <c r="F1499" s="36"/>
      <c r="G1499" s="36"/>
      <c r="H1499" s="36"/>
      <c r="I1499" s="36"/>
      <c r="J1499" s="36"/>
      <c r="K1499" s="36"/>
      <c r="L1499" s="36"/>
      <c r="M1499" s="36"/>
    </row>
    <row r="1500" spans="1:13" hidden="1">
      <c r="A1500" s="36"/>
      <c r="B1500" s="36"/>
      <c r="C1500" s="36"/>
      <c r="D1500" s="36"/>
      <c r="E1500" s="36"/>
      <c r="F1500" s="36"/>
      <c r="G1500" s="36"/>
      <c r="H1500" s="36"/>
      <c r="I1500" s="36"/>
      <c r="J1500" s="36"/>
      <c r="K1500" s="36"/>
      <c r="L1500" s="36"/>
      <c r="M1500" s="36"/>
    </row>
    <row r="1501" spans="1:13" hidden="1">
      <c r="A1501" s="36"/>
      <c r="B1501" s="36"/>
      <c r="C1501" s="36"/>
      <c r="D1501" s="36"/>
      <c r="E1501" s="36"/>
      <c r="F1501" s="36"/>
      <c r="G1501" s="36"/>
      <c r="H1501" s="36"/>
      <c r="I1501" s="36"/>
      <c r="J1501" s="36"/>
      <c r="K1501" s="36"/>
      <c r="L1501" s="36"/>
      <c r="M1501" s="36"/>
    </row>
    <row r="1502" spans="1:13" hidden="1">
      <c r="A1502" s="36"/>
      <c r="B1502" s="36"/>
      <c r="C1502" s="36"/>
      <c r="D1502" s="36"/>
      <c r="E1502" s="36"/>
      <c r="F1502" s="36"/>
      <c r="G1502" s="36"/>
      <c r="H1502" s="36"/>
      <c r="I1502" s="36"/>
      <c r="J1502" s="36"/>
      <c r="K1502" s="36"/>
      <c r="L1502" s="36"/>
      <c r="M1502" s="36"/>
    </row>
    <row r="1503" spans="1:13" hidden="1">
      <c r="A1503" s="36"/>
      <c r="B1503" s="36"/>
      <c r="C1503" s="36"/>
      <c r="D1503" s="36"/>
      <c r="E1503" s="36"/>
      <c r="F1503" s="36"/>
      <c r="G1503" s="36"/>
      <c r="H1503" s="36"/>
      <c r="I1503" s="36"/>
      <c r="J1503" s="36"/>
      <c r="K1503" s="36"/>
      <c r="L1503" s="36"/>
      <c r="M1503" s="36"/>
    </row>
    <row r="1504" spans="1:13" hidden="1">
      <c r="A1504" s="36"/>
      <c r="B1504" s="36"/>
      <c r="C1504" s="36"/>
      <c r="D1504" s="36"/>
      <c r="E1504" s="36"/>
      <c r="F1504" s="36"/>
      <c r="G1504" s="36"/>
      <c r="H1504" s="36"/>
      <c r="I1504" s="36"/>
      <c r="J1504" s="36"/>
      <c r="K1504" s="36"/>
      <c r="L1504" s="36"/>
      <c r="M1504" s="36"/>
    </row>
    <row r="1505" spans="1:13" hidden="1">
      <c r="A1505" s="36"/>
      <c r="B1505" s="36"/>
      <c r="C1505" s="36"/>
      <c r="D1505" s="36"/>
      <c r="E1505" s="36"/>
      <c r="F1505" s="36"/>
      <c r="G1505" s="36"/>
      <c r="H1505" s="36"/>
      <c r="I1505" s="36"/>
      <c r="J1505" s="36"/>
      <c r="K1505" s="36"/>
      <c r="L1505" s="36"/>
      <c r="M1505" s="36"/>
    </row>
    <row r="1506" spans="1:13" hidden="1">
      <c r="A1506" s="36"/>
      <c r="B1506" s="36"/>
      <c r="C1506" s="36"/>
      <c r="D1506" s="36"/>
      <c r="E1506" s="36"/>
      <c r="F1506" s="36"/>
      <c r="G1506" s="36"/>
      <c r="H1506" s="36"/>
      <c r="I1506" s="36"/>
      <c r="J1506" s="36"/>
      <c r="K1506" s="36"/>
      <c r="L1506" s="36"/>
      <c r="M1506" s="36"/>
    </row>
    <row r="1507" spans="1:13" hidden="1">
      <c r="A1507" s="36"/>
      <c r="B1507" s="36"/>
      <c r="C1507" s="36"/>
      <c r="D1507" s="36"/>
      <c r="E1507" s="36"/>
      <c r="F1507" s="36"/>
      <c r="G1507" s="36"/>
      <c r="H1507" s="36"/>
      <c r="I1507" s="36"/>
      <c r="J1507" s="36"/>
      <c r="K1507" s="36"/>
      <c r="L1507" s="36"/>
      <c r="M1507" s="36"/>
    </row>
    <row r="1508" spans="1:13" hidden="1">
      <c r="A1508" s="156" t="s">
        <v>81</v>
      </c>
      <c r="B1508" s="156"/>
      <c r="C1508" s="156"/>
      <c r="D1508" s="156"/>
      <c r="E1508" s="156"/>
      <c r="F1508" s="156"/>
      <c r="G1508" s="156"/>
      <c r="H1508" s="156"/>
      <c r="I1508" s="156"/>
      <c r="J1508" s="156"/>
      <c r="K1508" s="156"/>
      <c r="L1508" s="156"/>
      <c r="M1508" s="156"/>
    </row>
    <row r="1509" spans="1:13" hidden="1">
      <c r="A1509" s="36" t="s">
        <v>3</v>
      </c>
      <c r="B1509" s="36" t="s">
        <v>50</v>
      </c>
      <c r="C1509" s="36" t="s">
        <v>5</v>
      </c>
      <c r="D1509" s="36" t="s">
        <v>51</v>
      </c>
      <c r="E1509" s="36" t="s">
        <v>52</v>
      </c>
      <c r="F1509" s="36" t="s">
        <v>53</v>
      </c>
      <c r="G1509" s="36" t="s">
        <v>54</v>
      </c>
      <c r="H1509" s="36" t="s">
        <v>55</v>
      </c>
      <c r="I1509" s="36" t="s">
        <v>56</v>
      </c>
      <c r="J1509" s="36" t="s">
        <v>57</v>
      </c>
      <c r="K1509" s="36" t="s">
        <v>58</v>
      </c>
      <c r="L1509" s="36" t="s">
        <v>59</v>
      </c>
      <c r="M1509" s="36" t="s">
        <v>60</v>
      </c>
    </row>
    <row r="1510" spans="1:13" hidden="1">
      <c r="A1510" s="36" t="str">
        <f>IF('Steel Beam Design'!A38="","",'Steel Beam Design'!A38)</f>
        <v/>
      </c>
      <c r="B1510" s="36" t="str">
        <f>IF('Steel Beam Design'!B38="","",'Steel Beam Design'!B38)</f>
        <v/>
      </c>
      <c r="C1510" s="36" t="str">
        <f>IF('Steel Beam Design'!C38="","",'Steel Beam Design'!C38)</f>
        <v/>
      </c>
      <c r="D1510" s="36" t="str">
        <f>IF('Steel Beam Design'!D38="","",'Steel Beam Design'!D38)</f>
        <v/>
      </c>
      <c r="E1510" s="36" t="str">
        <f>IF('Steel Beam Design'!E38="","",'Steel Beam Design'!E38)</f>
        <v/>
      </c>
      <c r="F1510" s="36" t="str">
        <f>IF('Steel Beam Design'!F38="","",'Steel Beam Design'!F38)</f>
        <v/>
      </c>
      <c r="G1510" s="36" t="str">
        <f>IF('Steel Beam Design'!G38="","",'Steel Beam Design'!G38)</f>
        <v/>
      </c>
      <c r="H1510" s="36" t="str">
        <f>IF('Steel Beam Design'!H38="","",'Steel Beam Design'!H38)</f>
        <v/>
      </c>
      <c r="I1510" s="36" t="str">
        <f>IF('Steel Beam Design'!I38="","",'Steel Beam Design'!I38)</f>
        <v/>
      </c>
      <c r="J1510" s="36" t="str">
        <f>IF('Steel Beam Design'!J38="","",'Steel Beam Design'!J38)</f>
        <v/>
      </c>
      <c r="K1510" s="36" t="str">
        <f>IF('Steel Beam Design'!K38="","",'Steel Beam Design'!K38)</f>
        <v/>
      </c>
      <c r="L1510" s="36" t="str">
        <f>IF('Steel Beam Design'!L38="","",'Steel Beam Design'!L38)</f>
        <v/>
      </c>
      <c r="M1510" s="36" t="b">
        <f>AND(ISNUMBER(B1510),B1510&gt;0,OR(C1510="Cantilever Supported",C1510="Simply Supported",C1510="Fixed-Fixed"),OR(L1510="",AND(ISNUMBER(L1510),L1510&gt;=0)),OR(D1510="",AND(ISNUMBER(D1510),D1510&gt;=0)),OR(N(D1510)=0,AND(ISNUMBER(E1510),E1510&gt;=0,E1510&lt;=B1510)),OR(F1510="",AND(ISNUMBER(F1510),F1510&gt;=0)),OR(N(F1510)=0,AND(ISNUMBER(G1510),G1510&gt;=0,G1510&lt;=B1510)),OR(H1510="",AND(ISNUMBER(H1510),H1510&gt;=0)),OR(N(H1510)=0,AND(ISNUMBER(I1510),I1510&gt;=0,I1510&lt;=B1510)),OR(J1510="",AND(ISNUMBER(J1510),J1510&gt;=0)),OR(N(J1510)=0,AND(ISNUMBER(K1510),K1510&gt;=0,K1510&lt;=B1510)))</f>
        <v>0</v>
      </c>
    </row>
    <row r="1511" spans="1:13" hidden="1">
      <c r="A1511" s="36"/>
      <c r="B1511" s="36"/>
      <c r="C1511" s="36"/>
      <c r="D1511" s="36"/>
      <c r="E1511" s="36"/>
      <c r="F1511" s="36"/>
      <c r="G1511" s="36"/>
      <c r="H1511" s="36"/>
      <c r="I1511" s="36"/>
      <c r="J1511" s="36"/>
      <c r="K1511" s="36"/>
      <c r="L1511" s="36"/>
      <c r="M1511" s="36"/>
    </row>
    <row r="1512" spans="1:13" hidden="1">
      <c r="A1512" s="36" t="s">
        <v>61</v>
      </c>
      <c r="B1512" s="36">
        <f>IF(M1510,IF(C1510="Cantilever Supported",-(N(D1510)*N(E1510)+N(F1510)*N(G1510)+N(H1510)*N(I1510)+N(J1510)*N(K1510))-N(L1510)*B1510^2/2,IF(C1510="Fixed-Fixed",-(N(D1510)*N(E1510)*(B1510-N(E1510))^2/B1510^2+N(F1510)*N(G1510)*(B1510-N(G1510))^2/B1510^2+N(H1510)*N(I1510)*(B1510-N(I1510))^2/B1510^2+N(J1510)*N(K1510)*(B1510-N(K1510))^2/B1510^2)-N(L1510)*B1510^2/12,0)),0)</f>
        <v>0</v>
      </c>
      <c r="C1512" s="36" t="s">
        <v>62</v>
      </c>
      <c r="D1512" s="36">
        <f>IF(M1510,IF(C1510="Fixed-Fixed",-(N(D1510)*N(E1510)^2*(B1510-N(E1510))/B1510^2+N(F1510)*N(G1510)^2*(B1510-N(G1510))/B1510^2+N(H1510)*N(I1510)^2*(B1510-N(I1510))/B1510^2+N(J1510)*N(K1510)^2*(B1510-N(K1510))/B1510^2)-N(L1510)*B1510^2/12,0),0)</f>
        <v>0</v>
      </c>
      <c r="E1512" s="36" t="s">
        <v>63</v>
      </c>
      <c r="F1512" s="36">
        <f>IF(M1510,IF(C1510="Cantilever Supported",N(D1510)+N(F1510)+N(H1510)+N(J1510)+N(L1510)*B1510,((N(D1510)*(B1510-N(E1510))+N(F1510)*(B1510-N(G1510))+N(H1510)*(B1510-N(I1510))+N(J1510)*(B1510-N(K1510)))+N(L1510)*B1510^2/2+D1512-B1512)/B1510),0)</f>
        <v>0</v>
      </c>
      <c r="G1512" s="36" t="s">
        <v>64</v>
      </c>
      <c r="H1512" s="36">
        <f>MAX(MAX(B1515:B1520),-MIN(B1515:B1520),MAX(E1515:E1519),-MIN(E1515:E1519))</f>
        <v>0</v>
      </c>
      <c r="I1512" s="36"/>
      <c r="J1512" s="36"/>
      <c r="K1512" s="36"/>
      <c r="L1512" s="36"/>
      <c r="M1512" s="36"/>
    </row>
    <row r="1513" spans="1:13" hidden="1">
      <c r="A1513" s="36"/>
      <c r="B1513" s="36"/>
      <c r="C1513" s="36"/>
      <c r="D1513" s="36"/>
      <c r="E1513" s="36"/>
      <c r="F1513" s="36"/>
      <c r="G1513" s="36"/>
      <c r="H1513" s="36"/>
      <c r="I1513" s="36"/>
      <c r="J1513" s="36"/>
      <c r="K1513" s="36"/>
      <c r="L1513" s="36"/>
      <c r="M1513" s="36"/>
    </row>
    <row r="1514" spans="1:13" hidden="1">
      <c r="A1514" s="36" t="s">
        <v>65</v>
      </c>
      <c r="B1514" s="36" t="s">
        <v>66</v>
      </c>
      <c r="C1514" s="36" t="s">
        <v>67</v>
      </c>
      <c r="D1514" s="36" t="s">
        <v>68</v>
      </c>
      <c r="E1514" s="36" t="s">
        <v>69</v>
      </c>
      <c r="F1514" s="36"/>
      <c r="G1514" s="36"/>
      <c r="H1514" s="36">
        <f>0</f>
        <v>0</v>
      </c>
      <c r="I1514" s="36">
        <f>IF(N(D1510)=0,0,N(E1510))</f>
        <v>0</v>
      </c>
      <c r="J1514" s="36">
        <f>IF(N(F1510)=0,0,N(G1510))</f>
        <v>0</v>
      </c>
      <c r="K1514" s="36">
        <f>IF(N(H1510)=0,0,N(I1510))</f>
        <v>0</v>
      </c>
      <c r="L1514" s="36">
        <f>IF(N(J1510)=0,0,N(K1510))</f>
        <v>0</v>
      </c>
      <c r="M1514" s="36">
        <f>IF(M1510,B1510,0)</f>
        <v>0</v>
      </c>
    </row>
    <row r="1515" spans="1:13" hidden="1">
      <c r="A1515" s="37">
        <f>SMALL(H1514:M1514,1)</f>
        <v>0</v>
      </c>
      <c r="B1515" s="37">
        <f>IF(M1510,B1512+F1512*A1515-N(L1510)*A1515^2/2-(N(D1510)*MAX(0,A1515-N(E1510))+N(F1510)*MAX(0,A1515-N(G1510))+N(H1510)*MAX(0,A1515-N(I1510))+N(J1510)*MAX(0,A1515-N(K1510))),0)</f>
        <v>0</v>
      </c>
      <c r="C1515" s="37">
        <f>A1516</f>
        <v>0</v>
      </c>
      <c r="D1515" s="37">
        <f>IF(AND(M1510,N(L1510)&gt;0),MAX(A1515,MIN(C1515,(F1512-(IF(N(E1510)&lt;=A1515,N(D1510),0)+IF(N(G1510)&lt;=A1515,N(F1510),0)+IF(N(I1510)&lt;=A1515,N(H1510),0)+IF(N(K1510)&lt;=A1515,N(J1510),0)))/N(L1510))),A1515)</f>
        <v>0</v>
      </c>
      <c r="E1515" s="37">
        <f>IF(M1510,B1512+F1512*D1515-N(L1510)*D1515^2/2-(N(D1510)*MAX(0,D1515-N(E1510))+N(F1510)*MAX(0,D1515-N(G1510))+N(H1510)*MAX(0,D1515-N(I1510))+N(J1510)*MAX(0,D1515-N(K1510))),0)</f>
        <v>0</v>
      </c>
      <c r="F1515" s="37"/>
      <c r="G1515" s="37"/>
      <c r="H1515" s="37"/>
      <c r="I1515" s="37"/>
      <c r="J1515" s="37"/>
      <c r="K1515" s="37"/>
      <c r="L1515" s="37"/>
      <c r="M1515" s="37"/>
    </row>
    <row r="1516" spans="1:13" hidden="1">
      <c r="A1516" s="37">
        <f>SMALL(H1514:M1514,2)</f>
        <v>0</v>
      </c>
      <c r="B1516" s="37">
        <f>IF(M1510,B1512+F1512*A1516-N(L1510)*A1516^2/2-(N(D1510)*MAX(0,A1516-N(E1510))+N(F1510)*MAX(0,A1516-N(G1510))+N(H1510)*MAX(0,A1516-N(I1510))+N(J1510)*MAX(0,A1516-N(K1510))),0)</f>
        <v>0</v>
      </c>
      <c r="C1516" s="37">
        <f>A1517</f>
        <v>0</v>
      </c>
      <c r="D1516" s="37">
        <f>IF(AND(M1510,N(L1510)&gt;0),MAX(A1516,MIN(C1516,(F1512-(IF(N(E1510)&lt;=A1516,N(D1510),0)+IF(N(G1510)&lt;=A1516,N(F1510),0)+IF(N(I1510)&lt;=A1516,N(H1510),0)+IF(N(K1510)&lt;=A1516,N(J1510),0)))/N(L1510))),A1516)</f>
        <v>0</v>
      </c>
      <c r="E1516" s="37">
        <f>IF(M1510,B1512+F1512*D1516-N(L1510)*D1516^2/2-(N(D1510)*MAX(0,D1516-N(E1510))+N(F1510)*MAX(0,D1516-N(G1510))+N(H1510)*MAX(0,D1516-N(I1510))+N(J1510)*MAX(0,D1516-N(K1510))),0)</f>
        <v>0</v>
      </c>
      <c r="F1516" s="37"/>
      <c r="G1516" s="37"/>
      <c r="H1516" s="37"/>
      <c r="I1516" s="37"/>
      <c r="J1516" s="37"/>
      <c r="K1516" s="37"/>
      <c r="L1516" s="37"/>
      <c r="M1516" s="37"/>
    </row>
    <row r="1517" spans="1:13" hidden="1">
      <c r="A1517" s="37">
        <f>SMALL(H1514:M1514,3)</f>
        <v>0</v>
      </c>
      <c r="B1517" s="37">
        <f>IF(M1510,B1512+F1512*A1517-N(L1510)*A1517^2/2-(N(D1510)*MAX(0,A1517-N(E1510))+N(F1510)*MAX(0,A1517-N(G1510))+N(H1510)*MAX(0,A1517-N(I1510))+N(J1510)*MAX(0,A1517-N(K1510))),0)</f>
        <v>0</v>
      </c>
      <c r="C1517" s="37">
        <f>A1518</f>
        <v>0</v>
      </c>
      <c r="D1517" s="37">
        <f>IF(AND(M1510,N(L1510)&gt;0),MAX(A1517,MIN(C1517,(F1512-(IF(N(E1510)&lt;=A1517,N(D1510),0)+IF(N(G1510)&lt;=A1517,N(F1510),0)+IF(N(I1510)&lt;=A1517,N(H1510),0)+IF(N(K1510)&lt;=A1517,N(J1510),0)))/N(L1510))),A1517)</f>
        <v>0</v>
      </c>
      <c r="E1517" s="37">
        <f>IF(M1510,B1512+F1512*D1517-N(L1510)*D1517^2/2-(N(D1510)*MAX(0,D1517-N(E1510))+N(F1510)*MAX(0,D1517-N(G1510))+N(H1510)*MAX(0,D1517-N(I1510))+N(J1510)*MAX(0,D1517-N(K1510))),0)</f>
        <v>0</v>
      </c>
      <c r="F1517" s="37"/>
      <c r="G1517" s="37"/>
      <c r="H1517" s="37"/>
      <c r="I1517" s="37"/>
      <c r="J1517" s="37"/>
      <c r="K1517" s="37"/>
      <c r="L1517" s="37"/>
      <c r="M1517" s="37"/>
    </row>
    <row r="1518" spans="1:13" hidden="1">
      <c r="A1518" s="37">
        <f>SMALL(H1514:M1514,4)</f>
        <v>0</v>
      </c>
      <c r="B1518" s="37">
        <f>IF(M1510,B1512+F1512*A1518-N(L1510)*A1518^2/2-(N(D1510)*MAX(0,A1518-N(E1510))+N(F1510)*MAX(0,A1518-N(G1510))+N(H1510)*MAX(0,A1518-N(I1510))+N(J1510)*MAX(0,A1518-N(K1510))),0)</f>
        <v>0</v>
      </c>
      <c r="C1518" s="37">
        <f>A1519</f>
        <v>0</v>
      </c>
      <c r="D1518" s="37">
        <f>IF(AND(M1510,N(L1510)&gt;0),MAX(A1518,MIN(C1518,(F1512-(IF(N(E1510)&lt;=A1518,N(D1510),0)+IF(N(G1510)&lt;=A1518,N(F1510),0)+IF(N(I1510)&lt;=A1518,N(H1510),0)+IF(N(K1510)&lt;=A1518,N(J1510),0)))/N(L1510))),A1518)</f>
        <v>0</v>
      </c>
      <c r="E1518" s="37">
        <f>IF(M1510,B1512+F1512*D1518-N(L1510)*D1518^2/2-(N(D1510)*MAX(0,D1518-N(E1510))+N(F1510)*MAX(0,D1518-N(G1510))+N(H1510)*MAX(0,D1518-N(I1510))+N(J1510)*MAX(0,D1518-N(K1510))),0)</f>
        <v>0</v>
      </c>
      <c r="F1518" s="37"/>
      <c r="G1518" s="37"/>
      <c r="H1518" s="37"/>
      <c r="I1518" s="37"/>
      <c r="J1518" s="37"/>
      <c r="K1518" s="37"/>
      <c r="L1518" s="37"/>
      <c r="M1518" s="37"/>
    </row>
    <row r="1519" spans="1:13" hidden="1">
      <c r="A1519" s="37">
        <f>SMALL(H1514:M1514,5)</f>
        <v>0</v>
      </c>
      <c r="B1519" s="37">
        <f>IF(M1510,B1512+F1512*A1519-N(L1510)*A1519^2/2-(N(D1510)*MAX(0,A1519-N(E1510))+N(F1510)*MAX(0,A1519-N(G1510))+N(H1510)*MAX(0,A1519-N(I1510))+N(J1510)*MAX(0,A1519-N(K1510))),0)</f>
        <v>0</v>
      </c>
      <c r="C1519" s="37">
        <f>A1520</f>
        <v>0</v>
      </c>
      <c r="D1519" s="37">
        <f>IF(AND(M1510,N(L1510)&gt;0),MAX(A1519,MIN(C1519,(F1512-(IF(N(E1510)&lt;=A1519,N(D1510),0)+IF(N(G1510)&lt;=A1519,N(F1510),0)+IF(N(I1510)&lt;=A1519,N(H1510),0)+IF(N(K1510)&lt;=A1519,N(J1510),0)))/N(L1510))),A1519)</f>
        <v>0</v>
      </c>
      <c r="E1519" s="37">
        <f>IF(M1510,B1512+F1512*D1519-N(L1510)*D1519^2/2-(N(D1510)*MAX(0,D1519-N(E1510))+N(F1510)*MAX(0,D1519-N(G1510))+N(H1510)*MAX(0,D1519-N(I1510))+N(J1510)*MAX(0,D1519-N(K1510))),0)</f>
        <v>0</v>
      </c>
      <c r="F1519" s="37"/>
      <c r="G1519" s="37"/>
      <c r="H1519" s="37"/>
      <c r="I1519" s="37"/>
      <c r="J1519" s="37"/>
      <c r="K1519" s="37"/>
      <c r="L1519" s="37"/>
      <c r="M1519" s="37"/>
    </row>
    <row r="1520" spans="1:13" hidden="1">
      <c r="A1520" s="37">
        <f>SMALL(H1514:M1514,6)</f>
        <v>0</v>
      </c>
      <c r="B1520" s="37">
        <f>IF(M1510,B1512+F1512*A1520-N(L1510)*A1520^2/2-(N(D1510)*MAX(0,A1520-N(E1510))+N(F1510)*MAX(0,A1520-N(G1510))+N(H1510)*MAX(0,A1520-N(I1510))+N(J1510)*MAX(0,A1520-N(K1510))),0)</f>
        <v>0</v>
      </c>
      <c r="C1520" s="37"/>
      <c r="D1520" s="37"/>
      <c r="E1520" s="37"/>
      <c r="F1520" s="37"/>
      <c r="G1520" s="37"/>
      <c r="H1520" s="37"/>
      <c r="I1520" s="37"/>
      <c r="J1520" s="37"/>
      <c r="K1520" s="37"/>
      <c r="L1520" s="37"/>
      <c r="M1520" s="37"/>
    </row>
    <row r="1521" spans="1:13" hidden="1">
      <c r="A1521" s="36"/>
      <c r="B1521" s="36"/>
      <c r="C1521" s="36"/>
      <c r="D1521" s="36"/>
      <c r="E1521" s="36"/>
      <c r="F1521" s="36"/>
      <c r="G1521" s="36"/>
      <c r="H1521" s="36"/>
      <c r="I1521" s="36"/>
      <c r="J1521" s="36"/>
      <c r="K1521" s="36"/>
      <c r="L1521" s="36"/>
      <c r="M1521" s="36"/>
    </row>
    <row r="1522" spans="1:13" hidden="1">
      <c r="A1522" s="36"/>
      <c r="B1522" s="36"/>
      <c r="C1522" s="36"/>
      <c r="D1522" s="36"/>
      <c r="E1522" s="36"/>
      <c r="F1522" s="36"/>
      <c r="G1522" s="36"/>
      <c r="H1522" s="36"/>
      <c r="I1522" s="36"/>
      <c r="J1522" s="36"/>
      <c r="K1522" s="36"/>
      <c r="L1522" s="36"/>
      <c r="M1522" s="36"/>
    </row>
    <row r="1523" spans="1:13" hidden="1">
      <c r="A1523" s="36"/>
      <c r="B1523" s="36"/>
      <c r="C1523" s="36"/>
      <c r="D1523" s="36"/>
      <c r="E1523" s="36"/>
      <c r="F1523" s="36"/>
      <c r="G1523" s="36"/>
      <c r="H1523" s="36"/>
      <c r="I1523" s="36"/>
      <c r="J1523" s="36"/>
      <c r="K1523" s="36"/>
      <c r="L1523" s="36"/>
      <c r="M1523" s="36"/>
    </row>
    <row r="1524" spans="1:13" hidden="1">
      <c r="A1524" s="36"/>
      <c r="B1524" s="36"/>
      <c r="C1524" s="36"/>
      <c r="D1524" s="36"/>
      <c r="E1524" s="36"/>
      <c r="F1524" s="36"/>
      <c r="G1524" s="36"/>
      <c r="H1524" s="36"/>
      <c r="I1524" s="36"/>
      <c r="J1524" s="36"/>
      <c r="K1524" s="36"/>
      <c r="L1524" s="36"/>
      <c r="M1524" s="36"/>
    </row>
    <row r="1525" spans="1:13" hidden="1">
      <c r="A1525" s="36"/>
      <c r="B1525" s="36"/>
      <c r="C1525" s="36"/>
      <c r="D1525" s="36"/>
      <c r="E1525" s="36"/>
      <c r="F1525" s="36"/>
      <c r="G1525" s="36"/>
      <c r="H1525" s="36"/>
      <c r="I1525" s="36"/>
      <c r="J1525" s="36"/>
      <c r="K1525" s="36"/>
      <c r="L1525" s="36"/>
      <c r="M1525" s="36"/>
    </row>
    <row r="1526" spans="1:13" hidden="1">
      <c r="A1526" s="36"/>
      <c r="B1526" s="36"/>
      <c r="C1526" s="36"/>
      <c r="D1526" s="36"/>
      <c r="E1526" s="36"/>
      <c r="F1526" s="36"/>
      <c r="G1526" s="36"/>
      <c r="H1526" s="36"/>
      <c r="I1526" s="36"/>
      <c r="J1526" s="36"/>
      <c r="K1526" s="36"/>
      <c r="L1526" s="36"/>
      <c r="M1526" s="36"/>
    </row>
    <row r="1527" spans="1:13" hidden="1">
      <c r="A1527" s="36"/>
      <c r="B1527" s="36"/>
      <c r="C1527" s="36"/>
      <c r="D1527" s="36"/>
      <c r="E1527" s="36"/>
      <c r="F1527" s="36"/>
      <c r="G1527" s="36"/>
      <c r="H1527" s="36"/>
      <c r="I1527" s="36"/>
      <c r="J1527" s="36"/>
      <c r="K1527" s="36"/>
      <c r="L1527" s="36"/>
      <c r="M1527" s="36"/>
    </row>
    <row r="1528" spans="1:13" hidden="1">
      <c r="A1528" s="36"/>
      <c r="B1528" s="36"/>
      <c r="C1528" s="36"/>
      <c r="D1528" s="36"/>
      <c r="E1528" s="36"/>
      <c r="F1528" s="36"/>
      <c r="G1528" s="36"/>
      <c r="H1528" s="36"/>
      <c r="I1528" s="36"/>
      <c r="J1528" s="36"/>
      <c r="K1528" s="36"/>
      <c r="L1528" s="36"/>
      <c r="M1528" s="36"/>
    </row>
    <row r="1529" spans="1:13" hidden="1">
      <c r="A1529" s="36"/>
      <c r="B1529" s="36"/>
      <c r="C1529" s="36"/>
      <c r="D1529" s="36"/>
      <c r="E1529" s="36"/>
      <c r="F1529" s="36"/>
      <c r="G1529" s="36"/>
      <c r="H1529" s="36"/>
      <c r="I1529" s="36"/>
      <c r="J1529" s="36"/>
      <c r="K1529" s="36"/>
      <c r="L1529" s="36"/>
      <c r="M1529" s="36"/>
    </row>
    <row r="1530" spans="1:13" hidden="1">
      <c r="A1530" s="36"/>
      <c r="B1530" s="36"/>
      <c r="C1530" s="36"/>
      <c r="D1530" s="36"/>
      <c r="E1530" s="36"/>
      <c r="F1530" s="36"/>
      <c r="G1530" s="36"/>
      <c r="H1530" s="36"/>
      <c r="I1530" s="36"/>
      <c r="J1530" s="36"/>
      <c r="K1530" s="36"/>
      <c r="L1530" s="36"/>
      <c r="M1530" s="36"/>
    </row>
    <row r="1531" spans="1:13" hidden="1">
      <c r="A1531" s="36"/>
      <c r="B1531" s="36"/>
      <c r="C1531" s="36"/>
      <c r="D1531" s="36"/>
      <c r="E1531" s="36"/>
      <c r="F1531" s="36"/>
      <c r="G1531" s="36"/>
      <c r="H1531" s="36"/>
      <c r="I1531" s="36"/>
      <c r="J1531" s="36"/>
      <c r="K1531" s="36"/>
      <c r="L1531" s="36"/>
      <c r="M1531" s="36"/>
    </row>
    <row r="1532" spans="1:13" hidden="1">
      <c r="A1532" s="36"/>
      <c r="B1532" s="36"/>
      <c r="C1532" s="36"/>
      <c r="D1532" s="36"/>
      <c r="E1532" s="36"/>
      <c r="F1532" s="36"/>
      <c r="G1532" s="36"/>
      <c r="H1532" s="36"/>
      <c r="I1532" s="36"/>
      <c r="J1532" s="36"/>
      <c r="K1532" s="36"/>
      <c r="L1532" s="36"/>
      <c r="M1532" s="36"/>
    </row>
    <row r="1533" spans="1:13" hidden="1">
      <c r="A1533" s="156" t="s">
        <v>82</v>
      </c>
      <c r="B1533" s="156"/>
      <c r="C1533" s="156"/>
      <c r="D1533" s="156"/>
      <c r="E1533" s="156"/>
      <c r="F1533" s="156"/>
      <c r="G1533" s="156"/>
      <c r="H1533" s="156"/>
      <c r="I1533" s="156"/>
      <c r="J1533" s="156"/>
      <c r="K1533" s="156"/>
      <c r="L1533" s="156"/>
      <c r="M1533" s="156"/>
    </row>
    <row r="1534" spans="1:13" hidden="1">
      <c r="A1534" s="36" t="s">
        <v>3</v>
      </c>
      <c r="B1534" s="36" t="s">
        <v>50</v>
      </c>
      <c r="C1534" s="36" t="s">
        <v>5</v>
      </c>
      <c r="D1534" s="36" t="s">
        <v>51</v>
      </c>
      <c r="E1534" s="36" t="s">
        <v>52</v>
      </c>
      <c r="F1534" s="36" t="s">
        <v>53</v>
      </c>
      <c r="G1534" s="36" t="s">
        <v>54</v>
      </c>
      <c r="H1534" s="36" t="s">
        <v>55</v>
      </c>
      <c r="I1534" s="36" t="s">
        <v>56</v>
      </c>
      <c r="J1534" s="36" t="s">
        <v>57</v>
      </c>
      <c r="K1534" s="36" t="s">
        <v>58</v>
      </c>
      <c r="L1534" s="36" t="s">
        <v>59</v>
      </c>
      <c r="M1534" s="36" t="s">
        <v>60</v>
      </c>
    </row>
    <row r="1535" spans="1:13" hidden="1">
      <c r="A1535" s="36" t="str">
        <f>IF('Steel Beam Design'!A39="","",'Steel Beam Design'!A39)</f>
        <v/>
      </c>
      <c r="B1535" s="36" t="str">
        <f>IF('Steel Beam Design'!B39="","",'Steel Beam Design'!B39)</f>
        <v/>
      </c>
      <c r="C1535" s="36" t="str">
        <f>IF('Steel Beam Design'!C39="","",'Steel Beam Design'!C39)</f>
        <v/>
      </c>
      <c r="D1535" s="36" t="str">
        <f>IF('Steel Beam Design'!D39="","",'Steel Beam Design'!D39)</f>
        <v/>
      </c>
      <c r="E1535" s="36" t="str">
        <f>IF('Steel Beam Design'!E39="","",'Steel Beam Design'!E39)</f>
        <v/>
      </c>
      <c r="F1535" s="36" t="str">
        <f>IF('Steel Beam Design'!F39="","",'Steel Beam Design'!F39)</f>
        <v/>
      </c>
      <c r="G1535" s="36" t="str">
        <f>IF('Steel Beam Design'!G39="","",'Steel Beam Design'!G39)</f>
        <v/>
      </c>
      <c r="H1535" s="36" t="str">
        <f>IF('Steel Beam Design'!H39="","",'Steel Beam Design'!H39)</f>
        <v/>
      </c>
      <c r="I1535" s="36" t="str">
        <f>IF('Steel Beam Design'!I39="","",'Steel Beam Design'!I39)</f>
        <v/>
      </c>
      <c r="J1535" s="36" t="str">
        <f>IF('Steel Beam Design'!J39="","",'Steel Beam Design'!J39)</f>
        <v/>
      </c>
      <c r="K1535" s="36" t="str">
        <f>IF('Steel Beam Design'!K39="","",'Steel Beam Design'!K39)</f>
        <v/>
      </c>
      <c r="L1535" s="36" t="str">
        <f>IF('Steel Beam Design'!L39="","",'Steel Beam Design'!L39)</f>
        <v/>
      </c>
      <c r="M1535" s="36" t="b">
        <f>AND(ISNUMBER(B1535),B1535&gt;0,OR(C1535="Cantilever Supported",C1535="Simply Supported",C1535="Fixed-Fixed"),OR(L1535="",AND(ISNUMBER(L1535),L1535&gt;=0)),OR(D1535="",AND(ISNUMBER(D1535),D1535&gt;=0)),OR(N(D1535)=0,AND(ISNUMBER(E1535),E1535&gt;=0,E1535&lt;=B1535)),OR(F1535="",AND(ISNUMBER(F1535),F1535&gt;=0)),OR(N(F1535)=0,AND(ISNUMBER(G1535),G1535&gt;=0,G1535&lt;=B1535)),OR(H1535="",AND(ISNUMBER(H1535),H1535&gt;=0)),OR(N(H1535)=0,AND(ISNUMBER(I1535),I1535&gt;=0,I1535&lt;=B1535)),OR(J1535="",AND(ISNUMBER(J1535),J1535&gt;=0)),OR(N(J1535)=0,AND(ISNUMBER(K1535),K1535&gt;=0,K1535&lt;=B1535)))</f>
        <v>0</v>
      </c>
    </row>
    <row r="1536" spans="1:13" hidden="1">
      <c r="A1536" s="36"/>
      <c r="B1536" s="36"/>
      <c r="C1536" s="36"/>
      <c r="D1536" s="36"/>
      <c r="E1536" s="36"/>
      <c r="F1536" s="36"/>
      <c r="G1536" s="36"/>
      <c r="H1536" s="36"/>
      <c r="I1536" s="36"/>
      <c r="J1536" s="36"/>
      <c r="K1536" s="36"/>
      <c r="L1536" s="36"/>
      <c r="M1536" s="36"/>
    </row>
    <row r="1537" spans="1:13" hidden="1">
      <c r="A1537" s="36" t="s">
        <v>61</v>
      </c>
      <c r="B1537" s="36">
        <f>IF(M1535,IF(C1535="Cantilever Supported",-(N(D1535)*N(E1535)+N(F1535)*N(G1535)+N(H1535)*N(I1535)+N(J1535)*N(K1535))-N(L1535)*B1535^2/2,IF(C1535="Fixed-Fixed",-(N(D1535)*N(E1535)*(B1535-N(E1535))^2/B1535^2+N(F1535)*N(G1535)*(B1535-N(G1535))^2/B1535^2+N(H1535)*N(I1535)*(B1535-N(I1535))^2/B1535^2+N(J1535)*N(K1535)*(B1535-N(K1535))^2/B1535^2)-N(L1535)*B1535^2/12,0)),0)</f>
        <v>0</v>
      </c>
      <c r="C1537" s="36" t="s">
        <v>62</v>
      </c>
      <c r="D1537" s="36">
        <f>IF(M1535,IF(C1535="Fixed-Fixed",-(N(D1535)*N(E1535)^2*(B1535-N(E1535))/B1535^2+N(F1535)*N(G1535)^2*(B1535-N(G1535))/B1535^2+N(H1535)*N(I1535)^2*(B1535-N(I1535))/B1535^2+N(J1535)*N(K1535)^2*(B1535-N(K1535))/B1535^2)-N(L1535)*B1535^2/12,0),0)</f>
        <v>0</v>
      </c>
      <c r="E1537" s="36" t="s">
        <v>63</v>
      </c>
      <c r="F1537" s="36">
        <f>IF(M1535,IF(C1535="Cantilever Supported",N(D1535)+N(F1535)+N(H1535)+N(J1535)+N(L1535)*B1535,((N(D1535)*(B1535-N(E1535))+N(F1535)*(B1535-N(G1535))+N(H1535)*(B1535-N(I1535))+N(J1535)*(B1535-N(K1535)))+N(L1535)*B1535^2/2+D1537-B1537)/B1535),0)</f>
        <v>0</v>
      </c>
      <c r="G1537" s="36" t="s">
        <v>64</v>
      </c>
      <c r="H1537" s="36">
        <f>MAX(MAX(B1540:B1545),-MIN(B1540:B1545),MAX(E1540:E1544),-MIN(E1540:E1544))</f>
        <v>0</v>
      </c>
      <c r="I1537" s="36"/>
      <c r="J1537" s="36"/>
      <c r="K1537" s="36"/>
      <c r="L1537" s="36"/>
      <c r="M1537" s="36"/>
    </row>
    <row r="1538" spans="1:13" hidden="1">
      <c r="A1538" s="36"/>
      <c r="B1538" s="36"/>
      <c r="C1538" s="36"/>
      <c r="D1538" s="36"/>
      <c r="E1538" s="36"/>
      <c r="F1538" s="36"/>
      <c r="G1538" s="36"/>
      <c r="H1538" s="36"/>
      <c r="I1538" s="36"/>
      <c r="J1538" s="36"/>
      <c r="K1538" s="36"/>
      <c r="L1538" s="36"/>
      <c r="M1538" s="36"/>
    </row>
    <row r="1539" spans="1:13" hidden="1">
      <c r="A1539" s="36" t="s">
        <v>65</v>
      </c>
      <c r="B1539" s="36" t="s">
        <v>66</v>
      </c>
      <c r="C1539" s="36" t="s">
        <v>67</v>
      </c>
      <c r="D1539" s="36" t="s">
        <v>68</v>
      </c>
      <c r="E1539" s="36" t="s">
        <v>69</v>
      </c>
      <c r="F1539" s="36"/>
      <c r="G1539" s="36"/>
      <c r="H1539" s="36">
        <f>0</f>
        <v>0</v>
      </c>
      <c r="I1539" s="36">
        <f>IF(N(D1535)=0,0,N(E1535))</f>
        <v>0</v>
      </c>
      <c r="J1539" s="36">
        <f>IF(N(F1535)=0,0,N(G1535))</f>
        <v>0</v>
      </c>
      <c r="K1539" s="36">
        <f>IF(N(H1535)=0,0,N(I1535))</f>
        <v>0</v>
      </c>
      <c r="L1539" s="36">
        <f>IF(N(J1535)=0,0,N(K1535))</f>
        <v>0</v>
      </c>
      <c r="M1539" s="36">
        <f>IF(M1535,B1535,0)</f>
        <v>0</v>
      </c>
    </row>
    <row r="1540" spans="1:13" hidden="1">
      <c r="A1540" s="37">
        <f>SMALL(H1539:M1539,1)</f>
        <v>0</v>
      </c>
      <c r="B1540" s="37">
        <f>IF(M1535,B1537+F1537*A1540-N(L1535)*A1540^2/2-(N(D1535)*MAX(0,A1540-N(E1535))+N(F1535)*MAX(0,A1540-N(G1535))+N(H1535)*MAX(0,A1540-N(I1535))+N(J1535)*MAX(0,A1540-N(K1535))),0)</f>
        <v>0</v>
      </c>
      <c r="C1540" s="37">
        <f>A1541</f>
        <v>0</v>
      </c>
      <c r="D1540" s="37">
        <f>IF(AND(M1535,N(L1535)&gt;0),MAX(A1540,MIN(C1540,(F1537-(IF(N(E1535)&lt;=A1540,N(D1535),0)+IF(N(G1535)&lt;=A1540,N(F1535),0)+IF(N(I1535)&lt;=A1540,N(H1535),0)+IF(N(K1535)&lt;=A1540,N(J1535),0)))/N(L1535))),A1540)</f>
        <v>0</v>
      </c>
      <c r="E1540" s="37">
        <f>IF(M1535,B1537+F1537*D1540-N(L1535)*D1540^2/2-(N(D1535)*MAX(0,D1540-N(E1535))+N(F1535)*MAX(0,D1540-N(G1535))+N(H1535)*MAX(0,D1540-N(I1535))+N(J1535)*MAX(0,D1540-N(K1535))),0)</f>
        <v>0</v>
      </c>
      <c r="F1540" s="37"/>
      <c r="G1540" s="37"/>
      <c r="H1540" s="37"/>
      <c r="I1540" s="37"/>
      <c r="J1540" s="37"/>
      <c r="K1540" s="37"/>
      <c r="L1540" s="37"/>
      <c r="M1540" s="37"/>
    </row>
    <row r="1541" spans="1:13" hidden="1">
      <c r="A1541" s="37">
        <f>SMALL(H1539:M1539,2)</f>
        <v>0</v>
      </c>
      <c r="B1541" s="37">
        <f>IF(M1535,B1537+F1537*A1541-N(L1535)*A1541^2/2-(N(D1535)*MAX(0,A1541-N(E1535))+N(F1535)*MAX(0,A1541-N(G1535))+N(H1535)*MAX(0,A1541-N(I1535))+N(J1535)*MAX(0,A1541-N(K1535))),0)</f>
        <v>0</v>
      </c>
      <c r="C1541" s="37">
        <f>A1542</f>
        <v>0</v>
      </c>
      <c r="D1541" s="37">
        <f>IF(AND(M1535,N(L1535)&gt;0),MAX(A1541,MIN(C1541,(F1537-(IF(N(E1535)&lt;=A1541,N(D1535),0)+IF(N(G1535)&lt;=A1541,N(F1535),0)+IF(N(I1535)&lt;=A1541,N(H1535),0)+IF(N(K1535)&lt;=A1541,N(J1535),0)))/N(L1535))),A1541)</f>
        <v>0</v>
      </c>
      <c r="E1541" s="37">
        <f>IF(M1535,B1537+F1537*D1541-N(L1535)*D1541^2/2-(N(D1535)*MAX(0,D1541-N(E1535))+N(F1535)*MAX(0,D1541-N(G1535))+N(H1535)*MAX(0,D1541-N(I1535))+N(J1535)*MAX(0,D1541-N(K1535))),0)</f>
        <v>0</v>
      </c>
      <c r="F1541" s="37"/>
      <c r="G1541" s="37"/>
      <c r="H1541" s="37"/>
      <c r="I1541" s="37"/>
      <c r="J1541" s="37"/>
      <c r="K1541" s="37"/>
      <c r="L1541" s="37"/>
      <c r="M1541" s="37"/>
    </row>
    <row r="1542" spans="1:13" hidden="1">
      <c r="A1542" s="37">
        <f>SMALL(H1539:M1539,3)</f>
        <v>0</v>
      </c>
      <c r="B1542" s="37">
        <f>IF(M1535,B1537+F1537*A1542-N(L1535)*A1542^2/2-(N(D1535)*MAX(0,A1542-N(E1535))+N(F1535)*MAX(0,A1542-N(G1535))+N(H1535)*MAX(0,A1542-N(I1535))+N(J1535)*MAX(0,A1542-N(K1535))),0)</f>
        <v>0</v>
      </c>
      <c r="C1542" s="37">
        <f>A1543</f>
        <v>0</v>
      </c>
      <c r="D1542" s="37">
        <f>IF(AND(M1535,N(L1535)&gt;0),MAX(A1542,MIN(C1542,(F1537-(IF(N(E1535)&lt;=A1542,N(D1535),0)+IF(N(G1535)&lt;=A1542,N(F1535),0)+IF(N(I1535)&lt;=A1542,N(H1535),0)+IF(N(K1535)&lt;=A1542,N(J1535),0)))/N(L1535))),A1542)</f>
        <v>0</v>
      </c>
      <c r="E1542" s="37">
        <f>IF(M1535,B1537+F1537*D1542-N(L1535)*D1542^2/2-(N(D1535)*MAX(0,D1542-N(E1535))+N(F1535)*MAX(0,D1542-N(G1535))+N(H1535)*MAX(0,D1542-N(I1535))+N(J1535)*MAX(0,D1542-N(K1535))),0)</f>
        <v>0</v>
      </c>
      <c r="F1542" s="37"/>
      <c r="G1542" s="37"/>
      <c r="H1542" s="37"/>
      <c r="I1542" s="37"/>
      <c r="J1542" s="37"/>
      <c r="K1542" s="37"/>
      <c r="L1542" s="37"/>
      <c r="M1542" s="37"/>
    </row>
    <row r="1543" spans="1:13" hidden="1">
      <c r="A1543" s="37">
        <f>SMALL(H1539:M1539,4)</f>
        <v>0</v>
      </c>
      <c r="B1543" s="37">
        <f>IF(M1535,B1537+F1537*A1543-N(L1535)*A1543^2/2-(N(D1535)*MAX(0,A1543-N(E1535))+N(F1535)*MAX(0,A1543-N(G1535))+N(H1535)*MAX(0,A1543-N(I1535))+N(J1535)*MAX(0,A1543-N(K1535))),0)</f>
        <v>0</v>
      </c>
      <c r="C1543" s="37">
        <f>A1544</f>
        <v>0</v>
      </c>
      <c r="D1543" s="37">
        <f>IF(AND(M1535,N(L1535)&gt;0),MAX(A1543,MIN(C1543,(F1537-(IF(N(E1535)&lt;=A1543,N(D1535),0)+IF(N(G1535)&lt;=A1543,N(F1535),0)+IF(N(I1535)&lt;=A1543,N(H1535),0)+IF(N(K1535)&lt;=A1543,N(J1535),0)))/N(L1535))),A1543)</f>
        <v>0</v>
      </c>
      <c r="E1543" s="37">
        <f>IF(M1535,B1537+F1537*D1543-N(L1535)*D1543^2/2-(N(D1535)*MAX(0,D1543-N(E1535))+N(F1535)*MAX(0,D1543-N(G1535))+N(H1535)*MAX(0,D1543-N(I1535))+N(J1535)*MAX(0,D1543-N(K1535))),0)</f>
        <v>0</v>
      </c>
      <c r="F1543" s="37"/>
      <c r="G1543" s="37"/>
      <c r="H1543" s="37"/>
      <c r="I1543" s="37"/>
      <c r="J1543" s="37"/>
      <c r="K1543" s="37"/>
      <c r="L1543" s="37"/>
      <c r="M1543" s="37"/>
    </row>
    <row r="1544" spans="1:13" hidden="1">
      <c r="A1544" s="37">
        <f>SMALL(H1539:M1539,5)</f>
        <v>0</v>
      </c>
      <c r="B1544" s="37">
        <f>IF(M1535,B1537+F1537*A1544-N(L1535)*A1544^2/2-(N(D1535)*MAX(0,A1544-N(E1535))+N(F1535)*MAX(0,A1544-N(G1535))+N(H1535)*MAX(0,A1544-N(I1535))+N(J1535)*MAX(0,A1544-N(K1535))),0)</f>
        <v>0</v>
      </c>
      <c r="C1544" s="37">
        <f>A1545</f>
        <v>0</v>
      </c>
      <c r="D1544" s="37">
        <f>IF(AND(M1535,N(L1535)&gt;0),MAX(A1544,MIN(C1544,(F1537-(IF(N(E1535)&lt;=A1544,N(D1535),0)+IF(N(G1535)&lt;=A1544,N(F1535),0)+IF(N(I1535)&lt;=A1544,N(H1535),0)+IF(N(K1535)&lt;=A1544,N(J1535),0)))/N(L1535))),A1544)</f>
        <v>0</v>
      </c>
      <c r="E1544" s="37">
        <f>IF(M1535,B1537+F1537*D1544-N(L1535)*D1544^2/2-(N(D1535)*MAX(0,D1544-N(E1535))+N(F1535)*MAX(0,D1544-N(G1535))+N(H1535)*MAX(0,D1544-N(I1535))+N(J1535)*MAX(0,D1544-N(K1535))),0)</f>
        <v>0</v>
      </c>
      <c r="F1544" s="37"/>
      <c r="G1544" s="37"/>
      <c r="H1544" s="37"/>
      <c r="I1544" s="37"/>
      <c r="J1544" s="37"/>
      <c r="K1544" s="37"/>
      <c r="L1544" s="37"/>
      <c r="M1544" s="37"/>
    </row>
    <row r="1545" spans="1:13" hidden="1">
      <c r="A1545" s="37">
        <f>SMALL(H1539:M1539,6)</f>
        <v>0</v>
      </c>
      <c r="B1545" s="37">
        <f>IF(M1535,B1537+F1537*A1545-N(L1535)*A1545^2/2-(N(D1535)*MAX(0,A1545-N(E1535))+N(F1535)*MAX(0,A1545-N(G1535))+N(H1535)*MAX(0,A1545-N(I1535))+N(J1535)*MAX(0,A1545-N(K1535))),0)</f>
        <v>0</v>
      </c>
      <c r="C1545" s="37"/>
      <c r="D1545" s="37"/>
      <c r="E1545" s="37"/>
      <c r="F1545" s="37"/>
      <c r="G1545" s="37"/>
      <c r="H1545" s="37"/>
      <c r="I1545" s="37"/>
      <c r="J1545" s="37"/>
      <c r="K1545" s="37"/>
      <c r="L1545" s="37"/>
      <c r="M1545" s="37"/>
    </row>
    <row r="1546" spans="1:13" hidden="1">
      <c r="A1546" s="36"/>
      <c r="B1546" s="36"/>
      <c r="C1546" s="36"/>
      <c r="D1546" s="36"/>
      <c r="E1546" s="36"/>
      <c r="F1546" s="36"/>
      <c r="G1546" s="36"/>
      <c r="H1546" s="36"/>
      <c r="I1546" s="36"/>
      <c r="J1546" s="36"/>
      <c r="K1546" s="36"/>
      <c r="L1546" s="36"/>
      <c r="M1546" s="36"/>
    </row>
    <row r="1547" spans="1:13" hidden="1">
      <c r="A1547" s="36"/>
      <c r="B1547" s="36"/>
      <c r="C1547" s="36"/>
      <c r="D1547" s="36"/>
      <c r="E1547" s="36"/>
      <c r="F1547" s="36"/>
      <c r="G1547" s="36"/>
      <c r="H1547" s="36"/>
      <c r="I1547" s="36"/>
      <c r="J1547" s="36"/>
      <c r="K1547" s="36"/>
      <c r="L1547" s="36"/>
      <c r="M1547" s="36"/>
    </row>
    <row r="1548" spans="1:13" hidden="1">
      <c r="A1548" s="36"/>
      <c r="B1548" s="36"/>
      <c r="C1548" s="36"/>
      <c r="D1548" s="36"/>
      <c r="E1548" s="36"/>
      <c r="F1548" s="36"/>
      <c r="G1548" s="36"/>
      <c r="H1548" s="36"/>
      <c r="I1548" s="36"/>
      <c r="J1548" s="36"/>
      <c r="K1548" s="36"/>
      <c r="L1548" s="36"/>
      <c r="M1548" s="36"/>
    </row>
    <row r="1549" spans="1:13" hidden="1">
      <c r="A1549" s="36"/>
      <c r="B1549" s="36"/>
      <c r="C1549" s="36"/>
      <c r="D1549" s="36"/>
      <c r="E1549" s="36"/>
      <c r="F1549" s="36"/>
      <c r="G1549" s="36"/>
      <c r="H1549" s="36"/>
      <c r="I1549" s="36"/>
      <c r="J1549" s="36"/>
      <c r="K1549" s="36"/>
      <c r="L1549" s="36"/>
      <c r="M1549" s="36"/>
    </row>
    <row r="1550" spans="1:13" hidden="1">
      <c r="A1550" s="36"/>
      <c r="B1550" s="36"/>
      <c r="C1550" s="36"/>
      <c r="D1550" s="36"/>
      <c r="E1550" s="36"/>
      <c r="F1550" s="36"/>
      <c r="G1550" s="36"/>
      <c r="H1550" s="36"/>
      <c r="I1550" s="36"/>
      <c r="J1550" s="36"/>
      <c r="K1550" s="36"/>
      <c r="L1550" s="36"/>
      <c r="M1550" s="36"/>
    </row>
    <row r="1551" spans="1:13" hidden="1">
      <c r="A1551" s="36"/>
      <c r="B1551" s="36"/>
      <c r="C1551" s="36"/>
      <c r="D1551" s="36"/>
      <c r="E1551" s="36"/>
      <c r="F1551" s="36"/>
      <c r="G1551" s="36"/>
      <c r="H1551" s="36"/>
      <c r="I1551" s="36"/>
      <c r="J1551" s="36"/>
      <c r="K1551" s="36"/>
      <c r="L1551" s="36"/>
      <c r="M1551" s="36"/>
    </row>
    <row r="1552" spans="1:13" hidden="1">
      <c r="A1552" s="36"/>
      <c r="B1552" s="36"/>
      <c r="C1552" s="36"/>
      <c r="D1552" s="36"/>
      <c r="E1552" s="36"/>
      <c r="F1552" s="36"/>
      <c r="G1552" s="36"/>
      <c r="H1552" s="36"/>
      <c r="I1552" s="36"/>
      <c r="J1552" s="36"/>
      <c r="K1552" s="36"/>
      <c r="L1552" s="36"/>
      <c r="M1552" s="36"/>
    </row>
    <row r="1553" spans="1:13" hidden="1">
      <c r="A1553" s="36"/>
      <c r="B1553" s="36"/>
      <c r="C1553" s="36"/>
      <c r="D1553" s="36"/>
      <c r="E1553" s="36"/>
      <c r="F1553" s="36"/>
      <c r="G1553" s="36"/>
      <c r="H1553" s="36"/>
      <c r="I1553" s="36"/>
      <c r="J1553" s="36"/>
      <c r="K1553" s="36"/>
      <c r="L1553" s="36"/>
      <c r="M1553" s="36"/>
    </row>
    <row r="1554" spans="1:13" hidden="1">
      <c r="A1554" s="36"/>
      <c r="B1554" s="36"/>
      <c r="C1554" s="36"/>
      <c r="D1554" s="36"/>
      <c r="E1554" s="36"/>
      <c r="F1554" s="36"/>
      <c r="G1554" s="36"/>
      <c r="H1554" s="36"/>
      <c r="I1554" s="36"/>
      <c r="J1554" s="36"/>
      <c r="K1554" s="36"/>
      <c r="L1554" s="36"/>
      <c r="M1554" s="36"/>
    </row>
    <row r="1555" spans="1:13" hidden="1">
      <c r="A1555" s="36"/>
      <c r="B1555" s="36"/>
      <c r="C1555" s="36"/>
      <c r="D1555" s="36"/>
      <c r="E1555" s="36"/>
      <c r="F1555" s="36"/>
      <c r="G1555" s="36"/>
      <c r="H1555" s="36"/>
      <c r="I1555" s="36"/>
      <c r="J1555" s="36"/>
      <c r="K1555" s="36"/>
      <c r="L1555" s="36"/>
      <c r="M1555" s="36"/>
    </row>
    <row r="1556" spans="1:13" hidden="1">
      <c r="A1556" s="36"/>
      <c r="B1556" s="36"/>
      <c r="C1556" s="36"/>
      <c r="D1556" s="36"/>
      <c r="E1556" s="36"/>
      <c r="F1556" s="36"/>
      <c r="G1556" s="36"/>
      <c r="H1556" s="36"/>
      <c r="I1556" s="36"/>
      <c r="J1556" s="36"/>
      <c r="K1556" s="36"/>
      <c r="L1556" s="36"/>
      <c r="M1556" s="36"/>
    </row>
    <row r="1557" spans="1:13" hidden="1">
      <c r="A1557" s="36"/>
      <c r="B1557" s="36"/>
      <c r="C1557" s="36"/>
      <c r="D1557" s="36"/>
      <c r="E1557" s="36"/>
      <c r="F1557" s="36"/>
      <c r="G1557" s="36"/>
      <c r="H1557" s="36"/>
      <c r="I1557" s="36"/>
      <c r="J1557" s="36"/>
      <c r="K1557" s="36"/>
      <c r="L1557" s="36"/>
      <c r="M1557" s="36"/>
    </row>
    <row r="1558" spans="1:13" hidden="1">
      <c r="A1558" s="156" t="s">
        <v>83</v>
      </c>
      <c r="B1558" s="156"/>
      <c r="C1558" s="156"/>
      <c r="D1558" s="156"/>
      <c r="E1558" s="156"/>
      <c r="F1558" s="156"/>
      <c r="G1558" s="156"/>
      <c r="H1558" s="156"/>
      <c r="I1558" s="156"/>
      <c r="J1558" s="156"/>
      <c r="K1558" s="156"/>
      <c r="L1558" s="156"/>
      <c r="M1558" s="156"/>
    </row>
    <row r="1559" spans="1:13" hidden="1">
      <c r="A1559" s="36" t="s">
        <v>3</v>
      </c>
      <c r="B1559" s="36" t="s">
        <v>50</v>
      </c>
      <c r="C1559" s="36" t="s">
        <v>5</v>
      </c>
      <c r="D1559" s="36" t="s">
        <v>51</v>
      </c>
      <c r="E1559" s="36" t="s">
        <v>52</v>
      </c>
      <c r="F1559" s="36" t="s">
        <v>53</v>
      </c>
      <c r="G1559" s="36" t="s">
        <v>54</v>
      </c>
      <c r="H1559" s="36" t="s">
        <v>55</v>
      </c>
      <c r="I1559" s="36" t="s">
        <v>56</v>
      </c>
      <c r="J1559" s="36" t="s">
        <v>57</v>
      </c>
      <c r="K1559" s="36" t="s">
        <v>58</v>
      </c>
      <c r="L1559" s="36" t="s">
        <v>59</v>
      </c>
      <c r="M1559" s="36" t="s">
        <v>60</v>
      </c>
    </row>
    <row r="1560" spans="1:13" hidden="1">
      <c r="A1560" s="36" t="str">
        <f>IF('Steel Beam Design'!A40="","",'Steel Beam Design'!A40)</f>
        <v/>
      </c>
      <c r="B1560" s="36" t="str">
        <f>IF('Steel Beam Design'!B40="","",'Steel Beam Design'!B40)</f>
        <v/>
      </c>
      <c r="C1560" s="36" t="str">
        <f>IF('Steel Beam Design'!C40="","",'Steel Beam Design'!C40)</f>
        <v/>
      </c>
      <c r="D1560" s="36" t="str">
        <f>IF('Steel Beam Design'!D40="","",'Steel Beam Design'!D40)</f>
        <v/>
      </c>
      <c r="E1560" s="36" t="str">
        <f>IF('Steel Beam Design'!E40="","",'Steel Beam Design'!E40)</f>
        <v/>
      </c>
      <c r="F1560" s="36" t="str">
        <f>IF('Steel Beam Design'!F40="","",'Steel Beam Design'!F40)</f>
        <v/>
      </c>
      <c r="G1560" s="36" t="str">
        <f>IF('Steel Beam Design'!G40="","",'Steel Beam Design'!G40)</f>
        <v/>
      </c>
      <c r="H1560" s="36" t="str">
        <f>IF('Steel Beam Design'!H40="","",'Steel Beam Design'!H40)</f>
        <v/>
      </c>
      <c r="I1560" s="36" t="str">
        <f>IF('Steel Beam Design'!I40="","",'Steel Beam Design'!I40)</f>
        <v/>
      </c>
      <c r="J1560" s="36" t="str">
        <f>IF('Steel Beam Design'!J40="","",'Steel Beam Design'!J40)</f>
        <v/>
      </c>
      <c r="K1560" s="36" t="str">
        <f>IF('Steel Beam Design'!K40="","",'Steel Beam Design'!K40)</f>
        <v/>
      </c>
      <c r="L1560" s="36" t="str">
        <f>IF('Steel Beam Design'!L40="","",'Steel Beam Design'!L40)</f>
        <v/>
      </c>
      <c r="M1560" s="36" t="b">
        <f>AND(ISNUMBER(B1560),B1560&gt;0,OR(C1560="Cantilever Supported",C1560="Simply Supported",C1560="Fixed-Fixed"),OR(L1560="",AND(ISNUMBER(L1560),L1560&gt;=0)),OR(D1560="",AND(ISNUMBER(D1560),D1560&gt;=0)),OR(N(D1560)=0,AND(ISNUMBER(E1560),E1560&gt;=0,E1560&lt;=B1560)),OR(F1560="",AND(ISNUMBER(F1560),F1560&gt;=0)),OR(N(F1560)=0,AND(ISNUMBER(G1560),G1560&gt;=0,G1560&lt;=B1560)),OR(H1560="",AND(ISNUMBER(H1560),H1560&gt;=0)),OR(N(H1560)=0,AND(ISNUMBER(I1560),I1560&gt;=0,I1560&lt;=B1560)),OR(J1560="",AND(ISNUMBER(J1560),J1560&gt;=0)),OR(N(J1560)=0,AND(ISNUMBER(K1560),K1560&gt;=0,K1560&lt;=B1560)))</f>
        <v>0</v>
      </c>
    </row>
    <row r="1561" spans="1:13" hidden="1">
      <c r="A1561" s="36"/>
      <c r="B1561" s="36"/>
      <c r="C1561" s="36"/>
      <c r="D1561" s="36"/>
      <c r="E1561" s="36"/>
      <c r="F1561" s="36"/>
      <c r="G1561" s="36"/>
      <c r="H1561" s="36"/>
      <c r="I1561" s="36"/>
      <c r="J1561" s="36"/>
      <c r="K1561" s="36"/>
      <c r="L1561" s="36"/>
      <c r="M1561" s="36"/>
    </row>
    <row r="1562" spans="1:13" hidden="1">
      <c r="A1562" s="36" t="s">
        <v>61</v>
      </c>
      <c r="B1562" s="36">
        <f>IF(M1560,IF(C1560="Cantilever Supported",-(N(D1560)*N(E1560)+N(F1560)*N(G1560)+N(H1560)*N(I1560)+N(J1560)*N(K1560))-N(L1560)*B1560^2/2,IF(C1560="Fixed-Fixed",-(N(D1560)*N(E1560)*(B1560-N(E1560))^2/B1560^2+N(F1560)*N(G1560)*(B1560-N(G1560))^2/B1560^2+N(H1560)*N(I1560)*(B1560-N(I1560))^2/B1560^2+N(J1560)*N(K1560)*(B1560-N(K1560))^2/B1560^2)-N(L1560)*B1560^2/12,0)),0)</f>
        <v>0</v>
      </c>
      <c r="C1562" s="36" t="s">
        <v>62</v>
      </c>
      <c r="D1562" s="36">
        <f>IF(M1560,IF(C1560="Fixed-Fixed",-(N(D1560)*N(E1560)^2*(B1560-N(E1560))/B1560^2+N(F1560)*N(G1560)^2*(B1560-N(G1560))/B1560^2+N(H1560)*N(I1560)^2*(B1560-N(I1560))/B1560^2+N(J1560)*N(K1560)^2*(B1560-N(K1560))/B1560^2)-N(L1560)*B1560^2/12,0),0)</f>
        <v>0</v>
      </c>
      <c r="E1562" s="36" t="s">
        <v>63</v>
      </c>
      <c r="F1562" s="36">
        <f>IF(M1560,IF(C1560="Cantilever Supported",N(D1560)+N(F1560)+N(H1560)+N(J1560)+N(L1560)*B1560,((N(D1560)*(B1560-N(E1560))+N(F1560)*(B1560-N(G1560))+N(H1560)*(B1560-N(I1560))+N(J1560)*(B1560-N(K1560)))+N(L1560)*B1560^2/2+D1562-B1562)/B1560),0)</f>
        <v>0</v>
      </c>
      <c r="G1562" s="36" t="s">
        <v>64</v>
      </c>
      <c r="H1562" s="36">
        <f>MAX(MAX(B1565:B1570),-MIN(B1565:B1570),MAX(E1565:E1569),-MIN(E1565:E1569))</f>
        <v>0</v>
      </c>
      <c r="I1562" s="36"/>
      <c r="J1562" s="36"/>
      <c r="K1562" s="36"/>
      <c r="L1562" s="36"/>
      <c r="M1562" s="36"/>
    </row>
    <row r="1563" spans="1:13" hidden="1">
      <c r="A1563" s="36"/>
      <c r="B1563" s="36"/>
      <c r="C1563" s="36"/>
      <c r="D1563" s="36"/>
      <c r="E1563" s="36"/>
      <c r="F1563" s="36"/>
      <c r="G1563" s="36"/>
      <c r="H1563" s="36"/>
      <c r="I1563" s="36"/>
      <c r="J1563" s="36"/>
      <c r="K1563" s="36"/>
      <c r="L1563" s="36"/>
      <c r="M1563" s="36"/>
    </row>
    <row r="1564" spans="1:13" hidden="1">
      <c r="A1564" s="36" t="s">
        <v>65</v>
      </c>
      <c r="B1564" s="36" t="s">
        <v>66</v>
      </c>
      <c r="C1564" s="36" t="s">
        <v>67</v>
      </c>
      <c r="D1564" s="36" t="s">
        <v>68</v>
      </c>
      <c r="E1564" s="36" t="s">
        <v>69</v>
      </c>
      <c r="F1564" s="36"/>
      <c r="G1564" s="36"/>
      <c r="H1564" s="36">
        <f>0</f>
        <v>0</v>
      </c>
      <c r="I1564" s="36">
        <f>IF(N(D1560)=0,0,N(E1560))</f>
        <v>0</v>
      </c>
      <c r="J1564" s="36">
        <f>IF(N(F1560)=0,0,N(G1560))</f>
        <v>0</v>
      </c>
      <c r="K1564" s="36">
        <f>IF(N(H1560)=0,0,N(I1560))</f>
        <v>0</v>
      </c>
      <c r="L1564" s="36">
        <f>IF(N(J1560)=0,0,N(K1560))</f>
        <v>0</v>
      </c>
      <c r="M1564" s="36">
        <f>IF(M1560,B1560,0)</f>
        <v>0</v>
      </c>
    </row>
    <row r="1565" spans="1:13" hidden="1">
      <c r="A1565" s="37">
        <f>SMALL(H1564:M1564,1)</f>
        <v>0</v>
      </c>
      <c r="B1565" s="37">
        <f>IF(M1560,B1562+F1562*A1565-N(L1560)*A1565^2/2-(N(D1560)*MAX(0,A1565-N(E1560))+N(F1560)*MAX(0,A1565-N(G1560))+N(H1560)*MAX(0,A1565-N(I1560))+N(J1560)*MAX(0,A1565-N(K1560))),0)</f>
        <v>0</v>
      </c>
      <c r="C1565" s="37">
        <f>A1566</f>
        <v>0</v>
      </c>
      <c r="D1565" s="37">
        <f>IF(AND(M1560,N(L1560)&gt;0),MAX(A1565,MIN(C1565,(F1562-(IF(N(E1560)&lt;=A1565,N(D1560),0)+IF(N(G1560)&lt;=A1565,N(F1560),0)+IF(N(I1560)&lt;=A1565,N(H1560),0)+IF(N(K1560)&lt;=A1565,N(J1560),0)))/N(L1560))),A1565)</f>
        <v>0</v>
      </c>
      <c r="E1565" s="37">
        <f>IF(M1560,B1562+F1562*D1565-N(L1560)*D1565^2/2-(N(D1560)*MAX(0,D1565-N(E1560))+N(F1560)*MAX(0,D1565-N(G1560))+N(H1560)*MAX(0,D1565-N(I1560))+N(J1560)*MAX(0,D1565-N(K1560))),0)</f>
        <v>0</v>
      </c>
      <c r="F1565" s="37"/>
      <c r="G1565" s="37"/>
      <c r="H1565" s="37"/>
      <c r="I1565" s="37"/>
      <c r="J1565" s="37"/>
      <c r="K1565" s="37"/>
      <c r="L1565" s="37"/>
      <c r="M1565" s="37"/>
    </row>
    <row r="1566" spans="1:13" hidden="1">
      <c r="A1566" s="37">
        <f>SMALL(H1564:M1564,2)</f>
        <v>0</v>
      </c>
      <c r="B1566" s="37">
        <f>IF(M1560,B1562+F1562*A1566-N(L1560)*A1566^2/2-(N(D1560)*MAX(0,A1566-N(E1560))+N(F1560)*MAX(0,A1566-N(G1560))+N(H1560)*MAX(0,A1566-N(I1560))+N(J1560)*MAX(0,A1566-N(K1560))),0)</f>
        <v>0</v>
      </c>
      <c r="C1566" s="37">
        <f>A1567</f>
        <v>0</v>
      </c>
      <c r="D1566" s="37">
        <f>IF(AND(M1560,N(L1560)&gt;0),MAX(A1566,MIN(C1566,(F1562-(IF(N(E1560)&lt;=A1566,N(D1560),0)+IF(N(G1560)&lt;=A1566,N(F1560),0)+IF(N(I1560)&lt;=A1566,N(H1560),0)+IF(N(K1560)&lt;=A1566,N(J1560),0)))/N(L1560))),A1566)</f>
        <v>0</v>
      </c>
      <c r="E1566" s="37">
        <f>IF(M1560,B1562+F1562*D1566-N(L1560)*D1566^2/2-(N(D1560)*MAX(0,D1566-N(E1560))+N(F1560)*MAX(0,D1566-N(G1560))+N(H1560)*MAX(0,D1566-N(I1560))+N(J1560)*MAX(0,D1566-N(K1560))),0)</f>
        <v>0</v>
      </c>
      <c r="F1566" s="37"/>
      <c r="G1566" s="37"/>
      <c r="H1566" s="37"/>
      <c r="I1566" s="37"/>
      <c r="J1566" s="37"/>
      <c r="K1566" s="37"/>
      <c r="L1566" s="37"/>
      <c r="M1566" s="37"/>
    </row>
    <row r="1567" spans="1:13" hidden="1">
      <c r="A1567" s="37">
        <f>SMALL(H1564:M1564,3)</f>
        <v>0</v>
      </c>
      <c r="B1567" s="37">
        <f>IF(M1560,B1562+F1562*A1567-N(L1560)*A1567^2/2-(N(D1560)*MAX(0,A1567-N(E1560))+N(F1560)*MAX(0,A1567-N(G1560))+N(H1560)*MAX(0,A1567-N(I1560))+N(J1560)*MAX(0,A1567-N(K1560))),0)</f>
        <v>0</v>
      </c>
      <c r="C1567" s="37">
        <f>A1568</f>
        <v>0</v>
      </c>
      <c r="D1567" s="37">
        <f>IF(AND(M1560,N(L1560)&gt;0),MAX(A1567,MIN(C1567,(F1562-(IF(N(E1560)&lt;=A1567,N(D1560),0)+IF(N(G1560)&lt;=A1567,N(F1560),0)+IF(N(I1560)&lt;=A1567,N(H1560),0)+IF(N(K1560)&lt;=A1567,N(J1560),0)))/N(L1560))),A1567)</f>
        <v>0</v>
      </c>
      <c r="E1567" s="37">
        <f>IF(M1560,B1562+F1562*D1567-N(L1560)*D1567^2/2-(N(D1560)*MAX(0,D1567-N(E1560))+N(F1560)*MAX(0,D1567-N(G1560))+N(H1560)*MAX(0,D1567-N(I1560))+N(J1560)*MAX(0,D1567-N(K1560))),0)</f>
        <v>0</v>
      </c>
      <c r="F1567" s="37"/>
      <c r="G1567" s="37"/>
      <c r="H1567" s="37"/>
      <c r="I1567" s="37"/>
      <c r="J1567" s="37"/>
      <c r="K1567" s="37"/>
      <c r="L1567" s="37"/>
      <c r="M1567" s="37"/>
    </row>
    <row r="1568" spans="1:13" hidden="1">
      <c r="A1568" s="37">
        <f>SMALL(H1564:M1564,4)</f>
        <v>0</v>
      </c>
      <c r="B1568" s="37">
        <f>IF(M1560,B1562+F1562*A1568-N(L1560)*A1568^2/2-(N(D1560)*MAX(0,A1568-N(E1560))+N(F1560)*MAX(0,A1568-N(G1560))+N(H1560)*MAX(0,A1568-N(I1560))+N(J1560)*MAX(0,A1568-N(K1560))),0)</f>
        <v>0</v>
      </c>
      <c r="C1568" s="37">
        <f>A1569</f>
        <v>0</v>
      </c>
      <c r="D1568" s="37">
        <f>IF(AND(M1560,N(L1560)&gt;0),MAX(A1568,MIN(C1568,(F1562-(IF(N(E1560)&lt;=A1568,N(D1560),0)+IF(N(G1560)&lt;=A1568,N(F1560),0)+IF(N(I1560)&lt;=A1568,N(H1560),0)+IF(N(K1560)&lt;=A1568,N(J1560),0)))/N(L1560))),A1568)</f>
        <v>0</v>
      </c>
      <c r="E1568" s="37">
        <f>IF(M1560,B1562+F1562*D1568-N(L1560)*D1568^2/2-(N(D1560)*MAX(0,D1568-N(E1560))+N(F1560)*MAX(0,D1568-N(G1560))+N(H1560)*MAX(0,D1568-N(I1560))+N(J1560)*MAX(0,D1568-N(K1560))),0)</f>
        <v>0</v>
      </c>
      <c r="F1568" s="37"/>
      <c r="G1568" s="37"/>
      <c r="H1568" s="37"/>
      <c r="I1568" s="37"/>
      <c r="J1568" s="37"/>
      <c r="K1568" s="37"/>
      <c r="L1568" s="37"/>
      <c r="M1568" s="37"/>
    </row>
    <row r="1569" spans="1:13" hidden="1">
      <c r="A1569" s="37">
        <f>SMALL(H1564:M1564,5)</f>
        <v>0</v>
      </c>
      <c r="B1569" s="37">
        <f>IF(M1560,B1562+F1562*A1569-N(L1560)*A1569^2/2-(N(D1560)*MAX(0,A1569-N(E1560))+N(F1560)*MAX(0,A1569-N(G1560))+N(H1560)*MAX(0,A1569-N(I1560))+N(J1560)*MAX(0,A1569-N(K1560))),0)</f>
        <v>0</v>
      </c>
      <c r="C1569" s="37">
        <f>A1570</f>
        <v>0</v>
      </c>
      <c r="D1569" s="37">
        <f>IF(AND(M1560,N(L1560)&gt;0),MAX(A1569,MIN(C1569,(F1562-(IF(N(E1560)&lt;=A1569,N(D1560),0)+IF(N(G1560)&lt;=A1569,N(F1560),0)+IF(N(I1560)&lt;=A1569,N(H1560),0)+IF(N(K1560)&lt;=A1569,N(J1560),0)))/N(L1560))),A1569)</f>
        <v>0</v>
      </c>
      <c r="E1569" s="37">
        <f>IF(M1560,B1562+F1562*D1569-N(L1560)*D1569^2/2-(N(D1560)*MAX(0,D1569-N(E1560))+N(F1560)*MAX(0,D1569-N(G1560))+N(H1560)*MAX(0,D1569-N(I1560))+N(J1560)*MAX(0,D1569-N(K1560))),0)</f>
        <v>0</v>
      </c>
      <c r="F1569" s="37"/>
      <c r="G1569" s="37"/>
      <c r="H1569" s="37"/>
      <c r="I1569" s="37"/>
      <c r="J1569" s="37"/>
      <c r="K1569" s="37"/>
      <c r="L1569" s="37"/>
      <c r="M1569" s="37"/>
    </row>
    <row r="1570" spans="1:13" hidden="1">
      <c r="A1570" s="37">
        <f>SMALL(H1564:M1564,6)</f>
        <v>0</v>
      </c>
      <c r="B1570" s="37">
        <f>IF(M1560,B1562+F1562*A1570-N(L1560)*A1570^2/2-(N(D1560)*MAX(0,A1570-N(E1560))+N(F1560)*MAX(0,A1570-N(G1560))+N(H1560)*MAX(0,A1570-N(I1560))+N(J1560)*MAX(0,A1570-N(K1560))),0)</f>
        <v>0</v>
      </c>
      <c r="C1570" s="37"/>
      <c r="D1570" s="37"/>
      <c r="E1570" s="37"/>
      <c r="F1570" s="37"/>
      <c r="G1570" s="37"/>
      <c r="H1570" s="37"/>
      <c r="I1570" s="37"/>
      <c r="J1570" s="37"/>
      <c r="K1570" s="37"/>
      <c r="L1570" s="37"/>
      <c r="M1570" s="37"/>
    </row>
    <row r="1571" spans="1:13" hidden="1">
      <c r="A1571" s="36"/>
      <c r="B1571" s="36"/>
      <c r="C1571" s="36"/>
      <c r="D1571" s="36"/>
      <c r="E1571" s="36"/>
      <c r="F1571" s="36"/>
      <c r="G1571" s="36"/>
      <c r="H1571" s="36"/>
      <c r="I1571" s="36"/>
      <c r="J1571" s="36"/>
      <c r="K1571" s="36"/>
      <c r="L1571" s="36"/>
      <c r="M1571" s="36"/>
    </row>
    <row r="1572" spans="1:13" hidden="1">
      <c r="A1572" s="36"/>
      <c r="B1572" s="36"/>
      <c r="C1572" s="36"/>
      <c r="D1572" s="36"/>
      <c r="E1572" s="36"/>
      <c r="F1572" s="36"/>
      <c r="G1572" s="36"/>
      <c r="H1572" s="36"/>
      <c r="I1572" s="36"/>
      <c r="J1572" s="36"/>
      <c r="K1572" s="36"/>
      <c r="L1572" s="36"/>
      <c r="M1572" s="36"/>
    </row>
    <row r="1573" spans="1:13" hidden="1">
      <c r="A1573" s="36"/>
      <c r="B1573" s="36"/>
      <c r="C1573" s="36"/>
      <c r="D1573" s="36"/>
      <c r="E1573" s="36"/>
      <c r="F1573" s="36"/>
      <c r="G1573" s="36"/>
      <c r="H1573" s="36"/>
      <c r="I1573" s="36"/>
      <c r="J1573" s="36"/>
      <c r="K1573" s="36"/>
      <c r="L1573" s="36"/>
      <c r="M1573" s="36"/>
    </row>
    <row r="1574" spans="1:13" hidden="1">
      <c r="A1574" s="36"/>
      <c r="B1574" s="36"/>
      <c r="C1574" s="36"/>
      <c r="D1574" s="36"/>
      <c r="E1574" s="36"/>
      <c r="F1574" s="36"/>
      <c r="G1574" s="36"/>
      <c r="H1574" s="36"/>
      <c r="I1574" s="36"/>
      <c r="J1574" s="36"/>
      <c r="K1574" s="36"/>
      <c r="L1574" s="36"/>
      <c r="M1574" s="36"/>
    </row>
    <row r="1575" spans="1:13" hidden="1">
      <c r="A1575" s="36"/>
      <c r="B1575" s="36"/>
      <c r="C1575" s="36"/>
      <c r="D1575" s="36"/>
      <c r="E1575" s="36"/>
      <c r="F1575" s="36"/>
      <c r="G1575" s="36"/>
      <c r="H1575" s="36"/>
      <c r="I1575" s="36"/>
      <c r="J1575" s="36"/>
      <c r="K1575" s="36"/>
      <c r="L1575" s="36"/>
      <c r="M1575" s="36"/>
    </row>
    <row r="1576" spans="1:13" hidden="1">
      <c r="A1576" s="36"/>
      <c r="B1576" s="36"/>
      <c r="C1576" s="36"/>
      <c r="D1576" s="36"/>
      <c r="E1576" s="36"/>
      <c r="F1576" s="36"/>
      <c r="G1576" s="36"/>
      <c r="H1576" s="36"/>
      <c r="I1576" s="36"/>
      <c r="J1576" s="36"/>
      <c r="K1576" s="36"/>
      <c r="L1576" s="36"/>
      <c r="M1576" s="36"/>
    </row>
    <row r="1577" spans="1:13" hidden="1">
      <c r="A1577" s="36"/>
      <c r="B1577" s="36"/>
      <c r="C1577" s="36"/>
      <c r="D1577" s="36"/>
      <c r="E1577" s="36"/>
      <c r="F1577" s="36"/>
      <c r="G1577" s="36"/>
      <c r="H1577" s="36"/>
      <c r="I1577" s="36"/>
      <c r="J1577" s="36"/>
      <c r="K1577" s="36"/>
      <c r="L1577" s="36"/>
      <c r="M1577" s="36"/>
    </row>
    <row r="1578" spans="1:13" hidden="1">
      <c r="A1578" s="36"/>
      <c r="B1578" s="36"/>
      <c r="C1578" s="36"/>
      <c r="D1578" s="36"/>
      <c r="E1578" s="36"/>
      <c r="F1578" s="36"/>
      <c r="G1578" s="36"/>
      <c r="H1578" s="36"/>
      <c r="I1578" s="36"/>
      <c r="J1578" s="36"/>
      <c r="K1578" s="36"/>
      <c r="L1578" s="36"/>
      <c r="M1578" s="36"/>
    </row>
    <row r="1579" spans="1:13" hidden="1">
      <c r="A1579" s="36"/>
      <c r="B1579" s="36"/>
      <c r="C1579" s="36"/>
      <c r="D1579" s="36"/>
      <c r="E1579" s="36"/>
      <c r="F1579" s="36"/>
      <c r="G1579" s="36"/>
      <c r="H1579" s="36"/>
      <c r="I1579" s="36"/>
      <c r="J1579" s="36"/>
      <c r="K1579" s="36"/>
      <c r="L1579" s="36"/>
      <c r="M1579" s="36"/>
    </row>
    <row r="1580" spans="1:13" hidden="1">
      <c r="A1580" s="36"/>
      <c r="B1580" s="36"/>
      <c r="C1580" s="36"/>
      <c r="D1580" s="36"/>
      <c r="E1580" s="36"/>
      <c r="F1580" s="36"/>
      <c r="G1580" s="36"/>
      <c r="H1580" s="36"/>
      <c r="I1580" s="36"/>
      <c r="J1580" s="36"/>
      <c r="K1580" s="36"/>
      <c r="L1580" s="36"/>
      <c r="M1580" s="36"/>
    </row>
    <row r="1581" spans="1:13" hidden="1">
      <c r="A1581" s="36"/>
      <c r="B1581" s="36"/>
      <c r="C1581" s="36"/>
      <c r="D1581" s="36"/>
      <c r="E1581" s="36"/>
      <c r="F1581" s="36"/>
      <c r="G1581" s="36"/>
      <c r="H1581" s="36"/>
      <c r="I1581" s="36"/>
      <c r="J1581" s="36"/>
      <c r="K1581" s="36"/>
      <c r="L1581" s="36"/>
      <c r="M1581" s="36"/>
    </row>
    <row r="1582" spans="1:13" hidden="1">
      <c r="A1582" s="36"/>
      <c r="B1582" s="36"/>
      <c r="C1582" s="36"/>
      <c r="D1582" s="36"/>
      <c r="E1582" s="36"/>
      <c r="F1582" s="36"/>
      <c r="G1582" s="36"/>
      <c r="H1582" s="36"/>
      <c r="I1582" s="36"/>
      <c r="J1582" s="36"/>
      <c r="K1582" s="36"/>
      <c r="L1582" s="36"/>
      <c r="M1582" s="36"/>
    </row>
    <row r="1583" spans="1:13" hidden="1">
      <c r="A1583" s="156" t="s">
        <v>84</v>
      </c>
      <c r="B1583" s="156"/>
      <c r="C1583" s="156"/>
      <c r="D1583" s="156"/>
      <c r="E1583" s="156"/>
      <c r="F1583" s="156"/>
      <c r="G1583" s="156"/>
      <c r="H1583" s="156"/>
      <c r="I1583" s="156"/>
      <c r="J1583" s="156"/>
      <c r="K1583" s="156"/>
      <c r="L1583" s="156"/>
      <c r="M1583" s="156"/>
    </row>
    <row r="1584" spans="1:13" hidden="1">
      <c r="A1584" s="36" t="s">
        <v>3</v>
      </c>
      <c r="B1584" s="36" t="s">
        <v>50</v>
      </c>
      <c r="C1584" s="36" t="s">
        <v>5</v>
      </c>
      <c r="D1584" s="36" t="s">
        <v>51</v>
      </c>
      <c r="E1584" s="36" t="s">
        <v>52</v>
      </c>
      <c r="F1584" s="36" t="s">
        <v>53</v>
      </c>
      <c r="G1584" s="36" t="s">
        <v>54</v>
      </c>
      <c r="H1584" s="36" t="s">
        <v>55</v>
      </c>
      <c r="I1584" s="36" t="s">
        <v>56</v>
      </c>
      <c r="J1584" s="36" t="s">
        <v>57</v>
      </c>
      <c r="K1584" s="36" t="s">
        <v>58</v>
      </c>
      <c r="L1584" s="36" t="s">
        <v>59</v>
      </c>
      <c r="M1584" s="36" t="s">
        <v>60</v>
      </c>
    </row>
    <row r="1585" spans="1:13" hidden="1">
      <c r="A1585" s="36" t="str">
        <f>IF('Steel Beam Design'!A41="","",'Steel Beam Design'!A41)</f>
        <v/>
      </c>
      <c r="B1585" s="36" t="str">
        <f>IF('Steel Beam Design'!B41="","",'Steel Beam Design'!B41)</f>
        <v/>
      </c>
      <c r="C1585" s="36" t="str">
        <f>IF('Steel Beam Design'!C41="","",'Steel Beam Design'!C41)</f>
        <v/>
      </c>
      <c r="D1585" s="36" t="str">
        <f>IF('Steel Beam Design'!D41="","",'Steel Beam Design'!D41)</f>
        <v/>
      </c>
      <c r="E1585" s="36" t="str">
        <f>IF('Steel Beam Design'!E41="","",'Steel Beam Design'!E41)</f>
        <v/>
      </c>
      <c r="F1585" s="36" t="str">
        <f>IF('Steel Beam Design'!F41="","",'Steel Beam Design'!F41)</f>
        <v/>
      </c>
      <c r="G1585" s="36" t="str">
        <f>IF('Steel Beam Design'!G41="","",'Steel Beam Design'!G41)</f>
        <v/>
      </c>
      <c r="H1585" s="36" t="str">
        <f>IF('Steel Beam Design'!H41="","",'Steel Beam Design'!H41)</f>
        <v/>
      </c>
      <c r="I1585" s="36" t="str">
        <f>IF('Steel Beam Design'!I41="","",'Steel Beam Design'!I41)</f>
        <v/>
      </c>
      <c r="J1585" s="36" t="str">
        <f>IF('Steel Beam Design'!J41="","",'Steel Beam Design'!J41)</f>
        <v/>
      </c>
      <c r="K1585" s="36" t="str">
        <f>IF('Steel Beam Design'!K41="","",'Steel Beam Design'!K41)</f>
        <v/>
      </c>
      <c r="L1585" s="36" t="str">
        <f>IF('Steel Beam Design'!L41="","",'Steel Beam Design'!L41)</f>
        <v/>
      </c>
      <c r="M1585" s="36" t="b">
        <f>AND(ISNUMBER(B1585),B1585&gt;0,OR(C1585="Cantilever Supported",C1585="Simply Supported",C1585="Fixed-Fixed"),OR(L1585="",AND(ISNUMBER(L1585),L1585&gt;=0)),OR(D1585="",AND(ISNUMBER(D1585),D1585&gt;=0)),OR(N(D1585)=0,AND(ISNUMBER(E1585),E1585&gt;=0,E1585&lt;=B1585)),OR(F1585="",AND(ISNUMBER(F1585),F1585&gt;=0)),OR(N(F1585)=0,AND(ISNUMBER(G1585),G1585&gt;=0,G1585&lt;=B1585)),OR(H1585="",AND(ISNUMBER(H1585),H1585&gt;=0)),OR(N(H1585)=0,AND(ISNUMBER(I1585),I1585&gt;=0,I1585&lt;=B1585)),OR(J1585="",AND(ISNUMBER(J1585),J1585&gt;=0)),OR(N(J1585)=0,AND(ISNUMBER(K1585),K1585&gt;=0,K1585&lt;=B1585)))</f>
        <v>0</v>
      </c>
    </row>
    <row r="1586" spans="1:13" hidden="1">
      <c r="A1586" s="36"/>
      <c r="B1586" s="36"/>
      <c r="C1586" s="36"/>
      <c r="D1586" s="36"/>
      <c r="E1586" s="36"/>
      <c r="F1586" s="36"/>
      <c r="G1586" s="36"/>
      <c r="H1586" s="36"/>
      <c r="I1586" s="36"/>
      <c r="J1586" s="36"/>
      <c r="K1586" s="36"/>
      <c r="L1586" s="36"/>
      <c r="M1586" s="36"/>
    </row>
    <row r="1587" spans="1:13" hidden="1">
      <c r="A1587" s="36" t="s">
        <v>61</v>
      </c>
      <c r="B1587" s="36">
        <f>IF(M1585,IF(C1585="Cantilever Supported",-(N(D1585)*N(E1585)+N(F1585)*N(G1585)+N(H1585)*N(I1585)+N(J1585)*N(K1585))-N(L1585)*B1585^2/2,IF(C1585="Fixed-Fixed",-(N(D1585)*N(E1585)*(B1585-N(E1585))^2/B1585^2+N(F1585)*N(G1585)*(B1585-N(G1585))^2/B1585^2+N(H1585)*N(I1585)*(B1585-N(I1585))^2/B1585^2+N(J1585)*N(K1585)*(B1585-N(K1585))^2/B1585^2)-N(L1585)*B1585^2/12,0)),0)</f>
        <v>0</v>
      </c>
      <c r="C1587" s="36" t="s">
        <v>62</v>
      </c>
      <c r="D1587" s="36">
        <f>IF(M1585,IF(C1585="Fixed-Fixed",-(N(D1585)*N(E1585)^2*(B1585-N(E1585))/B1585^2+N(F1585)*N(G1585)^2*(B1585-N(G1585))/B1585^2+N(H1585)*N(I1585)^2*(B1585-N(I1585))/B1585^2+N(J1585)*N(K1585)^2*(B1585-N(K1585))/B1585^2)-N(L1585)*B1585^2/12,0),0)</f>
        <v>0</v>
      </c>
      <c r="E1587" s="36" t="s">
        <v>63</v>
      </c>
      <c r="F1587" s="36">
        <f>IF(M1585,IF(C1585="Cantilever Supported",N(D1585)+N(F1585)+N(H1585)+N(J1585)+N(L1585)*B1585,((N(D1585)*(B1585-N(E1585))+N(F1585)*(B1585-N(G1585))+N(H1585)*(B1585-N(I1585))+N(J1585)*(B1585-N(K1585)))+N(L1585)*B1585^2/2+D1587-B1587)/B1585),0)</f>
        <v>0</v>
      </c>
      <c r="G1587" s="36" t="s">
        <v>64</v>
      </c>
      <c r="H1587" s="36">
        <f>MAX(MAX(B1590:B1595),-MIN(B1590:B1595),MAX(E1590:E1594),-MIN(E1590:E1594))</f>
        <v>0</v>
      </c>
      <c r="I1587" s="36"/>
      <c r="J1587" s="36"/>
      <c r="K1587" s="36"/>
      <c r="L1587" s="36"/>
      <c r="M1587" s="36"/>
    </row>
    <row r="1588" spans="1:13" hidden="1">
      <c r="A1588" s="36"/>
      <c r="B1588" s="36"/>
      <c r="C1588" s="36"/>
      <c r="D1588" s="36"/>
      <c r="E1588" s="36"/>
      <c r="F1588" s="36"/>
      <c r="G1588" s="36"/>
      <c r="H1588" s="36"/>
      <c r="I1588" s="36"/>
      <c r="J1588" s="36"/>
      <c r="K1588" s="36"/>
      <c r="L1588" s="36"/>
      <c r="M1588" s="36"/>
    </row>
    <row r="1589" spans="1:13" hidden="1">
      <c r="A1589" s="36" t="s">
        <v>65</v>
      </c>
      <c r="B1589" s="36" t="s">
        <v>66</v>
      </c>
      <c r="C1589" s="36" t="s">
        <v>67</v>
      </c>
      <c r="D1589" s="36" t="s">
        <v>68</v>
      </c>
      <c r="E1589" s="36" t="s">
        <v>69</v>
      </c>
      <c r="F1589" s="36"/>
      <c r="G1589" s="36"/>
      <c r="H1589" s="36">
        <f>0</f>
        <v>0</v>
      </c>
      <c r="I1589" s="36">
        <f>IF(N(D1585)=0,0,N(E1585))</f>
        <v>0</v>
      </c>
      <c r="J1589" s="36">
        <f>IF(N(F1585)=0,0,N(G1585))</f>
        <v>0</v>
      </c>
      <c r="K1589" s="36">
        <f>IF(N(H1585)=0,0,N(I1585))</f>
        <v>0</v>
      </c>
      <c r="L1589" s="36">
        <f>IF(N(J1585)=0,0,N(K1585))</f>
        <v>0</v>
      </c>
      <c r="M1589" s="36">
        <f>IF(M1585,B1585,0)</f>
        <v>0</v>
      </c>
    </row>
    <row r="1590" spans="1:13" hidden="1">
      <c r="A1590" s="37">
        <f>SMALL(H1589:M1589,1)</f>
        <v>0</v>
      </c>
      <c r="B1590" s="37">
        <f>IF(M1585,B1587+F1587*A1590-N(L1585)*A1590^2/2-(N(D1585)*MAX(0,A1590-N(E1585))+N(F1585)*MAX(0,A1590-N(G1585))+N(H1585)*MAX(0,A1590-N(I1585))+N(J1585)*MAX(0,A1590-N(K1585))),0)</f>
        <v>0</v>
      </c>
      <c r="C1590" s="37">
        <f>A1591</f>
        <v>0</v>
      </c>
      <c r="D1590" s="37">
        <f>IF(AND(M1585,N(L1585)&gt;0),MAX(A1590,MIN(C1590,(F1587-(IF(N(E1585)&lt;=A1590,N(D1585),0)+IF(N(G1585)&lt;=A1590,N(F1585),0)+IF(N(I1585)&lt;=A1590,N(H1585),0)+IF(N(K1585)&lt;=A1590,N(J1585),0)))/N(L1585))),A1590)</f>
        <v>0</v>
      </c>
      <c r="E1590" s="37">
        <f>IF(M1585,B1587+F1587*D1590-N(L1585)*D1590^2/2-(N(D1585)*MAX(0,D1590-N(E1585))+N(F1585)*MAX(0,D1590-N(G1585))+N(H1585)*MAX(0,D1590-N(I1585))+N(J1585)*MAX(0,D1590-N(K1585))),0)</f>
        <v>0</v>
      </c>
      <c r="F1590" s="37"/>
      <c r="G1590" s="37"/>
      <c r="H1590" s="37"/>
      <c r="I1590" s="37"/>
      <c r="J1590" s="37"/>
      <c r="K1590" s="37"/>
      <c r="L1590" s="37"/>
      <c r="M1590" s="37"/>
    </row>
    <row r="1591" spans="1:13" hidden="1">
      <c r="A1591" s="37">
        <f>SMALL(H1589:M1589,2)</f>
        <v>0</v>
      </c>
      <c r="B1591" s="37">
        <f>IF(M1585,B1587+F1587*A1591-N(L1585)*A1591^2/2-(N(D1585)*MAX(0,A1591-N(E1585))+N(F1585)*MAX(0,A1591-N(G1585))+N(H1585)*MAX(0,A1591-N(I1585))+N(J1585)*MAX(0,A1591-N(K1585))),0)</f>
        <v>0</v>
      </c>
      <c r="C1591" s="37">
        <f>A1592</f>
        <v>0</v>
      </c>
      <c r="D1591" s="37">
        <f>IF(AND(M1585,N(L1585)&gt;0),MAX(A1591,MIN(C1591,(F1587-(IF(N(E1585)&lt;=A1591,N(D1585),0)+IF(N(G1585)&lt;=A1591,N(F1585),0)+IF(N(I1585)&lt;=A1591,N(H1585),0)+IF(N(K1585)&lt;=A1591,N(J1585),0)))/N(L1585))),A1591)</f>
        <v>0</v>
      </c>
      <c r="E1591" s="37">
        <f>IF(M1585,B1587+F1587*D1591-N(L1585)*D1591^2/2-(N(D1585)*MAX(0,D1591-N(E1585))+N(F1585)*MAX(0,D1591-N(G1585))+N(H1585)*MAX(0,D1591-N(I1585))+N(J1585)*MAX(0,D1591-N(K1585))),0)</f>
        <v>0</v>
      </c>
      <c r="F1591" s="37"/>
      <c r="G1591" s="37"/>
      <c r="H1591" s="37"/>
      <c r="I1591" s="37"/>
      <c r="J1591" s="37"/>
      <c r="K1591" s="37"/>
      <c r="L1591" s="37"/>
      <c r="M1591" s="37"/>
    </row>
    <row r="1592" spans="1:13" hidden="1">
      <c r="A1592" s="37">
        <f>SMALL(H1589:M1589,3)</f>
        <v>0</v>
      </c>
      <c r="B1592" s="37">
        <f>IF(M1585,B1587+F1587*A1592-N(L1585)*A1592^2/2-(N(D1585)*MAX(0,A1592-N(E1585))+N(F1585)*MAX(0,A1592-N(G1585))+N(H1585)*MAX(0,A1592-N(I1585))+N(J1585)*MAX(0,A1592-N(K1585))),0)</f>
        <v>0</v>
      </c>
      <c r="C1592" s="37">
        <f>A1593</f>
        <v>0</v>
      </c>
      <c r="D1592" s="37">
        <f>IF(AND(M1585,N(L1585)&gt;0),MAX(A1592,MIN(C1592,(F1587-(IF(N(E1585)&lt;=A1592,N(D1585),0)+IF(N(G1585)&lt;=A1592,N(F1585),0)+IF(N(I1585)&lt;=A1592,N(H1585),0)+IF(N(K1585)&lt;=A1592,N(J1585),0)))/N(L1585))),A1592)</f>
        <v>0</v>
      </c>
      <c r="E1592" s="37">
        <f>IF(M1585,B1587+F1587*D1592-N(L1585)*D1592^2/2-(N(D1585)*MAX(0,D1592-N(E1585))+N(F1585)*MAX(0,D1592-N(G1585))+N(H1585)*MAX(0,D1592-N(I1585))+N(J1585)*MAX(0,D1592-N(K1585))),0)</f>
        <v>0</v>
      </c>
      <c r="F1592" s="37"/>
      <c r="G1592" s="37"/>
      <c r="H1592" s="37"/>
      <c r="I1592" s="37"/>
      <c r="J1592" s="37"/>
      <c r="K1592" s="37"/>
      <c r="L1592" s="37"/>
      <c r="M1592" s="37"/>
    </row>
    <row r="1593" spans="1:13" hidden="1">
      <c r="A1593" s="37">
        <f>SMALL(H1589:M1589,4)</f>
        <v>0</v>
      </c>
      <c r="B1593" s="37">
        <f>IF(M1585,B1587+F1587*A1593-N(L1585)*A1593^2/2-(N(D1585)*MAX(0,A1593-N(E1585))+N(F1585)*MAX(0,A1593-N(G1585))+N(H1585)*MAX(0,A1593-N(I1585))+N(J1585)*MAX(0,A1593-N(K1585))),0)</f>
        <v>0</v>
      </c>
      <c r="C1593" s="37">
        <f>A1594</f>
        <v>0</v>
      </c>
      <c r="D1593" s="37">
        <f>IF(AND(M1585,N(L1585)&gt;0),MAX(A1593,MIN(C1593,(F1587-(IF(N(E1585)&lt;=A1593,N(D1585),0)+IF(N(G1585)&lt;=A1593,N(F1585),0)+IF(N(I1585)&lt;=A1593,N(H1585),0)+IF(N(K1585)&lt;=A1593,N(J1585),0)))/N(L1585))),A1593)</f>
        <v>0</v>
      </c>
      <c r="E1593" s="37">
        <f>IF(M1585,B1587+F1587*D1593-N(L1585)*D1593^2/2-(N(D1585)*MAX(0,D1593-N(E1585))+N(F1585)*MAX(0,D1593-N(G1585))+N(H1585)*MAX(0,D1593-N(I1585))+N(J1585)*MAX(0,D1593-N(K1585))),0)</f>
        <v>0</v>
      </c>
      <c r="F1593" s="37"/>
      <c r="G1593" s="37"/>
      <c r="H1593" s="37"/>
      <c r="I1593" s="37"/>
      <c r="J1593" s="37"/>
      <c r="K1593" s="37"/>
      <c r="L1593" s="37"/>
      <c r="M1593" s="37"/>
    </row>
    <row r="1594" spans="1:13" hidden="1">
      <c r="A1594" s="37">
        <f>SMALL(H1589:M1589,5)</f>
        <v>0</v>
      </c>
      <c r="B1594" s="37">
        <f>IF(M1585,B1587+F1587*A1594-N(L1585)*A1594^2/2-(N(D1585)*MAX(0,A1594-N(E1585))+N(F1585)*MAX(0,A1594-N(G1585))+N(H1585)*MAX(0,A1594-N(I1585))+N(J1585)*MAX(0,A1594-N(K1585))),0)</f>
        <v>0</v>
      </c>
      <c r="C1594" s="37">
        <f>A1595</f>
        <v>0</v>
      </c>
      <c r="D1594" s="37">
        <f>IF(AND(M1585,N(L1585)&gt;0),MAX(A1594,MIN(C1594,(F1587-(IF(N(E1585)&lt;=A1594,N(D1585),0)+IF(N(G1585)&lt;=A1594,N(F1585),0)+IF(N(I1585)&lt;=A1594,N(H1585),0)+IF(N(K1585)&lt;=A1594,N(J1585),0)))/N(L1585))),A1594)</f>
        <v>0</v>
      </c>
      <c r="E1594" s="37">
        <f>IF(M1585,B1587+F1587*D1594-N(L1585)*D1594^2/2-(N(D1585)*MAX(0,D1594-N(E1585))+N(F1585)*MAX(0,D1594-N(G1585))+N(H1585)*MAX(0,D1594-N(I1585))+N(J1585)*MAX(0,D1594-N(K1585))),0)</f>
        <v>0</v>
      </c>
      <c r="F1594" s="37"/>
      <c r="G1594" s="37"/>
      <c r="H1594" s="37"/>
      <c r="I1594" s="37"/>
      <c r="J1594" s="37"/>
      <c r="K1594" s="37"/>
      <c r="L1594" s="37"/>
      <c r="M1594" s="37"/>
    </row>
    <row r="1595" spans="1:13" hidden="1">
      <c r="A1595" s="37">
        <f>SMALL(H1589:M1589,6)</f>
        <v>0</v>
      </c>
      <c r="B1595" s="37">
        <f>IF(M1585,B1587+F1587*A1595-N(L1585)*A1595^2/2-(N(D1585)*MAX(0,A1595-N(E1585))+N(F1585)*MAX(0,A1595-N(G1585))+N(H1585)*MAX(0,A1595-N(I1585))+N(J1585)*MAX(0,A1595-N(K1585))),0)</f>
        <v>0</v>
      </c>
      <c r="C1595" s="37"/>
      <c r="D1595" s="37"/>
      <c r="E1595" s="37"/>
      <c r="F1595" s="37"/>
      <c r="G1595" s="37"/>
      <c r="H1595" s="37"/>
      <c r="I1595" s="37"/>
      <c r="J1595" s="37"/>
      <c r="K1595" s="37"/>
      <c r="L1595" s="37"/>
      <c r="M1595" s="37"/>
    </row>
    <row r="1596" spans="1:13" hidden="1">
      <c r="A1596" s="36"/>
      <c r="B1596" s="36"/>
      <c r="C1596" s="36"/>
      <c r="D1596" s="36"/>
      <c r="E1596" s="36"/>
      <c r="F1596" s="36"/>
      <c r="G1596" s="36"/>
      <c r="H1596" s="36"/>
      <c r="I1596" s="36"/>
      <c r="J1596" s="36"/>
      <c r="K1596" s="36"/>
      <c r="L1596" s="36"/>
      <c r="M1596" s="36"/>
    </row>
    <row r="1597" spans="1:13" hidden="1">
      <c r="A1597" s="36"/>
      <c r="B1597" s="36"/>
      <c r="C1597" s="36"/>
      <c r="D1597" s="36"/>
      <c r="E1597" s="36"/>
      <c r="F1597" s="36"/>
      <c r="G1597" s="36"/>
      <c r="H1597" s="36"/>
      <c r="I1597" s="36"/>
      <c r="J1597" s="36"/>
      <c r="K1597" s="36"/>
      <c r="L1597" s="36"/>
      <c r="M1597" s="36"/>
    </row>
    <row r="1598" spans="1:13" hidden="1">
      <c r="A1598" s="36"/>
      <c r="B1598" s="36"/>
      <c r="C1598" s="36"/>
      <c r="D1598" s="36"/>
      <c r="E1598" s="36"/>
      <c r="F1598" s="36"/>
      <c r="G1598" s="36"/>
      <c r="H1598" s="36"/>
      <c r="I1598" s="36"/>
      <c r="J1598" s="36"/>
      <c r="K1598" s="36"/>
      <c r="L1598" s="36"/>
      <c r="M1598" s="36"/>
    </row>
    <row r="1599" spans="1:13" hidden="1">
      <c r="A1599" s="36"/>
      <c r="B1599" s="36"/>
      <c r="C1599" s="36"/>
      <c r="D1599" s="36"/>
      <c r="E1599" s="36"/>
      <c r="F1599" s="36"/>
      <c r="G1599" s="36"/>
      <c r="H1599" s="36"/>
      <c r="I1599" s="36"/>
      <c r="J1599" s="36"/>
      <c r="K1599" s="36"/>
      <c r="L1599" s="36"/>
      <c r="M1599" s="36"/>
    </row>
    <row r="1600" spans="1:13" hidden="1">
      <c r="A1600" s="36"/>
      <c r="B1600" s="36"/>
      <c r="C1600" s="36"/>
      <c r="D1600" s="36"/>
      <c r="E1600" s="36"/>
      <c r="F1600" s="36"/>
      <c r="G1600" s="36"/>
      <c r="H1600" s="36"/>
      <c r="I1600" s="36"/>
      <c r="J1600" s="36"/>
      <c r="K1600" s="36"/>
      <c r="L1600" s="36"/>
      <c r="M1600" s="36"/>
    </row>
    <row r="1601" spans="1:13" hidden="1">
      <c r="A1601" s="36"/>
      <c r="B1601" s="36"/>
      <c r="C1601" s="36"/>
      <c r="D1601" s="36"/>
      <c r="E1601" s="36"/>
      <c r="F1601" s="36"/>
      <c r="G1601" s="36"/>
      <c r="H1601" s="36"/>
      <c r="I1601" s="36"/>
      <c r="J1601" s="36"/>
      <c r="K1601" s="36"/>
      <c r="L1601" s="36"/>
      <c r="M1601" s="36"/>
    </row>
    <row r="1602" spans="1:13" hidden="1">
      <c r="A1602" s="36"/>
      <c r="B1602" s="36"/>
      <c r="C1602" s="36"/>
      <c r="D1602" s="36"/>
      <c r="E1602" s="36"/>
      <c r="F1602" s="36"/>
      <c r="G1602" s="36"/>
      <c r="H1602" s="36"/>
      <c r="I1602" s="36"/>
      <c r="J1602" s="36"/>
      <c r="K1602" s="36"/>
      <c r="L1602" s="36"/>
      <c r="M1602" s="36"/>
    </row>
    <row r="1603" spans="1:13" hidden="1">
      <c r="A1603" s="36"/>
      <c r="B1603" s="36"/>
      <c r="C1603" s="36"/>
      <c r="D1603" s="36"/>
      <c r="E1603" s="36"/>
      <c r="F1603" s="36"/>
      <c r="G1603" s="36"/>
      <c r="H1603" s="36"/>
      <c r="I1603" s="36"/>
      <c r="J1603" s="36"/>
      <c r="K1603" s="36"/>
      <c r="L1603" s="36"/>
      <c r="M1603" s="36"/>
    </row>
    <row r="1604" spans="1:13" hidden="1">
      <c r="A1604" s="36"/>
      <c r="B1604" s="36"/>
      <c r="C1604" s="36"/>
      <c r="D1604" s="36"/>
      <c r="E1604" s="36"/>
      <c r="F1604" s="36"/>
      <c r="G1604" s="36"/>
      <c r="H1604" s="36"/>
      <c r="I1604" s="36"/>
      <c r="J1604" s="36"/>
      <c r="K1604" s="36"/>
      <c r="L1604" s="36"/>
      <c r="M1604" s="36"/>
    </row>
    <row r="1605" spans="1:13" hidden="1">
      <c r="A1605" s="36"/>
      <c r="B1605" s="36"/>
      <c r="C1605" s="36"/>
      <c r="D1605" s="36"/>
      <c r="E1605" s="36"/>
      <c r="F1605" s="36"/>
      <c r="G1605" s="36"/>
      <c r="H1605" s="36"/>
      <c r="I1605" s="36"/>
      <c r="J1605" s="36"/>
      <c r="K1605" s="36"/>
      <c r="L1605" s="36"/>
      <c r="M1605" s="36"/>
    </row>
    <row r="1606" spans="1:13" hidden="1">
      <c r="A1606" s="36"/>
      <c r="B1606" s="36"/>
      <c r="C1606" s="36"/>
      <c r="D1606" s="36"/>
      <c r="E1606" s="36"/>
      <c r="F1606" s="36"/>
      <c r="G1606" s="36"/>
      <c r="H1606" s="36"/>
      <c r="I1606" s="36"/>
      <c r="J1606" s="36"/>
      <c r="K1606" s="36"/>
      <c r="L1606" s="36"/>
      <c r="M1606" s="36"/>
    </row>
    <row r="1607" spans="1:13" hidden="1">
      <c r="A1607" s="36"/>
      <c r="B1607" s="36"/>
      <c r="C1607" s="36"/>
      <c r="D1607" s="36"/>
      <c r="E1607" s="36"/>
      <c r="F1607" s="36"/>
      <c r="G1607" s="36"/>
      <c r="H1607" s="36"/>
      <c r="I1607" s="36"/>
      <c r="J1607" s="36"/>
      <c r="K1607" s="36"/>
      <c r="L1607" s="36"/>
      <c r="M1607" s="36"/>
    </row>
    <row r="1608" spans="1:13" hidden="1">
      <c r="A1608" s="156" t="s">
        <v>85</v>
      </c>
      <c r="B1608" s="156"/>
      <c r="C1608" s="156"/>
      <c r="D1608" s="156"/>
      <c r="E1608" s="156"/>
      <c r="F1608" s="156"/>
      <c r="G1608" s="156"/>
      <c r="H1608" s="156"/>
      <c r="I1608" s="156"/>
      <c r="J1608" s="156"/>
      <c r="K1608" s="156"/>
      <c r="L1608" s="156"/>
      <c r="M1608" s="156"/>
    </row>
    <row r="1609" spans="1:13" hidden="1">
      <c r="A1609" s="36" t="s">
        <v>3</v>
      </c>
      <c r="B1609" s="36" t="s">
        <v>50</v>
      </c>
      <c r="C1609" s="36" t="s">
        <v>5</v>
      </c>
      <c r="D1609" s="36" t="s">
        <v>51</v>
      </c>
      <c r="E1609" s="36" t="s">
        <v>52</v>
      </c>
      <c r="F1609" s="36" t="s">
        <v>53</v>
      </c>
      <c r="G1609" s="36" t="s">
        <v>54</v>
      </c>
      <c r="H1609" s="36" t="s">
        <v>55</v>
      </c>
      <c r="I1609" s="36" t="s">
        <v>56</v>
      </c>
      <c r="J1609" s="36" t="s">
        <v>57</v>
      </c>
      <c r="K1609" s="36" t="s">
        <v>58</v>
      </c>
      <c r="L1609" s="36" t="s">
        <v>59</v>
      </c>
      <c r="M1609" s="36" t="s">
        <v>60</v>
      </c>
    </row>
    <row r="1610" spans="1:13" hidden="1">
      <c r="A1610" s="36" t="str">
        <f>IF('Steel Beam Design'!A42="","",'Steel Beam Design'!A42)</f>
        <v/>
      </c>
      <c r="B1610" s="36" t="str">
        <f>IF('Steel Beam Design'!B42="","",'Steel Beam Design'!B42)</f>
        <v/>
      </c>
      <c r="C1610" s="36" t="str">
        <f>IF('Steel Beam Design'!C42="","",'Steel Beam Design'!C42)</f>
        <v/>
      </c>
      <c r="D1610" s="36" t="str">
        <f>IF('Steel Beam Design'!D42="","",'Steel Beam Design'!D42)</f>
        <v/>
      </c>
      <c r="E1610" s="36" t="str">
        <f>IF('Steel Beam Design'!E42="","",'Steel Beam Design'!E42)</f>
        <v/>
      </c>
      <c r="F1610" s="36" t="str">
        <f>IF('Steel Beam Design'!F42="","",'Steel Beam Design'!F42)</f>
        <v/>
      </c>
      <c r="G1610" s="36" t="str">
        <f>IF('Steel Beam Design'!G42="","",'Steel Beam Design'!G42)</f>
        <v/>
      </c>
      <c r="H1610" s="36" t="str">
        <f>IF('Steel Beam Design'!H42="","",'Steel Beam Design'!H42)</f>
        <v/>
      </c>
      <c r="I1610" s="36" t="str">
        <f>IF('Steel Beam Design'!I42="","",'Steel Beam Design'!I42)</f>
        <v/>
      </c>
      <c r="J1610" s="36" t="str">
        <f>IF('Steel Beam Design'!J42="","",'Steel Beam Design'!J42)</f>
        <v/>
      </c>
      <c r="K1610" s="36" t="str">
        <f>IF('Steel Beam Design'!K42="","",'Steel Beam Design'!K42)</f>
        <v/>
      </c>
      <c r="L1610" s="36" t="str">
        <f>IF('Steel Beam Design'!L42="","",'Steel Beam Design'!L42)</f>
        <v/>
      </c>
      <c r="M1610" s="36" t="b">
        <f>AND(ISNUMBER(B1610),B1610&gt;0,OR(C1610="Cantilever Supported",C1610="Simply Supported",C1610="Fixed-Fixed"),OR(L1610="",AND(ISNUMBER(L1610),L1610&gt;=0)),OR(D1610="",AND(ISNUMBER(D1610),D1610&gt;=0)),OR(N(D1610)=0,AND(ISNUMBER(E1610),E1610&gt;=0,E1610&lt;=B1610)),OR(F1610="",AND(ISNUMBER(F1610),F1610&gt;=0)),OR(N(F1610)=0,AND(ISNUMBER(G1610),G1610&gt;=0,G1610&lt;=B1610)),OR(H1610="",AND(ISNUMBER(H1610),H1610&gt;=0)),OR(N(H1610)=0,AND(ISNUMBER(I1610),I1610&gt;=0,I1610&lt;=B1610)),OR(J1610="",AND(ISNUMBER(J1610),J1610&gt;=0)),OR(N(J1610)=0,AND(ISNUMBER(K1610),K1610&gt;=0,K1610&lt;=B1610)))</f>
        <v>0</v>
      </c>
    </row>
    <row r="1611" spans="1:13" hidden="1">
      <c r="A1611" s="36"/>
      <c r="B1611" s="36"/>
      <c r="C1611" s="36"/>
      <c r="D1611" s="36"/>
      <c r="E1611" s="36"/>
      <c r="F1611" s="36"/>
      <c r="G1611" s="36"/>
      <c r="H1611" s="36"/>
      <c r="I1611" s="36"/>
      <c r="J1611" s="36"/>
      <c r="K1611" s="36"/>
      <c r="L1611" s="36"/>
      <c r="M1611" s="36"/>
    </row>
    <row r="1612" spans="1:13" hidden="1">
      <c r="A1612" s="36" t="s">
        <v>61</v>
      </c>
      <c r="B1612" s="36">
        <f>IF(M1610,IF(C1610="Cantilever Supported",-(N(D1610)*N(E1610)+N(F1610)*N(G1610)+N(H1610)*N(I1610)+N(J1610)*N(K1610))-N(L1610)*B1610^2/2,IF(C1610="Fixed-Fixed",-(N(D1610)*N(E1610)*(B1610-N(E1610))^2/B1610^2+N(F1610)*N(G1610)*(B1610-N(G1610))^2/B1610^2+N(H1610)*N(I1610)*(B1610-N(I1610))^2/B1610^2+N(J1610)*N(K1610)*(B1610-N(K1610))^2/B1610^2)-N(L1610)*B1610^2/12,0)),0)</f>
        <v>0</v>
      </c>
      <c r="C1612" s="36" t="s">
        <v>62</v>
      </c>
      <c r="D1612" s="36">
        <f>IF(M1610,IF(C1610="Fixed-Fixed",-(N(D1610)*N(E1610)^2*(B1610-N(E1610))/B1610^2+N(F1610)*N(G1610)^2*(B1610-N(G1610))/B1610^2+N(H1610)*N(I1610)^2*(B1610-N(I1610))/B1610^2+N(J1610)*N(K1610)^2*(B1610-N(K1610))/B1610^2)-N(L1610)*B1610^2/12,0),0)</f>
        <v>0</v>
      </c>
      <c r="E1612" s="36" t="s">
        <v>63</v>
      </c>
      <c r="F1612" s="36">
        <f>IF(M1610,IF(C1610="Cantilever Supported",N(D1610)+N(F1610)+N(H1610)+N(J1610)+N(L1610)*B1610,((N(D1610)*(B1610-N(E1610))+N(F1610)*(B1610-N(G1610))+N(H1610)*(B1610-N(I1610))+N(J1610)*(B1610-N(K1610)))+N(L1610)*B1610^2/2+D1612-B1612)/B1610),0)</f>
        <v>0</v>
      </c>
      <c r="G1612" s="36" t="s">
        <v>64</v>
      </c>
      <c r="H1612" s="36">
        <f>MAX(MAX(B1615:B1620),-MIN(B1615:B1620),MAX(E1615:E1619),-MIN(E1615:E1619))</f>
        <v>0</v>
      </c>
      <c r="I1612" s="36"/>
      <c r="J1612" s="36"/>
      <c r="K1612" s="36"/>
      <c r="L1612" s="36"/>
      <c r="M1612" s="36"/>
    </row>
    <row r="1613" spans="1:13" hidden="1">
      <c r="A1613" s="36"/>
      <c r="B1613" s="36"/>
      <c r="C1613" s="36"/>
      <c r="D1613" s="36"/>
      <c r="E1613" s="36"/>
      <c r="F1613" s="36"/>
      <c r="G1613" s="36"/>
      <c r="H1613" s="36"/>
      <c r="I1613" s="36"/>
      <c r="J1613" s="36"/>
      <c r="K1613" s="36"/>
      <c r="L1613" s="36"/>
      <c r="M1613" s="36"/>
    </row>
    <row r="1614" spans="1:13" hidden="1">
      <c r="A1614" s="36" t="s">
        <v>65</v>
      </c>
      <c r="B1614" s="36" t="s">
        <v>66</v>
      </c>
      <c r="C1614" s="36" t="s">
        <v>67</v>
      </c>
      <c r="D1614" s="36" t="s">
        <v>68</v>
      </c>
      <c r="E1614" s="36" t="s">
        <v>69</v>
      </c>
      <c r="F1614" s="36"/>
      <c r="G1614" s="36"/>
      <c r="H1614" s="36">
        <f>0</f>
        <v>0</v>
      </c>
      <c r="I1614" s="36">
        <f>IF(N(D1610)=0,0,N(E1610))</f>
        <v>0</v>
      </c>
      <c r="J1614" s="36">
        <f>IF(N(F1610)=0,0,N(G1610))</f>
        <v>0</v>
      </c>
      <c r="K1614" s="36">
        <f>IF(N(H1610)=0,0,N(I1610))</f>
        <v>0</v>
      </c>
      <c r="L1614" s="36">
        <f>IF(N(J1610)=0,0,N(K1610))</f>
        <v>0</v>
      </c>
      <c r="M1614" s="36">
        <f>IF(M1610,B1610,0)</f>
        <v>0</v>
      </c>
    </row>
    <row r="1615" spans="1:13" hidden="1">
      <c r="A1615" s="37">
        <f>SMALL(H1614:M1614,1)</f>
        <v>0</v>
      </c>
      <c r="B1615" s="37">
        <f>IF(M1610,B1612+F1612*A1615-N(L1610)*A1615^2/2-(N(D1610)*MAX(0,A1615-N(E1610))+N(F1610)*MAX(0,A1615-N(G1610))+N(H1610)*MAX(0,A1615-N(I1610))+N(J1610)*MAX(0,A1615-N(K1610))),0)</f>
        <v>0</v>
      </c>
      <c r="C1615" s="37">
        <f>A1616</f>
        <v>0</v>
      </c>
      <c r="D1615" s="37">
        <f>IF(AND(M1610,N(L1610)&gt;0),MAX(A1615,MIN(C1615,(F1612-(IF(N(E1610)&lt;=A1615,N(D1610),0)+IF(N(G1610)&lt;=A1615,N(F1610),0)+IF(N(I1610)&lt;=A1615,N(H1610),0)+IF(N(K1610)&lt;=A1615,N(J1610),0)))/N(L1610))),A1615)</f>
        <v>0</v>
      </c>
      <c r="E1615" s="37">
        <f>IF(M1610,B1612+F1612*D1615-N(L1610)*D1615^2/2-(N(D1610)*MAX(0,D1615-N(E1610))+N(F1610)*MAX(0,D1615-N(G1610))+N(H1610)*MAX(0,D1615-N(I1610))+N(J1610)*MAX(0,D1615-N(K1610))),0)</f>
        <v>0</v>
      </c>
      <c r="F1615" s="37"/>
      <c r="G1615" s="37"/>
      <c r="H1615" s="37"/>
      <c r="I1615" s="37"/>
      <c r="J1615" s="37"/>
      <c r="K1615" s="37"/>
      <c r="L1615" s="37"/>
      <c r="M1615" s="37"/>
    </row>
    <row r="1616" spans="1:13" hidden="1">
      <c r="A1616" s="37">
        <f>SMALL(H1614:M1614,2)</f>
        <v>0</v>
      </c>
      <c r="B1616" s="37">
        <f>IF(M1610,B1612+F1612*A1616-N(L1610)*A1616^2/2-(N(D1610)*MAX(0,A1616-N(E1610))+N(F1610)*MAX(0,A1616-N(G1610))+N(H1610)*MAX(0,A1616-N(I1610))+N(J1610)*MAX(0,A1616-N(K1610))),0)</f>
        <v>0</v>
      </c>
      <c r="C1616" s="37">
        <f>A1617</f>
        <v>0</v>
      </c>
      <c r="D1616" s="37">
        <f>IF(AND(M1610,N(L1610)&gt;0),MAX(A1616,MIN(C1616,(F1612-(IF(N(E1610)&lt;=A1616,N(D1610),0)+IF(N(G1610)&lt;=A1616,N(F1610),0)+IF(N(I1610)&lt;=A1616,N(H1610),0)+IF(N(K1610)&lt;=A1616,N(J1610),0)))/N(L1610))),A1616)</f>
        <v>0</v>
      </c>
      <c r="E1616" s="37">
        <f>IF(M1610,B1612+F1612*D1616-N(L1610)*D1616^2/2-(N(D1610)*MAX(0,D1616-N(E1610))+N(F1610)*MAX(0,D1616-N(G1610))+N(H1610)*MAX(0,D1616-N(I1610))+N(J1610)*MAX(0,D1616-N(K1610))),0)</f>
        <v>0</v>
      </c>
      <c r="F1616" s="37"/>
      <c r="G1616" s="37"/>
      <c r="H1616" s="37"/>
      <c r="I1616" s="37"/>
      <c r="J1616" s="37"/>
      <c r="K1616" s="37"/>
      <c r="L1616" s="37"/>
      <c r="M1616" s="37"/>
    </row>
    <row r="1617" spans="1:13" hidden="1">
      <c r="A1617" s="37">
        <f>SMALL(H1614:M1614,3)</f>
        <v>0</v>
      </c>
      <c r="B1617" s="37">
        <f>IF(M1610,B1612+F1612*A1617-N(L1610)*A1617^2/2-(N(D1610)*MAX(0,A1617-N(E1610))+N(F1610)*MAX(0,A1617-N(G1610))+N(H1610)*MAX(0,A1617-N(I1610))+N(J1610)*MAX(0,A1617-N(K1610))),0)</f>
        <v>0</v>
      </c>
      <c r="C1617" s="37">
        <f>A1618</f>
        <v>0</v>
      </c>
      <c r="D1617" s="37">
        <f>IF(AND(M1610,N(L1610)&gt;0),MAX(A1617,MIN(C1617,(F1612-(IF(N(E1610)&lt;=A1617,N(D1610),0)+IF(N(G1610)&lt;=A1617,N(F1610),0)+IF(N(I1610)&lt;=A1617,N(H1610),0)+IF(N(K1610)&lt;=A1617,N(J1610),0)))/N(L1610))),A1617)</f>
        <v>0</v>
      </c>
      <c r="E1617" s="37">
        <f>IF(M1610,B1612+F1612*D1617-N(L1610)*D1617^2/2-(N(D1610)*MAX(0,D1617-N(E1610))+N(F1610)*MAX(0,D1617-N(G1610))+N(H1610)*MAX(0,D1617-N(I1610))+N(J1610)*MAX(0,D1617-N(K1610))),0)</f>
        <v>0</v>
      </c>
      <c r="F1617" s="37"/>
      <c r="G1617" s="37"/>
      <c r="H1617" s="37"/>
      <c r="I1617" s="37"/>
      <c r="J1617" s="37"/>
      <c r="K1617" s="37"/>
      <c r="L1617" s="37"/>
      <c r="M1617" s="37"/>
    </row>
    <row r="1618" spans="1:13" hidden="1">
      <c r="A1618" s="37">
        <f>SMALL(H1614:M1614,4)</f>
        <v>0</v>
      </c>
      <c r="B1618" s="37">
        <f>IF(M1610,B1612+F1612*A1618-N(L1610)*A1618^2/2-(N(D1610)*MAX(0,A1618-N(E1610))+N(F1610)*MAX(0,A1618-N(G1610))+N(H1610)*MAX(0,A1618-N(I1610))+N(J1610)*MAX(0,A1618-N(K1610))),0)</f>
        <v>0</v>
      </c>
      <c r="C1618" s="37">
        <f>A1619</f>
        <v>0</v>
      </c>
      <c r="D1618" s="37">
        <f>IF(AND(M1610,N(L1610)&gt;0),MAX(A1618,MIN(C1618,(F1612-(IF(N(E1610)&lt;=A1618,N(D1610),0)+IF(N(G1610)&lt;=A1618,N(F1610),0)+IF(N(I1610)&lt;=A1618,N(H1610),0)+IF(N(K1610)&lt;=A1618,N(J1610),0)))/N(L1610))),A1618)</f>
        <v>0</v>
      </c>
      <c r="E1618" s="37">
        <f>IF(M1610,B1612+F1612*D1618-N(L1610)*D1618^2/2-(N(D1610)*MAX(0,D1618-N(E1610))+N(F1610)*MAX(0,D1618-N(G1610))+N(H1610)*MAX(0,D1618-N(I1610))+N(J1610)*MAX(0,D1618-N(K1610))),0)</f>
        <v>0</v>
      </c>
      <c r="F1618" s="37"/>
      <c r="G1618" s="37"/>
      <c r="H1618" s="37"/>
      <c r="I1618" s="37"/>
      <c r="J1618" s="37"/>
      <c r="K1618" s="37"/>
      <c r="L1618" s="37"/>
      <c r="M1618" s="37"/>
    </row>
    <row r="1619" spans="1:13" hidden="1">
      <c r="A1619" s="37">
        <f>SMALL(H1614:M1614,5)</f>
        <v>0</v>
      </c>
      <c r="B1619" s="37">
        <f>IF(M1610,B1612+F1612*A1619-N(L1610)*A1619^2/2-(N(D1610)*MAX(0,A1619-N(E1610))+N(F1610)*MAX(0,A1619-N(G1610))+N(H1610)*MAX(0,A1619-N(I1610))+N(J1610)*MAX(0,A1619-N(K1610))),0)</f>
        <v>0</v>
      </c>
      <c r="C1619" s="37">
        <f>A1620</f>
        <v>0</v>
      </c>
      <c r="D1619" s="37">
        <f>IF(AND(M1610,N(L1610)&gt;0),MAX(A1619,MIN(C1619,(F1612-(IF(N(E1610)&lt;=A1619,N(D1610),0)+IF(N(G1610)&lt;=A1619,N(F1610),0)+IF(N(I1610)&lt;=A1619,N(H1610),0)+IF(N(K1610)&lt;=A1619,N(J1610),0)))/N(L1610))),A1619)</f>
        <v>0</v>
      </c>
      <c r="E1619" s="37">
        <f>IF(M1610,B1612+F1612*D1619-N(L1610)*D1619^2/2-(N(D1610)*MAX(0,D1619-N(E1610))+N(F1610)*MAX(0,D1619-N(G1610))+N(H1610)*MAX(0,D1619-N(I1610))+N(J1610)*MAX(0,D1619-N(K1610))),0)</f>
        <v>0</v>
      </c>
      <c r="F1619" s="37"/>
      <c r="G1619" s="37"/>
      <c r="H1619" s="37"/>
      <c r="I1619" s="37"/>
      <c r="J1619" s="37"/>
      <c r="K1619" s="37"/>
      <c r="L1619" s="37"/>
      <c r="M1619" s="37"/>
    </row>
    <row r="1620" spans="1:13" hidden="1">
      <c r="A1620" s="37">
        <f>SMALL(H1614:M1614,6)</f>
        <v>0</v>
      </c>
      <c r="B1620" s="37">
        <f>IF(M1610,B1612+F1612*A1620-N(L1610)*A1620^2/2-(N(D1610)*MAX(0,A1620-N(E1610))+N(F1610)*MAX(0,A1620-N(G1610))+N(H1610)*MAX(0,A1620-N(I1610))+N(J1610)*MAX(0,A1620-N(K1610))),0)</f>
        <v>0</v>
      </c>
      <c r="C1620" s="37"/>
      <c r="D1620" s="37"/>
      <c r="E1620" s="37"/>
      <c r="F1620" s="37"/>
      <c r="G1620" s="37"/>
      <c r="H1620" s="37"/>
      <c r="I1620" s="37"/>
      <c r="J1620" s="37"/>
      <c r="K1620" s="37"/>
      <c r="L1620" s="37"/>
      <c r="M1620" s="37"/>
    </row>
    <row r="1621" spans="1:13" hidden="1">
      <c r="A1621" s="36"/>
      <c r="B1621" s="36"/>
      <c r="C1621" s="36"/>
      <c r="D1621" s="36"/>
      <c r="E1621" s="36"/>
      <c r="F1621" s="36"/>
      <c r="G1621" s="36"/>
      <c r="H1621" s="36"/>
      <c r="I1621" s="36"/>
      <c r="J1621" s="36"/>
      <c r="K1621" s="36"/>
      <c r="L1621" s="36"/>
      <c r="M1621" s="36"/>
    </row>
    <row r="1622" spans="1:13" hidden="1">
      <c r="A1622" s="36"/>
      <c r="B1622" s="36"/>
      <c r="C1622" s="36"/>
      <c r="D1622" s="36"/>
      <c r="E1622" s="36"/>
      <c r="F1622" s="36"/>
      <c r="G1622" s="36"/>
      <c r="H1622" s="36"/>
      <c r="I1622" s="36"/>
      <c r="J1622" s="36"/>
      <c r="K1622" s="36"/>
      <c r="L1622" s="36"/>
      <c r="M1622" s="36"/>
    </row>
    <row r="1623" spans="1:13" hidden="1">
      <c r="A1623" s="36"/>
      <c r="B1623" s="36"/>
      <c r="C1623" s="36"/>
      <c r="D1623" s="36"/>
      <c r="E1623" s="36"/>
      <c r="F1623" s="36"/>
      <c r="G1623" s="36"/>
      <c r="H1623" s="36"/>
      <c r="I1623" s="36"/>
      <c r="J1623" s="36"/>
      <c r="K1623" s="36"/>
      <c r="L1623" s="36"/>
      <c r="M1623" s="36"/>
    </row>
    <row r="1624" spans="1:13" hidden="1">
      <c r="A1624" s="36"/>
      <c r="B1624" s="36"/>
      <c r="C1624" s="36"/>
      <c r="D1624" s="36"/>
      <c r="E1624" s="36"/>
      <c r="F1624" s="36"/>
      <c r="G1624" s="36"/>
      <c r="H1624" s="36"/>
      <c r="I1624" s="36"/>
      <c r="J1624" s="36"/>
      <c r="K1624" s="36"/>
      <c r="L1624" s="36"/>
      <c r="M1624" s="36"/>
    </row>
    <row r="1625" spans="1:13" hidden="1">
      <c r="A1625" s="36"/>
      <c r="B1625" s="36"/>
      <c r="C1625" s="36"/>
      <c r="D1625" s="36"/>
      <c r="E1625" s="36"/>
      <c r="F1625" s="36"/>
      <c r="G1625" s="36"/>
      <c r="H1625" s="36"/>
      <c r="I1625" s="36"/>
      <c r="J1625" s="36"/>
      <c r="K1625" s="36"/>
      <c r="L1625" s="36"/>
      <c r="M1625" s="36"/>
    </row>
    <row r="1626" spans="1:13" hidden="1">
      <c r="A1626" s="36"/>
      <c r="B1626" s="36"/>
      <c r="C1626" s="36"/>
      <c r="D1626" s="36"/>
      <c r="E1626" s="36"/>
      <c r="F1626" s="36"/>
      <c r="G1626" s="36"/>
      <c r="H1626" s="36"/>
      <c r="I1626" s="36"/>
      <c r="J1626" s="36"/>
      <c r="K1626" s="36"/>
      <c r="L1626" s="36"/>
      <c r="M1626" s="36"/>
    </row>
    <row r="1627" spans="1:13" hidden="1">
      <c r="A1627" s="36"/>
      <c r="B1627" s="36"/>
      <c r="C1627" s="36"/>
      <c r="D1627" s="36"/>
      <c r="E1627" s="36"/>
      <c r="F1627" s="36"/>
      <c r="G1627" s="36"/>
      <c r="H1627" s="36"/>
      <c r="I1627" s="36"/>
      <c r="J1627" s="36"/>
      <c r="K1627" s="36"/>
      <c r="L1627" s="36"/>
      <c r="M1627" s="36"/>
    </row>
    <row r="1628" spans="1:13" hidden="1">
      <c r="A1628" s="36"/>
      <c r="B1628" s="36"/>
      <c r="C1628" s="36"/>
      <c r="D1628" s="36"/>
      <c r="E1628" s="36"/>
      <c r="F1628" s="36"/>
      <c r="G1628" s="36"/>
      <c r="H1628" s="36"/>
      <c r="I1628" s="36"/>
      <c r="J1628" s="36"/>
      <c r="K1628" s="36"/>
      <c r="L1628" s="36"/>
      <c r="M1628" s="36"/>
    </row>
    <row r="1629" spans="1:13" hidden="1">
      <c r="A1629" s="36"/>
      <c r="B1629" s="36"/>
      <c r="C1629" s="36"/>
      <c r="D1629" s="36"/>
      <c r="E1629" s="36"/>
      <c r="F1629" s="36"/>
      <c r="G1629" s="36"/>
      <c r="H1629" s="36"/>
      <c r="I1629" s="36"/>
      <c r="J1629" s="36"/>
      <c r="K1629" s="36"/>
      <c r="L1629" s="36"/>
      <c r="M1629" s="36"/>
    </row>
    <row r="1630" spans="1:13" hidden="1">
      <c r="A1630" s="36"/>
      <c r="B1630" s="36"/>
      <c r="C1630" s="36"/>
      <c r="D1630" s="36"/>
      <c r="E1630" s="36"/>
      <c r="F1630" s="36"/>
      <c r="G1630" s="36"/>
      <c r="H1630" s="36"/>
      <c r="I1630" s="36"/>
      <c r="J1630" s="36"/>
      <c r="K1630" s="36"/>
      <c r="L1630" s="36"/>
      <c r="M1630" s="36"/>
    </row>
    <row r="1631" spans="1:13" hidden="1">
      <c r="A1631" s="36"/>
      <c r="B1631" s="36"/>
      <c r="C1631" s="36"/>
      <c r="D1631" s="36"/>
      <c r="E1631" s="36"/>
      <c r="F1631" s="36"/>
      <c r="G1631" s="36"/>
      <c r="H1631" s="36"/>
      <c r="I1631" s="36"/>
      <c r="J1631" s="36"/>
      <c r="K1631" s="36"/>
      <c r="L1631" s="36"/>
      <c r="M1631" s="36"/>
    </row>
    <row r="1632" spans="1:13" hidden="1">
      <c r="A1632" s="36"/>
      <c r="B1632" s="36"/>
      <c r="C1632" s="36"/>
      <c r="D1632" s="36"/>
      <c r="E1632" s="36"/>
      <c r="F1632" s="36"/>
      <c r="G1632" s="36"/>
      <c r="H1632" s="36"/>
      <c r="I1632" s="36"/>
      <c r="J1632" s="36"/>
      <c r="K1632" s="36"/>
      <c r="L1632" s="36"/>
      <c r="M1632" s="36"/>
    </row>
    <row r="1633" spans="1:13" hidden="1">
      <c r="A1633" s="156" t="s">
        <v>86</v>
      </c>
      <c r="B1633" s="156"/>
      <c r="C1633" s="156"/>
      <c r="D1633" s="156"/>
      <c r="E1633" s="156"/>
      <c r="F1633" s="156"/>
      <c r="G1633" s="156"/>
      <c r="H1633" s="156"/>
      <c r="I1633" s="156"/>
      <c r="J1633" s="156"/>
      <c r="K1633" s="156"/>
      <c r="L1633" s="156"/>
      <c r="M1633" s="156"/>
    </row>
    <row r="1634" spans="1:13" hidden="1">
      <c r="A1634" s="36" t="s">
        <v>3</v>
      </c>
      <c r="B1634" s="36" t="s">
        <v>50</v>
      </c>
      <c r="C1634" s="36" t="s">
        <v>5</v>
      </c>
      <c r="D1634" s="36" t="s">
        <v>51</v>
      </c>
      <c r="E1634" s="36" t="s">
        <v>52</v>
      </c>
      <c r="F1634" s="36" t="s">
        <v>53</v>
      </c>
      <c r="G1634" s="36" t="s">
        <v>54</v>
      </c>
      <c r="H1634" s="36" t="s">
        <v>55</v>
      </c>
      <c r="I1634" s="36" t="s">
        <v>56</v>
      </c>
      <c r="J1634" s="36" t="s">
        <v>57</v>
      </c>
      <c r="K1634" s="36" t="s">
        <v>58</v>
      </c>
      <c r="L1634" s="36" t="s">
        <v>59</v>
      </c>
      <c r="M1634" s="36" t="s">
        <v>60</v>
      </c>
    </row>
    <row r="1635" spans="1:13" hidden="1">
      <c r="A1635" s="36" t="str">
        <f>IF('Steel Beam Design'!A43="","",'Steel Beam Design'!A43)</f>
        <v/>
      </c>
      <c r="B1635" s="36" t="str">
        <f>IF('Steel Beam Design'!B43="","",'Steel Beam Design'!B43)</f>
        <v/>
      </c>
      <c r="C1635" s="36" t="str">
        <f>IF('Steel Beam Design'!C43="","",'Steel Beam Design'!C43)</f>
        <v/>
      </c>
      <c r="D1635" s="36" t="str">
        <f>IF('Steel Beam Design'!D43="","",'Steel Beam Design'!D43)</f>
        <v/>
      </c>
      <c r="E1635" s="36" t="str">
        <f>IF('Steel Beam Design'!E43="","",'Steel Beam Design'!E43)</f>
        <v/>
      </c>
      <c r="F1635" s="36" t="str">
        <f>IF('Steel Beam Design'!F43="","",'Steel Beam Design'!F43)</f>
        <v/>
      </c>
      <c r="G1635" s="36" t="str">
        <f>IF('Steel Beam Design'!G43="","",'Steel Beam Design'!G43)</f>
        <v/>
      </c>
      <c r="H1635" s="36" t="str">
        <f>IF('Steel Beam Design'!H43="","",'Steel Beam Design'!H43)</f>
        <v/>
      </c>
      <c r="I1635" s="36" t="str">
        <f>IF('Steel Beam Design'!I43="","",'Steel Beam Design'!I43)</f>
        <v/>
      </c>
      <c r="J1635" s="36" t="str">
        <f>IF('Steel Beam Design'!J43="","",'Steel Beam Design'!J43)</f>
        <v/>
      </c>
      <c r="K1635" s="36" t="str">
        <f>IF('Steel Beam Design'!K43="","",'Steel Beam Design'!K43)</f>
        <v/>
      </c>
      <c r="L1635" s="36" t="str">
        <f>IF('Steel Beam Design'!L43="","",'Steel Beam Design'!L43)</f>
        <v/>
      </c>
      <c r="M1635" s="36" t="b">
        <f>AND(ISNUMBER(B1635),B1635&gt;0,OR(C1635="Cantilever Supported",C1635="Simply Supported",C1635="Fixed-Fixed"),OR(L1635="",AND(ISNUMBER(L1635),L1635&gt;=0)),OR(D1635="",AND(ISNUMBER(D1635),D1635&gt;=0)),OR(N(D1635)=0,AND(ISNUMBER(E1635),E1635&gt;=0,E1635&lt;=B1635)),OR(F1635="",AND(ISNUMBER(F1635),F1635&gt;=0)),OR(N(F1635)=0,AND(ISNUMBER(G1635),G1635&gt;=0,G1635&lt;=B1635)),OR(H1635="",AND(ISNUMBER(H1635),H1635&gt;=0)),OR(N(H1635)=0,AND(ISNUMBER(I1635),I1635&gt;=0,I1635&lt;=B1635)),OR(J1635="",AND(ISNUMBER(J1635),J1635&gt;=0)),OR(N(J1635)=0,AND(ISNUMBER(K1635),K1635&gt;=0,K1635&lt;=B1635)))</f>
        <v>0</v>
      </c>
    </row>
    <row r="1636" spans="1:13" hidden="1">
      <c r="A1636" s="36"/>
      <c r="B1636" s="36"/>
      <c r="C1636" s="36"/>
      <c r="D1636" s="36"/>
      <c r="E1636" s="36"/>
      <c r="F1636" s="36"/>
      <c r="G1636" s="36"/>
      <c r="H1636" s="36"/>
      <c r="I1636" s="36"/>
      <c r="J1636" s="36"/>
      <c r="K1636" s="36"/>
      <c r="L1636" s="36"/>
      <c r="M1636" s="36"/>
    </row>
    <row r="1637" spans="1:13" hidden="1">
      <c r="A1637" s="36" t="s">
        <v>61</v>
      </c>
      <c r="B1637" s="36">
        <f>IF(M1635,IF(C1635="Cantilever Supported",-(N(D1635)*N(E1635)+N(F1635)*N(G1635)+N(H1635)*N(I1635)+N(J1635)*N(K1635))-N(L1635)*B1635^2/2,IF(C1635="Fixed-Fixed",-(N(D1635)*N(E1635)*(B1635-N(E1635))^2/B1635^2+N(F1635)*N(G1635)*(B1635-N(G1635))^2/B1635^2+N(H1635)*N(I1635)*(B1635-N(I1635))^2/B1635^2+N(J1635)*N(K1635)*(B1635-N(K1635))^2/B1635^2)-N(L1635)*B1635^2/12,0)),0)</f>
        <v>0</v>
      </c>
      <c r="C1637" s="36" t="s">
        <v>62</v>
      </c>
      <c r="D1637" s="36">
        <f>IF(M1635,IF(C1635="Fixed-Fixed",-(N(D1635)*N(E1635)^2*(B1635-N(E1635))/B1635^2+N(F1635)*N(G1635)^2*(B1635-N(G1635))/B1635^2+N(H1635)*N(I1635)^2*(B1635-N(I1635))/B1635^2+N(J1635)*N(K1635)^2*(B1635-N(K1635))/B1635^2)-N(L1635)*B1635^2/12,0),0)</f>
        <v>0</v>
      </c>
      <c r="E1637" s="36" t="s">
        <v>63</v>
      </c>
      <c r="F1637" s="36">
        <f>IF(M1635,IF(C1635="Cantilever Supported",N(D1635)+N(F1635)+N(H1635)+N(J1635)+N(L1635)*B1635,((N(D1635)*(B1635-N(E1635))+N(F1635)*(B1635-N(G1635))+N(H1635)*(B1635-N(I1635))+N(J1635)*(B1635-N(K1635)))+N(L1635)*B1635^2/2+D1637-B1637)/B1635),0)</f>
        <v>0</v>
      </c>
      <c r="G1637" s="36" t="s">
        <v>64</v>
      </c>
      <c r="H1637" s="36">
        <f>MAX(MAX(B1640:B1645),-MIN(B1640:B1645),MAX(E1640:E1644),-MIN(E1640:E1644))</f>
        <v>0</v>
      </c>
      <c r="I1637" s="36"/>
      <c r="J1637" s="36"/>
      <c r="K1637" s="36"/>
      <c r="L1637" s="36"/>
      <c r="M1637" s="36"/>
    </row>
    <row r="1638" spans="1:13" hidden="1">
      <c r="A1638" s="36"/>
      <c r="B1638" s="36"/>
      <c r="C1638" s="36"/>
      <c r="D1638" s="36"/>
      <c r="E1638" s="36"/>
      <c r="F1638" s="36"/>
      <c r="G1638" s="36"/>
      <c r="H1638" s="36"/>
      <c r="I1638" s="36"/>
      <c r="J1638" s="36"/>
      <c r="K1638" s="36"/>
      <c r="L1638" s="36"/>
      <c r="M1638" s="36"/>
    </row>
    <row r="1639" spans="1:13" hidden="1">
      <c r="A1639" s="36" t="s">
        <v>65</v>
      </c>
      <c r="B1639" s="36" t="s">
        <v>66</v>
      </c>
      <c r="C1639" s="36" t="s">
        <v>67</v>
      </c>
      <c r="D1639" s="36" t="s">
        <v>68</v>
      </c>
      <c r="E1639" s="36" t="s">
        <v>69</v>
      </c>
      <c r="F1639" s="36"/>
      <c r="G1639" s="36"/>
      <c r="H1639" s="36">
        <f>0</f>
        <v>0</v>
      </c>
      <c r="I1639" s="36">
        <f>IF(N(D1635)=0,0,N(E1635))</f>
        <v>0</v>
      </c>
      <c r="J1639" s="36">
        <f>IF(N(F1635)=0,0,N(G1635))</f>
        <v>0</v>
      </c>
      <c r="K1639" s="36">
        <f>IF(N(H1635)=0,0,N(I1635))</f>
        <v>0</v>
      </c>
      <c r="L1639" s="36">
        <f>IF(N(J1635)=0,0,N(K1635))</f>
        <v>0</v>
      </c>
      <c r="M1639" s="36">
        <f>IF(M1635,B1635,0)</f>
        <v>0</v>
      </c>
    </row>
    <row r="1640" spans="1:13" hidden="1">
      <c r="A1640" s="37">
        <f>SMALL(H1639:M1639,1)</f>
        <v>0</v>
      </c>
      <c r="B1640" s="37">
        <f>IF(M1635,B1637+F1637*A1640-N(L1635)*A1640^2/2-(N(D1635)*MAX(0,A1640-N(E1635))+N(F1635)*MAX(0,A1640-N(G1635))+N(H1635)*MAX(0,A1640-N(I1635))+N(J1635)*MAX(0,A1640-N(K1635))),0)</f>
        <v>0</v>
      </c>
      <c r="C1640" s="37">
        <f>A1641</f>
        <v>0</v>
      </c>
      <c r="D1640" s="37">
        <f>IF(AND(M1635,N(L1635)&gt;0),MAX(A1640,MIN(C1640,(F1637-(IF(N(E1635)&lt;=A1640,N(D1635),0)+IF(N(G1635)&lt;=A1640,N(F1635),0)+IF(N(I1635)&lt;=A1640,N(H1635),0)+IF(N(K1635)&lt;=A1640,N(J1635),0)))/N(L1635))),A1640)</f>
        <v>0</v>
      </c>
      <c r="E1640" s="37">
        <f>IF(M1635,B1637+F1637*D1640-N(L1635)*D1640^2/2-(N(D1635)*MAX(0,D1640-N(E1635))+N(F1635)*MAX(0,D1640-N(G1635))+N(H1635)*MAX(0,D1640-N(I1635))+N(J1635)*MAX(0,D1640-N(K1635))),0)</f>
        <v>0</v>
      </c>
      <c r="F1640" s="37"/>
      <c r="G1640" s="37"/>
      <c r="H1640" s="37"/>
      <c r="I1640" s="37"/>
      <c r="J1640" s="37"/>
      <c r="K1640" s="37"/>
      <c r="L1640" s="37"/>
      <c r="M1640" s="37"/>
    </row>
    <row r="1641" spans="1:13" hidden="1">
      <c r="A1641" s="37">
        <f>SMALL(H1639:M1639,2)</f>
        <v>0</v>
      </c>
      <c r="B1641" s="37">
        <f>IF(M1635,B1637+F1637*A1641-N(L1635)*A1641^2/2-(N(D1635)*MAX(0,A1641-N(E1635))+N(F1635)*MAX(0,A1641-N(G1635))+N(H1635)*MAX(0,A1641-N(I1635))+N(J1635)*MAX(0,A1641-N(K1635))),0)</f>
        <v>0</v>
      </c>
      <c r="C1641" s="37">
        <f>A1642</f>
        <v>0</v>
      </c>
      <c r="D1641" s="37">
        <f>IF(AND(M1635,N(L1635)&gt;0),MAX(A1641,MIN(C1641,(F1637-(IF(N(E1635)&lt;=A1641,N(D1635),0)+IF(N(G1635)&lt;=A1641,N(F1635),0)+IF(N(I1635)&lt;=A1641,N(H1635),0)+IF(N(K1635)&lt;=A1641,N(J1635),0)))/N(L1635))),A1641)</f>
        <v>0</v>
      </c>
      <c r="E1641" s="37">
        <f>IF(M1635,B1637+F1637*D1641-N(L1635)*D1641^2/2-(N(D1635)*MAX(0,D1641-N(E1635))+N(F1635)*MAX(0,D1641-N(G1635))+N(H1635)*MAX(0,D1641-N(I1635))+N(J1635)*MAX(0,D1641-N(K1635))),0)</f>
        <v>0</v>
      </c>
      <c r="F1641" s="37"/>
      <c r="G1641" s="37"/>
      <c r="H1641" s="37"/>
      <c r="I1641" s="37"/>
      <c r="J1641" s="37"/>
      <c r="K1641" s="37"/>
      <c r="L1641" s="37"/>
      <c r="M1641" s="37"/>
    </row>
    <row r="1642" spans="1:13" hidden="1">
      <c r="A1642" s="37">
        <f>SMALL(H1639:M1639,3)</f>
        <v>0</v>
      </c>
      <c r="B1642" s="37">
        <f>IF(M1635,B1637+F1637*A1642-N(L1635)*A1642^2/2-(N(D1635)*MAX(0,A1642-N(E1635))+N(F1635)*MAX(0,A1642-N(G1635))+N(H1635)*MAX(0,A1642-N(I1635))+N(J1635)*MAX(0,A1642-N(K1635))),0)</f>
        <v>0</v>
      </c>
      <c r="C1642" s="37">
        <f>A1643</f>
        <v>0</v>
      </c>
      <c r="D1642" s="37">
        <f>IF(AND(M1635,N(L1635)&gt;0),MAX(A1642,MIN(C1642,(F1637-(IF(N(E1635)&lt;=A1642,N(D1635),0)+IF(N(G1635)&lt;=A1642,N(F1635),0)+IF(N(I1635)&lt;=A1642,N(H1635),0)+IF(N(K1635)&lt;=A1642,N(J1635),0)))/N(L1635))),A1642)</f>
        <v>0</v>
      </c>
      <c r="E1642" s="37">
        <f>IF(M1635,B1637+F1637*D1642-N(L1635)*D1642^2/2-(N(D1635)*MAX(0,D1642-N(E1635))+N(F1635)*MAX(0,D1642-N(G1635))+N(H1635)*MAX(0,D1642-N(I1635))+N(J1635)*MAX(0,D1642-N(K1635))),0)</f>
        <v>0</v>
      </c>
      <c r="F1642" s="37"/>
      <c r="G1642" s="37"/>
      <c r="H1642" s="37"/>
      <c r="I1642" s="37"/>
      <c r="J1642" s="37"/>
      <c r="K1642" s="37"/>
      <c r="L1642" s="37"/>
      <c r="M1642" s="37"/>
    </row>
    <row r="1643" spans="1:13" hidden="1">
      <c r="A1643" s="37">
        <f>SMALL(H1639:M1639,4)</f>
        <v>0</v>
      </c>
      <c r="B1643" s="37">
        <f>IF(M1635,B1637+F1637*A1643-N(L1635)*A1643^2/2-(N(D1635)*MAX(0,A1643-N(E1635))+N(F1635)*MAX(0,A1643-N(G1635))+N(H1635)*MAX(0,A1643-N(I1635))+N(J1635)*MAX(0,A1643-N(K1635))),0)</f>
        <v>0</v>
      </c>
      <c r="C1643" s="37">
        <f>A1644</f>
        <v>0</v>
      </c>
      <c r="D1643" s="37">
        <f>IF(AND(M1635,N(L1635)&gt;0),MAX(A1643,MIN(C1643,(F1637-(IF(N(E1635)&lt;=A1643,N(D1635),0)+IF(N(G1635)&lt;=A1643,N(F1635),0)+IF(N(I1635)&lt;=A1643,N(H1635),0)+IF(N(K1635)&lt;=A1643,N(J1635),0)))/N(L1635))),A1643)</f>
        <v>0</v>
      </c>
      <c r="E1643" s="37">
        <f>IF(M1635,B1637+F1637*D1643-N(L1635)*D1643^2/2-(N(D1635)*MAX(0,D1643-N(E1635))+N(F1635)*MAX(0,D1643-N(G1635))+N(H1635)*MAX(0,D1643-N(I1635))+N(J1635)*MAX(0,D1643-N(K1635))),0)</f>
        <v>0</v>
      </c>
      <c r="F1643" s="37"/>
      <c r="G1643" s="37"/>
      <c r="H1643" s="37"/>
      <c r="I1643" s="37"/>
      <c r="J1643" s="37"/>
      <c r="K1643" s="37"/>
      <c r="L1643" s="37"/>
      <c r="M1643" s="37"/>
    </row>
    <row r="1644" spans="1:13" hidden="1">
      <c r="A1644" s="37">
        <f>SMALL(H1639:M1639,5)</f>
        <v>0</v>
      </c>
      <c r="B1644" s="37">
        <f>IF(M1635,B1637+F1637*A1644-N(L1635)*A1644^2/2-(N(D1635)*MAX(0,A1644-N(E1635))+N(F1635)*MAX(0,A1644-N(G1635))+N(H1635)*MAX(0,A1644-N(I1635))+N(J1635)*MAX(0,A1644-N(K1635))),0)</f>
        <v>0</v>
      </c>
      <c r="C1644" s="37">
        <f>A1645</f>
        <v>0</v>
      </c>
      <c r="D1644" s="37">
        <f>IF(AND(M1635,N(L1635)&gt;0),MAX(A1644,MIN(C1644,(F1637-(IF(N(E1635)&lt;=A1644,N(D1635),0)+IF(N(G1635)&lt;=A1644,N(F1635),0)+IF(N(I1635)&lt;=A1644,N(H1635),0)+IF(N(K1635)&lt;=A1644,N(J1635),0)))/N(L1635))),A1644)</f>
        <v>0</v>
      </c>
      <c r="E1644" s="37">
        <f>IF(M1635,B1637+F1637*D1644-N(L1635)*D1644^2/2-(N(D1635)*MAX(0,D1644-N(E1635))+N(F1635)*MAX(0,D1644-N(G1635))+N(H1635)*MAX(0,D1644-N(I1635))+N(J1635)*MAX(0,D1644-N(K1635))),0)</f>
        <v>0</v>
      </c>
      <c r="F1644" s="37"/>
      <c r="G1644" s="37"/>
      <c r="H1644" s="37"/>
      <c r="I1644" s="37"/>
      <c r="J1644" s="37"/>
      <c r="K1644" s="37"/>
      <c r="L1644" s="37"/>
      <c r="M1644" s="37"/>
    </row>
    <row r="1645" spans="1:13" hidden="1">
      <c r="A1645" s="37">
        <f>SMALL(H1639:M1639,6)</f>
        <v>0</v>
      </c>
      <c r="B1645" s="37">
        <f>IF(M1635,B1637+F1637*A1645-N(L1635)*A1645^2/2-(N(D1635)*MAX(0,A1645-N(E1635))+N(F1635)*MAX(0,A1645-N(G1635))+N(H1635)*MAX(0,A1645-N(I1635))+N(J1635)*MAX(0,A1645-N(K1635))),0)</f>
        <v>0</v>
      </c>
      <c r="C1645" s="37"/>
      <c r="D1645" s="37"/>
      <c r="E1645" s="37"/>
      <c r="F1645" s="37"/>
      <c r="G1645" s="37"/>
      <c r="H1645" s="37"/>
      <c r="I1645" s="37"/>
      <c r="J1645" s="37"/>
      <c r="K1645" s="37"/>
      <c r="L1645" s="37"/>
      <c r="M1645" s="37"/>
    </row>
    <row r="1646" spans="1:13" hidden="1">
      <c r="A1646" s="36"/>
      <c r="B1646" s="36"/>
      <c r="C1646" s="36"/>
      <c r="D1646" s="36"/>
      <c r="E1646" s="36"/>
      <c r="F1646" s="36"/>
      <c r="G1646" s="36"/>
      <c r="H1646" s="36"/>
      <c r="I1646" s="36"/>
      <c r="J1646" s="36"/>
      <c r="K1646" s="36"/>
      <c r="L1646" s="36"/>
      <c r="M1646" s="36"/>
    </row>
    <row r="1647" spans="1:13" hidden="1">
      <c r="A1647" s="36"/>
      <c r="B1647" s="36"/>
      <c r="C1647" s="36"/>
      <c r="D1647" s="36"/>
      <c r="E1647" s="36"/>
      <c r="F1647" s="36"/>
      <c r="G1647" s="36"/>
      <c r="H1647" s="36"/>
      <c r="I1647" s="36"/>
      <c r="J1647" s="36"/>
      <c r="K1647" s="36"/>
      <c r="L1647" s="36"/>
      <c r="M1647" s="36"/>
    </row>
    <row r="1648" spans="1:13" hidden="1">
      <c r="A1648" s="36"/>
      <c r="B1648" s="36"/>
      <c r="C1648" s="36"/>
      <c r="D1648" s="36"/>
      <c r="E1648" s="36"/>
      <c r="F1648" s="36"/>
      <c r="G1648" s="36"/>
      <c r="H1648" s="36"/>
      <c r="I1648" s="36"/>
      <c r="J1648" s="36"/>
      <c r="K1648" s="36"/>
      <c r="L1648" s="36"/>
      <c r="M1648" s="36"/>
    </row>
    <row r="1649" spans="1:13" hidden="1">
      <c r="A1649" s="36"/>
      <c r="B1649" s="36"/>
      <c r="C1649" s="36"/>
      <c r="D1649" s="36"/>
      <c r="E1649" s="36"/>
      <c r="F1649" s="36"/>
      <c r="G1649" s="36"/>
      <c r="H1649" s="36"/>
      <c r="I1649" s="36"/>
      <c r="J1649" s="36"/>
      <c r="K1649" s="36"/>
      <c r="L1649" s="36"/>
      <c r="M1649" s="36"/>
    </row>
    <row r="1650" spans="1:13" hidden="1">
      <c r="A1650" s="36"/>
      <c r="B1650" s="36"/>
      <c r="C1650" s="36"/>
      <c r="D1650" s="36"/>
      <c r="E1650" s="36"/>
      <c r="F1650" s="36"/>
      <c r="G1650" s="36"/>
      <c r="H1650" s="36"/>
      <c r="I1650" s="36"/>
      <c r="J1650" s="36"/>
      <c r="K1650" s="36"/>
      <c r="L1650" s="36"/>
      <c r="M1650" s="36"/>
    </row>
    <row r="1651" spans="1:13" hidden="1">
      <c r="A1651" s="36"/>
      <c r="B1651" s="36"/>
      <c r="C1651" s="36"/>
      <c r="D1651" s="36"/>
      <c r="E1651" s="36"/>
      <c r="F1651" s="36"/>
      <c r="G1651" s="36"/>
      <c r="H1651" s="36"/>
      <c r="I1651" s="36"/>
      <c r="J1651" s="36"/>
      <c r="K1651" s="36"/>
      <c r="L1651" s="36"/>
      <c r="M1651" s="36"/>
    </row>
    <row r="1652" spans="1:13" hidden="1">
      <c r="A1652" s="36"/>
      <c r="B1652" s="36"/>
      <c r="C1652" s="36"/>
      <c r="D1652" s="36"/>
      <c r="E1652" s="36"/>
      <c r="F1652" s="36"/>
      <c r="G1652" s="36"/>
      <c r="H1652" s="36"/>
      <c r="I1652" s="36"/>
      <c r="J1652" s="36"/>
      <c r="K1652" s="36"/>
      <c r="L1652" s="36"/>
      <c r="M1652" s="36"/>
    </row>
    <row r="1653" spans="1:13" hidden="1">
      <c r="A1653" s="36"/>
      <c r="B1653" s="36"/>
      <c r="C1653" s="36"/>
      <c r="D1653" s="36"/>
      <c r="E1653" s="36"/>
      <c r="F1653" s="36"/>
      <c r="G1653" s="36"/>
      <c r="H1653" s="36"/>
      <c r="I1653" s="36"/>
      <c r="J1653" s="36"/>
      <c r="K1653" s="36"/>
      <c r="L1653" s="36"/>
      <c r="M1653" s="36"/>
    </row>
    <row r="1654" spans="1:13" hidden="1">
      <c r="A1654" s="36"/>
      <c r="B1654" s="36"/>
      <c r="C1654" s="36"/>
      <c r="D1654" s="36"/>
      <c r="E1654" s="36"/>
      <c r="F1654" s="36"/>
      <c r="G1654" s="36"/>
      <c r="H1654" s="36"/>
      <c r="I1654" s="36"/>
      <c r="J1654" s="36"/>
      <c r="K1654" s="36"/>
      <c r="L1654" s="36"/>
      <c r="M1654" s="36"/>
    </row>
    <row r="1655" spans="1:13" hidden="1">
      <c r="A1655" s="36"/>
      <c r="B1655" s="36"/>
      <c r="C1655" s="36"/>
      <c r="D1655" s="36"/>
      <c r="E1655" s="36"/>
      <c r="F1655" s="36"/>
      <c r="G1655" s="36"/>
      <c r="H1655" s="36"/>
      <c r="I1655" s="36"/>
      <c r="J1655" s="36"/>
      <c r="K1655" s="36"/>
      <c r="L1655" s="36"/>
      <c r="M1655" s="36"/>
    </row>
    <row r="1656" spans="1:13" hidden="1">
      <c r="A1656" s="36"/>
      <c r="B1656" s="36"/>
      <c r="C1656" s="36"/>
      <c r="D1656" s="36"/>
      <c r="E1656" s="36"/>
      <c r="F1656" s="36"/>
      <c r="G1656" s="36"/>
      <c r="H1656" s="36"/>
      <c r="I1656" s="36"/>
      <c r="J1656" s="36"/>
      <c r="K1656" s="36"/>
      <c r="L1656" s="36"/>
      <c r="M1656" s="36"/>
    </row>
    <row r="1657" spans="1:13" hidden="1">
      <c r="A1657" s="36"/>
      <c r="B1657" s="36"/>
      <c r="C1657" s="36"/>
      <c r="D1657" s="36"/>
      <c r="E1657" s="36"/>
      <c r="F1657" s="36"/>
      <c r="G1657" s="36"/>
      <c r="H1657" s="36"/>
      <c r="I1657" s="36"/>
      <c r="J1657" s="36"/>
      <c r="K1657" s="36"/>
      <c r="L1657" s="36"/>
      <c r="M1657" s="36"/>
    </row>
    <row r="1658" spans="1:13" hidden="1">
      <c r="A1658" s="36"/>
      <c r="B1658" s="36"/>
      <c r="C1658" s="36"/>
      <c r="D1658" s="36"/>
      <c r="E1658" s="36"/>
      <c r="F1658" s="36"/>
      <c r="G1658" s="36"/>
      <c r="H1658" s="36"/>
      <c r="I1658" s="36"/>
      <c r="J1658" s="36"/>
      <c r="K1658" s="36"/>
      <c r="L1658" s="36"/>
      <c r="M1658" s="36"/>
    </row>
    <row r="1659" spans="1:13" hidden="1">
      <c r="A1659" s="36"/>
      <c r="B1659" s="36"/>
      <c r="C1659" s="36"/>
      <c r="D1659" s="36"/>
      <c r="E1659" s="36"/>
      <c r="F1659" s="36"/>
      <c r="G1659" s="36"/>
      <c r="H1659" s="36"/>
      <c r="I1659" s="36"/>
      <c r="J1659" s="36"/>
      <c r="K1659" s="36"/>
      <c r="L1659" s="36"/>
      <c r="M1659" s="36"/>
    </row>
    <row r="1660" spans="1:13" hidden="1">
      <c r="A1660" s="36"/>
      <c r="B1660" s="36"/>
      <c r="C1660" s="36"/>
      <c r="D1660" s="36"/>
      <c r="E1660" s="36"/>
      <c r="F1660" s="36"/>
      <c r="G1660" s="36"/>
      <c r="H1660" s="36"/>
      <c r="I1660" s="36"/>
      <c r="J1660" s="36"/>
      <c r="K1660" s="36"/>
      <c r="L1660" s="36"/>
      <c r="M1660" s="36"/>
    </row>
    <row r="1661" spans="1:13" hidden="1">
      <c r="A1661" s="36"/>
      <c r="B1661" s="36"/>
      <c r="C1661" s="36"/>
      <c r="D1661" s="36"/>
      <c r="E1661" s="36"/>
      <c r="F1661" s="36"/>
      <c r="G1661" s="36"/>
      <c r="H1661" s="36"/>
      <c r="I1661" s="36"/>
      <c r="J1661" s="36"/>
      <c r="K1661" s="36"/>
      <c r="L1661" s="36"/>
      <c r="M1661" s="36"/>
    </row>
    <row r="1662" spans="1:13" hidden="1">
      <c r="A1662" s="36"/>
      <c r="B1662" s="36"/>
      <c r="C1662" s="36"/>
      <c r="D1662" s="36"/>
      <c r="E1662" s="36"/>
      <c r="F1662" s="36"/>
      <c r="G1662" s="36"/>
      <c r="H1662" s="36"/>
      <c r="I1662" s="36"/>
      <c r="J1662" s="36"/>
      <c r="K1662" s="36"/>
      <c r="L1662" s="36"/>
      <c r="M1662" s="36"/>
    </row>
    <row r="1663" spans="1:13" hidden="1">
      <c r="A1663" s="36"/>
      <c r="B1663" s="36"/>
      <c r="C1663" s="36"/>
      <c r="D1663" s="36"/>
      <c r="E1663" s="36"/>
      <c r="F1663" s="36"/>
      <c r="G1663" s="36"/>
      <c r="H1663" s="36"/>
      <c r="I1663" s="36"/>
      <c r="J1663" s="36"/>
      <c r="K1663" s="36"/>
      <c r="L1663" s="36"/>
      <c r="M1663" s="36"/>
    </row>
    <row r="1664" spans="1:13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spans="1:13" hidden="1"/>
    <row r="1698" spans="1:13" hidden="1"/>
    <row r="1699" spans="1:13" hidden="1"/>
    <row r="1700" spans="1:13" hidden="1"/>
    <row r="1701" spans="1:13" hidden="1"/>
    <row r="1702" spans="1:13" hidden="1"/>
    <row r="1703" spans="1:13" ht="18.899999999999999" hidden="1">
      <c r="A1703" s="159" t="s">
        <v>146</v>
      </c>
      <c r="B1703" s="159"/>
      <c r="C1703" s="159"/>
      <c r="D1703" s="159"/>
      <c r="E1703" s="159"/>
      <c r="F1703" s="159"/>
      <c r="G1703" s="159"/>
      <c r="H1703" s="159"/>
      <c r="I1703" s="159"/>
      <c r="J1703" s="159"/>
      <c r="K1703" s="159"/>
      <c r="L1703" s="159"/>
      <c r="M1703" s="159"/>
    </row>
    <row r="1704" spans="1:13" hidden="1">
      <c r="A1704" s="5"/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</row>
    <row r="1705" spans="1:13" hidden="1">
      <c r="A1705" s="161" t="s">
        <v>147</v>
      </c>
      <c r="B1705" s="161"/>
      <c r="C1705" s="161"/>
      <c r="D1705" s="161"/>
      <c r="E1705" s="162">
        <f>IF('Steel Beam Design'!X46="",0,IFERROR(MATCH('Steel Beam Design'!X46,'Steel Beam Design'!A26:A28,0)+19,0))</f>
        <v>20</v>
      </c>
      <c r="F1705" s="162"/>
      <c r="G1705" s="162"/>
      <c r="H1705" s="5"/>
      <c r="I1705" s="5"/>
      <c r="J1705" s="5"/>
      <c r="K1705" s="5"/>
      <c r="L1705" s="5"/>
      <c r="M1705" s="5"/>
    </row>
    <row r="1706" spans="1:13" hidden="1">
      <c r="A1706" s="157" t="s">
        <v>181</v>
      </c>
      <c r="B1706" s="157"/>
      <c r="C1706" s="157"/>
      <c r="D1706" s="157"/>
      <c r="E1706" s="157"/>
      <c r="F1706" s="157"/>
      <c r="G1706" s="157"/>
      <c r="H1706" s="157"/>
      <c r="I1706" s="157"/>
      <c r="J1706" s="157"/>
      <c r="K1706" s="157"/>
      <c r="L1706" s="157"/>
      <c r="M1706" s="157"/>
    </row>
    <row r="1707" spans="1:13" hidden="1">
      <c r="A1707" s="157" t="str">
        <f>IF(AND(ISNUMBER(B1736),B1736&gt;0),A1736&amp;" | "&amp;C1736&amp;" | Span = "&amp;TEXT(B1736,"0.00")&amp;" m","Select a populated member row with a valid span.")</f>
        <v>SB1 | Simply Supported | Span = 2.50 m</v>
      </c>
      <c r="B1707" s="157"/>
      <c r="C1707" s="157"/>
      <c r="D1707" s="157"/>
      <c r="E1707" s="157"/>
      <c r="F1707" s="157"/>
      <c r="G1707" s="157"/>
      <c r="H1707" s="157"/>
      <c r="I1707" s="157"/>
      <c r="J1707" s="157"/>
      <c r="K1707" s="157"/>
      <c r="L1707" s="157"/>
      <c r="M1707" s="157"/>
    </row>
    <row r="1708" spans="1:13" hidden="1">
      <c r="A1708" s="5"/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</row>
    <row r="1709" spans="1:13" hidden="1">
      <c r="A1709" s="5"/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</row>
    <row r="1710" spans="1:13" hidden="1">
      <c r="A1710" s="5"/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</row>
    <row r="1711" spans="1:13" hidden="1">
      <c r="A1711" s="5"/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</row>
    <row r="1712" spans="1:13" hidden="1">
      <c r="A1712" s="5"/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</row>
    <row r="1713" spans="1:13" hidden="1">
      <c r="A1713" s="5"/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</row>
    <row r="1714" spans="1:13" hidden="1">
      <c r="A1714" s="5"/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</row>
    <row r="1715" spans="1:13" hidden="1">
      <c r="A1715" s="5"/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</row>
    <row r="1716" spans="1:13" hidden="1">
      <c r="A1716" s="5"/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</row>
    <row r="1717" spans="1:13" hidden="1">
      <c r="A1717" s="5"/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</row>
    <row r="1718" spans="1:13" hidden="1">
      <c r="A1718" s="5"/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</row>
    <row r="1719" spans="1:13" hidden="1">
      <c r="A1719" s="5"/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</row>
    <row r="1720" spans="1:13" hidden="1">
      <c r="A1720" s="5"/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</row>
    <row r="1721" spans="1:13" hidden="1">
      <c r="A1721" s="5"/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</row>
    <row r="1722" spans="1:13" hidden="1">
      <c r="A1722" s="5"/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</row>
    <row r="1723" spans="1:13" hidden="1">
      <c r="A1723" s="5"/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</row>
    <row r="1724" spans="1:13" hidden="1">
      <c r="A1724" s="5"/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</row>
    <row r="1725" spans="1:13" hidden="1">
      <c r="A1725" s="5"/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</row>
    <row r="1726" spans="1:13" hidden="1">
      <c r="A1726" s="5"/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</row>
    <row r="1727" spans="1:13" hidden="1">
      <c r="A1727" s="5"/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</row>
    <row r="1728" spans="1:13" hidden="1">
      <c r="A1728" s="5"/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</row>
    <row r="1729" spans="1:13" hidden="1">
      <c r="A1729" s="5"/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</row>
    <row r="1730" spans="1:13" hidden="1">
      <c r="A1730" s="5"/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</row>
    <row r="1731" spans="1:13" hidden="1">
      <c r="A1731" s="5"/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</row>
    <row r="1732" spans="1:13" hidden="1">
      <c r="A1732" s="5"/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</row>
    <row r="1733" spans="1:13" hidden="1">
      <c r="A1733" s="5"/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</row>
    <row r="1734" spans="1:13" hidden="1">
      <c r="A1734" s="5"/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</row>
    <row r="1735" spans="1:13" ht="14.1" hidden="1">
      <c r="A1735" s="30" t="s">
        <v>3</v>
      </c>
      <c r="B1735" s="30" t="s">
        <v>4</v>
      </c>
      <c r="C1735" s="30" t="s">
        <v>5</v>
      </c>
      <c r="D1735" s="30" t="s">
        <v>6</v>
      </c>
      <c r="E1735" s="30" t="s">
        <v>148</v>
      </c>
      <c r="F1735" s="30" t="s">
        <v>8</v>
      </c>
      <c r="G1735" s="30" t="s">
        <v>149</v>
      </c>
      <c r="H1735" s="30" t="s">
        <v>10</v>
      </c>
      <c r="I1735" s="30" t="s">
        <v>150</v>
      </c>
      <c r="J1735" s="30" t="s">
        <v>12</v>
      </c>
      <c r="K1735" s="30" t="s">
        <v>151</v>
      </c>
      <c r="L1735" s="30" t="s">
        <v>152</v>
      </c>
      <c r="M1735" s="30" t="s">
        <v>15</v>
      </c>
    </row>
    <row r="1736" spans="1:13" hidden="1">
      <c r="A1736" s="38" t="str">
        <f>IFERROR(IF(INDEX('Steel Beam Design'!A26:A28,$E$1705-19)="","",INDEX('Steel Beam Design'!A26:A28,$E$1705-19)),"")</f>
        <v>SB1</v>
      </c>
      <c r="B1736" s="39">
        <f>IFERROR(IF(INDEX('Steel Beam Design'!B26:B28,$E$1705-19)="","",INDEX('Steel Beam Design'!B26:B28,$E$1705-19)),"")</f>
        <v>2.5</v>
      </c>
      <c r="C1736" s="39" t="str">
        <f>IFERROR(IF(INDEX('Steel Beam Design'!C26:C28,$E$1705-19)="","",INDEX('Steel Beam Design'!C26:C28,$E$1705-19)),"")</f>
        <v>Simply Supported</v>
      </c>
      <c r="D1736" s="39">
        <f>IFERROR(IF(INDEX('Steel Beam Design'!D26:D28,$E$1705-19)="","",INDEX('Steel Beam Design'!D26:D28,$E$1705-19)),"")</f>
        <v>0</v>
      </c>
      <c r="E1736" s="39">
        <f>IFERROR(IF(INDEX('Steel Beam Design'!E26:E28,$E$1705-19)="","",INDEX('Steel Beam Design'!E26:E28,$E$1705-19)),"")</f>
        <v>0</v>
      </c>
      <c r="F1736" s="39">
        <f>IFERROR(IF(INDEX('Steel Beam Design'!F26:F28,$E$1705-19)="","",INDEX('Steel Beam Design'!F26:F28,$E$1705-19)),"")</f>
        <v>0</v>
      </c>
      <c r="G1736" s="39">
        <f>IFERROR(IF(INDEX('Steel Beam Design'!G26:G28,$E$1705-19)="","",INDEX('Steel Beam Design'!G26:G28,$E$1705-19)),"")</f>
        <v>0</v>
      </c>
      <c r="H1736" s="39">
        <f>IFERROR(IF(INDEX('Steel Beam Design'!H26:H28,$E$1705-19)="","",INDEX('Steel Beam Design'!H26:H28,$E$1705-19)),"")</f>
        <v>0</v>
      </c>
      <c r="I1736" s="39">
        <f>IFERROR(IF(INDEX('Steel Beam Design'!I26:I28,$E$1705-19)="","",INDEX('Steel Beam Design'!I26:I28,$E$1705-19)),"")</f>
        <v>0</v>
      </c>
      <c r="J1736" s="39">
        <f>IFERROR(IF(INDEX('Steel Beam Design'!J26:J28,$E$1705-19)="","",INDEX('Steel Beam Design'!J26:J28,$E$1705-19)),"")</f>
        <v>0</v>
      </c>
      <c r="K1736" s="39">
        <f>IFERROR(IF(INDEX('Steel Beam Design'!K26:K28,$E$1705-19)="","",INDEX('Steel Beam Design'!K26:K28,$E$1705-19)),"")</f>
        <v>0</v>
      </c>
      <c r="L1736" s="39">
        <f>IFERROR(IF(INDEX('Steel Beam Design'!N26:N28,$E$1705-19)="","",INDEX('Steel Beam Design'!N26:N28,$E$1705-19)),"")</f>
        <v>88.999999999999986</v>
      </c>
      <c r="M1736" s="39">
        <f>IFERROR(IF(INDEX('Steel Beam Design'!O26:O28,$E$1705-19)="","",INDEX('Steel Beam Design'!O26:O28,$E$1705-19)),"")</f>
        <v>69.531249999999972</v>
      </c>
    </row>
    <row r="1737" spans="1:13" hidden="1">
      <c r="A1737" s="5"/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</row>
    <row r="1738" spans="1:13" hidden="1">
      <c r="A1738" s="157" t="s">
        <v>153</v>
      </c>
      <c r="B1738" s="157"/>
      <c r="C1738" s="157"/>
      <c r="D1738" s="157"/>
      <c r="E1738" s="157"/>
      <c r="F1738" s="157"/>
      <c r="G1738" s="157"/>
      <c r="H1738" s="157"/>
      <c r="I1738" s="157"/>
      <c r="J1738" s="157"/>
      <c r="K1738" s="157"/>
      <c r="L1738" s="157"/>
      <c r="M1738" s="157"/>
    </row>
    <row r="1739" spans="1:13" hidden="1">
      <c r="A1739" s="157" t="s">
        <v>154</v>
      </c>
      <c r="B1739" s="157"/>
      <c r="C1739" s="157"/>
      <c r="D1739" s="157"/>
      <c r="E1739" s="157"/>
      <c r="F1739" s="157"/>
      <c r="G1739" s="157"/>
      <c r="H1739" s="157"/>
      <c r="I1739" s="157"/>
      <c r="J1739" s="157"/>
      <c r="K1739" s="157"/>
      <c r="L1739" s="157"/>
      <c r="M1739" s="157"/>
    </row>
    <row r="1740" spans="1:13" hidden="1">
      <c r="A1740" s="157" t="s">
        <v>155</v>
      </c>
      <c r="B1740" s="157"/>
      <c r="C1740" s="157"/>
      <c r="D1740" s="157"/>
      <c r="E1740" s="157"/>
      <c r="F1740" s="157"/>
      <c r="G1740" s="157"/>
      <c r="H1740" s="157"/>
      <c r="I1740" s="157"/>
      <c r="J1740" s="157"/>
      <c r="K1740" s="157"/>
      <c r="L1740" s="157"/>
      <c r="M1740" s="157"/>
    </row>
    <row r="1741" spans="1:13" hidden="1">
      <c r="A1741" s="5"/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</row>
    <row r="1742" spans="1:13" hidden="1">
      <c r="A1742" s="163" t="str">
        <f>IF(M1736="Check inputs","Check source inputs: loads must be non-negative and each loaded position must lie within the span.","")</f>
        <v/>
      </c>
      <c r="B1742" s="163"/>
      <c r="C1742" s="163"/>
      <c r="D1742" s="163"/>
      <c r="E1742" s="163"/>
      <c r="F1742" s="163"/>
      <c r="G1742" s="163"/>
      <c r="H1742" s="163"/>
      <c r="I1742" s="163"/>
      <c r="J1742" s="163"/>
      <c r="K1742" s="163"/>
      <c r="L1742" s="163"/>
      <c r="M1742" s="163"/>
    </row>
    <row r="1743" spans="1:13" hidden="1"/>
    <row r="1744" spans="1:13" hidden="1"/>
    <row r="1745" spans="1:13" hidden="1">
      <c r="A1745" s="164" t="s">
        <v>156</v>
      </c>
      <c r="B1745" s="164"/>
      <c r="C1745" s="164"/>
      <c r="D1745" s="164"/>
      <c r="E1745" s="164"/>
      <c r="F1745" s="164"/>
      <c r="G1745" s="164"/>
      <c r="H1745" s="164"/>
      <c r="I1745" s="164"/>
      <c r="J1745" s="164"/>
      <c r="K1745" s="164"/>
      <c r="L1745" s="164"/>
      <c r="M1745" s="164"/>
    </row>
    <row r="1746" spans="1:13" hidden="1"/>
    <row r="1747" spans="1:13" hidden="1">
      <c r="A1747" s="3" t="s">
        <v>157</v>
      </c>
      <c r="B1747" s="3" t="s">
        <v>158</v>
      </c>
      <c r="C1747" s="3" t="s">
        <v>159</v>
      </c>
    </row>
    <row r="1748" spans="1:13" hidden="1">
      <c r="A1748" s="3">
        <f>IF(AND(ISNUMBER($B$1736),$B$1736&gt;0,$M$1736&lt;&gt;"Check inputs"),0,-10)</f>
        <v>0</v>
      </c>
      <c r="B1748" s="3">
        <v>0</v>
      </c>
    </row>
    <row r="1749" spans="1:13" hidden="1">
      <c r="A1749" s="3">
        <f>IF(AND(ISNUMBER($B$1736),$B$1736&gt;0,$M$1736&lt;&gt;"Check inputs"),1,-10)</f>
        <v>1</v>
      </c>
      <c r="B1749" s="3">
        <v>0</v>
      </c>
    </row>
    <row r="1750" spans="1:13" hidden="1"/>
    <row r="1751" spans="1:13" hidden="1">
      <c r="A1751" s="3" t="s">
        <v>160</v>
      </c>
      <c r="B1751" s="3" t="s">
        <v>158</v>
      </c>
      <c r="C1751" s="3" t="s">
        <v>159</v>
      </c>
    </row>
    <row r="1752" spans="1:13" hidden="1">
      <c r="A1752" s="3">
        <f>IF(AND(AND(ISNUMBER($B$1736),$B$1736&gt;0,$M$1736&lt;&gt;"Check inputs"),$C$1736="Simply Supported"),0,-10)</f>
        <v>0</v>
      </c>
      <c r="B1752" s="3">
        <v>0</v>
      </c>
    </row>
    <row r="1753" spans="1:13" hidden="1">
      <c r="A1753" s="3">
        <f>IF(AND(AND(ISNUMBER($B$1736),$B$1736&gt;0,$M$1736&lt;&gt;"Check inputs"),$C$1736="Simply Supported"),-0.025,-10)</f>
        <v>-2.5000000000000001E-2</v>
      </c>
      <c r="B1753" s="3">
        <v>-0.105</v>
      </c>
    </row>
    <row r="1754" spans="1:13" hidden="1">
      <c r="A1754" s="3">
        <f>IF(AND(AND(ISNUMBER($B$1736),$B$1736&gt;0,$M$1736&lt;&gt;"Check inputs"),$C$1736="Simply Supported"),0.025,-10)</f>
        <v>2.5000000000000001E-2</v>
      </c>
      <c r="B1754" s="3">
        <v>-0.105</v>
      </c>
    </row>
    <row r="1755" spans="1:13" hidden="1">
      <c r="A1755" s="3">
        <f>IF(AND(AND(ISNUMBER($B$1736),$B$1736&gt;0,$M$1736&lt;&gt;"Check inputs"),$C$1736="Simply Supported"),0,-10)</f>
        <v>0</v>
      </c>
      <c r="B1755" s="3">
        <v>0</v>
      </c>
    </row>
    <row r="1756" spans="1:13" hidden="1"/>
    <row r="1757" spans="1:13" hidden="1">
      <c r="A1757" s="3" t="s">
        <v>161</v>
      </c>
      <c r="B1757" s="3" t="s">
        <v>158</v>
      </c>
      <c r="C1757" s="3" t="s">
        <v>159</v>
      </c>
    </row>
    <row r="1758" spans="1:13" hidden="1">
      <c r="A1758" s="3">
        <f>IF(AND(AND(ISNUMBER($B$1736),$B$1736&gt;0,$M$1736&lt;&gt;"Check inputs"),$C$1736="Simply Supported"),1,-10)</f>
        <v>1</v>
      </c>
      <c r="B1758" s="3">
        <v>0</v>
      </c>
    </row>
    <row r="1759" spans="1:13" hidden="1">
      <c r="A1759" s="3">
        <f>IF(AND(AND(ISNUMBER($B$1736),$B$1736&gt;0,$M$1736&lt;&gt;"Check inputs"),$C$1736="Simply Supported"),0.975,-10)</f>
        <v>0.97499999999999998</v>
      </c>
      <c r="B1759" s="3">
        <v>-0.105</v>
      </c>
    </row>
    <row r="1760" spans="1:13" hidden="1">
      <c r="A1760" s="3">
        <f>IF(AND(AND(ISNUMBER($B$1736),$B$1736&gt;0,$M$1736&lt;&gt;"Check inputs"),$C$1736="Simply Supported"),1.025,-10)</f>
        <v>1.0249999999999999</v>
      </c>
      <c r="B1760" s="3">
        <v>-0.105</v>
      </c>
    </row>
    <row r="1761" spans="1:3" hidden="1">
      <c r="A1761" s="3">
        <f>IF(AND(AND(ISNUMBER($B$1736),$B$1736&gt;0,$M$1736&lt;&gt;"Check inputs"),$C$1736="Simply Supported"),1,-10)</f>
        <v>1</v>
      </c>
      <c r="B1761" s="3">
        <v>0</v>
      </c>
    </row>
    <row r="1762" spans="1:3" hidden="1"/>
    <row r="1763" spans="1:3" hidden="1">
      <c r="A1763" s="3" t="s">
        <v>162</v>
      </c>
      <c r="B1763" s="3" t="s">
        <v>158</v>
      </c>
      <c r="C1763" s="3" t="s">
        <v>159</v>
      </c>
    </row>
    <row r="1764" spans="1:3" hidden="1">
      <c r="A1764" s="3">
        <f>IF(AND(AND(ISNUMBER($B$1736),$B$1736&gt;0,$M$1736&lt;&gt;"Check inputs"),$C$1736="Simply Supported"),0.972,-10)</f>
        <v>0.97199999999999998</v>
      </c>
      <c r="B1764" s="3">
        <v>-0.13</v>
      </c>
    </row>
    <row r="1765" spans="1:3" hidden="1">
      <c r="A1765" s="3">
        <f>IF(AND(AND(ISNUMBER($B$1736),$B$1736&gt;0,$M$1736&lt;&gt;"Check inputs"),$C$1736="Simply Supported"),1.028,-10)</f>
        <v>1.028</v>
      </c>
      <c r="B1765" s="3">
        <v>-0.13</v>
      </c>
    </row>
    <row r="1766" spans="1:3" hidden="1"/>
    <row r="1767" spans="1:3" hidden="1">
      <c r="A1767" s="3" t="s">
        <v>163</v>
      </c>
      <c r="B1767" s="3" t="s">
        <v>158</v>
      </c>
      <c r="C1767" s="3" t="s">
        <v>159</v>
      </c>
    </row>
    <row r="1768" spans="1:3" hidden="1">
      <c r="A1768" s="3">
        <f>IF(AND(AND(ISNUMBER($B$1736),$B$1736&gt;0,$M$1736&lt;&gt;"Check inputs"),OR($C$1736="Cantilever Supported",$C$1736="Fixed-Fixed")),0,-10)</f>
        <v>-10</v>
      </c>
      <c r="B1768" s="3">
        <v>-0.14000000000000001</v>
      </c>
    </row>
    <row r="1769" spans="1:3" hidden="1">
      <c r="A1769" s="3">
        <f>IF(AND(AND(ISNUMBER($B$1736),$B$1736&gt;0,$M$1736&lt;&gt;"Check inputs"),OR($C$1736="Cantilever Supported",$C$1736="Fixed-Fixed")),0,-10)</f>
        <v>-10</v>
      </c>
      <c r="B1769" s="3">
        <v>0.14000000000000001</v>
      </c>
    </row>
    <row r="1770" spans="1:3" hidden="1">
      <c r="A1770" s="3">
        <f>IF(AND(AND(ISNUMBER($B$1736),$B$1736&gt;0,$M$1736&lt;&gt;"Check inputs"),OR($C$1736="Cantilever Supported",$C$1736="Fixed-Fixed")),-0.022,-10)</f>
        <v>-10</v>
      </c>
      <c r="B1770" s="3">
        <v>0.1</v>
      </c>
    </row>
    <row r="1771" spans="1:3" hidden="1">
      <c r="A1771" s="3">
        <f>IF(AND(AND(ISNUMBER($B$1736),$B$1736&gt;0,$M$1736&lt;&gt;"Check inputs"),OR($C$1736="Cantilever Supported",$C$1736="Fixed-Fixed")),0,-10)</f>
        <v>-10</v>
      </c>
      <c r="B1771" s="3">
        <v>0.14000000000000001</v>
      </c>
    </row>
    <row r="1772" spans="1:3" hidden="1">
      <c r="A1772" s="3">
        <f>IF(AND(AND(ISNUMBER($B$1736),$B$1736&gt;0,$M$1736&lt;&gt;"Check inputs"),OR($C$1736="Cantilever Supported",$C$1736="Fixed-Fixed")),0,-10)</f>
        <v>-10</v>
      </c>
      <c r="B1772" s="3">
        <v>7.0000000000000007E-2</v>
      </c>
    </row>
    <row r="1773" spans="1:3" hidden="1">
      <c r="A1773" s="3">
        <f>IF(AND(AND(ISNUMBER($B$1736),$B$1736&gt;0,$M$1736&lt;&gt;"Check inputs"),OR($C$1736="Cantilever Supported",$C$1736="Fixed-Fixed")),-0.022,-10)</f>
        <v>-10</v>
      </c>
      <c r="B1773" s="3">
        <v>0.03</v>
      </c>
    </row>
    <row r="1774" spans="1:3" hidden="1">
      <c r="A1774" s="3">
        <f>IF(AND(AND(ISNUMBER($B$1736),$B$1736&gt;0,$M$1736&lt;&gt;"Check inputs"),OR($C$1736="Cantilever Supported",$C$1736="Fixed-Fixed")),0,-10)</f>
        <v>-10</v>
      </c>
      <c r="B1774" s="3">
        <v>7.0000000000000007E-2</v>
      </c>
    </row>
    <row r="1775" spans="1:3" hidden="1">
      <c r="A1775" s="3">
        <f>IF(AND(AND(ISNUMBER($B$1736),$B$1736&gt;0,$M$1736&lt;&gt;"Check inputs"),OR($C$1736="Cantilever Supported",$C$1736="Fixed-Fixed")),0,-10)</f>
        <v>-10</v>
      </c>
      <c r="B1775" s="3">
        <v>0</v>
      </c>
    </row>
    <row r="1776" spans="1:3" hidden="1">
      <c r="A1776" s="3">
        <f>IF(AND(AND(ISNUMBER($B$1736),$B$1736&gt;0,$M$1736&lt;&gt;"Check inputs"),OR($C$1736="Cantilever Supported",$C$1736="Fixed-Fixed")),-0.022,-10)</f>
        <v>-10</v>
      </c>
      <c r="B1776" s="3">
        <v>-0.04</v>
      </c>
    </row>
    <row r="1777" spans="1:3" hidden="1">
      <c r="A1777" s="3">
        <f>IF(AND(AND(ISNUMBER($B$1736),$B$1736&gt;0,$M$1736&lt;&gt;"Check inputs"),OR($C$1736="Cantilever Supported",$C$1736="Fixed-Fixed")),0,-10)</f>
        <v>-10</v>
      </c>
      <c r="B1777" s="3">
        <v>0</v>
      </c>
    </row>
    <row r="1778" spans="1:3" hidden="1">
      <c r="A1778" s="3">
        <f>IF(AND(AND(ISNUMBER($B$1736),$B$1736&gt;0,$M$1736&lt;&gt;"Check inputs"),OR($C$1736="Cantilever Supported",$C$1736="Fixed-Fixed")),0,-10)</f>
        <v>-10</v>
      </c>
      <c r="B1778" s="3">
        <v>-7.0000000000000007E-2</v>
      </c>
    </row>
    <row r="1779" spans="1:3" hidden="1">
      <c r="A1779" s="3">
        <f>IF(AND(AND(ISNUMBER($B$1736),$B$1736&gt;0,$M$1736&lt;&gt;"Check inputs"),OR($C$1736="Cantilever Supported",$C$1736="Fixed-Fixed")),-0.022,-10)</f>
        <v>-10</v>
      </c>
      <c r="B1779" s="3">
        <v>-0.11</v>
      </c>
    </row>
    <row r="1780" spans="1:3" hidden="1">
      <c r="A1780" s="3">
        <f>IF(AND(AND(ISNUMBER($B$1736),$B$1736&gt;0,$M$1736&lt;&gt;"Check inputs"),OR($C$1736="Cantilever Supported",$C$1736="Fixed-Fixed")),0,-10)</f>
        <v>-10</v>
      </c>
      <c r="B1780" s="3">
        <v>-7.0000000000000007E-2</v>
      </c>
    </row>
    <row r="1781" spans="1:3" hidden="1"/>
    <row r="1782" spans="1:3" hidden="1">
      <c r="A1782" s="3" t="s">
        <v>164</v>
      </c>
      <c r="B1782" s="3" t="s">
        <v>158</v>
      </c>
      <c r="C1782" s="3" t="s">
        <v>159</v>
      </c>
    </row>
    <row r="1783" spans="1:3" hidden="1">
      <c r="A1783" s="3">
        <f>IF(AND(AND(ISNUMBER($B$1736),$B$1736&gt;0,$M$1736&lt;&gt;"Check inputs"),$C$1736="Fixed-Fixed"),1,-10)</f>
        <v>-10</v>
      </c>
      <c r="B1783" s="3">
        <v>-0.14000000000000001</v>
      </c>
    </row>
    <row r="1784" spans="1:3" hidden="1">
      <c r="A1784" s="3">
        <f>IF(AND(AND(ISNUMBER($B$1736),$B$1736&gt;0,$M$1736&lt;&gt;"Check inputs"),$C$1736="Fixed-Fixed"),1,-10)</f>
        <v>-10</v>
      </c>
      <c r="B1784" s="3">
        <v>0.14000000000000001</v>
      </c>
    </row>
    <row r="1785" spans="1:3" hidden="1">
      <c r="A1785" s="3">
        <f>IF(AND(AND(ISNUMBER($B$1736),$B$1736&gt;0,$M$1736&lt;&gt;"Check inputs"),$C$1736="Fixed-Fixed"),0.978,-10)</f>
        <v>-10</v>
      </c>
      <c r="B1785" s="3">
        <v>0.1</v>
      </c>
    </row>
    <row r="1786" spans="1:3" hidden="1">
      <c r="A1786" s="3">
        <f>IF(AND(AND(ISNUMBER($B$1736),$B$1736&gt;0,$M$1736&lt;&gt;"Check inputs"),$C$1736="Fixed-Fixed"),1,-10)</f>
        <v>-10</v>
      </c>
      <c r="B1786" s="3">
        <v>0.14000000000000001</v>
      </c>
    </row>
    <row r="1787" spans="1:3" hidden="1">
      <c r="A1787" s="3">
        <f>IF(AND(AND(ISNUMBER($B$1736),$B$1736&gt;0,$M$1736&lt;&gt;"Check inputs"),$C$1736="Fixed-Fixed"),1,-10)</f>
        <v>-10</v>
      </c>
      <c r="B1787" s="3">
        <v>7.0000000000000007E-2</v>
      </c>
    </row>
    <row r="1788" spans="1:3" hidden="1">
      <c r="A1788" s="3">
        <f>IF(AND(AND(ISNUMBER($B$1736),$B$1736&gt;0,$M$1736&lt;&gt;"Check inputs"),$C$1736="Fixed-Fixed"),0.978,-10)</f>
        <v>-10</v>
      </c>
      <c r="B1788" s="3">
        <v>0.03</v>
      </c>
    </row>
    <row r="1789" spans="1:3" hidden="1">
      <c r="A1789" s="3">
        <f>IF(AND(AND(ISNUMBER($B$1736),$B$1736&gt;0,$M$1736&lt;&gt;"Check inputs"),$C$1736="Fixed-Fixed"),1,-10)</f>
        <v>-10</v>
      </c>
      <c r="B1789" s="3">
        <v>7.0000000000000007E-2</v>
      </c>
    </row>
    <row r="1790" spans="1:3" hidden="1">
      <c r="A1790" s="3">
        <f>IF(AND(AND(ISNUMBER($B$1736),$B$1736&gt;0,$M$1736&lt;&gt;"Check inputs"),$C$1736="Fixed-Fixed"),1,-10)</f>
        <v>-10</v>
      </c>
      <c r="B1790" s="3">
        <v>0</v>
      </c>
    </row>
    <row r="1791" spans="1:3" hidden="1">
      <c r="A1791" s="3">
        <f>IF(AND(AND(ISNUMBER($B$1736),$B$1736&gt;0,$M$1736&lt;&gt;"Check inputs"),$C$1736="Fixed-Fixed"),0.978,-10)</f>
        <v>-10</v>
      </c>
      <c r="B1791" s="3">
        <v>-0.04</v>
      </c>
    </row>
    <row r="1792" spans="1:3" hidden="1">
      <c r="A1792" s="3">
        <f>IF(AND(AND(ISNUMBER($B$1736),$B$1736&gt;0,$M$1736&lt;&gt;"Check inputs"),$C$1736="Fixed-Fixed"),1,-10)</f>
        <v>-10</v>
      </c>
      <c r="B1792" s="3">
        <v>0</v>
      </c>
    </row>
    <row r="1793" spans="1:3" hidden="1">
      <c r="A1793" s="3">
        <f>IF(AND(AND(ISNUMBER($B$1736),$B$1736&gt;0,$M$1736&lt;&gt;"Check inputs"),$C$1736="Fixed-Fixed"),1,-10)</f>
        <v>-10</v>
      </c>
      <c r="B1793" s="3">
        <v>-7.0000000000000007E-2</v>
      </c>
    </row>
    <row r="1794" spans="1:3" hidden="1">
      <c r="A1794" s="3">
        <f>IF(AND(AND(ISNUMBER($B$1736),$B$1736&gt;0,$M$1736&lt;&gt;"Check inputs"),$C$1736="Fixed-Fixed"),0.978,-10)</f>
        <v>-10</v>
      </c>
      <c r="B1794" s="3">
        <v>-0.11</v>
      </c>
    </row>
    <row r="1795" spans="1:3" hidden="1">
      <c r="A1795" s="3">
        <f>IF(AND(AND(ISNUMBER($B$1736),$B$1736&gt;0,$M$1736&lt;&gt;"Check inputs"),$C$1736="Fixed-Fixed"),1,-10)</f>
        <v>-10</v>
      </c>
      <c r="B1795" s="3">
        <v>-7.0000000000000007E-2</v>
      </c>
    </row>
    <row r="1796" spans="1:3" hidden="1"/>
    <row r="1797" spans="1:3" hidden="1">
      <c r="A1797" s="3" t="s">
        <v>51</v>
      </c>
      <c r="B1797" s="3" t="s">
        <v>158</v>
      </c>
      <c r="C1797" s="3" t="s">
        <v>159</v>
      </c>
    </row>
    <row r="1798" spans="1:3" hidden="1">
      <c r="A1798" s="3">
        <f>IF(AND(AND(ISNUMBER($B$1736),$B$1736&gt;0,$M$1736&lt;&gt;"Check inputs"),ISNUMBER(D1736),D1736&gt;0,ISNUMBER(E1736),E1736&gt;=0,E1736&lt;=$B$1736),E1736/$B$1736,-10)</f>
        <v>-10</v>
      </c>
      <c r="B1798" s="3">
        <v>0.85</v>
      </c>
      <c r="C1798" s="3" t="str">
        <f>IF(AND(AND(ISNUMBER($B$1736),$B$1736&gt;0,$M$1736&lt;&gt;"Check inputs"),ISNUMBER(D1736),D1736&gt;0,ISNUMBER(E1736),E1736&gt;=0,E1736&lt;=$B$1736),"P1 = "&amp;TEXT(D1736,"0.00")&amp;" kN","")</f>
        <v/>
      </c>
    </row>
    <row r="1799" spans="1:3" hidden="1">
      <c r="A1799" s="3">
        <f>IF(AND(AND(ISNUMBER($B$1736),$B$1736&gt;0,$M$1736&lt;&gt;"Check inputs"),ISNUMBER(D1736),D1736&gt;0,ISNUMBER(E1736),E1736&gt;=0,E1736&lt;=$B$1736),E1736/$B$1736,-10)</f>
        <v>-10</v>
      </c>
      <c r="B1799" s="3">
        <v>0.04</v>
      </c>
    </row>
    <row r="1800" spans="1:3" hidden="1">
      <c r="A1800" s="3">
        <f>IF(AND(AND(ISNUMBER($B$1736),$B$1736&gt;0,$M$1736&lt;&gt;"Check inputs"),ISNUMBER(D1736),D1736&gt;0,ISNUMBER(E1736),E1736&gt;=0,E1736&lt;=$B$1736),(E1736/$B$1736)-0.012,-10)</f>
        <v>-10</v>
      </c>
      <c r="B1800" s="3">
        <v>9.5000000000000001E-2</v>
      </c>
    </row>
    <row r="1801" spans="1:3" hidden="1">
      <c r="A1801" s="3">
        <f>IF(AND(AND(ISNUMBER($B$1736),$B$1736&gt;0,$M$1736&lt;&gt;"Check inputs"),ISNUMBER(D1736),D1736&gt;0,ISNUMBER(E1736),E1736&gt;=0,E1736&lt;=$B$1736),E1736/$B$1736,-10)</f>
        <v>-10</v>
      </c>
      <c r="B1801" s="3">
        <v>0.04</v>
      </c>
    </row>
    <row r="1802" spans="1:3" hidden="1">
      <c r="A1802" s="3">
        <f>IF(AND(AND(ISNUMBER($B$1736),$B$1736&gt;0,$M$1736&lt;&gt;"Check inputs"),ISNUMBER(D1736),D1736&gt;0,ISNUMBER(E1736),E1736&gt;=0,E1736&lt;=$B$1736),(E1736/$B$1736)+0.012,-10)</f>
        <v>-10</v>
      </c>
      <c r="B1802" s="3">
        <v>9.5000000000000001E-2</v>
      </c>
    </row>
    <row r="1803" spans="1:3" hidden="1"/>
    <row r="1804" spans="1:3" hidden="1">
      <c r="A1804" s="3" t="s">
        <v>53</v>
      </c>
      <c r="B1804" s="3" t="s">
        <v>158</v>
      </c>
      <c r="C1804" s="3" t="s">
        <v>159</v>
      </c>
    </row>
    <row r="1805" spans="1:3" hidden="1">
      <c r="A1805" s="3">
        <f>IF(AND(AND(ISNUMBER($B$1736),$B$1736&gt;0,$M$1736&lt;&gt;"Check inputs"),ISNUMBER(F1736),F1736&gt;0,ISNUMBER(G1736),G1736&gt;=0,G1736&lt;=$B$1736),G1736/$B$1736,-10)</f>
        <v>-10</v>
      </c>
      <c r="B1805" s="3">
        <v>0.85</v>
      </c>
      <c r="C1805" s="3" t="str">
        <f>IF(AND(AND(ISNUMBER($B$1736),$B$1736&gt;0,$M$1736&lt;&gt;"Check inputs"),ISNUMBER(F1736),F1736&gt;0,ISNUMBER(G1736),G1736&gt;=0,G1736&lt;=$B$1736),"P2 = "&amp;TEXT(F1736,"0.00")&amp;" kN","")</f>
        <v/>
      </c>
    </row>
    <row r="1806" spans="1:3" hidden="1">
      <c r="A1806" s="3">
        <f>IF(AND(AND(ISNUMBER($B$1736),$B$1736&gt;0,$M$1736&lt;&gt;"Check inputs"),ISNUMBER(F1736),F1736&gt;0,ISNUMBER(G1736),G1736&gt;=0,G1736&lt;=$B$1736),G1736/$B$1736,-10)</f>
        <v>-10</v>
      </c>
      <c r="B1806" s="3">
        <v>0.04</v>
      </c>
    </row>
    <row r="1807" spans="1:3" hidden="1">
      <c r="A1807" s="3">
        <f>IF(AND(AND(ISNUMBER($B$1736),$B$1736&gt;0,$M$1736&lt;&gt;"Check inputs"),ISNUMBER(F1736),F1736&gt;0,ISNUMBER(G1736),G1736&gt;=0,G1736&lt;=$B$1736),(G1736/$B$1736)-0.012,-10)</f>
        <v>-10</v>
      </c>
      <c r="B1807" s="3">
        <v>9.5000000000000001E-2</v>
      </c>
    </row>
    <row r="1808" spans="1:3" hidden="1">
      <c r="A1808" s="3">
        <f>IF(AND(AND(ISNUMBER($B$1736),$B$1736&gt;0,$M$1736&lt;&gt;"Check inputs"),ISNUMBER(F1736),F1736&gt;0,ISNUMBER(G1736),G1736&gt;=0,G1736&lt;=$B$1736),G1736/$B$1736,-10)</f>
        <v>-10</v>
      </c>
      <c r="B1808" s="3">
        <v>0.04</v>
      </c>
    </row>
    <row r="1809" spans="1:3" hidden="1">
      <c r="A1809" s="3">
        <f>IF(AND(AND(ISNUMBER($B$1736),$B$1736&gt;0,$M$1736&lt;&gt;"Check inputs"),ISNUMBER(F1736),F1736&gt;0,ISNUMBER(G1736),G1736&gt;=0,G1736&lt;=$B$1736),(G1736/$B$1736)+0.012,-10)</f>
        <v>-10</v>
      </c>
      <c r="B1809" s="3">
        <v>9.5000000000000001E-2</v>
      </c>
    </row>
    <row r="1810" spans="1:3" hidden="1"/>
    <row r="1811" spans="1:3" hidden="1">
      <c r="A1811" s="3" t="s">
        <v>55</v>
      </c>
      <c r="B1811" s="3" t="s">
        <v>158</v>
      </c>
      <c r="C1811" s="3" t="s">
        <v>159</v>
      </c>
    </row>
    <row r="1812" spans="1:3" hidden="1">
      <c r="A1812" s="3">
        <f>IF(AND(AND(ISNUMBER($B$1736),$B$1736&gt;0,$M$1736&lt;&gt;"Check inputs"),ISNUMBER(H1736),H1736&gt;0,ISNUMBER(I1736),I1736&gt;=0,I1736&lt;=$B$1736),I1736/$B$1736,-10)</f>
        <v>-10</v>
      </c>
      <c r="B1812" s="3">
        <v>0.85</v>
      </c>
      <c r="C1812" s="3" t="str">
        <f>IF(AND(AND(ISNUMBER($B$1736),$B$1736&gt;0,$M$1736&lt;&gt;"Check inputs"),ISNUMBER(H1736),H1736&gt;0,ISNUMBER(I1736),I1736&gt;=0,I1736&lt;=$B$1736),"P3 = "&amp;TEXT(H1736,"0.00")&amp;" kN","")</f>
        <v/>
      </c>
    </row>
    <row r="1813" spans="1:3" hidden="1">
      <c r="A1813" s="3">
        <f>IF(AND(AND(ISNUMBER($B$1736),$B$1736&gt;0,$M$1736&lt;&gt;"Check inputs"),ISNUMBER(H1736),H1736&gt;0,ISNUMBER(I1736),I1736&gt;=0,I1736&lt;=$B$1736),I1736/$B$1736,-10)</f>
        <v>-10</v>
      </c>
      <c r="B1813" s="3">
        <v>0.04</v>
      </c>
    </row>
    <row r="1814" spans="1:3" hidden="1">
      <c r="A1814" s="3">
        <f>IF(AND(AND(ISNUMBER($B$1736),$B$1736&gt;0,$M$1736&lt;&gt;"Check inputs"),ISNUMBER(H1736),H1736&gt;0,ISNUMBER(I1736),I1736&gt;=0,I1736&lt;=$B$1736),(I1736/$B$1736)-0.012,-10)</f>
        <v>-10</v>
      </c>
      <c r="B1814" s="3">
        <v>9.5000000000000001E-2</v>
      </c>
    </row>
    <row r="1815" spans="1:3" hidden="1">
      <c r="A1815" s="3">
        <f>IF(AND(AND(ISNUMBER($B$1736),$B$1736&gt;0,$M$1736&lt;&gt;"Check inputs"),ISNUMBER(H1736),H1736&gt;0,ISNUMBER(I1736),I1736&gt;=0,I1736&lt;=$B$1736),I1736/$B$1736,-10)</f>
        <v>-10</v>
      </c>
      <c r="B1815" s="3">
        <v>0.04</v>
      </c>
    </row>
    <row r="1816" spans="1:3" hidden="1">
      <c r="A1816" s="3">
        <f>IF(AND(AND(ISNUMBER($B$1736),$B$1736&gt;0,$M$1736&lt;&gt;"Check inputs"),ISNUMBER(H1736),H1736&gt;0,ISNUMBER(I1736),I1736&gt;=0,I1736&lt;=$B$1736),(I1736/$B$1736)+0.012,-10)</f>
        <v>-10</v>
      </c>
      <c r="B1816" s="3">
        <v>9.5000000000000001E-2</v>
      </c>
    </row>
    <row r="1817" spans="1:3" hidden="1"/>
    <row r="1818" spans="1:3" hidden="1">
      <c r="A1818" s="3" t="s">
        <v>57</v>
      </c>
      <c r="B1818" s="3" t="s">
        <v>158</v>
      </c>
      <c r="C1818" s="3" t="s">
        <v>159</v>
      </c>
    </row>
    <row r="1819" spans="1:3" hidden="1">
      <c r="A1819" s="3">
        <f>IF(AND(AND(ISNUMBER($B$1736),$B$1736&gt;0,$M$1736&lt;&gt;"Check inputs"),ISNUMBER(J1736),J1736&gt;0,ISNUMBER(K1736),K1736&gt;=0,K1736&lt;=$B$1736),K1736/$B$1736,-10)</f>
        <v>-10</v>
      </c>
      <c r="B1819" s="3">
        <v>0.85</v>
      </c>
      <c r="C1819" s="3" t="str">
        <f>IF(AND(AND(ISNUMBER($B$1736),$B$1736&gt;0,$M$1736&lt;&gt;"Check inputs"),ISNUMBER(J1736),J1736&gt;0,ISNUMBER(K1736),K1736&gt;=0,K1736&lt;=$B$1736),"P4 = "&amp;TEXT(J1736,"0.00")&amp;" kN","")</f>
        <v/>
      </c>
    </row>
    <row r="1820" spans="1:3" hidden="1">
      <c r="A1820" s="3">
        <f>IF(AND(AND(ISNUMBER($B$1736),$B$1736&gt;0,$M$1736&lt;&gt;"Check inputs"),ISNUMBER(J1736),J1736&gt;0,ISNUMBER(K1736),K1736&gt;=0,K1736&lt;=$B$1736),K1736/$B$1736,-10)</f>
        <v>-10</v>
      </c>
      <c r="B1820" s="3">
        <v>0.04</v>
      </c>
    </row>
    <row r="1821" spans="1:3" hidden="1">
      <c r="A1821" s="3">
        <f>IF(AND(AND(ISNUMBER($B$1736),$B$1736&gt;0,$M$1736&lt;&gt;"Check inputs"),ISNUMBER(J1736),J1736&gt;0,ISNUMBER(K1736),K1736&gt;=0,K1736&lt;=$B$1736),(K1736/$B$1736)-0.012,-10)</f>
        <v>-10</v>
      </c>
      <c r="B1821" s="3">
        <v>9.5000000000000001E-2</v>
      </c>
    </row>
    <row r="1822" spans="1:3" hidden="1">
      <c r="A1822" s="3">
        <f>IF(AND(AND(ISNUMBER($B$1736),$B$1736&gt;0,$M$1736&lt;&gt;"Check inputs"),ISNUMBER(J1736),J1736&gt;0,ISNUMBER(K1736),K1736&gt;=0,K1736&lt;=$B$1736),K1736/$B$1736,-10)</f>
        <v>-10</v>
      </c>
      <c r="B1822" s="3">
        <v>0.04</v>
      </c>
    </row>
    <row r="1823" spans="1:3" hidden="1">
      <c r="A1823" s="3">
        <f>IF(AND(AND(ISNUMBER($B$1736),$B$1736&gt;0,$M$1736&lt;&gt;"Check inputs"),ISNUMBER(J1736),J1736&gt;0,ISNUMBER(K1736),K1736&gt;=0,K1736&lt;=$B$1736),(K1736/$B$1736)+0.012,-10)</f>
        <v>-10</v>
      </c>
      <c r="B1823" s="3">
        <v>9.5000000000000001E-2</v>
      </c>
    </row>
    <row r="1824" spans="1:3" hidden="1"/>
    <row r="1825" spans="1:3" hidden="1">
      <c r="A1825" s="3" t="s">
        <v>165</v>
      </c>
      <c r="B1825" s="3" t="s">
        <v>158</v>
      </c>
      <c r="C1825" s="3" t="s">
        <v>159</v>
      </c>
    </row>
    <row r="1826" spans="1:3" hidden="1">
      <c r="A1826" s="3">
        <f>IF(AND(AND(ISNUMBER($B$1736),$B$1736&gt;0,$M$1736&lt;&gt;"Check inputs"),N($L$1736)&gt;0),0.5,-10)</f>
        <v>0.5</v>
      </c>
      <c r="B1826" s="3">
        <v>0.56999999999999995</v>
      </c>
      <c r="C1826" s="3" t="str">
        <f>IF(AND(AND(ISNUMBER($B$1736),$B$1736&gt;0,$M$1736&lt;&gt;"Check inputs"),N($L$1736)&gt;0),"w = "&amp;TEXT(L1736,"0.00")&amp;" kN/m","")</f>
        <v>w = 89.00 kN/m</v>
      </c>
    </row>
    <row r="1827" spans="1:3" hidden="1">
      <c r="A1827" s="3">
        <f>IF(AND(AND(ISNUMBER($B$1736),$B$1736&gt;0,$M$1736&lt;&gt;"Check inputs"),N($L$1736)&gt;0),0,-10)</f>
        <v>0</v>
      </c>
      <c r="B1827" s="3">
        <v>0.56999999999999995</v>
      </c>
    </row>
    <row r="1828" spans="1:3" hidden="1">
      <c r="A1828" s="3">
        <f>IF(AND(AND(ISNUMBER($B$1736),$B$1736&gt;0,$M$1736&lt;&gt;"Check inputs"),N($L$1736)&gt;0),1,-10)</f>
        <v>1</v>
      </c>
      <c r="B1828" s="3">
        <v>0.56999999999999995</v>
      </c>
    </row>
    <row r="1829" spans="1:3" hidden="1"/>
    <row r="1830" spans="1:3" hidden="1">
      <c r="A1830" s="3" t="s">
        <v>166</v>
      </c>
      <c r="B1830" s="3" t="s">
        <v>158</v>
      </c>
      <c r="C1830" s="3" t="s">
        <v>159</v>
      </c>
    </row>
    <row r="1831" spans="1:3" hidden="1">
      <c r="A1831" s="3">
        <f>IF(AND(AND(ISNUMBER($B$1736),$B$1736&gt;0,$M$1736&lt;&gt;"Check inputs"),N($L$1736)&gt;0),0,-10)</f>
        <v>0</v>
      </c>
      <c r="B1831" s="3">
        <v>0.55000000000000004</v>
      </c>
    </row>
    <row r="1832" spans="1:3" hidden="1">
      <c r="A1832" s="3">
        <f>IF(AND(AND(ISNUMBER($B$1736),$B$1736&gt;0,$M$1736&lt;&gt;"Check inputs"),N($L$1736)&gt;0),0,-10)</f>
        <v>0</v>
      </c>
      <c r="B1832" s="3">
        <v>4.4999999999999998E-2</v>
      </c>
    </row>
    <row r="1833" spans="1:3" hidden="1">
      <c r="A1833" s="3">
        <f>IF(AND(AND(ISNUMBER($B$1736),$B$1736&gt;0,$M$1736&lt;&gt;"Check inputs"),N($L$1736)&gt;0),-0.008,-10)</f>
        <v>-8.0000000000000002E-3</v>
      </c>
      <c r="B1833" s="3">
        <v>8.5000000000000006E-2</v>
      </c>
    </row>
    <row r="1834" spans="1:3" hidden="1">
      <c r="A1834" s="3">
        <f>IF(AND(AND(ISNUMBER($B$1736),$B$1736&gt;0,$M$1736&lt;&gt;"Check inputs"),N($L$1736)&gt;0),0,-10)</f>
        <v>0</v>
      </c>
      <c r="B1834" s="3">
        <v>4.4999999999999998E-2</v>
      </c>
    </row>
    <row r="1835" spans="1:3" hidden="1">
      <c r="A1835" s="3">
        <f>IF(AND(AND(ISNUMBER($B$1736),$B$1736&gt;0,$M$1736&lt;&gt;"Check inputs"),N($L$1736)&gt;0),0.008,-10)</f>
        <v>8.0000000000000002E-3</v>
      </c>
      <c r="B1835" s="3">
        <v>8.5000000000000006E-2</v>
      </c>
    </row>
    <row r="1836" spans="1:3" hidden="1"/>
    <row r="1837" spans="1:3" hidden="1">
      <c r="A1837" s="3" t="s">
        <v>167</v>
      </c>
      <c r="B1837" s="3" t="s">
        <v>158</v>
      </c>
      <c r="C1837" s="3" t="s">
        <v>159</v>
      </c>
    </row>
    <row r="1838" spans="1:3" hidden="1">
      <c r="A1838" s="3">
        <f>IF(AND(AND(ISNUMBER($B$1736),$B$1736&gt;0,$M$1736&lt;&gt;"Check inputs"),N($L$1736)&gt;0),0.1,-10)</f>
        <v>0.1</v>
      </c>
      <c r="B1838" s="3">
        <v>0.55000000000000004</v>
      </c>
    </row>
    <row r="1839" spans="1:3" hidden="1">
      <c r="A1839" s="3">
        <f>IF(AND(AND(ISNUMBER($B$1736),$B$1736&gt;0,$M$1736&lt;&gt;"Check inputs"),N($L$1736)&gt;0),0.1,-10)</f>
        <v>0.1</v>
      </c>
      <c r="B1839" s="3">
        <v>4.4999999999999998E-2</v>
      </c>
    </row>
    <row r="1840" spans="1:3" hidden="1">
      <c r="A1840" s="3">
        <f>IF(AND(AND(ISNUMBER($B$1736),$B$1736&gt;0,$M$1736&lt;&gt;"Check inputs"),N($L$1736)&gt;0),0.092,-10)</f>
        <v>9.1999999999999998E-2</v>
      </c>
      <c r="B1840" s="3">
        <v>8.5000000000000006E-2</v>
      </c>
    </row>
    <row r="1841" spans="1:3" hidden="1">
      <c r="A1841" s="3">
        <f>IF(AND(AND(ISNUMBER($B$1736),$B$1736&gt;0,$M$1736&lt;&gt;"Check inputs"),N($L$1736)&gt;0),0.1,-10)</f>
        <v>0.1</v>
      </c>
      <c r="B1841" s="3">
        <v>4.4999999999999998E-2</v>
      </c>
    </row>
    <row r="1842" spans="1:3" hidden="1">
      <c r="A1842" s="3">
        <f>IF(AND(AND(ISNUMBER($B$1736),$B$1736&gt;0,$M$1736&lt;&gt;"Check inputs"),N($L$1736)&gt;0),0.108,-10)</f>
        <v>0.108</v>
      </c>
      <c r="B1842" s="3">
        <v>8.5000000000000006E-2</v>
      </c>
    </row>
    <row r="1843" spans="1:3" hidden="1"/>
    <row r="1844" spans="1:3" hidden="1">
      <c r="A1844" s="3" t="s">
        <v>168</v>
      </c>
      <c r="B1844" s="3" t="s">
        <v>158</v>
      </c>
      <c r="C1844" s="3" t="s">
        <v>159</v>
      </c>
    </row>
    <row r="1845" spans="1:3" hidden="1">
      <c r="A1845" s="3">
        <f>IF(AND(AND(ISNUMBER($B$1736),$B$1736&gt;0,$M$1736&lt;&gt;"Check inputs"),N($L$1736)&gt;0),0.2,-10)</f>
        <v>0.2</v>
      </c>
      <c r="B1845" s="3">
        <v>0.55000000000000004</v>
      </c>
    </row>
    <row r="1846" spans="1:3" hidden="1">
      <c r="A1846" s="3">
        <f>IF(AND(AND(ISNUMBER($B$1736),$B$1736&gt;0,$M$1736&lt;&gt;"Check inputs"),N($L$1736)&gt;0),0.2,-10)</f>
        <v>0.2</v>
      </c>
      <c r="B1846" s="3">
        <v>4.4999999999999998E-2</v>
      </c>
    </row>
    <row r="1847" spans="1:3" hidden="1">
      <c r="A1847" s="3">
        <f>IF(AND(AND(ISNUMBER($B$1736),$B$1736&gt;0,$M$1736&lt;&gt;"Check inputs"),N($L$1736)&gt;0),0.192,-10)</f>
        <v>0.192</v>
      </c>
      <c r="B1847" s="3">
        <v>8.5000000000000006E-2</v>
      </c>
    </row>
    <row r="1848" spans="1:3" hidden="1">
      <c r="A1848" s="3">
        <f>IF(AND(AND(ISNUMBER($B$1736),$B$1736&gt;0,$M$1736&lt;&gt;"Check inputs"),N($L$1736)&gt;0),0.2,-10)</f>
        <v>0.2</v>
      </c>
      <c r="B1848" s="3">
        <v>4.4999999999999998E-2</v>
      </c>
    </row>
    <row r="1849" spans="1:3" hidden="1">
      <c r="A1849" s="3">
        <f>IF(AND(AND(ISNUMBER($B$1736),$B$1736&gt;0,$M$1736&lt;&gt;"Check inputs"),N($L$1736)&gt;0),0.208,-10)</f>
        <v>0.20799999999999999</v>
      </c>
      <c r="B1849" s="3">
        <v>8.5000000000000006E-2</v>
      </c>
    </row>
    <row r="1850" spans="1:3" hidden="1"/>
    <row r="1851" spans="1:3" hidden="1">
      <c r="A1851" s="3" t="s">
        <v>169</v>
      </c>
      <c r="B1851" s="3" t="s">
        <v>158</v>
      </c>
      <c r="C1851" s="3" t="s">
        <v>159</v>
      </c>
    </row>
    <row r="1852" spans="1:3" hidden="1">
      <c r="A1852" s="3">
        <f>IF(AND(AND(ISNUMBER($B$1736),$B$1736&gt;0,$M$1736&lt;&gt;"Check inputs"),N($L$1736)&gt;0),0.3,-10)</f>
        <v>0.3</v>
      </c>
      <c r="B1852" s="3">
        <v>0.55000000000000004</v>
      </c>
    </row>
    <row r="1853" spans="1:3" hidden="1">
      <c r="A1853" s="3">
        <f>IF(AND(AND(ISNUMBER($B$1736),$B$1736&gt;0,$M$1736&lt;&gt;"Check inputs"),N($L$1736)&gt;0),0.3,-10)</f>
        <v>0.3</v>
      </c>
      <c r="B1853" s="3">
        <v>4.4999999999999998E-2</v>
      </c>
    </row>
    <row r="1854" spans="1:3" hidden="1">
      <c r="A1854" s="3">
        <f>IF(AND(AND(ISNUMBER($B$1736),$B$1736&gt;0,$M$1736&lt;&gt;"Check inputs"),N($L$1736)&gt;0),0.292,-10)</f>
        <v>0.29199999999999998</v>
      </c>
      <c r="B1854" s="3">
        <v>8.5000000000000006E-2</v>
      </c>
    </row>
    <row r="1855" spans="1:3" hidden="1">
      <c r="A1855" s="3">
        <f>IF(AND(AND(ISNUMBER($B$1736),$B$1736&gt;0,$M$1736&lt;&gt;"Check inputs"),N($L$1736)&gt;0),0.3,-10)</f>
        <v>0.3</v>
      </c>
      <c r="B1855" s="3">
        <v>4.4999999999999998E-2</v>
      </c>
    </row>
    <row r="1856" spans="1:3" hidden="1">
      <c r="A1856" s="3">
        <f>IF(AND(AND(ISNUMBER($B$1736),$B$1736&gt;0,$M$1736&lt;&gt;"Check inputs"),N($L$1736)&gt;0),0.308,-10)</f>
        <v>0.308</v>
      </c>
      <c r="B1856" s="3">
        <v>8.5000000000000006E-2</v>
      </c>
    </row>
    <row r="1857" spans="1:3" hidden="1"/>
    <row r="1858" spans="1:3" hidden="1">
      <c r="A1858" s="3" t="s">
        <v>170</v>
      </c>
      <c r="B1858" s="3" t="s">
        <v>158</v>
      </c>
      <c r="C1858" s="3" t="s">
        <v>159</v>
      </c>
    </row>
    <row r="1859" spans="1:3" hidden="1">
      <c r="A1859" s="3">
        <f>IF(AND(AND(ISNUMBER($B$1736),$B$1736&gt;0,$M$1736&lt;&gt;"Check inputs"),N($L$1736)&gt;0),0.4,-10)</f>
        <v>0.4</v>
      </c>
      <c r="B1859" s="3">
        <v>0.55000000000000004</v>
      </c>
    </row>
    <row r="1860" spans="1:3" hidden="1">
      <c r="A1860" s="3">
        <f>IF(AND(AND(ISNUMBER($B$1736),$B$1736&gt;0,$M$1736&lt;&gt;"Check inputs"),N($L$1736)&gt;0),0.4,-10)</f>
        <v>0.4</v>
      </c>
      <c r="B1860" s="3">
        <v>4.4999999999999998E-2</v>
      </c>
    </row>
    <row r="1861" spans="1:3" hidden="1">
      <c r="A1861" s="3">
        <f>IF(AND(AND(ISNUMBER($B$1736),$B$1736&gt;0,$M$1736&lt;&gt;"Check inputs"),N($L$1736)&gt;0),0.392,-10)</f>
        <v>0.39200000000000002</v>
      </c>
      <c r="B1861" s="3">
        <v>8.5000000000000006E-2</v>
      </c>
    </row>
    <row r="1862" spans="1:3" hidden="1">
      <c r="A1862" s="3">
        <f>IF(AND(AND(ISNUMBER($B$1736),$B$1736&gt;0,$M$1736&lt;&gt;"Check inputs"),N($L$1736)&gt;0),0.4,-10)</f>
        <v>0.4</v>
      </c>
      <c r="B1862" s="3">
        <v>4.4999999999999998E-2</v>
      </c>
    </row>
    <row r="1863" spans="1:3" hidden="1">
      <c r="A1863" s="3">
        <f>IF(AND(AND(ISNUMBER($B$1736),$B$1736&gt;0,$M$1736&lt;&gt;"Check inputs"),N($L$1736)&gt;0),0.408,-10)</f>
        <v>0.40799999999999997</v>
      </c>
      <c r="B1863" s="3">
        <v>8.5000000000000006E-2</v>
      </c>
    </row>
    <row r="1864" spans="1:3" hidden="1"/>
    <row r="1865" spans="1:3" hidden="1">
      <c r="A1865" s="3" t="s">
        <v>171</v>
      </c>
      <c r="B1865" s="3" t="s">
        <v>158</v>
      </c>
      <c r="C1865" s="3" t="s">
        <v>159</v>
      </c>
    </row>
    <row r="1866" spans="1:3" hidden="1">
      <c r="A1866" s="3">
        <f>IF(AND(AND(ISNUMBER($B$1736),$B$1736&gt;0,$M$1736&lt;&gt;"Check inputs"),N($L$1736)&gt;0),0.5,-10)</f>
        <v>0.5</v>
      </c>
      <c r="B1866" s="3">
        <v>0.55000000000000004</v>
      </c>
    </row>
    <row r="1867" spans="1:3" hidden="1">
      <c r="A1867" s="3">
        <f>IF(AND(AND(ISNUMBER($B$1736),$B$1736&gt;0,$M$1736&lt;&gt;"Check inputs"),N($L$1736)&gt;0),0.5,-10)</f>
        <v>0.5</v>
      </c>
      <c r="B1867" s="3">
        <v>4.4999999999999998E-2</v>
      </c>
    </row>
    <row r="1868" spans="1:3" hidden="1">
      <c r="A1868" s="3">
        <f>IF(AND(AND(ISNUMBER($B$1736),$B$1736&gt;0,$M$1736&lt;&gt;"Check inputs"),N($L$1736)&gt;0),0.492,-10)</f>
        <v>0.49199999999999999</v>
      </c>
      <c r="B1868" s="3">
        <v>8.5000000000000006E-2</v>
      </c>
    </row>
    <row r="1869" spans="1:3" hidden="1">
      <c r="A1869" s="3">
        <f>IF(AND(AND(ISNUMBER($B$1736),$B$1736&gt;0,$M$1736&lt;&gt;"Check inputs"),N($L$1736)&gt;0),0.5,-10)</f>
        <v>0.5</v>
      </c>
      <c r="B1869" s="3">
        <v>4.4999999999999998E-2</v>
      </c>
    </row>
    <row r="1870" spans="1:3" hidden="1">
      <c r="A1870" s="3">
        <f>IF(AND(AND(ISNUMBER($B$1736),$B$1736&gt;0,$M$1736&lt;&gt;"Check inputs"),N($L$1736)&gt;0),0.508,-10)</f>
        <v>0.50800000000000001</v>
      </c>
      <c r="B1870" s="3">
        <v>8.5000000000000006E-2</v>
      </c>
    </row>
    <row r="1871" spans="1:3" hidden="1"/>
    <row r="1872" spans="1:3" hidden="1">
      <c r="A1872" s="3" t="s">
        <v>172</v>
      </c>
      <c r="B1872" s="3" t="s">
        <v>158</v>
      </c>
      <c r="C1872" s="3" t="s">
        <v>159</v>
      </c>
    </row>
    <row r="1873" spans="1:3" hidden="1">
      <c r="A1873" s="3">
        <f>IF(AND(AND(ISNUMBER($B$1736),$B$1736&gt;0,$M$1736&lt;&gt;"Check inputs"),N($L$1736)&gt;0),0.6,-10)</f>
        <v>0.6</v>
      </c>
      <c r="B1873" s="3">
        <v>0.55000000000000004</v>
      </c>
    </row>
    <row r="1874" spans="1:3" hidden="1">
      <c r="A1874" s="3">
        <f>IF(AND(AND(ISNUMBER($B$1736),$B$1736&gt;0,$M$1736&lt;&gt;"Check inputs"),N($L$1736)&gt;0),0.6,-10)</f>
        <v>0.6</v>
      </c>
      <c r="B1874" s="3">
        <v>4.4999999999999998E-2</v>
      </c>
    </row>
    <row r="1875" spans="1:3" hidden="1">
      <c r="A1875" s="3">
        <f>IF(AND(AND(ISNUMBER($B$1736),$B$1736&gt;0,$M$1736&lt;&gt;"Check inputs"),N($L$1736)&gt;0),0.592,-10)</f>
        <v>0.59199999999999997</v>
      </c>
      <c r="B1875" s="3">
        <v>8.5000000000000006E-2</v>
      </c>
    </row>
    <row r="1876" spans="1:3" hidden="1">
      <c r="A1876" s="3">
        <f>IF(AND(AND(ISNUMBER($B$1736),$B$1736&gt;0,$M$1736&lt;&gt;"Check inputs"),N($L$1736)&gt;0),0.6,-10)</f>
        <v>0.6</v>
      </c>
      <c r="B1876" s="3">
        <v>4.4999999999999998E-2</v>
      </c>
    </row>
    <row r="1877" spans="1:3" hidden="1">
      <c r="A1877" s="3">
        <f>IF(AND(AND(ISNUMBER($B$1736),$B$1736&gt;0,$M$1736&lt;&gt;"Check inputs"),N($L$1736)&gt;0),0.608,-10)</f>
        <v>0.60799999999999998</v>
      </c>
      <c r="B1877" s="3">
        <v>8.5000000000000006E-2</v>
      </c>
    </row>
    <row r="1878" spans="1:3" hidden="1"/>
    <row r="1879" spans="1:3" hidden="1">
      <c r="A1879" s="3" t="s">
        <v>173</v>
      </c>
      <c r="B1879" s="3" t="s">
        <v>158</v>
      </c>
      <c r="C1879" s="3" t="s">
        <v>159</v>
      </c>
    </row>
    <row r="1880" spans="1:3" hidden="1">
      <c r="A1880" s="3">
        <f>IF(AND(AND(ISNUMBER($B$1736),$B$1736&gt;0,$M$1736&lt;&gt;"Check inputs"),N($L$1736)&gt;0),0.7,-10)</f>
        <v>0.7</v>
      </c>
      <c r="B1880" s="3">
        <v>0.55000000000000004</v>
      </c>
    </row>
    <row r="1881" spans="1:3" hidden="1">
      <c r="A1881" s="3">
        <f>IF(AND(AND(ISNUMBER($B$1736),$B$1736&gt;0,$M$1736&lt;&gt;"Check inputs"),N($L$1736)&gt;0),0.7,-10)</f>
        <v>0.7</v>
      </c>
      <c r="B1881" s="3">
        <v>4.4999999999999998E-2</v>
      </c>
    </row>
    <row r="1882" spans="1:3" hidden="1">
      <c r="A1882" s="3">
        <f>IF(AND(AND(ISNUMBER($B$1736),$B$1736&gt;0,$M$1736&lt;&gt;"Check inputs"),N($L$1736)&gt;0),0.692,-10)</f>
        <v>0.69199999999999995</v>
      </c>
      <c r="B1882" s="3">
        <v>8.5000000000000006E-2</v>
      </c>
    </row>
    <row r="1883" spans="1:3" hidden="1">
      <c r="A1883" s="3">
        <f>IF(AND(AND(ISNUMBER($B$1736),$B$1736&gt;0,$M$1736&lt;&gt;"Check inputs"),N($L$1736)&gt;0),0.7,-10)</f>
        <v>0.7</v>
      </c>
      <c r="B1883" s="3">
        <v>4.4999999999999998E-2</v>
      </c>
    </row>
    <row r="1884" spans="1:3" hidden="1">
      <c r="A1884" s="3">
        <f>IF(AND(AND(ISNUMBER($B$1736),$B$1736&gt;0,$M$1736&lt;&gt;"Check inputs"),N($L$1736)&gt;0),0.708,-10)</f>
        <v>0.70799999999999996</v>
      </c>
      <c r="B1884" s="3">
        <v>8.5000000000000006E-2</v>
      </c>
    </row>
    <row r="1885" spans="1:3" hidden="1"/>
    <row r="1886" spans="1:3" hidden="1">
      <c r="A1886" s="3" t="s">
        <v>174</v>
      </c>
      <c r="B1886" s="3" t="s">
        <v>158</v>
      </c>
      <c r="C1886" s="3" t="s">
        <v>159</v>
      </c>
    </row>
    <row r="1887" spans="1:3" hidden="1">
      <c r="A1887" s="3">
        <f>IF(AND(AND(ISNUMBER($B$1736),$B$1736&gt;0,$M$1736&lt;&gt;"Check inputs"),N($L$1736)&gt;0),0.8,-10)</f>
        <v>0.8</v>
      </c>
      <c r="B1887" s="3">
        <v>0.55000000000000004</v>
      </c>
    </row>
    <row r="1888" spans="1:3" hidden="1">
      <c r="A1888" s="3">
        <f>IF(AND(AND(ISNUMBER($B$1736),$B$1736&gt;0,$M$1736&lt;&gt;"Check inputs"),N($L$1736)&gt;0),0.8,-10)</f>
        <v>0.8</v>
      </c>
      <c r="B1888" s="3">
        <v>4.4999999999999998E-2</v>
      </c>
    </row>
    <row r="1889" spans="1:3" hidden="1">
      <c r="A1889" s="3">
        <f>IF(AND(AND(ISNUMBER($B$1736),$B$1736&gt;0,$M$1736&lt;&gt;"Check inputs"),N($L$1736)&gt;0),0.792,-10)</f>
        <v>0.79200000000000004</v>
      </c>
      <c r="B1889" s="3">
        <v>8.5000000000000006E-2</v>
      </c>
    </row>
    <row r="1890" spans="1:3" hidden="1">
      <c r="A1890" s="3">
        <f>IF(AND(AND(ISNUMBER($B$1736),$B$1736&gt;0,$M$1736&lt;&gt;"Check inputs"),N($L$1736)&gt;0),0.8,-10)</f>
        <v>0.8</v>
      </c>
      <c r="B1890" s="3">
        <v>4.4999999999999998E-2</v>
      </c>
    </row>
    <row r="1891" spans="1:3" hidden="1">
      <c r="A1891" s="3">
        <f>IF(AND(AND(ISNUMBER($B$1736),$B$1736&gt;0,$M$1736&lt;&gt;"Check inputs"),N($L$1736)&gt;0),0.808,-10)</f>
        <v>0.80800000000000005</v>
      </c>
      <c r="B1891" s="3">
        <v>8.5000000000000006E-2</v>
      </c>
    </row>
    <row r="1892" spans="1:3" hidden="1"/>
    <row r="1893" spans="1:3" hidden="1">
      <c r="A1893" s="3" t="s">
        <v>175</v>
      </c>
      <c r="B1893" s="3" t="s">
        <v>158</v>
      </c>
      <c r="C1893" s="3" t="s">
        <v>159</v>
      </c>
    </row>
    <row r="1894" spans="1:3" hidden="1">
      <c r="A1894" s="3">
        <f>IF(AND(AND(ISNUMBER($B$1736),$B$1736&gt;0,$M$1736&lt;&gt;"Check inputs"),N($L$1736)&gt;0),0.9,-10)</f>
        <v>0.9</v>
      </c>
      <c r="B1894" s="3">
        <v>0.55000000000000004</v>
      </c>
    </row>
    <row r="1895" spans="1:3" hidden="1">
      <c r="A1895" s="3">
        <f>IF(AND(AND(ISNUMBER($B$1736),$B$1736&gt;0,$M$1736&lt;&gt;"Check inputs"),N($L$1736)&gt;0),0.9,-10)</f>
        <v>0.9</v>
      </c>
      <c r="B1895" s="3">
        <v>4.4999999999999998E-2</v>
      </c>
    </row>
    <row r="1896" spans="1:3" hidden="1">
      <c r="A1896" s="3">
        <f>IF(AND(AND(ISNUMBER($B$1736),$B$1736&gt;0,$M$1736&lt;&gt;"Check inputs"),N($L$1736)&gt;0),0.892,-10)</f>
        <v>0.89200000000000002</v>
      </c>
      <c r="B1896" s="3">
        <v>8.5000000000000006E-2</v>
      </c>
    </row>
    <row r="1897" spans="1:3" hidden="1">
      <c r="A1897" s="3">
        <f>IF(AND(AND(ISNUMBER($B$1736),$B$1736&gt;0,$M$1736&lt;&gt;"Check inputs"),N($L$1736)&gt;0),0.9,-10)</f>
        <v>0.9</v>
      </c>
      <c r="B1897" s="3">
        <v>4.4999999999999998E-2</v>
      </c>
    </row>
    <row r="1898" spans="1:3" hidden="1">
      <c r="A1898" s="3">
        <f>IF(AND(AND(ISNUMBER($B$1736),$B$1736&gt;0,$M$1736&lt;&gt;"Check inputs"),N($L$1736)&gt;0),0.908,-10)</f>
        <v>0.90800000000000003</v>
      </c>
      <c r="B1898" s="3">
        <v>8.5000000000000006E-2</v>
      </c>
    </row>
    <row r="1899" spans="1:3" hidden="1"/>
    <row r="1900" spans="1:3" hidden="1">
      <c r="A1900" s="3" t="s">
        <v>176</v>
      </c>
      <c r="B1900" s="3" t="s">
        <v>158</v>
      </c>
      <c r="C1900" s="3" t="s">
        <v>159</v>
      </c>
    </row>
    <row r="1901" spans="1:3" hidden="1">
      <c r="A1901" s="3">
        <f>IF(AND(AND(ISNUMBER($B$1736),$B$1736&gt;0,$M$1736&lt;&gt;"Check inputs"),N($L$1736)&gt;0),1,-10)</f>
        <v>1</v>
      </c>
      <c r="B1901" s="3">
        <v>0.55000000000000004</v>
      </c>
    </row>
    <row r="1902" spans="1:3" hidden="1">
      <c r="A1902" s="3">
        <f>IF(AND(AND(ISNUMBER($B$1736),$B$1736&gt;0,$M$1736&lt;&gt;"Check inputs"),N($L$1736)&gt;0),1,-10)</f>
        <v>1</v>
      </c>
      <c r="B1902" s="3">
        <v>4.4999999999999998E-2</v>
      </c>
    </row>
    <row r="1903" spans="1:3" hidden="1">
      <c r="A1903" s="3">
        <f>IF(AND(AND(ISNUMBER($B$1736),$B$1736&gt;0,$M$1736&lt;&gt;"Check inputs"),N($L$1736)&gt;0),0.992,-10)</f>
        <v>0.99199999999999999</v>
      </c>
      <c r="B1903" s="3">
        <v>8.5000000000000006E-2</v>
      </c>
    </row>
    <row r="1904" spans="1:3" hidden="1">
      <c r="A1904" s="3">
        <f>IF(AND(AND(ISNUMBER($B$1736),$B$1736&gt;0,$M$1736&lt;&gt;"Check inputs"),N($L$1736)&gt;0),1,-10)</f>
        <v>1</v>
      </c>
      <c r="B1904" s="3">
        <v>4.4999999999999998E-2</v>
      </c>
    </row>
    <row r="1905" spans="1:3" hidden="1">
      <c r="A1905" s="3">
        <f>IF(AND(AND(ISNUMBER($B$1736),$B$1736&gt;0,$M$1736&lt;&gt;"Check inputs"),N($L$1736)&gt;0),1.008,-10)</f>
        <v>1.008</v>
      </c>
      <c r="B1905" s="3">
        <v>8.5000000000000006E-2</v>
      </c>
    </row>
    <row r="1906" spans="1:3" hidden="1"/>
    <row r="1907" spans="1:3" hidden="1">
      <c r="A1907" s="3" t="s">
        <v>177</v>
      </c>
      <c r="B1907" s="3" t="s">
        <v>158</v>
      </c>
      <c r="C1907" s="3" t="s">
        <v>159</v>
      </c>
    </row>
    <row r="1908" spans="1:3" hidden="1">
      <c r="A1908" s="3">
        <f>IF(AND(ISNUMBER($B$1736),$B$1736&gt;0,$M$1736&lt;&gt;"Check inputs"),0.5,-10)</f>
        <v>0.5</v>
      </c>
      <c r="B1908" s="3">
        <f>-0.62</f>
        <v>-0.62</v>
      </c>
      <c r="C1908" s="3" t="str">
        <f>IF(AND(ISNUMBER($B$1736),$B$1736&gt;0,$M$1736&lt;&gt;"Check inputs"),"Span = "&amp;TEXT(B1736,"0.00")&amp;" m","")</f>
        <v>Span = 2.50 m</v>
      </c>
    </row>
    <row r="1909" spans="1:3" hidden="1">
      <c r="A1909" s="3">
        <f>IF(AND(ISNUMBER($B$1736),$B$1736&gt;0,$M$1736&lt;&gt;"Check inputs"),0,-10)</f>
        <v>0</v>
      </c>
      <c r="B1909" s="3">
        <f>-0.62</f>
        <v>-0.62</v>
      </c>
    </row>
    <row r="1910" spans="1:3" hidden="1">
      <c r="A1910" s="3">
        <f>IF(AND(ISNUMBER($B$1736),$B$1736&gt;0,$M$1736&lt;&gt;"Check inputs"),0.014,-10)</f>
        <v>1.4E-2</v>
      </c>
      <c r="B1910" s="3">
        <f>-0.595</f>
        <v>-0.59499999999999997</v>
      </c>
    </row>
    <row r="1911" spans="1:3" hidden="1">
      <c r="A1911" s="3">
        <f>IF(AND(ISNUMBER($B$1736),$B$1736&gt;0,$M$1736&lt;&gt;"Check inputs"),0,-10)</f>
        <v>0</v>
      </c>
      <c r="B1911" s="3">
        <f>-0.62</f>
        <v>-0.62</v>
      </c>
    </row>
    <row r="1912" spans="1:3" hidden="1">
      <c r="A1912" s="3">
        <f>IF(AND(ISNUMBER($B$1736),$B$1736&gt;0,$M$1736&lt;&gt;"Check inputs"),0.014,-10)</f>
        <v>1.4E-2</v>
      </c>
      <c r="B1912" s="3">
        <f>-0.645</f>
        <v>-0.64500000000000002</v>
      </c>
    </row>
    <row r="1913" spans="1:3" hidden="1">
      <c r="A1913" s="3">
        <f>IF(AND(ISNUMBER($B$1736),$B$1736&gt;0,$M$1736&lt;&gt;"Check inputs"),0,-10)</f>
        <v>0</v>
      </c>
      <c r="B1913" s="3">
        <f>-0.62</f>
        <v>-0.62</v>
      </c>
    </row>
    <row r="1914" spans="1:3" hidden="1">
      <c r="A1914" s="3">
        <f>IF(AND(ISNUMBER($B$1736),$B$1736&gt;0,$M$1736&lt;&gt;"Check inputs"),1,-10)</f>
        <v>1</v>
      </c>
      <c r="B1914" s="3">
        <f>-0.62</f>
        <v>-0.62</v>
      </c>
    </row>
    <row r="1915" spans="1:3" hidden="1">
      <c r="A1915" s="3">
        <f>IF(AND(ISNUMBER($B$1736),$B$1736&gt;0,$M$1736&lt;&gt;"Check inputs"),0.986,-10)</f>
        <v>0.98599999999999999</v>
      </c>
      <c r="B1915" s="3">
        <f>-0.595</f>
        <v>-0.59499999999999997</v>
      </c>
    </row>
    <row r="1916" spans="1:3" hidden="1">
      <c r="A1916" s="3">
        <f>IF(AND(ISNUMBER($B$1736),$B$1736&gt;0,$M$1736&lt;&gt;"Check inputs"),1,-10)</f>
        <v>1</v>
      </c>
      <c r="B1916" s="3">
        <f>-0.62</f>
        <v>-0.62</v>
      </c>
    </row>
    <row r="1917" spans="1:3" hidden="1">
      <c r="A1917" s="3">
        <f>IF(AND(ISNUMBER($B$1736),$B$1736&gt;0,$M$1736&lt;&gt;"Check inputs"),0.986,-10)</f>
        <v>0.98599999999999999</v>
      </c>
      <c r="B1917" s="3">
        <f>-0.645</f>
        <v>-0.64500000000000002</v>
      </c>
    </row>
    <row r="1918" spans="1:3" hidden="1"/>
    <row r="1919" spans="1:3" hidden="1">
      <c r="A1919" s="3" t="s">
        <v>178</v>
      </c>
      <c r="B1919" s="3" t="s">
        <v>158</v>
      </c>
      <c r="C1919" s="3" t="s">
        <v>159</v>
      </c>
    </row>
    <row r="1920" spans="1:3" hidden="1">
      <c r="A1920" s="3">
        <f>IF(AND(ISNUMBER($B$1736),$B$1736&gt;0,$M$1736&lt;&gt;"Check inputs"),0,-10)</f>
        <v>0</v>
      </c>
      <c r="B1920" s="3">
        <f>-0.18</f>
        <v>-0.18</v>
      </c>
    </row>
    <row r="1921" spans="1:3" hidden="1">
      <c r="A1921" s="3">
        <f>IF(AND(ISNUMBER($B$1736),$B$1736&gt;0,$M$1736&lt;&gt;"Check inputs"),0,-10)</f>
        <v>0</v>
      </c>
      <c r="B1921" s="3">
        <f>-0.68</f>
        <v>-0.68</v>
      </c>
    </row>
    <row r="1922" spans="1:3" hidden="1"/>
    <row r="1923" spans="1:3" hidden="1">
      <c r="A1923" s="3" t="s">
        <v>179</v>
      </c>
      <c r="B1923" s="3" t="s">
        <v>158</v>
      </c>
      <c r="C1923" s="3" t="s">
        <v>159</v>
      </c>
    </row>
    <row r="1924" spans="1:3" hidden="1">
      <c r="A1924" s="3">
        <f>IF(AND(ISNUMBER($B$1736),$B$1736&gt;0,$M$1736&lt;&gt;"Check inputs"),1,-10)</f>
        <v>1</v>
      </c>
      <c r="B1924" s="3">
        <f>-0.18</f>
        <v>-0.18</v>
      </c>
    </row>
    <row r="1925" spans="1:3" hidden="1">
      <c r="A1925" s="3">
        <f>IF(AND(ISNUMBER($B$1736),$B$1736&gt;0,$M$1736&lt;&gt;"Check inputs"),1,-10)</f>
        <v>1</v>
      </c>
      <c r="B1925" s="3">
        <f>-0.68</f>
        <v>-0.68</v>
      </c>
    </row>
    <row r="1926" spans="1:3" hidden="1"/>
    <row r="1927" spans="1:3" hidden="1"/>
    <row r="1928" spans="1:3" hidden="1"/>
    <row r="1929" spans="1:3" hidden="1"/>
    <row r="1930" spans="1:3" hidden="1"/>
    <row r="1931" spans="1:3" hidden="1"/>
    <row r="1932" spans="1:3" hidden="1"/>
    <row r="1933" spans="1:3" hidden="1"/>
    <row r="1934" spans="1:3" hidden="1"/>
    <row r="1935" spans="1:3" hidden="1"/>
    <row r="1936" spans="1:3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spans="1:9" hidden="1"/>
    <row r="2050" spans="1:9" hidden="1"/>
    <row r="2051" spans="1:9" hidden="1"/>
    <row r="2052" spans="1:9" hidden="1"/>
    <row r="2053" spans="1:9" hidden="1">
      <c r="A2053" s="36" t="s">
        <v>366</v>
      </c>
      <c r="B2053" s="36" t="s">
        <v>367</v>
      </c>
      <c r="C2053" s="36" t="s">
        <v>368</v>
      </c>
    </row>
    <row r="2054" spans="1:9" hidden="1">
      <c r="A2054" s="36" t="s">
        <v>369</v>
      </c>
      <c r="B2054" s="36" t="str">
        <f>IF(TRIM('Steel Beam Design'!D16)="","",IFERROR('Steel Beam Design'!$D$7006,""))</f>
        <v>S355</v>
      </c>
      <c r="C2054" s="36" t="str">
        <f>IF(TRIM('Steel Beam Design'!D17)="","",IFERROR('Steel Beam Design'!$D$7006,""))</f>
        <v>S355</v>
      </c>
      <c r="E2054" s="3" t="str">
        <f>IF(TRIM('Steel Beam Design'!D16)="","",IFERROR('Steel Beam Design'!$D$7006,""))</f>
        <v>S355</v>
      </c>
      <c r="F2054" s="3" t="str">
        <f>IF(TRIM('Steel Beam Design'!D17)="","",IFERROR('Steel Beam Design'!$D$7006,""))</f>
        <v>S355</v>
      </c>
      <c r="H2054" s="3" t="str">
        <f>IF(TRIM('Steel Beam Design'!D16)="","",IFERROR('Steel Beam Design'!$D$7006,""))</f>
        <v>S355</v>
      </c>
      <c r="I2054" s="3" t="str">
        <f>IF(TRIM('Steel Beam Design'!D17)="","",IFERROR('Steel Beam Design'!$D$7006,""))</f>
        <v>S355</v>
      </c>
    </row>
    <row r="2055" spans="1:9" hidden="1">
      <c r="A2055" s="36" t="s">
        <v>370</v>
      </c>
      <c r="B2055" s="36">
        <f>IF(TRIM('Steel Beam Design'!D16)="","",IFERROR(MAX(VLOOKUP('Steel Beam Design'!$D$16,'Section Data'!$B$5:$AC$35,5,FALSE),VLOOKUP('Steel Beam Design'!$D$16,'Section Data'!$B$5:$AC$35,6,FALSE)),""))</f>
        <v>12.5</v>
      </c>
      <c r="C2055" s="36">
        <f>IF(TRIM('Steel Beam Design'!D17)="","",IFERROR(MAX(VLOOKUP('Steel Beam Design'!$D$17,'Section Data'!$B$36:$AC$107,5,FALSE),VLOOKUP('Steel Beam Design'!$D$17,'Section Data'!$B$36:$AC$107,6,FALSE)),""))</f>
        <v>8.4</v>
      </c>
      <c r="E2055" s="3">
        <f>IF(TRIM('Steel Beam Design'!D16)="","",IFERROR(MAX(VLOOKUP('Steel Beam Design'!$D$16,'Section Data'!$B$5:$AC$35,5,FALSE),VLOOKUP('Steel Beam Design'!$D$16,'Section Data'!$B$5:$AC$35,6,FALSE)),""))</f>
        <v>12.5</v>
      </c>
      <c r="F2055" s="3">
        <f>IF(TRIM('Steel Beam Design'!D17)="","",IFERROR(MAX(VLOOKUP('Steel Beam Design'!$D$17,'Section Data'!$B$36:$AC$107,5,FALSE),VLOOKUP('Steel Beam Design'!$D$17,'Section Data'!$B$36:$AC$107,6,FALSE)),""))</f>
        <v>8.4</v>
      </c>
      <c r="H2055" s="3">
        <f>IF(TRIM('Steel Beam Design'!D16)="","",IFERROR(MAX(VLOOKUP('Steel Beam Design'!$D$16,'Section Data'!$B$5:$AC$35,5,FALSE),VLOOKUP('Steel Beam Design'!$D$16,'Section Data'!$B$5:$AC$35,6,FALSE)),""))</f>
        <v>12.5</v>
      </c>
      <c r="I2055" s="3">
        <f>IF(TRIM('Steel Beam Design'!D17)="","",IFERROR(MAX(VLOOKUP('Steel Beam Design'!$D$17,'Section Data'!$B$36:$AC$107,5,FALSE),VLOOKUP('Steel Beam Design'!$D$17,'Section Data'!$B$36:$AC$107,6,FALSE)),""))</f>
        <v>8.4</v>
      </c>
    </row>
    <row r="2056" spans="1:9" hidden="1">
      <c r="A2056" s="36" t="s">
        <v>371</v>
      </c>
      <c r="B2056" s="36">
        <f>IF(TRIM('Steel Beam Design'!D16)="","",IFERROR(IF(B2055&gt;150,"",INDEX('Section Data'!$AH$5:$AK$10,IF(B2055&lt;=16,1,IF(B2055&lt;=40,2,IF(B2055&lt;=63,3,IF(B2055&lt;=80,4,IF(B2055&lt;=100,5,6))))),MATCH(B2054,'Section Data'!$AH$4:$AK$4,0))),""))</f>
        <v>355</v>
      </c>
      <c r="C2056" s="36">
        <f>IF(TRIM('Steel Beam Design'!D17)="","",IFERROR(IF(C2055&gt;150,"",INDEX('Section Data'!$AH$5:$AK$10,IF(C2055&lt;=16,1,IF(C2055&lt;=40,2,IF(C2055&lt;=63,3,IF(C2055&lt;=80,4,IF(C2055&lt;=100,5,6))))),MATCH(C2054,'Section Data'!$AH$4:$AK$4,0))),""))</f>
        <v>355</v>
      </c>
      <c r="E2056" s="3">
        <f>IF(TRIM('Steel Beam Design'!D16)="","",IFERROR(IF(E2055&gt;150,"",INDEX('Section Data'!$AH$5:$AK$10,IF(E2055&lt;=16,1,IF(E2055&lt;=40,2,IF(E2055&lt;=63,3,IF(E2055&lt;=80,4,IF(E2055&lt;=100,5,6))))),MATCH(E2054,'Section Data'!$AH$4:$AK$4,0))),""))</f>
        <v>355</v>
      </c>
      <c r="F2056" s="3">
        <f>IF(TRIM('Steel Beam Design'!D17)="","",IFERROR(IF(F2055&gt;150,"",INDEX('Section Data'!$AH$5:$AK$10,IF(F2055&lt;=16,1,IF(F2055&lt;=40,2,IF(F2055&lt;=63,3,IF(F2055&lt;=80,4,IF(F2055&lt;=100,5,6))))),MATCH(F2054,'Section Data'!$AH$4:$AK$4,0))),""))</f>
        <v>355</v>
      </c>
      <c r="H2056" s="3">
        <f>IF(TRIM('Steel Beam Design'!D16)="","",IFERROR(IF(H2055&gt;150,"",INDEX('Section Data'!$AH$5:$AK$10,IF(H2055&lt;=16,1,IF(H2055&lt;=40,2,IF(H2055&lt;=63,3,IF(H2055&lt;=80,4,IF(H2055&lt;=100,5,6))))),MATCH(H2054,'Section Data'!$AH$4:$AK$4,0))),""))</f>
        <v>355</v>
      </c>
      <c r="I2056" s="3">
        <f>IF(TRIM('Steel Beam Design'!D17)="","",IFERROR(IF(I2055&gt;150,"",INDEX('Section Data'!$AH$5:$AK$10,IF(I2055&lt;=16,1,IF(I2055&lt;=40,2,IF(I2055&lt;=63,3,IF(I2055&lt;=80,4,IF(I2055&lt;=100,5,6))))),MATCH(I2054,'Section Data'!$AH$4:$AK$4,0))),""))</f>
        <v>355</v>
      </c>
    </row>
    <row r="2057" spans="1:9" hidden="1">
      <c r="A2057" s="36" t="s">
        <v>372</v>
      </c>
      <c r="B2057" s="36">
        <f>IF(ISNUMBER(B2056),IF(B2056&gt;0,SQRT(275/B2056),""),"")</f>
        <v>0.88014083380101371</v>
      </c>
      <c r="C2057" s="36">
        <f>IF(ISNUMBER(C2056),IF(C2056&gt;0,SQRT(275/C2056),""),"")</f>
        <v>0.88014083380101371</v>
      </c>
      <c r="E2057" s="3">
        <f>IF(ISNUMBER(E2056),IF(E2056&gt;0,SQRT(275/E2056),""),"")</f>
        <v>0.88014083380101371</v>
      </c>
      <c r="F2057" s="3">
        <f>IF(ISNUMBER(F2056),IF(F2056&gt;0,SQRT(275/F2056),""),"")</f>
        <v>0.88014083380101371</v>
      </c>
      <c r="H2057" s="3">
        <f>IF(ISNUMBER(H2056),IF(H2056&gt;0,SQRT(275/H2056),""),"")</f>
        <v>0.88014083380101371</v>
      </c>
      <c r="I2057" s="3">
        <f>IF(ISNUMBER(I2056),IF(I2056&gt;0,SQRT(275/I2056),""),"")</f>
        <v>0.88014083380101371</v>
      </c>
    </row>
    <row r="2058" spans="1:9" hidden="1">
      <c r="A2058" s="36" t="s">
        <v>196</v>
      </c>
      <c r="B2058" s="36">
        <f>IF(TRIM('Steel Beam Design'!D16)="","",IFERROR(VLOOKUP('Steel Beam Design'!$D$16,'Section Data'!$B$5:$AC$35,9,FALSE),""))</f>
        <v>8.17</v>
      </c>
      <c r="C2058" s="36">
        <f>IF(TRIM('Steel Beam Design'!D17)="","",IFERROR(VLOOKUP('Steel Beam Design'!$D$17,'Section Data'!$B$36:$AC$107,9,FALSE),""))</f>
        <v>6.07</v>
      </c>
      <c r="E2058" s="3">
        <f>IF(TRIM('Steel Beam Design'!D16)="","",IFERROR(VLOOKUP('Steel Beam Design'!$D$16,'Section Data'!$B$5:$AC$35,9,FALSE),""))</f>
        <v>8.17</v>
      </c>
      <c r="F2058" s="3">
        <f>IF(TRIM('Steel Beam Design'!D17)="","",IFERROR(VLOOKUP('Steel Beam Design'!$D$17,'Section Data'!$B$36:$AC$107,9,FALSE),""))</f>
        <v>6.07</v>
      </c>
      <c r="H2058" s="3">
        <f>IF(TRIM('Steel Beam Design'!D16)="","",IFERROR(VLOOKUP('Steel Beam Design'!$D$16,'Section Data'!$B$5:$AC$35,9,FALSE),""))</f>
        <v>8.17</v>
      </c>
      <c r="I2058" s="3">
        <f>IF(TRIM('Steel Beam Design'!D17)="","",IFERROR(VLOOKUP('Steel Beam Design'!$D$17,'Section Data'!$B$36:$AC$107,9,FALSE),""))</f>
        <v>6.07</v>
      </c>
    </row>
    <row r="2059" spans="1:9" hidden="1">
      <c r="A2059" s="36" t="s">
        <v>197</v>
      </c>
      <c r="B2059" s="36">
        <f>IF(TRIM('Steel Beam Design'!D16)="","",IFERROR(VLOOKUP('Steel Beam Design'!$D$16,'Section Data'!$B$5:$AC$35,10,FALSE),""))</f>
        <v>20.350000000000001</v>
      </c>
      <c r="C2059" s="36">
        <f>IF(TRIM('Steel Beam Design'!D17)="","",IFERROR(VLOOKUP('Steel Beam Design'!$D$17,'Section Data'!$B$36:$AC$107,10,FALSE),""))</f>
        <v>37.5</v>
      </c>
      <c r="E2059" s="3">
        <f>IF(TRIM('Steel Beam Design'!D16)="","",IFERROR(VLOOKUP('Steel Beam Design'!$D$16,'Section Data'!$B$5:$AC$35,10,FALSE),""))</f>
        <v>20.350000000000001</v>
      </c>
      <c r="F2059" s="3">
        <f>IF(TRIM('Steel Beam Design'!D17)="","",IFERROR(VLOOKUP('Steel Beam Design'!$D$17,'Section Data'!$B$36:$AC$107,10,FALSE),""))</f>
        <v>37.5</v>
      </c>
      <c r="H2059" s="3">
        <f>IF(TRIM('Steel Beam Design'!D16)="","",IFERROR(VLOOKUP('Steel Beam Design'!$D$16,'Section Data'!$B$5:$AC$35,10,FALSE),""))</f>
        <v>20.350000000000001</v>
      </c>
      <c r="I2059" s="3">
        <f>IF(TRIM('Steel Beam Design'!D17)="","",IFERROR(VLOOKUP('Steel Beam Design'!$D$17,'Section Data'!$B$36:$AC$107,10,FALSE),""))</f>
        <v>37.5</v>
      </c>
    </row>
    <row r="2060" spans="1:9" hidden="1">
      <c r="A2060" s="36" t="s">
        <v>373</v>
      </c>
      <c r="B2060" s="36">
        <f>IF(COUNT(B2058,B2057)=2,IF(B2058&lt;=8*B2057,8,IF(B2058&lt;=9*B2057,9,13)),"")</f>
        <v>13</v>
      </c>
      <c r="C2060" s="36">
        <f>IF(COUNT(C2058,C2057)=2,IF(C2058&lt;=8*C2057,8,IF(C2058&lt;=9*C2057,9,13)),"")</f>
        <v>8</v>
      </c>
      <c r="E2060" s="3">
        <f>IF(COUNT(E2058,E2057)=2,IF(E2058&lt;=8*E2057,8,IF(E2058&lt;=9*E2057,9,13)),"")</f>
        <v>13</v>
      </c>
      <c r="F2060" s="3">
        <f>IF(COUNT(F2058,F2057)=2,IF(F2058&lt;=8*F2057,8,IF(F2058&lt;=9*F2057,9,13)),"")</f>
        <v>8</v>
      </c>
      <c r="H2060" s="3">
        <f>IF(COUNT(H2058,H2057)=2,IF(H2058&lt;=8*H2057,8,IF(H2058&lt;=9*H2057,9,13)),"")</f>
        <v>13</v>
      </c>
      <c r="I2060" s="3">
        <f>IF(COUNT(I2058,I2057)=2,IF(I2058&lt;=8*I2057,8,IF(I2058&lt;=9*I2057,9,13)),"")</f>
        <v>8</v>
      </c>
    </row>
    <row r="2061" spans="1:9" hidden="1">
      <c r="A2061" s="36" t="s">
        <v>374</v>
      </c>
      <c r="B2061" s="36">
        <f>IF(COUNT(B2059,B2057)=2,IF(B2059&lt;=80*B2057,80,IF(B2059&lt;=100*B2057,100,120)),"")</f>
        <v>80</v>
      </c>
      <c r="C2061" s="36">
        <f>IF(COUNT(C2059,C2057)=2,IF(C2059&lt;=80*C2057,80,IF(C2059&lt;=100*C2057,100,120)),"")</f>
        <v>80</v>
      </c>
      <c r="E2061" s="3">
        <f>IF(COUNT(E2059,E2057)=2,IF(E2059&lt;=80*E2057,80,IF(E2059&lt;=100*E2057,100,120)),"")</f>
        <v>80</v>
      </c>
      <c r="F2061" s="3">
        <f>IF(COUNT(F2059,F2057)=2,IF(F2059&lt;=80*F2057,80,IF(F2059&lt;=100*F2057,100,120)),"")</f>
        <v>80</v>
      </c>
      <c r="H2061" s="3">
        <f>IF(COUNT(H2059,H2057)=2,IF(H2059&lt;=80*H2057,80,IF(H2059&lt;=100*H2057,100,120)),"")</f>
        <v>80</v>
      </c>
      <c r="I2061" s="3">
        <f>IF(COUNT(I2059,I2057)=2,IF(I2059&lt;=80*I2057,80,IF(I2059&lt;=100*I2057,100,120)),"")</f>
        <v>80</v>
      </c>
    </row>
    <row r="2062" spans="1:9" hidden="1">
      <c r="A2062" s="36" t="s">
        <v>375</v>
      </c>
      <c r="B2062" s="36">
        <f>IF(TRIM('Steel Beam Design'!D16)="","",IFERROR(VLOOKUP('Steel Beam Design'!$D$16,'Section Data'!$B$5:$AC$35,5,FALSE)*VLOOKUP('Steel Beam Design'!$D$16,'Section Data'!$B$5:$AC$35,3,FALSE),""))</f>
        <v>1628.98</v>
      </c>
      <c r="C2062" s="36">
        <f>IF(TRIM('Steel Beam Design'!D17)="","",IFERROR(VLOOKUP('Steel Beam Design'!$D$17,'Section Data'!$B$36:$AC$107,5,FALSE)*VLOOKUP('Steel Beam Design'!$D$17,'Section Data'!$B$36:$AC$107,3,FALSE),""))</f>
        <v>1543.1999999999998</v>
      </c>
      <c r="E2062" s="3">
        <f>IF(TRIM('Steel Beam Design'!D16)="","",IFERROR(VLOOKUP('Steel Beam Design'!$D$16,'Section Data'!$B$5:$AC$35,5,FALSE)*VLOOKUP('Steel Beam Design'!$D$16,'Section Data'!$B$5:$AC$35,3,FALSE),""))</f>
        <v>1628.98</v>
      </c>
      <c r="F2062" s="3">
        <f>IF(TRIM('Steel Beam Design'!D17)="","",IFERROR(VLOOKUP('Steel Beam Design'!$D$17,'Section Data'!$B$36:$AC$107,5,FALSE)*VLOOKUP('Steel Beam Design'!$D$17,'Section Data'!$B$36:$AC$107,3,FALSE),""))</f>
        <v>1543.1999999999998</v>
      </c>
      <c r="H2062" s="3">
        <f>IF(TRIM('Steel Beam Design'!D16)="","",IFERROR(VLOOKUP('Steel Beam Design'!$D$16,'Section Data'!$B$5:$AC$35,5,FALSE)*VLOOKUP('Steel Beam Design'!$D$16,'Section Data'!$B$5:$AC$35,3,FALSE),""))</f>
        <v>1628.98</v>
      </c>
      <c r="I2062" s="3">
        <f>IF(TRIM('Steel Beam Design'!D17)="","",IFERROR(VLOOKUP('Steel Beam Design'!$D$17,'Section Data'!$B$36:$AC$107,5,FALSE)*VLOOKUP('Steel Beam Design'!$D$17,'Section Data'!$B$36:$AC$107,3,FALSE),""))</f>
        <v>1543.1999999999998</v>
      </c>
    </row>
    <row r="2063" spans="1:9" hidden="1">
      <c r="A2063" s="36" t="s">
        <v>376</v>
      </c>
      <c r="B2063" s="36">
        <f>IF(TRIM('Steel Beam Design'!D16)="","",IFERROR(B2056*B2062/SQRT(3)/1000,""))</f>
        <v>333.87467473410345</v>
      </c>
      <c r="C2063" s="36">
        <f>IF(TRIM('Steel Beam Design'!D17)="","",IFERROR(C2056*C2062/SQRT(3)/1000,""))</f>
        <v>316.29326207176774</v>
      </c>
      <c r="E2063" s="3">
        <f>IF(TRIM('Steel Beam Design'!D16)="","",IFERROR(E2056*E2062/SQRT(3)/1000,""))</f>
        <v>333.87467473410345</v>
      </c>
      <c r="F2063" s="3">
        <f>IF(TRIM('Steel Beam Design'!D17)="","",IFERROR(F2056*F2062/SQRT(3)/1000,""))</f>
        <v>316.29326207176774</v>
      </c>
      <c r="H2063" s="3">
        <f>IF(TRIM('Steel Beam Design'!D16)="","",IFERROR(H2056*H2062/SQRT(3)/1000,""))</f>
        <v>333.87467473410345</v>
      </c>
      <c r="I2063" s="3">
        <f>IF(TRIM('Steel Beam Design'!D17)="","",IFERROR(I2056*I2062/SQRT(3)/1000,""))</f>
        <v>316.29326207176774</v>
      </c>
    </row>
    <row r="2064" spans="1:9" hidden="1">
      <c r="A2064" s="36" t="s">
        <v>377</v>
      </c>
      <c r="B2064" s="36">
        <f>B3511</f>
        <v>111.25</v>
      </c>
      <c r="C2064" s="36">
        <f>B3511</f>
        <v>111.25</v>
      </c>
      <c r="E2064" s="3">
        <f>B4511</f>
        <v>55.624999999999993</v>
      </c>
      <c r="F2064" s="3">
        <f>B4511</f>
        <v>55.624999999999993</v>
      </c>
      <c r="H2064" s="3">
        <f>IF(B7086,IF(H4=90,H6*N(D28),0)+N(N28)*N(B28)+N(R28),0)</f>
        <v>0</v>
      </c>
      <c r="I2064" s="3">
        <f>IF(B7086,IF(H4=90,H6*N(D28),0)+N(N28)*N(B28)+N(R28),0)</f>
        <v>0</v>
      </c>
    </row>
    <row r="2065" spans="1:9" hidden="1">
      <c r="A2065" s="36" t="s">
        <v>378</v>
      </c>
      <c r="B2065" s="36">
        <f>IF(AND(ISNUMBER(B2063),B2063&gt;0),IF(B2064&lt;=0.6*B2063,0,(2*B2064/B2063-1)^2),"")</f>
        <v>0</v>
      </c>
      <c r="C2065" s="36">
        <f>IF(AND(ISNUMBER(C2063),C2063&gt;0),IF(C2064&lt;=0.6*C2063,0,(2*C2064/C2063-1)^2),"")</f>
        <v>0</v>
      </c>
      <c r="E2065" s="3">
        <f>IF(AND(ISNUMBER(E2063),E2063&gt;0),IF(E2064&lt;=0.6*E2063,0,(2*E2064/E2063-1)^2),"")</f>
        <v>0</v>
      </c>
      <c r="F2065" s="3">
        <f>IF(AND(ISNUMBER(F2063),F2063&gt;0),IF(F2064&lt;=0.6*F2063,0,(2*F2064/F2063-1)^2),"")</f>
        <v>0</v>
      </c>
      <c r="H2065" s="3">
        <f>IF(AND(ISNUMBER(H2063),H2063&gt;0),IF(H2064&lt;=0.6*H2063,0,(2*H2064/H2063-1)^2),"")</f>
        <v>0</v>
      </c>
      <c r="I2065" s="3">
        <f>IF(AND(ISNUMBER(I2063),I2063&gt;0),IF(I2064&lt;=0.6*I2063,0,(2*I2064/I2063-1)^2),"")</f>
        <v>0</v>
      </c>
    </row>
    <row r="2066" spans="1:9" hidden="1">
      <c r="A2066" s="36" t="s">
        <v>207</v>
      </c>
      <c r="B2066" s="36">
        <f>IF(TRIM('Steel Beam Design'!D16)="","",IFERROR(VLOOKUP('Steel Beam Design'!$D$16,'Section Data'!$B$5:$AC$35,20,FALSE),""))</f>
        <v>510</v>
      </c>
      <c r="C2066" s="36">
        <f>IF(TRIM('Steel Beam Design'!D17)="","",IFERROR(VLOOKUP('Steel Beam Design'!$D$17,'Section Data'!$B$36:$AC$107,20,FALSE),""))</f>
        <v>266</v>
      </c>
      <c r="E2066" s="3">
        <f>IF(TRIM('Steel Beam Design'!D16)="","",IFERROR(VLOOKUP('Steel Beam Design'!$D$16,'Section Data'!$B$5:$AC$35,20,FALSE),""))</f>
        <v>510</v>
      </c>
      <c r="F2066" s="3">
        <f>IF(TRIM('Steel Beam Design'!D17)="","",IFERROR(VLOOKUP('Steel Beam Design'!$D$17,'Section Data'!$B$36:$AC$107,20,FALSE),""))</f>
        <v>266</v>
      </c>
      <c r="H2066" s="3">
        <f>IF(TRIM('Steel Beam Design'!D16)="","",IFERROR(VLOOKUP('Steel Beam Design'!$D$16,'Section Data'!$B$5:$AC$35,20,FALSE),""))</f>
        <v>510</v>
      </c>
      <c r="I2066" s="3">
        <f>IF(TRIM('Steel Beam Design'!D17)="","",IFERROR(VLOOKUP('Steel Beam Design'!$D$17,'Section Data'!$B$36:$AC$107,20,FALSE),""))</f>
        <v>266</v>
      </c>
    </row>
    <row r="2067" spans="1:9" hidden="1">
      <c r="A2067" s="36" t="s">
        <v>208</v>
      </c>
      <c r="B2067" s="36">
        <f>IF(TRIM('Steel Beam Design'!D16)="","",IFERROR(VLOOKUP('Steel Beam Design'!$D$16,'Section Data'!$B$5:$AC$35,21,FALSE),""))</f>
        <v>174</v>
      </c>
      <c r="C2067" s="36">
        <f>IF(TRIM('Steel Beam Design'!D17)="","",IFERROR(VLOOKUP('Steel Beam Design'!$D$17,'Section Data'!$B$36:$AC$107,21,FALSE),""))</f>
        <v>29.2</v>
      </c>
      <c r="E2067" s="3">
        <f>IF(TRIM('Steel Beam Design'!D16)="","",IFERROR(VLOOKUP('Steel Beam Design'!$D$16,'Section Data'!$B$5:$AC$35,21,FALSE),""))</f>
        <v>174</v>
      </c>
      <c r="F2067" s="3">
        <f>IF(TRIM('Steel Beam Design'!D17)="","",IFERROR(VLOOKUP('Steel Beam Design'!$D$17,'Section Data'!$B$36:$AC$107,21,FALSE),""))</f>
        <v>29.2</v>
      </c>
      <c r="H2067" s="3">
        <f>IF(TRIM('Steel Beam Design'!D16)="","",IFERROR(VLOOKUP('Steel Beam Design'!$D$16,'Section Data'!$B$5:$AC$35,21,FALSE),""))</f>
        <v>174</v>
      </c>
      <c r="I2067" s="3">
        <f>IF(TRIM('Steel Beam Design'!D17)="","",IFERROR(VLOOKUP('Steel Beam Design'!$D$17,'Section Data'!$B$36:$AC$107,21,FALSE),""))</f>
        <v>29.2</v>
      </c>
    </row>
    <row r="2068" spans="1:9" hidden="1">
      <c r="A2068" s="36" t="s">
        <v>209</v>
      </c>
      <c r="B2068" s="36">
        <f>IF(TRIM('Steel Beam Design'!D16)="","",IFERROR(VLOOKUP('Steel Beam Design'!$D$16,'Section Data'!$B$5:$AC$35,22,FALSE),""))</f>
        <v>567</v>
      </c>
      <c r="C2068" s="36">
        <f>IF(TRIM('Steel Beam Design'!D17)="","",IFERROR(VLOOKUP('Steel Beam Design'!$D$17,'Section Data'!$B$36:$AC$107,22,FALSE),""))</f>
        <v>306</v>
      </c>
      <c r="E2068" s="3">
        <f>IF(TRIM('Steel Beam Design'!D16)="","",IFERROR(VLOOKUP('Steel Beam Design'!$D$16,'Section Data'!$B$5:$AC$35,22,FALSE),""))</f>
        <v>567</v>
      </c>
      <c r="F2068" s="3">
        <f>IF(TRIM('Steel Beam Design'!D17)="","",IFERROR(VLOOKUP('Steel Beam Design'!$D$17,'Section Data'!$B$36:$AC$107,22,FALSE),""))</f>
        <v>306</v>
      </c>
      <c r="H2068" s="3">
        <f>IF(TRIM('Steel Beam Design'!D16)="","",IFERROR(VLOOKUP('Steel Beam Design'!$D$16,'Section Data'!$B$5:$AC$35,22,FALSE),""))</f>
        <v>567</v>
      </c>
      <c r="I2068" s="3">
        <f>IF(TRIM('Steel Beam Design'!D17)="","",IFERROR(VLOOKUP('Steel Beam Design'!$D$17,'Section Data'!$B$36:$AC$107,22,FALSE),""))</f>
        <v>306</v>
      </c>
    </row>
    <row r="2069" spans="1:9" hidden="1">
      <c r="A2069" s="36" t="s">
        <v>210</v>
      </c>
      <c r="B2069" s="36">
        <f>IF(TRIM('Steel Beam Design'!D16)="","",IFERROR(VLOOKUP('Steel Beam Design'!$D$16,'Section Data'!$B$5:$AC$35,23,FALSE),""))</f>
        <v>264</v>
      </c>
      <c r="C2069" s="36">
        <f>IF(TRIM('Steel Beam Design'!D17)="","",IFERROR(VLOOKUP('Steel Beam Design'!$D$17,'Section Data'!$B$36:$AC$107,23,FALSE),""))</f>
        <v>46</v>
      </c>
      <c r="E2069" s="3">
        <f>IF(TRIM('Steel Beam Design'!D16)="","",IFERROR(VLOOKUP('Steel Beam Design'!$D$16,'Section Data'!$B$5:$AC$35,23,FALSE),""))</f>
        <v>264</v>
      </c>
      <c r="F2069" s="3">
        <f>IF(TRIM('Steel Beam Design'!D17)="","",IFERROR(VLOOKUP('Steel Beam Design'!$D$17,'Section Data'!$B$36:$AC$107,23,FALSE),""))</f>
        <v>46</v>
      </c>
      <c r="H2069" s="3">
        <f>IF(TRIM('Steel Beam Design'!D16)="","",IFERROR(VLOOKUP('Steel Beam Design'!$D$16,'Section Data'!$B$5:$AC$35,23,FALSE),""))</f>
        <v>264</v>
      </c>
      <c r="I2069" s="3">
        <f>IF(TRIM('Steel Beam Design'!D17)="","",IFERROR(VLOOKUP('Steel Beam Design'!$D$17,'Section Data'!$B$36:$AC$107,23,FALSE),""))</f>
        <v>46</v>
      </c>
    </row>
    <row r="2070" spans="1:9" hidden="1">
      <c r="A2070" s="36" t="s">
        <v>379</v>
      </c>
      <c r="B2070" s="36">
        <f>IF(TRIM('Steel Beam Design'!D16)="","",IFERROR((VLOOKUP('Steel Beam Design'!$D$16,'Section Data'!$B$5:$AC$35,5,FALSE)/10)*(VLOOKUP('Steel Beam Design'!$D$16,'Section Data'!$B$5:$AC$35,3,FALSE)/10)^2/4,""))</f>
        <v>83.973918999999981</v>
      </c>
      <c r="C2070" s="36">
        <f>IF(TRIM('Steel Beam Design'!D17)="","",IFERROR((VLOOKUP('Steel Beam Design'!$D$17,'Section Data'!$B$36:$AC$107,5,FALSE)/10)*(VLOOKUP('Steel Beam Design'!$D$17,'Section Data'!$B$36:$AC$107,3,FALSE)/10)^2/4,""))</f>
        <v>99.227759999999989</v>
      </c>
      <c r="E2070" s="3">
        <f>IF(TRIM('Steel Beam Design'!D16)="","",IFERROR((VLOOKUP('Steel Beam Design'!$D$16,'Section Data'!$B$5:$AC$35,5,FALSE)/10)*(VLOOKUP('Steel Beam Design'!$D$16,'Section Data'!$B$5:$AC$35,3,FALSE)/10)^2/4,""))</f>
        <v>83.973918999999981</v>
      </c>
      <c r="F2070" s="3">
        <f>IF(TRIM('Steel Beam Design'!D17)="","",IFERROR((VLOOKUP('Steel Beam Design'!$D$17,'Section Data'!$B$36:$AC$107,5,FALSE)/10)*(VLOOKUP('Steel Beam Design'!$D$17,'Section Data'!$B$36:$AC$107,3,FALSE)/10)^2/4,""))</f>
        <v>99.227759999999989</v>
      </c>
      <c r="H2070" s="3">
        <f>IF(TRIM('Steel Beam Design'!D16)="","",IFERROR((VLOOKUP('Steel Beam Design'!$D$16,'Section Data'!$B$5:$AC$35,5,FALSE)/10)*(VLOOKUP('Steel Beam Design'!$D$16,'Section Data'!$B$5:$AC$35,3,FALSE)/10)^2/4,""))</f>
        <v>83.973918999999981</v>
      </c>
      <c r="I2070" s="3">
        <f>IF(TRIM('Steel Beam Design'!D17)="","",IFERROR((VLOOKUP('Steel Beam Design'!$D$17,'Section Data'!$B$36:$AC$107,5,FALSE)/10)*(VLOOKUP('Steel Beam Design'!$D$17,'Section Data'!$B$36:$AC$107,3,FALSE)/10)^2/4,""))</f>
        <v>99.227759999999989</v>
      </c>
    </row>
    <row r="2071" spans="1:9" hidden="1">
      <c r="A2071" s="36" t="s">
        <v>380</v>
      </c>
      <c r="B2071" s="36">
        <f>IF(TRIM('Steel Beam Design'!D16)="","",IFERROR((VLOOKUP('Steel Beam Design'!$D$16,'Section Data'!$B$5:$AC$35,3,FALSE)/10)*(VLOOKUP('Steel Beam Design'!$D$16,'Section Data'!$B$5:$AC$35,5,FALSE)/10)^2/4,""))</f>
        <v>3.2172355000000001</v>
      </c>
      <c r="C2071" s="36">
        <f>IF(TRIM('Steel Beam Design'!D17)="","",IFERROR((VLOOKUP('Steel Beam Design'!$D$17,'Section Data'!$B$36:$AC$107,3,FALSE)/10)*(VLOOKUP('Steel Beam Design'!$D$17,'Section Data'!$B$36:$AC$107,5,FALSE)/10)^2/4,""))</f>
        <v>2.3148</v>
      </c>
      <c r="E2071" s="3">
        <f>IF(TRIM('Steel Beam Design'!D16)="","",IFERROR((VLOOKUP('Steel Beam Design'!$D$16,'Section Data'!$B$5:$AC$35,3,FALSE)/10)*(VLOOKUP('Steel Beam Design'!$D$16,'Section Data'!$B$5:$AC$35,5,FALSE)/10)^2/4,""))</f>
        <v>3.2172355000000001</v>
      </c>
      <c r="F2071" s="3">
        <f>IF(TRIM('Steel Beam Design'!D17)="","",IFERROR((VLOOKUP('Steel Beam Design'!$D$17,'Section Data'!$B$36:$AC$107,3,FALSE)/10)*(VLOOKUP('Steel Beam Design'!$D$17,'Section Data'!$B$36:$AC$107,5,FALSE)/10)^2/4,""))</f>
        <v>2.3148</v>
      </c>
      <c r="H2071" s="3">
        <f>IF(TRIM('Steel Beam Design'!D16)="","",IFERROR((VLOOKUP('Steel Beam Design'!$D$16,'Section Data'!$B$5:$AC$35,3,FALSE)/10)*(VLOOKUP('Steel Beam Design'!$D$16,'Section Data'!$B$5:$AC$35,5,FALSE)/10)^2/4,""))</f>
        <v>3.2172355000000001</v>
      </c>
      <c r="I2071" s="3">
        <f>IF(TRIM('Steel Beam Design'!D17)="","",IFERROR((VLOOKUP('Steel Beam Design'!$D$17,'Section Data'!$B$36:$AC$107,3,FALSE)/10)*(VLOOKUP('Steel Beam Design'!$D$17,'Section Data'!$B$36:$AC$107,5,FALSE)/10)^2/4,""))</f>
        <v>2.3148</v>
      </c>
    </row>
    <row r="2072" spans="1:9" hidden="1">
      <c r="A2072" s="36" t="s">
        <v>381</v>
      </c>
      <c r="B2072" s="36">
        <f>IF(TRIM('Steel Beam Design'!D16)="","",IFERROR(IF(AND(B2056&gt;0,B2064&lt;=B2063,B2058&lt;=13*B2057,B2059&lt;=120*B2057),IF(B2064&lt;=0.6*B2063,IF(OR(B2060=13,B2061=120),B2066,MIN(B2068,1.2*B2066)),IF(OR(B2060=13,B2061=120),B2066-B2065*B2070/1.5,MIN(B2068-B2065*B2070,1.2*(B2066-B2065*B2070/1.5))))*B2056/1000,""),""))</f>
        <v>181.05</v>
      </c>
      <c r="C2072" s="36">
        <f>IF(TRIM('Steel Beam Design'!D17)="","",IFERROR(IF(AND(C2056&gt;0,C2064&lt;=C2063,C2058&lt;=13*C2057,C2059&lt;=120*C2057),IF(C2064&lt;=0.6*C2063,IF(OR(C2060=13,C2061=120),C2066,MIN(C2068,1.2*C2066)),IF(OR(C2060=13,C2061=120),C2066-C2065*C2070/1.5,MIN(C2068-C2065*C2070,1.2*(C2066-C2065*C2070/1.5))))*C2056/1000,""),""))</f>
        <v>108.63</v>
      </c>
      <c r="E2072" s="3">
        <f>IF(TRIM('Steel Beam Design'!D16)="","",IFERROR(IF(AND(E2056&gt;0,E2064&lt;=E2063,E2058&lt;=13*E2057,E2059&lt;=120*E2057),IF(E2064&lt;=0.6*E2063,IF(OR(E2060=13,E2061=120),E2066,MIN(E2068,1.2*E2066)),IF(OR(E2060=13,E2061=120),E2066-E2065*E2070/1.5,MIN(E2068-E2065*E2070,1.2*(E2066-E2065*E2070/1.5))))*E2056/1000,""),""))</f>
        <v>181.05</v>
      </c>
      <c r="F2072" s="3">
        <f>IF(TRIM('Steel Beam Design'!D17)="","",IFERROR(IF(AND(F2056&gt;0,F2064&lt;=F2063,F2058&lt;=13*F2057,F2059&lt;=120*F2057),IF(F2064&lt;=0.6*F2063,IF(OR(F2060=13,F2061=120),F2066,MIN(F2068,1.2*F2066)),IF(OR(F2060=13,F2061=120),F2066-F2065*F2070/1.5,MIN(F2068-F2065*F2070,1.2*(F2066-F2065*F2070/1.5))))*F2056/1000,""),""))</f>
        <v>108.63</v>
      </c>
      <c r="H2072" s="3">
        <f>IF(TRIM('Steel Beam Design'!D16)="","",IFERROR(IF(AND(H2056&gt;0,H2064&lt;=H2063,H2058&lt;=13*H2057,H2059&lt;=120*H2057),IF(H2064&lt;=0.6*H2063,IF(OR(H2060=13,H2061=120),H2066,MIN(H2068,1.2*H2066)),IF(OR(H2060=13,H2061=120),H2066-H2065*H2070/1.5,MIN(H2068-H2065*H2070,1.2*(H2066-H2065*H2070/1.5))))*H2056/1000,""),""))</f>
        <v>181.05</v>
      </c>
      <c r="I2072" s="3">
        <f>IF(TRIM('Steel Beam Design'!D17)="","",IFERROR(IF(AND(I2056&gt;0,I2064&lt;=I2063,I2058&lt;=13*I2057,I2059&lt;=120*I2057),IF(I2064&lt;=0.6*I2063,IF(OR(I2060=13,I2061=120),I2066,MIN(I2068,1.2*I2066)),IF(OR(I2060=13,I2061=120),I2066-I2065*I2070/1.5,MIN(I2068-I2065*I2070,1.2*(I2066-I2065*I2070/1.5))))*I2056/1000,""),""))</f>
        <v>108.63</v>
      </c>
    </row>
    <row r="2073" spans="1:9" hidden="1">
      <c r="A2073" s="36" t="s">
        <v>382</v>
      </c>
      <c r="B2073" s="36">
        <f>IF(TRIM('Steel Beam Design'!D16)="","",IFERROR(IF(AND(B2056&gt;0,B2064&lt;=B2063,B2058&lt;=13*B2057,B2059&lt;=120*B2057),IF(B2064&lt;=0.6*B2063,IF(OR(B2060=13,B2061=120),B2067,MIN(B2069,1.2*B2067)),IF(OR(B2060=13,B2061=120),B2067-B2065*B2071/1.5,MIN(B2069-B2065*B2071,1.2*(B2067-B2065*B2071/1.5))))*B2056/1000,""),""))</f>
        <v>61.77</v>
      </c>
      <c r="C2073" s="36">
        <f>IF(TRIM('Steel Beam Design'!D17)="","",IFERROR(IF(AND(C2056&gt;0,C2064&lt;=C2063,C2058&lt;=13*C2057,C2059&lt;=120*C2057),IF(C2064&lt;=0.6*C2063,IF(OR(C2060=13,C2061=120),C2067,MIN(C2069,1.2*C2067)),IF(OR(C2060=13,C2061=120),C2067-C2065*C2071/1.5,MIN(C2069-C2065*C2071,1.2*(C2067-C2065*C2071/1.5))))*C2056/1000,""),""))</f>
        <v>12.4392</v>
      </c>
      <c r="E2073" s="3">
        <f>IF(TRIM('Steel Beam Design'!D16)="","",IFERROR(IF(AND(E2056&gt;0,E2064&lt;=E2063,E2058&lt;=13*E2057,E2059&lt;=120*E2057),IF(E2064&lt;=0.6*E2063,IF(OR(E2060=13,E2061=120),E2067,MIN(E2069,1.2*E2067)),IF(OR(E2060=13,E2061=120),E2067-E2065*E2071/1.5,MIN(E2069-E2065*E2071,1.2*(E2067-E2065*E2071/1.5))))*E2056/1000,""),""))</f>
        <v>61.77</v>
      </c>
      <c r="F2073" s="3">
        <f>IF(TRIM('Steel Beam Design'!D17)="","",IFERROR(IF(AND(F2056&gt;0,F2064&lt;=F2063,F2058&lt;=13*F2057,F2059&lt;=120*F2057),IF(F2064&lt;=0.6*F2063,IF(OR(F2060=13,F2061=120),F2067,MIN(F2069,1.2*F2067)),IF(OR(F2060=13,F2061=120),F2067-F2065*F2071/1.5,MIN(F2069-F2065*F2071,1.2*(F2067-F2065*F2071/1.5))))*F2056/1000,""),""))</f>
        <v>12.4392</v>
      </c>
      <c r="H2073" s="3">
        <f>IF(TRIM('Steel Beam Design'!D16)="","",IFERROR(IF(AND(H2056&gt;0,H2064&lt;=H2063,H2058&lt;=13*H2057,H2059&lt;=120*H2057),IF(H2064&lt;=0.6*H2063,IF(OR(H2060=13,H2061=120),H2067,MIN(H2069,1.2*H2067)),IF(OR(H2060=13,H2061=120),H2067-H2065*H2071/1.5,MIN(H2069-H2065*H2071,1.2*(H2067-H2065*H2071/1.5))))*H2056/1000,""),""))</f>
        <v>61.77</v>
      </c>
      <c r="I2073" s="3">
        <f>IF(TRIM('Steel Beam Design'!D17)="","",IFERROR(IF(AND(I2056&gt;0,I2064&lt;=I2063,I2058&lt;=13*I2057,I2059&lt;=120*I2057),IF(I2064&lt;=0.6*I2063,IF(OR(I2060=13,I2061=120),I2067,MIN(I2069,1.2*I2067)),IF(OR(I2060=13,I2061=120),I2067-I2065*I2071/1.5,MIN(I2069-I2065*I2071,1.2*(I2067-I2065*I2071/1.5))))*I2056/1000,""),""))</f>
        <v>12.4392</v>
      </c>
    </row>
    <row r="2074" spans="1:9" hidden="1">
      <c r="A2074" s="36"/>
      <c r="B2074" s="36"/>
      <c r="C2074" s="36"/>
    </row>
    <row r="2075" spans="1:9" hidden="1">
      <c r="A2075" s="36" t="s">
        <v>383</v>
      </c>
      <c r="B2075" s="36"/>
      <c r="C2075" s="36"/>
    </row>
    <row r="2076" spans="1:9" hidden="1">
      <c r="A2076" s="36" t="s">
        <v>384</v>
      </c>
      <c r="B2076" s="36"/>
      <c r="C2076" s="36"/>
    </row>
    <row r="2077" spans="1:9" hidden="1"/>
    <row r="2078" spans="1:9" hidden="1"/>
    <row r="2079" spans="1:9" hidden="1"/>
    <row r="2080" spans="1:9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  <row r="2116" hidden="1"/>
    <row r="2117" hidden="1"/>
    <row r="2118" hidden="1"/>
    <row r="2119" hidden="1"/>
    <row r="2120" hidden="1"/>
    <row r="2121" hidden="1"/>
    <row r="2122" hidden="1"/>
    <row r="2123" hidden="1"/>
    <row r="2124" hidden="1"/>
    <row r="2125" hidden="1"/>
    <row r="2126" hidden="1"/>
    <row r="2127" hidden="1"/>
    <row r="2128" hidden="1"/>
    <row r="2129" hidden="1"/>
    <row r="2130" hidden="1"/>
    <row r="2131" hidden="1"/>
    <row r="2132" hidden="1"/>
    <row r="2133" hidden="1"/>
    <row r="2134" hidden="1"/>
    <row r="2135" hidden="1"/>
    <row r="2136" hidden="1"/>
    <row r="2137" hidden="1"/>
    <row r="2138" hidden="1"/>
    <row r="2139" hidden="1"/>
    <row r="2140" hidden="1"/>
    <row r="2141" hidden="1"/>
    <row r="2142" hidden="1"/>
    <row r="2143" hidden="1"/>
    <row r="2144" hidden="1"/>
    <row r="2145" hidden="1"/>
    <row r="2146" hidden="1"/>
    <row r="2147" hidden="1"/>
    <row r="2148" hidden="1"/>
    <row r="2149" hidden="1"/>
    <row r="2150" hidden="1"/>
    <row r="2151" hidden="1"/>
    <row r="2152" hidden="1"/>
    <row r="2153" hidden="1"/>
    <row r="2154" hidden="1"/>
    <row r="2155" hidden="1"/>
    <row r="2156" hidden="1"/>
    <row r="2157" hidden="1"/>
    <row r="2158" hidden="1"/>
    <row r="2159" hidden="1"/>
    <row r="2160" hidden="1"/>
    <row r="2161" hidden="1"/>
    <row r="2162" hidden="1"/>
    <row r="2163" hidden="1"/>
    <row r="2164" hidden="1"/>
    <row r="2165" hidden="1"/>
    <row r="2166" hidden="1"/>
    <row r="2167" hidden="1"/>
    <row r="2168" hidden="1"/>
    <row r="2169" hidden="1"/>
    <row r="2170" hidden="1"/>
    <row r="2171" hidden="1"/>
    <row r="2172" hidden="1"/>
    <row r="2173" hidden="1"/>
    <row r="2174" hidden="1"/>
    <row r="2175" hidden="1"/>
    <row r="2176" hidden="1"/>
    <row r="2177" hidden="1"/>
    <row r="2178" hidden="1"/>
    <row r="2179" hidden="1"/>
    <row r="2180" hidden="1"/>
    <row r="2181" hidden="1"/>
    <row r="2182" hidden="1"/>
    <row r="2183" hidden="1"/>
    <row r="2184" hidden="1"/>
    <row r="2185" hidden="1"/>
    <row r="2186" hidden="1"/>
    <row r="2187" hidden="1"/>
    <row r="2188" hidden="1"/>
    <row r="2189" hidden="1"/>
    <row r="2190" hidden="1"/>
    <row r="2191" hidden="1"/>
    <row r="2192" hidden="1"/>
    <row r="2193" hidden="1"/>
    <row r="2194" hidden="1"/>
    <row r="2195" hidden="1"/>
    <row r="2196" hidden="1"/>
    <row r="2197" hidden="1"/>
    <row r="2198" hidden="1"/>
    <row r="2199" hidden="1"/>
    <row r="2200" hidden="1"/>
    <row r="2201" hidden="1"/>
    <row r="2202" hidden="1"/>
    <row r="2203" hidden="1"/>
    <row r="2204" hidden="1"/>
    <row r="2205" hidden="1"/>
    <row r="2206" hidden="1"/>
    <row r="2207" hidden="1"/>
    <row r="2208" hidden="1"/>
    <row r="2209" hidden="1"/>
    <row r="2210" hidden="1"/>
    <row r="2211" hidden="1"/>
    <row r="2212" hidden="1"/>
    <row r="2213" hidden="1"/>
    <row r="2214" hidden="1"/>
    <row r="2215" hidden="1"/>
    <row r="2216" hidden="1"/>
    <row r="2217" hidden="1"/>
    <row r="2218" hidden="1"/>
    <row r="2219" hidden="1"/>
    <row r="2220" hidden="1"/>
    <row r="2221" hidden="1"/>
    <row r="2222" hidden="1"/>
    <row r="2223" hidden="1"/>
    <row r="2224" hidden="1"/>
    <row r="2225" hidden="1"/>
    <row r="2226" hidden="1"/>
    <row r="2227" hidden="1"/>
    <row r="2228" hidden="1"/>
    <row r="2229" hidden="1"/>
    <row r="2230" hidden="1"/>
    <row r="2231" hidden="1"/>
    <row r="2232" hidden="1"/>
    <row r="2233" hidden="1"/>
    <row r="2234" hidden="1"/>
    <row r="2235" hidden="1"/>
    <row r="2236" hidden="1"/>
    <row r="2237" hidden="1"/>
    <row r="2238" hidden="1"/>
    <row r="2239" hidden="1"/>
    <row r="2240" hidden="1"/>
    <row r="2241" hidden="1"/>
    <row r="2242" hidden="1"/>
    <row r="2243" hidden="1"/>
    <row r="2244" hidden="1"/>
    <row r="2245" hidden="1"/>
    <row r="2246" hidden="1"/>
    <row r="2247" hidden="1"/>
    <row r="2248" hidden="1"/>
    <row r="2249" hidden="1"/>
    <row r="2250" hidden="1"/>
    <row r="2251" hidden="1"/>
    <row r="2252" hidden="1"/>
    <row r="2253" hidden="1"/>
    <row r="2254" hidden="1"/>
    <row r="2255" hidden="1"/>
    <row r="2256" hidden="1"/>
    <row r="2257" hidden="1"/>
    <row r="2258" hidden="1"/>
    <row r="2259" hidden="1"/>
    <row r="2260" hidden="1"/>
    <row r="2261" hidden="1"/>
    <row r="2262" hidden="1"/>
    <row r="2263" hidden="1"/>
    <row r="2264" hidden="1"/>
    <row r="2265" hidden="1"/>
    <row r="2266" hidden="1"/>
    <row r="2267" hidden="1"/>
    <row r="2268" hidden="1"/>
    <row r="2269" hidden="1"/>
    <row r="2270" hidden="1"/>
    <row r="2271" hidden="1"/>
    <row r="2272" hidden="1"/>
    <row r="2273" hidden="1"/>
    <row r="2274" hidden="1"/>
    <row r="2275" hidden="1"/>
    <row r="2276" hidden="1"/>
    <row r="2277" hidden="1"/>
    <row r="2278" hidden="1"/>
    <row r="2279" hidden="1"/>
    <row r="2280" hidden="1"/>
    <row r="2281" hidden="1"/>
    <row r="2282" hidden="1"/>
    <row r="2283" hidden="1"/>
    <row r="2284" hidden="1"/>
    <row r="2285" hidden="1"/>
    <row r="2286" hidden="1"/>
    <row r="2287" hidden="1"/>
    <row r="2288" hidden="1"/>
    <row r="2289" spans="1:4" hidden="1"/>
    <row r="2290" spans="1:4" hidden="1"/>
    <row r="2291" spans="1:4" hidden="1"/>
    <row r="2292" spans="1:4" hidden="1"/>
    <row r="2293" spans="1:4" hidden="1"/>
    <row r="2294" spans="1:4" hidden="1"/>
    <row r="2295" spans="1:4" hidden="1"/>
    <row r="2296" spans="1:4" hidden="1"/>
    <row r="2297" spans="1:4" hidden="1"/>
    <row r="2298" spans="1:4" hidden="1"/>
    <row r="2299" spans="1:4" hidden="1"/>
    <row r="2300" spans="1:4" hidden="1"/>
    <row r="2301" spans="1:4" hidden="1"/>
    <row r="2302" spans="1:4" hidden="1"/>
    <row r="2303" spans="1:4" hidden="1">
      <c r="A2303" s="3" t="s">
        <v>394</v>
      </c>
    </row>
    <row r="2304" spans="1:4" ht="14.1" hidden="1">
      <c r="A2304" s="160" t="s">
        <v>87</v>
      </c>
      <c r="B2304" s="160"/>
      <c r="C2304" s="160"/>
      <c r="D2304" s="160"/>
    </row>
    <row r="2305" spans="1:4" hidden="1">
      <c r="A2305" s="157" t="s">
        <v>88</v>
      </c>
      <c r="B2305" s="157"/>
      <c r="C2305" s="157"/>
      <c r="D2305" s="157"/>
    </row>
    <row r="2306" spans="1:4" hidden="1">
      <c r="A2306" s="157" t="s">
        <v>89</v>
      </c>
      <c r="B2306" s="157"/>
      <c r="C2306" s="157"/>
      <c r="D2306" s="157"/>
    </row>
    <row r="2307" spans="1:4" hidden="1">
      <c r="A2307" s="157" t="s">
        <v>90</v>
      </c>
      <c r="B2307" s="157"/>
      <c r="C2307" s="157"/>
      <c r="D2307" s="157"/>
    </row>
    <row r="2308" spans="1:4" ht="42.3" hidden="1">
      <c r="A2308" s="40" t="s">
        <v>91</v>
      </c>
      <c r="B2308" s="40" t="s">
        <v>92</v>
      </c>
      <c r="C2308" s="40" t="s">
        <v>93</v>
      </c>
      <c r="D2308" s="40" t="s">
        <v>94</v>
      </c>
    </row>
    <row r="2309" spans="1:4" ht="27.6" hidden="1">
      <c r="A2309" s="41" t="s">
        <v>95</v>
      </c>
      <c r="B2309" s="41" t="s">
        <v>96</v>
      </c>
      <c r="C2309" s="41" t="s">
        <v>97</v>
      </c>
      <c r="D2309" s="41" t="s">
        <v>98</v>
      </c>
    </row>
    <row r="2310" spans="1:4" ht="41.4" hidden="1">
      <c r="A2310" s="28" t="s">
        <v>99</v>
      </c>
      <c r="B2310" s="28" t="s">
        <v>100</v>
      </c>
      <c r="C2310" s="28" t="s">
        <v>97</v>
      </c>
      <c r="D2310" s="28" t="s">
        <v>101</v>
      </c>
    </row>
    <row r="2311" spans="1:4" ht="27.6" hidden="1">
      <c r="A2311" s="41" t="s">
        <v>102</v>
      </c>
      <c r="B2311" s="41" t="s">
        <v>103</v>
      </c>
      <c r="C2311" s="41" t="s">
        <v>97</v>
      </c>
      <c r="D2311" s="41" t="s">
        <v>104</v>
      </c>
    </row>
    <row r="2312" spans="1:4" ht="55.2" hidden="1">
      <c r="A2312" s="28" t="s">
        <v>105</v>
      </c>
      <c r="B2312" s="28" t="s">
        <v>106</v>
      </c>
      <c r="C2312" s="28" t="s">
        <v>97</v>
      </c>
      <c r="D2312" s="28" t="s">
        <v>107</v>
      </c>
    </row>
    <row r="2313" spans="1:4" ht="41.4" hidden="1">
      <c r="A2313" s="41" t="s">
        <v>108</v>
      </c>
      <c r="B2313" s="41" t="s">
        <v>109</v>
      </c>
      <c r="C2313" s="41" t="s">
        <v>110</v>
      </c>
      <c r="D2313" s="41" t="s">
        <v>111</v>
      </c>
    </row>
    <row r="2314" spans="1:4" ht="27.6" hidden="1">
      <c r="A2314" s="28" t="s">
        <v>112</v>
      </c>
      <c r="B2314" s="28" t="s">
        <v>113</v>
      </c>
      <c r="C2314" s="28" t="s">
        <v>114</v>
      </c>
      <c r="D2314" s="28" t="s">
        <v>115</v>
      </c>
    </row>
    <row r="2315" spans="1:4" ht="41.4" hidden="1">
      <c r="A2315" s="41" t="s">
        <v>116</v>
      </c>
      <c r="B2315" s="41" t="s">
        <v>117</v>
      </c>
      <c r="C2315" s="41" t="s">
        <v>118</v>
      </c>
      <c r="D2315" s="41" t="s">
        <v>119</v>
      </c>
    </row>
    <row r="2316" spans="1:4" ht="41.4" hidden="1">
      <c r="A2316" s="28" t="s">
        <v>120</v>
      </c>
      <c r="B2316" s="28" t="s">
        <v>100</v>
      </c>
      <c r="C2316" s="28" t="s">
        <v>121</v>
      </c>
      <c r="D2316" s="28" t="s">
        <v>122</v>
      </c>
    </row>
    <row r="2317" spans="1:4" ht="41.4" hidden="1">
      <c r="A2317" s="41" t="s">
        <v>123</v>
      </c>
      <c r="B2317" s="41" t="s">
        <v>124</v>
      </c>
      <c r="C2317" s="41" t="s">
        <v>118</v>
      </c>
      <c r="D2317" s="41" t="s">
        <v>119</v>
      </c>
    </row>
    <row r="2318" spans="1:4" ht="69" hidden="1">
      <c r="A2318" s="28" t="s">
        <v>125</v>
      </c>
      <c r="B2318" s="28" t="s">
        <v>109</v>
      </c>
      <c r="C2318" s="28" t="s">
        <v>110</v>
      </c>
      <c r="D2318" s="28" t="s">
        <v>126</v>
      </c>
    </row>
    <row r="2319" spans="1:4" ht="55.2" hidden="1">
      <c r="A2319" s="41" t="s">
        <v>127</v>
      </c>
      <c r="B2319" s="41" t="s">
        <v>109</v>
      </c>
      <c r="C2319" s="41" t="s">
        <v>128</v>
      </c>
      <c r="D2319" s="41" t="s">
        <v>129</v>
      </c>
    </row>
    <row r="2320" spans="1:4" ht="55.2" hidden="1">
      <c r="A2320" s="28" t="s">
        <v>130</v>
      </c>
      <c r="B2320" s="28" t="s">
        <v>131</v>
      </c>
      <c r="C2320" s="28" t="s">
        <v>132</v>
      </c>
      <c r="D2320" s="28" t="s">
        <v>133</v>
      </c>
    </row>
    <row r="2321" spans="1:4" ht="27.6" hidden="1">
      <c r="A2321" s="41" t="s">
        <v>134</v>
      </c>
      <c r="B2321" s="41" t="s">
        <v>135</v>
      </c>
      <c r="C2321" s="41" t="s">
        <v>136</v>
      </c>
      <c r="D2321" s="41" t="s">
        <v>137</v>
      </c>
    </row>
    <row r="2322" spans="1:4" ht="41.4" hidden="1">
      <c r="A2322" s="28" t="s">
        <v>138</v>
      </c>
      <c r="B2322" s="28" t="s">
        <v>139</v>
      </c>
      <c r="C2322" s="28" t="s">
        <v>140</v>
      </c>
      <c r="D2322" s="28" t="s">
        <v>141</v>
      </c>
    </row>
    <row r="2323" spans="1:4" hidden="1">
      <c r="A2323" s="28"/>
      <c r="B2323" s="28"/>
      <c r="C2323" s="28"/>
      <c r="D2323" s="28"/>
    </row>
    <row r="2324" spans="1:4" hidden="1">
      <c r="A2324" s="157" t="s">
        <v>142</v>
      </c>
      <c r="B2324" s="157"/>
      <c r="C2324" s="157"/>
      <c r="D2324" s="157"/>
    </row>
    <row r="2325" spans="1:4" hidden="1">
      <c r="A2325" s="157" t="s">
        <v>143</v>
      </c>
      <c r="B2325" s="157"/>
      <c r="C2325" s="157"/>
      <c r="D2325" s="157"/>
    </row>
    <row r="2326" spans="1:4" hidden="1">
      <c r="A2326" s="157" t="s">
        <v>144</v>
      </c>
      <c r="B2326" s="157"/>
      <c r="C2326" s="157"/>
      <c r="D2326" s="157"/>
    </row>
    <row r="2327" spans="1:4" hidden="1">
      <c r="A2327" s="157" t="s">
        <v>145</v>
      </c>
      <c r="B2327" s="157"/>
      <c r="C2327" s="157"/>
      <c r="D2327" s="157"/>
    </row>
    <row r="2328" spans="1:4" hidden="1">
      <c r="A2328" s="28"/>
      <c r="B2328" s="28"/>
      <c r="C2328" s="28"/>
      <c r="D2328" s="28"/>
    </row>
    <row r="2329" spans="1:4" hidden="1">
      <c r="A2329" s="28"/>
      <c r="B2329" s="28"/>
      <c r="C2329" s="28"/>
      <c r="D2329" s="28"/>
    </row>
    <row r="2330" spans="1:4" hidden="1"/>
    <row r="2331" spans="1:4" hidden="1"/>
    <row r="2332" spans="1:4" hidden="1"/>
    <row r="2333" spans="1:4" hidden="1"/>
    <row r="2334" spans="1:4" hidden="1"/>
    <row r="2335" spans="1:4" hidden="1"/>
    <row r="2336" spans="1:4" hidden="1"/>
    <row r="2337" hidden="1"/>
    <row r="2338" hidden="1"/>
    <row r="2339" hidden="1"/>
    <row r="2340" hidden="1"/>
    <row r="2341" hidden="1"/>
    <row r="2342" hidden="1"/>
    <row r="2343" hidden="1"/>
    <row r="2344" hidden="1"/>
    <row r="2345" hidden="1"/>
    <row r="2346" hidden="1"/>
    <row r="2347" hidden="1"/>
    <row r="2348" hidden="1"/>
    <row r="2349" hidden="1"/>
    <row r="2350" hidden="1"/>
    <row r="2351" hidden="1"/>
    <row r="2352" hidden="1"/>
    <row r="2353" hidden="1"/>
    <row r="2354" hidden="1"/>
    <row r="2355" hidden="1"/>
    <row r="2356" hidden="1"/>
    <row r="2357" hidden="1"/>
    <row r="2358" hidden="1"/>
    <row r="2359" hidden="1"/>
    <row r="2360" hidden="1"/>
    <row r="2361" hidden="1"/>
    <row r="2362" hidden="1"/>
    <row r="2363" hidden="1"/>
    <row r="2364" hidden="1"/>
    <row r="2365" hidden="1"/>
    <row r="2366" hidden="1"/>
    <row r="2367" hidden="1"/>
    <row r="2368" hidden="1"/>
    <row r="2369" hidden="1"/>
    <row r="2370" hidden="1"/>
    <row r="2371" hidden="1"/>
    <row r="2372" hidden="1"/>
    <row r="2373" hidden="1"/>
    <row r="2374" hidden="1"/>
    <row r="2375" hidden="1"/>
    <row r="2376" hidden="1"/>
    <row r="2377" hidden="1"/>
    <row r="2378" hidden="1"/>
    <row r="2379" hidden="1"/>
    <row r="2380" hidden="1"/>
    <row r="2381" hidden="1"/>
    <row r="2382" hidden="1"/>
    <row r="2383" hidden="1"/>
    <row r="2384" hidden="1"/>
    <row r="2385" hidden="1"/>
    <row r="2386" hidden="1"/>
    <row r="2387" hidden="1"/>
    <row r="2388" hidden="1"/>
    <row r="2389" hidden="1"/>
    <row r="2390" hidden="1"/>
    <row r="2391" hidden="1"/>
    <row r="2392" hidden="1"/>
    <row r="2393" hidden="1"/>
    <row r="2394" hidden="1"/>
    <row r="2395" hidden="1"/>
    <row r="2396" hidden="1"/>
    <row r="2397" hidden="1"/>
    <row r="2398" hidden="1"/>
    <row r="2399" hidden="1"/>
    <row r="2400" hidden="1"/>
    <row r="2401" hidden="1"/>
    <row r="2402" hidden="1"/>
    <row r="2403" hidden="1"/>
    <row r="3501" spans="1:2" hidden="1">
      <c r="A3501" s="3" t="s">
        <v>397</v>
      </c>
    </row>
    <row r="3502" spans="1:2" hidden="1">
      <c r="A3502" s="3" t="s">
        <v>398</v>
      </c>
    </row>
    <row r="3503" spans="1:2" hidden="1">
      <c r="A3503" s="3" t="s">
        <v>50</v>
      </c>
      <c r="B3503" s="3">
        <f>IF($B$3512,$B$26,1)</f>
        <v>2.5</v>
      </c>
    </row>
    <row r="3504" spans="1:2" hidden="1">
      <c r="A3504" s="3" t="s">
        <v>59</v>
      </c>
      <c r="B3504" s="3">
        <f>N(N26)</f>
        <v>88.999999999999986</v>
      </c>
    </row>
    <row r="3505" spans="1:2" hidden="1">
      <c r="A3505" s="3" t="s">
        <v>399</v>
      </c>
      <c r="B3505" s="3">
        <f>IF($B$3512,IF(C26="Cantilever Supported",-(N(D26)*N(E26)+N(F26)*N(G26)+N(H26)*N(I26)+N(J26)*N(K26)+N(L26)*N(M26))-$B$3504*$B$3503^2/2,IF(C26="Fixed-Fixed",-(N(D26)*N(E26)*($B$3503-N(E26))^2/$B$3503^2+N(F26)*N(G26)*($B$3503-N(G26))^2/$B$3503^2+N(H26)*N(I26)*($B$3503-N(I26))^2/$B$3503^2+N(J26)*N(K26)*($B$3503-N(K26))^2/$B$3503^2+N(L26)*N(M26)*($B$3503-N(M26))^2/$B$3503^2)-$B$3504*$B$3503^2/12,0)),0)</f>
        <v>0</v>
      </c>
    </row>
    <row r="3506" spans="1:2" hidden="1">
      <c r="A3506" s="3" t="s">
        <v>63</v>
      </c>
      <c r="B3506" s="3">
        <f>IF($B$3512,IF(C26="Cantilever Supported",N(D26)+N(F26)+N(H26)+N(J26)+N(L26)+$B$3504*$B$3503,((N(D26)*($B$3503-N(E26))+N(F26)*($B$3503-N(G26))+N(H26)*($B$3503-N(I26))+N(J26)*($B$3503-N(K26))+N(L26)*($B$3503-N(M26)))+$B$3504*$B$3503^2/2+$B$3513-$B$3505)/$B$3503),0)</f>
        <v>111.24999999999997</v>
      </c>
    </row>
    <row r="3507" spans="1:2" hidden="1">
      <c r="B3507" s="3">
        <f>IF(C26="Simply Supported",-($B$3505*$B$3503^2/2+$B$3506*$B$3503^3/6-$B$3504*$B$3503^4/24-(N(D26)*MAX(0,$B$3503-N(E26))^3/6+N(F26)*MAX(0,$B$3503-N(G26))^3/6+N(H26)*MAX(0,$B$3503-N(I26))^3/6+N(J26)*MAX(0,$B$3503-N(K26))^3/6+N(L26)*MAX(0,$B$3503-N(M26))^3/6))/$B$3503,0)</f>
        <v>-57.9427083333333</v>
      </c>
    </row>
    <row r="3508" spans="1:2" hidden="1">
      <c r="A3508" s="3" t="s">
        <v>400</v>
      </c>
      <c r="B3508" s="3">
        <f>MAX(D3541:D3559,E3541:E3558)</f>
        <v>45.267740885416629</v>
      </c>
    </row>
    <row r="3509" spans="1:2" hidden="1">
      <c r="B3509" s="3">
        <f>IF(MAX(D3541:D3559)&gt;=MAX(E3541:E3558),INDEX(B3541:B3559,MATCH(B3508,D3541:D3559,0)),INDEX(C3541:C3558,MATCH(B3508,E3541:E3558,0)))</f>
        <v>1.2499999999999287</v>
      </c>
    </row>
    <row r="3510" spans="1:2" hidden="1">
      <c r="B3510" s="3">
        <f>MAX(F3541:F3559,B3566:B3571)</f>
        <v>69.531249999999972</v>
      </c>
    </row>
    <row r="3511" spans="1:2" hidden="1">
      <c r="B3511" s="3">
        <f>MAX(ABS($B$3506-(IF(N(E26)=0,N(D26),0)+IF(N(G26)=0,N(F26),0)+IF(N(I26)=0,N(H26),0)+IF(N(K26)=0,N(J26),0)+IF(N(M26)=0,N(L26),0))),ABS($B$3506-$B$3504*$B$3503-(IF(N(E26)&lt;$B$3503,N(D26),0)+IF(N(G26)&lt;$B$3503,N(F26),0)+IF(N(I26)&lt;$B$3503,N(H26),0)+IF(N(K26)&lt;$B$3503,N(J26),0)+IF(N(M26)&lt;$B$3503,N(L26),0))))</f>
        <v>111.25</v>
      </c>
    </row>
    <row r="3512" spans="1:2" hidden="1">
      <c r="A3512" s="3" t="s">
        <v>401</v>
      </c>
      <c r="B3512" s="3" t="b">
        <f>AND(B7084,AND(ISNUMBER($B$26),$B$26&gt;0,OR(C26="Cantilever Supported",C26="Simply Supported",C26="Fixed-Fixed"),OR(N26="",AND(ISNUMBER(N26),N26&gt;=0)),OR(D26="",AND(ISNUMBER(D26),D26&gt;=0)),OR(N(D26)=0,AND(ISNUMBER(E26),E26&gt;=0,E26&lt;=$B$26)),OR(F26="",AND(ISNUMBER(F26),F26&gt;=0)),OR(N(F26)=0,AND(ISNUMBER(G26),G26&gt;=0,G26&lt;=$B$26)),OR(H26="",AND(ISNUMBER(H26),H26&gt;=0)),OR(N(H26)=0,AND(ISNUMBER(I26),I26&gt;=0,I26&lt;=$B$26)),OR(J26="",AND(ISNUMBER(J26),J26&gt;=0)),OR(N(J26)=0,AND(ISNUMBER(K26),K26&gt;=0,K26&lt;=$B$26)),OR(L26="",AND(ISNUMBER(L26),L26&gt;=0)),OR(N(L26)=0,AND(ISNUMBER(M26),M26&gt;=0,M26&lt;=$B$26))))</f>
        <v>1</v>
      </c>
    </row>
    <row r="3513" spans="1:2" hidden="1">
      <c r="A3513" s="3" t="s">
        <v>402</v>
      </c>
      <c r="B3513" s="3">
        <f>IF(AND($B$3512,C26="Fixed-Fixed"),-(N(D26)*N(E26)^2*($B$3503-N(E26))/$B$3503^2+N(F26)*N(G26)^2*($B$3503-N(G26))/$B$3503^2+N(H26)*N(I26)^2*($B$3503-N(I26))/$B$3503^2+N(J26)*N(K26)^2*($B$3503-N(K26))/$B$3503^2+N(L26)*N(M26)^2*($B$3503-N(M26))/$B$3503^2)-$B$3504*$B$3503^2/12,0)</f>
        <v>0</v>
      </c>
    </row>
    <row r="3514" spans="1:2" hidden="1"/>
    <row r="3515" spans="1:2" hidden="1"/>
    <row r="3516" spans="1:2" hidden="1"/>
    <row r="3517" spans="1:2" hidden="1"/>
    <row r="3518" spans="1:2" hidden="1"/>
    <row r="3519" spans="1:2" hidden="1"/>
    <row r="3520" spans="1:2" hidden="1"/>
    <row r="3521" spans="1:7" hidden="1">
      <c r="A3521" s="3">
        <f>0</f>
        <v>0</v>
      </c>
      <c r="B3521" s="3">
        <f>SMALL(A3521:A3527,1)</f>
        <v>0</v>
      </c>
    </row>
    <row r="3522" spans="1:7" hidden="1">
      <c r="A3522" s="3">
        <f>IF(N(D26)=0,0,N(E26))</f>
        <v>0</v>
      </c>
      <c r="B3522" s="3">
        <f>SMALL(A3521:A3527,2)</f>
        <v>0</v>
      </c>
    </row>
    <row r="3523" spans="1:7" hidden="1">
      <c r="A3523" s="3">
        <f>IF(N(F26)=0,0,N(G26))</f>
        <v>0</v>
      </c>
      <c r="B3523" s="3">
        <f>SMALL(A3521:A3527,3)</f>
        <v>0</v>
      </c>
    </row>
    <row r="3524" spans="1:7" hidden="1">
      <c r="A3524" s="3">
        <f>IF(N(H26)=0,0,N(I26))</f>
        <v>0</v>
      </c>
      <c r="B3524" s="3">
        <f>SMALL(A3521:A3527,4)</f>
        <v>0</v>
      </c>
    </row>
    <row r="3525" spans="1:7" hidden="1">
      <c r="A3525" s="3">
        <f>IF(N(J26)=0,0,N(K26))</f>
        <v>0</v>
      </c>
      <c r="B3525" s="3">
        <f>SMALL(A3521:A3527,5)</f>
        <v>0</v>
      </c>
    </row>
    <row r="3526" spans="1:7" hidden="1">
      <c r="A3526" s="3">
        <f>IF(N(L26)=0,0,N(M26))</f>
        <v>0</v>
      </c>
      <c r="B3526" s="3">
        <f>SMALL(A3521:A3527,6)</f>
        <v>0</v>
      </c>
    </row>
    <row r="3527" spans="1:7" hidden="1">
      <c r="A3527" s="3">
        <f>$B$3503</f>
        <v>2.5</v>
      </c>
      <c r="B3527" s="3">
        <f>SMALL(A3521:A3527,7)</f>
        <v>2.5</v>
      </c>
    </row>
    <row r="3528" spans="1:7" hidden="1"/>
    <row r="3529" spans="1:7" hidden="1"/>
    <row r="3530" spans="1:7" hidden="1"/>
    <row r="3531" spans="1:7" hidden="1">
      <c r="A3531" s="3">
        <f t="shared" ref="A3531:A3536" si="0">B3521</f>
        <v>0</v>
      </c>
      <c r="B3531" s="3">
        <f t="shared" ref="B3531:B3536" si="1">B3522</f>
        <v>0</v>
      </c>
      <c r="C3531" s="3">
        <f t="shared" ref="C3531:C3536" si="2">-$B$3504/2</f>
        <v>-44.499999999999993</v>
      </c>
      <c r="D3531" s="3">
        <f>$B$3506-(IF(N(E26)&lt;=A3531,N(D26),0)+IF(N(G26)&lt;=A3531,N(F26),0)+IF(N(I26)&lt;=A3531,N(H26),0)+IF(N(K26)&lt;=A3531,N(J26),0)+IF(N(M26)&lt;=A3531,N(L26),0))</f>
        <v>111.24999999999997</v>
      </c>
      <c r="E3531" s="3">
        <f>$B$3505+(IF(N(E26)&lt;=A3531,N(D26)*N(E26),0)+IF(N(G26)&lt;=A3531,N(F26)*N(G26),0)+IF(N(I26)&lt;=A3531,N(H26)*N(I26),0)+IF(N(K26)&lt;=A3531,N(J26)*N(K26),0)+IF(N(M26)&lt;=A3531,N(L26)*N(M26),0))</f>
        <v>0</v>
      </c>
      <c r="F3531" s="3">
        <f t="shared" ref="F3531:F3536" si="3">IFERROR(MAX(A3531,MIN(B3531,IF(C3531=0,IF(D3531=0,A3531,-E3531/D3531),(-D3531+SQRT(D3531^2-4*C3531*E3531))/(2*C3531)))),A3531)</f>
        <v>0</v>
      </c>
      <c r="G3531" s="3">
        <f t="shared" ref="G3531:G3536" si="4">IFERROR(MAX(A3531,MIN(B3531,IF(C3531=0,IF(D3531=0,A3531,-E3531/D3531),(-D3531-SQRT(D3531^2-4*C3531*E3531))/(2*C3531)))),A3531)</f>
        <v>0</v>
      </c>
    </row>
    <row r="3532" spans="1:7" hidden="1">
      <c r="A3532" s="3">
        <f t="shared" si="0"/>
        <v>0</v>
      </c>
      <c r="B3532" s="3">
        <f t="shared" si="1"/>
        <v>0</v>
      </c>
      <c r="C3532" s="3">
        <f t="shared" si="2"/>
        <v>-44.499999999999993</v>
      </c>
      <c r="D3532" s="3">
        <f>$B$3506-(IF(N(E26)&lt;=A3532,N(D26),0)+IF(N(G26)&lt;=A3532,N(F26),0)+IF(N(I26)&lt;=A3532,N(H26),0)+IF(N(K26)&lt;=A3532,N(J26),0)+IF(N(M26)&lt;=A3532,N(L26),0))</f>
        <v>111.24999999999997</v>
      </c>
      <c r="E3532" s="3">
        <f>$B$3505+(IF(N(E26)&lt;=A3532,N(D26)*N(E26),0)+IF(N(G26)&lt;=A3532,N(F26)*N(G26),0)+IF(N(I26)&lt;=A3532,N(H26)*N(I26),0)+IF(N(K26)&lt;=A3532,N(J26)*N(K26),0)+IF(N(M26)&lt;=A3532,N(L26)*N(M26),0))</f>
        <v>0</v>
      </c>
      <c r="F3532" s="3">
        <f t="shared" si="3"/>
        <v>0</v>
      </c>
      <c r="G3532" s="3">
        <f t="shared" si="4"/>
        <v>0</v>
      </c>
    </row>
    <row r="3533" spans="1:7" hidden="1">
      <c r="A3533" s="3">
        <f t="shared" si="0"/>
        <v>0</v>
      </c>
      <c r="B3533" s="3">
        <f t="shared" si="1"/>
        <v>0</v>
      </c>
      <c r="C3533" s="3">
        <f t="shared" si="2"/>
        <v>-44.499999999999993</v>
      </c>
      <c r="D3533" s="3">
        <f>$B$3506-(IF(N(E26)&lt;=A3533,N(D26),0)+IF(N(G26)&lt;=A3533,N(F26),0)+IF(N(I26)&lt;=A3533,N(H26),0)+IF(N(K26)&lt;=A3533,N(J26),0)+IF(N(M26)&lt;=A3533,N(L26),0))</f>
        <v>111.24999999999997</v>
      </c>
      <c r="E3533" s="3">
        <f>$B$3505+(IF(N(E26)&lt;=A3533,N(D26)*N(E26),0)+IF(N(G26)&lt;=A3533,N(F26)*N(G26),0)+IF(N(I26)&lt;=A3533,N(H26)*N(I26),0)+IF(N(K26)&lt;=A3533,N(J26)*N(K26),0)+IF(N(M26)&lt;=A3533,N(L26)*N(M26),0))</f>
        <v>0</v>
      </c>
      <c r="F3533" s="3">
        <f t="shared" si="3"/>
        <v>0</v>
      </c>
      <c r="G3533" s="3">
        <f t="shared" si="4"/>
        <v>0</v>
      </c>
    </row>
    <row r="3534" spans="1:7" hidden="1">
      <c r="A3534" s="3">
        <f t="shared" si="0"/>
        <v>0</v>
      </c>
      <c r="B3534" s="3">
        <f t="shared" si="1"/>
        <v>0</v>
      </c>
      <c r="C3534" s="3">
        <f t="shared" si="2"/>
        <v>-44.499999999999993</v>
      </c>
      <c r="D3534" s="3">
        <f>$B$3506-(IF(N(E26)&lt;=A3534,N(D26),0)+IF(N(G26)&lt;=A3534,N(F26),0)+IF(N(I26)&lt;=A3534,N(H26),0)+IF(N(K26)&lt;=A3534,N(J26),0)+IF(N(M26)&lt;=A3534,N(L26),0))</f>
        <v>111.24999999999997</v>
      </c>
      <c r="E3534" s="3">
        <f>$B$3505+(IF(N(E26)&lt;=A3534,N(D26)*N(E26),0)+IF(N(G26)&lt;=A3534,N(F26)*N(G26),0)+IF(N(I26)&lt;=A3534,N(H26)*N(I26),0)+IF(N(K26)&lt;=A3534,N(J26)*N(K26),0)+IF(N(M26)&lt;=A3534,N(L26)*N(M26),0))</f>
        <v>0</v>
      </c>
      <c r="F3534" s="3">
        <f t="shared" si="3"/>
        <v>0</v>
      </c>
      <c r="G3534" s="3">
        <f t="shared" si="4"/>
        <v>0</v>
      </c>
    </row>
    <row r="3535" spans="1:7" hidden="1">
      <c r="A3535" s="3">
        <f t="shared" si="0"/>
        <v>0</v>
      </c>
      <c r="B3535" s="3">
        <f t="shared" si="1"/>
        <v>0</v>
      </c>
      <c r="C3535" s="3">
        <f t="shared" si="2"/>
        <v>-44.499999999999993</v>
      </c>
      <c r="D3535" s="3">
        <f>$B$3506-(IF(N(E26)&lt;=A3535,N(D26),0)+IF(N(G26)&lt;=A3535,N(F26),0)+IF(N(I26)&lt;=A3535,N(H26),0)+IF(N(K26)&lt;=A3535,N(J26),0)+IF(N(M26)&lt;=A3535,N(L26),0))</f>
        <v>111.24999999999997</v>
      </c>
      <c r="E3535" s="3">
        <f>$B$3505+(IF(N(E26)&lt;=A3535,N(D26)*N(E26),0)+IF(N(G26)&lt;=A3535,N(F26)*N(G26),0)+IF(N(I26)&lt;=A3535,N(H26)*N(I26),0)+IF(N(K26)&lt;=A3535,N(J26)*N(K26),0)+IF(N(M26)&lt;=A3535,N(L26)*N(M26),0))</f>
        <v>0</v>
      </c>
      <c r="F3535" s="3">
        <f t="shared" si="3"/>
        <v>0</v>
      </c>
      <c r="G3535" s="3">
        <f t="shared" si="4"/>
        <v>0</v>
      </c>
    </row>
    <row r="3536" spans="1:7" hidden="1">
      <c r="A3536" s="3">
        <f t="shared" si="0"/>
        <v>0</v>
      </c>
      <c r="B3536" s="3">
        <f t="shared" si="1"/>
        <v>2.5</v>
      </c>
      <c r="C3536" s="3">
        <f t="shared" si="2"/>
        <v>-44.499999999999993</v>
      </c>
      <c r="D3536" s="3">
        <f>$B$3506-(IF(N(E26)&lt;=A3536,N(D26),0)+IF(N(G26)&lt;=A3536,N(F26),0)+IF(N(I26)&lt;=A3536,N(H26),0)+IF(N(K26)&lt;=A3536,N(J26),0)+IF(N(M26)&lt;=A3536,N(L26),0))</f>
        <v>111.24999999999997</v>
      </c>
      <c r="E3536" s="3">
        <f>$B$3505+(IF(N(E26)&lt;=A3536,N(D26)*N(E26),0)+IF(N(G26)&lt;=A3536,N(F26)*N(G26),0)+IF(N(I26)&lt;=A3536,N(H26)*N(I26),0)+IF(N(K26)&lt;=A3536,N(J26)*N(K26),0)+IF(N(M26)&lt;=A3536,N(L26)*N(M26),0))</f>
        <v>0</v>
      </c>
      <c r="F3536" s="3">
        <f t="shared" si="3"/>
        <v>0</v>
      </c>
      <c r="G3536" s="3">
        <f t="shared" si="4"/>
        <v>2.4999999999999996</v>
      </c>
    </row>
    <row r="3537" spans="1:6" hidden="1"/>
    <row r="3538" spans="1:6" hidden="1"/>
    <row r="3539" spans="1:6" hidden="1"/>
    <row r="3540" spans="1:6" hidden="1"/>
    <row r="3541" spans="1:6" hidden="1">
      <c r="A3541" s="3">
        <f t="shared" ref="A3541:A3547" si="5">B3521</f>
        <v>0</v>
      </c>
      <c r="B3541" s="3">
        <f>SMALL($A$3541:$A$3559,1)</f>
        <v>0</v>
      </c>
      <c r="C3541" s="3">
        <f>C3645</f>
        <v>0</v>
      </c>
      <c r="D3541" s="3">
        <f>ABS($B$3505*(B3541)^2/2+$B$3506*(B3541)^3/6-$B$3504*(B3541)^4/24-(N(D26)*MAX(0,(B3541)-N(E26))^3/6+N(F26)*MAX(0,(B3541)-N(G26))^3/6+N(H26)*MAX(0,(B3541)-N(I26))^3/6+N(J26)*MAX(0,(B3541)-N(K26))^3/6+N(L26)*MAX(0,(B3541)-N(M26))^3/6)+$B$3507*(B3541))</f>
        <v>0</v>
      </c>
      <c r="E3541" s="3">
        <f>ABS($B$3505*(C3541)^2/2+$B$3506*(C3541)^3/6-$B$3504*(C3541)^4/24-(N(D26)*MAX(0,(C3541)-N(E26))^3/6+N(F26)*MAX(0,(C3541)-N(G26))^3/6+N(H26)*MAX(0,(C3541)-N(I26))^3/6+N(J26)*MAX(0,(C3541)-N(K26))^3/6+N(L26)*MAX(0,(C3541)-N(M26))^3/6)+$B$3507*(C3541))</f>
        <v>0</v>
      </c>
      <c r="F3541" s="3">
        <f>ABS($B$3505+$B$3506*(B3541)-$B$3504*(B3541)^2/2-(N(D26)*MAX(0,(B3541)-N(E26))+N(F26)*MAX(0,(B3541)-N(G26))+N(H26)*MAX(0,(B3541)-N(I26))+N(J26)*MAX(0,(B3541)-N(K26))+N(L26)*MAX(0,(B3541)-N(M26))))</f>
        <v>0</v>
      </c>
    </row>
    <row r="3542" spans="1:6" hidden="1">
      <c r="A3542" s="3">
        <f t="shared" si="5"/>
        <v>0</v>
      </c>
      <c r="B3542" s="3">
        <f>SMALL($A$3541:$A$3559,2)</f>
        <v>0</v>
      </c>
      <c r="C3542" s="3">
        <f>C3691</f>
        <v>0</v>
      </c>
      <c r="D3542" s="3">
        <f>ABS($B$3505*(B3542)^2/2+$B$3506*(B3542)^3/6-$B$3504*(B3542)^4/24-(N(D26)*MAX(0,(B3542)-N(E26))^3/6+N(F26)*MAX(0,(B3542)-N(G26))^3/6+N(H26)*MAX(0,(B3542)-N(I26))^3/6+N(J26)*MAX(0,(B3542)-N(K26))^3/6+N(L26)*MAX(0,(B3542)-N(M26))^3/6)+$B$3507*(B3542))</f>
        <v>0</v>
      </c>
      <c r="E3542" s="3">
        <f>ABS($B$3505*(C3542)^2/2+$B$3506*(C3542)^3/6-$B$3504*(C3542)^4/24-(N(D26)*MAX(0,(C3542)-N(E26))^3/6+N(F26)*MAX(0,(C3542)-N(G26))^3/6+N(H26)*MAX(0,(C3542)-N(I26))^3/6+N(J26)*MAX(0,(C3542)-N(K26))^3/6+N(L26)*MAX(0,(C3542)-N(M26))^3/6)+$B$3507*(C3542))</f>
        <v>0</v>
      </c>
      <c r="F3542" s="3">
        <f>ABS($B$3505+$B$3506*(B3542)-$B$3504*(B3542)^2/2-(N(D26)*MAX(0,(B3542)-N(E26))+N(F26)*MAX(0,(B3542)-N(G26))+N(H26)*MAX(0,(B3542)-N(I26))+N(J26)*MAX(0,(B3542)-N(K26))+N(L26)*MAX(0,(B3542)-N(M26))))</f>
        <v>0</v>
      </c>
    </row>
    <row r="3543" spans="1:6" hidden="1">
      <c r="A3543" s="3">
        <f t="shared" si="5"/>
        <v>0</v>
      </c>
      <c r="B3543" s="3">
        <f>SMALL($A$3541:$A$3559,3)</f>
        <v>0</v>
      </c>
      <c r="C3543" s="3">
        <f>C3737</f>
        <v>0</v>
      </c>
      <c r="D3543" s="3">
        <f>ABS($B$3505*(B3543)^2/2+$B$3506*(B3543)^3/6-$B$3504*(B3543)^4/24-(N(D26)*MAX(0,(B3543)-N(E26))^3/6+N(F26)*MAX(0,(B3543)-N(G26))^3/6+N(H26)*MAX(0,(B3543)-N(I26))^3/6+N(J26)*MAX(0,(B3543)-N(K26))^3/6+N(L26)*MAX(0,(B3543)-N(M26))^3/6)+$B$3507*(B3543))</f>
        <v>0</v>
      </c>
      <c r="E3543" s="3">
        <f>ABS($B$3505*(C3543)^2/2+$B$3506*(C3543)^3/6-$B$3504*(C3543)^4/24-(N(D26)*MAX(0,(C3543)-N(E26))^3/6+N(F26)*MAX(0,(C3543)-N(G26))^3/6+N(H26)*MAX(0,(C3543)-N(I26))^3/6+N(J26)*MAX(0,(C3543)-N(K26))^3/6+N(L26)*MAX(0,(C3543)-N(M26))^3/6)+$B$3507*(C3543))</f>
        <v>0</v>
      </c>
      <c r="F3543" s="3">
        <f>ABS($B$3505+$B$3506*(B3543)-$B$3504*(B3543)^2/2-(N(D26)*MAX(0,(B3543)-N(E26))+N(F26)*MAX(0,(B3543)-N(G26))+N(H26)*MAX(0,(B3543)-N(I26))+N(J26)*MAX(0,(B3543)-N(K26))+N(L26)*MAX(0,(B3543)-N(M26))))</f>
        <v>0</v>
      </c>
    </row>
    <row r="3544" spans="1:6" hidden="1">
      <c r="A3544" s="3">
        <f t="shared" si="5"/>
        <v>0</v>
      </c>
      <c r="B3544" s="3">
        <f>SMALL($A$3541:$A$3559,4)</f>
        <v>0</v>
      </c>
      <c r="C3544" s="3">
        <f>C3783</f>
        <v>0</v>
      </c>
      <c r="D3544" s="3">
        <f>ABS($B$3505*(B3544)^2/2+$B$3506*(B3544)^3/6-$B$3504*(B3544)^4/24-(N(D26)*MAX(0,(B3544)-N(E26))^3/6+N(F26)*MAX(0,(B3544)-N(G26))^3/6+N(H26)*MAX(0,(B3544)-N(I26))^3/6+N(J26)*MAX(0,(B3544)-N(K26))^3/6+N(L26)*MAX(0,(B3544)-N(M26))^3/6)+$B$3507*(B3544))</f>
        <v>0</v>
      </c>
      <c r="E3544" s="3">
        <f>ABS($B$3505*(C3544)^2/2+$B$3506*(C3544)^3/6-$B$3504*(C3544)^4/24-(N(D26)*MAX(0,(C3544)-N(E26))^3/6+N(F26)*MAX(0,(C3544)-N(G26))^3/6+N(H26)*MAX(0,(C3544)-N(I26))^3/6+N(J26)*MAX(0,(C3544)-N(K26))^3/6+N(L26)*MAX(0,(C3544)-N(M26))^3/6)+$B$3507*(C3544))</f>
        <v>0</v>
      </c>
      <c r="F3544" s="3">
        <f>ABS($B$3505+$B$3506*(B3544)-$B$3504*(B3544)^2/2-(N(D26)*MAX(0,(B3544)-N(E26))+N(F26)*MAX(0,(B3544)-N(G26))+N(H26)*MAX(0,(B3544)-N(I26))+N(J26)*MAX(0,(B3544)-N(K26))+N(L26)*MAX(0,(B3544)-N(M26))))</f>
        <v>0</v>
      </c>
    </row>
    <row r="3545" spans="1:6" hidden="1">
      <c r="A3545" s="3">
        <f t="shared" si="5"/>
        <v>0</v>
      </c>
      <c r="B3545" s="3">
        <f>SMALL($A$3541:$A$3559,5)</f>
        <v>0</v>
      </c>
      <c r="C3545" s="3">
        <f>C3829</f>
        <v>0</v>
      </c>
      <c r="D3545" s="3">
        <f>ABS($B$3505*(B3545)^2/2+$B$3506*(B3545)^3/6-$B$3504*(B3545)^4/24-(N(D26)*MAX(0,(B3545)-N(E26))^3/6+N(F26)*MAX(0,(B3545)-N(G26))^3/6+N(H26)*MAX(0,(B3545)-N(I26))^3/6+N(J26)*MAX(0,(B3545)-N(K26))^3/6+N(L26)*MAX(0,(B3545)-N(M26))^3/6)+$B$3507*(B3545))</f>
        <v>0</v>
      </c>
      <c r="E3545" s="3">
        <f>ABS($B$3505*(C3545)^2/2+$B$3506*(C3545)^3/6-$B$3504*(C3545)^4/24-(N(D26)*MAX(0,(C3545)-N(E26))^3/6+N(F26)*MAX(0,(C3545)-N(G26))^3/6+N(H26)*MAX(0,(C3545)-N(I26))^3/6+N(J26)*MAX(0,(C3545)-N(K26))^3/6+N(L26)*MAX(0,(C3545)-N(M26))^3/6)+$B$3507*(C3545))</f>
        <v>0</v>
      </c>
      <c r="F3545" s="3">
        <f>ABS($B$3505+$B$3506*(B3545)-$B$3504*(B3545)^2/2-(N(D26)*MAX(0,(B3545)-N(E26))+N(F26)*MAX(0,(B3545)-N(G26))+N(H26)*MAX(0,(B3545)-N(I26))+N(J26)*MAX(0,(B3545)-N(K26))+N(L26)*MAX(0,(B3545)-N(M26))))</f>
        <v>0</v>
      </c>
    </row>
    <row r="3546" spans="1:6" hidden="1">
      <c r="A3546" s="3">
        <f t="shared" si="5"/>
        <v>0</v>
      </c>
      <c r="B3546" s="3">
        <f>SMALL($A$3541:$A$3559,6)</f>
        <v>0</v>
      </c>
      <c r="C3546" s="3">
        <f>C3875</f>
        <v>0</v>
      </c>
      <c r="D3546" s="3">
        <f>ABS($B$3505*(B3546)^2/2+$B$3506*(B3546)^3/6-$B$3504*(B3546)^4/24-(N(D26)*MAX(0,(B3546)-N(E26))^3/6+N(F26)*MAX(0,(B3546)-N(G26))^3/6+N(H26)*MAX(0,(B3546)-N(I26))^3/6+N(J26)*MAX(0,(B3546)-N(K26))^3/6+N(L26)*MAX(0,(B3546)-N(M26))^3/6)+$B$3507*(B3546))</f>
        <v>0</v>
      </c>
      <c r="E3546" s="3">
        <f>ABS($B$3505*(C3546)^2/2+$B$3506*(C3546)^3/6-$B$3504*(C3546)^4/24-(N(D26)*MAX(0,(C3546)-N(E26))^3/6+N(F26)*MAX(0,(C3546)-N(G26))^3/6+N(H26)*MAX(0,(C3546)-N(I26))^3/6+N(J26)*MAX(0,(C3546)-N(K26))^3/6+N(L26)*MAX(0,(C3546)-N(M26))^3/6)+$B$3507*(C3546))</f>
        <v>0</v>
      </c>
      <c r="F3546" s="3">
        <f>ABS($B$3505+$B$3506*(B3546)-$B$3504*(B3546)^2/2-(N(D26)*MAX(0,(B3546)-N(E26))+N(F26)*MAX(0,(B3546)-N(G26))+N(H26)*MAX(0,(B3546)-N(I26))+N(J26)*MAX(0,(B3546)-N(K26))+N(L26)*MAX(0,(B3546)-N(M26))))</f>
        <v>0</v>
      </c>
    </row>
    <row r="3547" spans="1:6" hidden="1">
      <c r="A3547" s="3">
        <f t="shared" si="5"/>
        <v>2.5</v>
      </c>
      <c r="B3547" s="3">
        <f>SMALL($A$3541:$A$3559,7)</f>
        <v>0</v>
      </c>
      <c r="C3547" s="3">
        <f>C3921</f>
        <v>0</v>
      </c>
      <c r="D3547" s="3">
        <f>ABS($B$3505*(B3547)^2/2+$B$3506*(B3547)^3/6-$B$3504*(B3547)^4/24-(N(D26)*MAX(0,(B3547)-N(E26))^3/6+N(F26)*MAX(0,(B3547)-N(G26))^3/6+N(H26)*MAX(0,(B3547)-N(I26))^3/6+N(J26)*MAX(0,(B3547)-N(K26))^3/6+N(L26)*MAX(0,(B3547)-N(M26))^3/6)+$B$3507*(B3547))</f>
        <v>0</v>
      </c>
      <c r="E3547" s="3">
        <f>ABS($B$3505*(C3547)^2/2+$B$3506*(C3547)^3/6-$B$3504*(C3547)^4/24-(N(D26)*MAX(0,(C3547)-N(E26))^3/6+N(F26)*MAX(0,(C3547)-N(G26))^3/6+N(H26)*MAX(0,(C3547)-N(I26))^3/6+N(J26)*MAX(0,(C3547)-N(K26))^3/6+N(L26)*MAX(0,(C3547)-N(M26))^3/6)+$B$3507*(C3547))</f>
        <v>0</v>
      </c>
      <c r="F3547" s="3">
        <f>ABS($B$3505+$B$3506*(B3547)-$B$3504*(B3547)^2/2-(N(D26)*MAX(0,(B3547)-N(E26))+N(F26)*MAX(0,(B3547)-N(G26))+N(H26)*MAX(0,(B3547)-N(I26))+N(J26)*MAX(0,(B3547)-N(K26))+N(L26)*MAX(0,(B3547)-N(M26))))</f>
        <v>0</v>
      </c>
    </row>
    <row r="3548" spans="1:6" hidden="1">
      <c r="A3548" s="3">
        <f>F3531</f>
        <v>0</v>
      </c>
      <c r="B3548" s="3">
        <f>SMALL($A$3541:$A$3559,8)</f>
        <v>0</v>
      </c>
      <c r="C3548" s="3">
        <f>C3967</f>
        <v>0</v>
      </c>
      <c r="D3548" s="3">
        <f>ABS($B$3505*(B3548)^2/2+$B$3506*(B3548)^3/6-$B$3504*(B3548)^4/24-(N(D26)*MAX(0,(B3548)-N(E26))^3/6+N(F26)*MAX(0,(B3548)-N(G26))^3/6+N(H26)*MAX(0,(B3548)-N(I26))^3/6+N(J26)*MAX(0,(B3548)-N(K26))^3/6+N(L26)*MAX(0,(B3548)-N(M26))^3/6)+$B$3507*(B3548))</f>
        <v>0</v>
      </c>
      <c r="E3548" s="3">
        <f>ABS($B$3505*(C3548)^2/2+$B$3506*(C3548)^3/6-$B$3504*(C3548)^4/24-(N(D26)*MAX(0,(C3548)-N(E26))^3/6+N(F26)*MAX(0,(C3548)-N(G26))^3/6+N(H26)*MAX(0,(C3548)-N(I26))^3/6+N(J26)*MAX(0,(C3548)-N(K26))^3/6+N(L26)*MAX(0,(C3548)-N(M26))^3/6)+$B$3507*(C3548))</f>
        <v>0</v>
      </c>
      <c r="F3548" s="3">
        <f>ABS($B$3505+$B$3506*(B3548)-$B$3504*(B3548)^2/2-(N(D26)*MAX(0,(B3548)-N(E26))+N(F26)*MAX(0,(B3548)-N(G26))+N(H26)*MAX(0,(B3548)-N(I26))+N(J26)*MAX(0,(B3548)-N(K26))+N(L26)*MAX(0,(B3548)-N(M26))))</f>
        <v>0</v>
      </c>
    </row>
    <row r="3549" spans="1:6" hidden="1">
      <c r="A3549" s="3">
        <f>G3531</f>
        <v>0</v>
      </c>
      <c r="B3549" s="3">
        <f>SMALL($A$3541:$A$3559,9)</f>
        <v>0</v>
      </c>
      <c r="C3549" s="3">
        <f>C4013</f>
        <v>0</v>
      </c>
      <c r="D3549" s="3">
        <f>ABS($B$3505*(B3549)^2/2+$B$3506*(B3549)^3/6-$B$3504*(B3549)^4/24-(N(D26)*MAX(0,(B3549)-N(E26))^3/6+N(F26)*MAX(0,(B3549)-N(G26))^3/6+N(H26)*MAX(0,(B3549)-N(I26))^3/6+N(J26)*MAX(0,(B3549)-N(K26))^3/6+N(L26)*MAX(0,(B3549)-N(M26))^3/6)+$B$3507*(B3549))</f>
        <v>0</v>
      </c>
      <c r="E3549" s="3">
        <f>ABS($B$3505*(C3549)^2/2+$B$3506*(C3549)^3/6-$B$3504*(C3549)^4/24-(N(D26)*MAX(0,(C3549)-N(E26))^3/6+N(F26)*MAX(0,(C3549)-N(G26))^3/6+N(H26)*MAX(0,(C3549)-N(I26))^3/6+N(J26)*MAX(0,(C3549)-N(K26))^3/6+N(L26)*MAX(0,(C3549)-N(M26))^3/6)+$B$3507*(C3549))</f>
        <v>0</v>
      </c>
      <c r="F3549" s="3">
        <f>ABS($B$3505+$B$3506*(B3549)-$B$3504*(B3549)^2/2-(N(D26)*MAX(0,(B3549)-N(E26))+N(F26)*MAX(0,(B3549)-N(G26))+N(H26)*MAX(0,(B3549)-N(I26))+N(J26)*MAX(0,(B3549)-N(K26))+N(L26)*MAX(0,(B3549)-N(M26))))</f>
        <v>0</v>
      </c>
    </row>
    <row r="3550" spans="1:6" hidden="1">
      <c r="A3550" s="3">
        <f>F3532</f>
        <v>0</v>
      </c>
      <c r="B3550" s="3">
        <f>SMALL($A$3541:$A$3559,10)</f>
        <v>0</v>
      </c>
      <c r="C3550" s="3">
        <f>C4059</f>
        <v>0</v>
      </c>
      <c r="D3550" s="3">
        <f>ABS($B$3505*(B3550)^2/2+$B$3506*(B3550)^3/6-$B$3504*(B3550)^4/24-(N(D26)*MAX(0,(B3550)-N(E26))^3/6+N(F26)*MAX(0,(B3550)-N(G26))^3/6+N(H26)*MAX(0,(B3550)-N(I26))^3/6+N(J26)*MAX(0,(B3550)-N(K26))^3/6+N(L26)*MAX(0,(B3550)-N(M26))^3/6)+$B$3507*(B3550))</f>
        <v>0</v>
      </c>
      <c r="E3550" s="3">
        <f>ABS($B$3505*(C3550)^2/2+$B$3506*(C3550)^3/6-$B$3504*(C3550)^4/24-(N(D26)*MAX(0,(C3550)-N(E26))^3/6+N(F26)*MAX(0,(C3550)-N(G26))^3/6+N(H26)*MAX(0,(C3550)-N(I26))^3/6+N(J26)*MAX(0,(C3550)-N(K26))^3/6+N(L26)*MAX(0,(C3550)-N(M26))^3/6)+$B$3507*(C3550))</f>
        <v>0</v>
      </c>
      <c r="F3550" s="3">
        <f>ABS($B$3505+$B$3506*(B3550)-$B$3504*(B3550)^2/2-(N(D26)*MAX(0,(B3550)-N(E26))+N(F26)*MAX(0,(B3550)-N(G26))+N(H26)*MAX(0,(B3550)-N(I26))+N(J26)*MAX(0,(B3550)-N(K26))+N(L26)*MAX(0,(B3550)-N(M26))))</f>
        <v>0</v>
      </c>
    </row>
    <row r="3551" spans="1:6" hidden="1">
      <c r="A3551" s="3">
        <f>G3532</f>
        <v>0</v>
      </c>
      <c r="B3551" s="3">
        <f>SMALL($A$3541:$A$3559,11)</f>
        <v>0</v>
      </c>
      <c r="C3551" s="3">
        <f>C4105</f>
        <v>0</v>
      </c>
      <c r="D3551" s="3">
        <f>ABS($B$3505*(B3551)^2/2+$B$3506*(B3551)^3/6-$B$3504*(B3551)^4/24-(N(D26)*MAX(0,(B3551)-N(E26))^3/6+N(F26)*MAX(0,(B3551)-N(G26))^3/6+N(H26)*MAX(0,(B3551)-N(I26))^3/6+N(J26)*MAX(0,(B3551)-N(K26))^3/6+N(L26)*MAX(0,(B3551)-N(M26))^3/6)+$B$3507*(B3551))</f>
        <v>0</v>
      </c>
      <c r="E3551" s="3">
        <f>ABS($B$3505*(C3551)^2/2+$B$3506*(C3551)^3/6-$B$3504*(C3551)^4/24-(N(D26)*MAX(0,(C3551)-N(E26))^3/6+N(F26)*MAX(0,(C3551)-N(G26))^3/6+N(H26)*MAX(0,(C3551)-N(I26))^3/6+N(J26)*MAX(0,(C3551)-N(K26))^3/6+N(L26)*MAX(0,(C3551)-N(M26))^3/6)+$B$3507*(C3551))</f>
        <v>0</v>
      </c>
      <c r="F3551" s="3">
        <f>ABS($B$3505+$B$3506*(B3551)-$B$3504*(B3551)^2/2-(N(D26)*MAX(0,(B3551)-N(E26))+N(F26)*MAX(0,(B3551)-N(G26))+N(H26)*MAX(0,(B3551)-N(I26))+N(J26)*MAX(0,(B3551)-N(K26))+N(L26)*MAX(0,(B3551)-N(M26))))</f>
        <v>0</v>
      </c>
    </row>
    <row r="3552" spans="1:6" hidden="1">
      <c r="A3552" s="3">
        <f>F3533</f>
        <v>0</v>
      </c>
      <c r="B3552" s="3">
        <f>SMALL($A$3541:$A$3559,12)</f>
        <v>0</v>
      </c>
      <c r="C3552" s="3">
        <f>C4151</f>
        <v>0</v>
      </c>
      <c r="D3552" s="3">
        <f>ABS($B$3505*(B3552)^2/2+$B$3506*(B3552)^3/6-$B$3504*(B3552)^4/24-(N(D26)*MAX(0,(B3552)-N(E26))^3/6+N(F26)*MAX(0,(B3552)-N(G26))^3/6+N(H26)*MAX(0,(B3552)-N(I26))^3/6+N(J26)*MAX(0,(B3552)-N(K26))^3/6+N(L26)*MAX(0,(B3552)-N(M26))^3/6)+$B$3507*(B3552))</f>
        <v>0</v>
      </c>
      <c r="E3552" s="3">
        <f>ABS($B$3505*(C3552)^2/2+$B$3506*(C3552)^3/6-$B$3504*(C3552)^4/24-(N(D26)*MAX(0,(C3552)-N(E26))^3/6+N(F26)*MAX(0,(C3552)-N(G26))^3/6+N(H26)*MAX(0,(C3552)-N(I26))^3/6+N(J26)*MAX(0,(C3552)-N(K26))^3/6+N(L26)*MAX(0,(C3552)-N(M26))^3/6)+$B$3507*(C3552))</f>
        <v>0</v>
      </c>
      <c r="F3552" s="3">
        <f>ABS($B$3505+$B$3506*(B3552)-$B$3504*(B3552)^2/2-(N(D26)*MAX(0,(B3552)-N(E26))+N(F26)*MAX(0,(B3552)-N(G26))+N(H26)*MAX(0,(B3552)-N(I26))+N(J26)*MAX(0,(B3552)-N(K26))+N(L26)*MAX(0,(B3552)-N(M26))))</f>
        <v>0</v>
      </c>
    </row>
    <row r="3553" spans="1:6" hidden="1">
      <c r="A3553" s="3">
        <f>G3533</f>
        <v>0</v>
      </c>
      <c r="B3553" s="3">
        <f>SMALL($A$3541:$A$3559,13)</f>
        <v>0</v>
      </c>
      <c r="C3553" s="3">
        <f>C4197</f>
        <v>0</v>
      </c>
      <c r="D3553" s="3">
        <f>ABS($B$3505*(B3553)^2/2+$B$3506*(B3553)^3/6-$B$3504*(B3553)^4/24-(N(D26)*MAX(0,(B3553)-N(E26))^3/6+N(F26)*MAX(0,(B3553)-N(G26))^3/6+N(H26)*MAX(0,(B3553)-N(I26))^3/6+N(J26)*MAX(0,(B3553)-N(K26))^3/6+N(L26)*MAX(0,(B3553)-N(M26))^3/6)+$B$3507*(B3553))</f>
        <v>0</v>
      </c>
      <c r="E3553" s="3">
        <f>ABS($B$3505*(C3553)^2/2+$B$3506*(C3553)^3/6-$B$3504*(C3553)^4/24-(N(D26)*MAX(0,(C3553)-N(E26))^3/6+N(F26)*MAX(0,(C3553)-N(G26))^3/6+N(H26)*MAX(0,(C3553)-N(I26))^3/6+N(J26)*MAX(0,(C3553)-N(K26))^3/6+N(L26)*MAX(0,(C3553)-N(M26))^3/6)+$B$3507*(C3553))</f>
        <v>0</v>
      </c>
      <c r="F3553" s="3">
        <f>ABS($B$3505+$B$3506*(B3553)-$B$3504*(B3553)^2/2-(N(D26)*MAX(0,(B3553)-N(E26))+N(F26)*MAX(0,(B3553)-N(G26))+N(H26)*MAX(0,(B3553)-N(I26))+N(J26)*MAX(0,(B3553)-N(K26))+N(L26)*MAX(0,(B3553)-N(M26))))</f>
        <v>0</v>
      </c>
    </row>
    <row r="3554" spans="1:6" hidden="1">
      <c r="A3554" s="3">
        <f>F3534</f>
        <v>0</v>
      </c>
      <c r="B3554" s="3">
        <f>SMALL($A$3541:$A$3559,14)</f>
        <v>0</v>
      </c>
      <c r="C3554" s="3">
        <f>C4243</f>
        <v>0</v>
      </c>
      <c r="D3554" s="3">
        <f>ABS($B$3505*(B3554)^2/2+$B$3506*(B3554)^3/6-$B$3504*(B3554)^4/24-(N(D26)*MAX(0,(B3554)-N(E26))^3/6+N(F26)*MAX(0,(B3554)-N(G26))^3/6+N(H26)*MAX(0,(B3554)-N(I26))^3/6+N(J26)*MAX(0,(B3554)-N(K26))^3/6+N(L26)*MAX(0,(B3554)-N(M26))^3/6)+$B$3507*(B3554))</f>
        <v>0</v>
      </c>
      <c r="E3554" s="3">
        <f>ABS($B$3505*(C3554)^2/2+$B$3506*(C3554)^3/6-$B$3504*(C3554)^4/24-(N(D26)*MAX(0,(C3554)-N(E26))^3/6+N(F26)*MAX(0,(C3554)-N(G26))^3/6+N(H26)*MAX(0,(C3554)-N(I26))^3/6+N(J26)*MAX(0,(C3554)-N(K26))^3/6+N(L26)*MAX(0,(C3554)-N(M26))^3/6)+$B$3507*(C3554))</f>
        <v>0</v>
      </c>
      <c r="F3554" s="3">
        <f>ABS($B$3505+$B$3506*(B3554)-$B$3504*(B3554)^2/2-(N(D26)*MAX(0,(B3554)-N(E26))+N(F26)*MAX(0,(B3554)-N(G26))+N(H26)*MAX(0,(B3554)-N(I26))+N(J26)*MAX(0,(B3554)-N(K26))+N(L26)*MAX(0,(B3554)-N(M26))))</f>
        <v>0</v>
      </c>
    </row>
    <row r="3555" spans="1:6" hidden="1">
      <c r="A3555" s="3">
        <f>G3534</f>
        <v>0</v>
      </c>
      <c r="B3555" s="3">
        <f>SMALL($A$3541:$A$3559,15)</f>
        <v>0</v>
      </c>
      <c r="C3555" s="3">
        <f>C4289</f>
        <v>0</v>
      </c>
      <c r="D3555" s="3">
        <f>ABS($B$3505*(B3555)^2/2+$B$3506*(B3555)^3/6-$B$3504*(B3555)^4/24-(N(D26)*MAX(0,(B3555)-N(E26))^3/6+N(F26)*MAX(0,(B3555)-N(G26))^3/6+N(H26)*MAX(0,(B3555)-N(I26))^3/6+N(J26)*MAX(0,(B3555)-N(K26))^3/6+N(L26)*MAX(0,(B3555)-N(M26))^3/6)+$B$3507*(B3555))</f>
        <v>0</v>
      </c>
      <c r="E3555" s="3">
        <f>ABS($B$3505*(C3555)^2/2+$B$3506*(C3555)^3/6-$B$3504*(C3555)^4/24-(N(D26)*MAX(0,(C3555)-N(E26))^3/6+N(F26)*MAX(0,(C3555)-N(G26))^3/6+N(H26)*MAX(0,(C3555)-N(I26))^3/6+N(J26)*MAX(0,(C3555)-N(K26))^3/6+N(L26)*MAX(0,(C3555)-N(M26))^3/6)+$B$3507*(C3555))</f>
        <v>0</v>
      </c>
      <c r="F3555" s="3">
        <f>ABS($B$3505+$B$3506*(B3555)-$B$3504*(B3555)^2/2-(N(D26)*MAX(0,(B3555)-N(E26))+N(F26)*MAX(0,(B3555)-N(G26))+N(H26)*MAX(0,(B3555)-N(I26))+N(J26)*MAX(0,(B3555)-N(K26))+N(L26)*MAX(0,(B3555)-N(M26))))</f>
        <v>0</v>
      </c>
    </row>
    <row r="3556" spans="1:6" hidden="1">
      <c r="A3556" s="3">
        <f>F3535</f>
        <v>0</v>
      </c>
      <c r="B3556" s="3">
        <f>SMALL($A$3541:$A$3559,16)</f>
        <v>0</v>
      </c>
      <c r="C3556" s="3">
        <f>C4335</f>
        <v>0</v>
      </c>
      <c r="D3556" s="3">
        <f>ABS($B$3505*(B3556)^2/2+$B$3506*(B3556)^3/6-$B$3504*(B3556)^4/24-(N(D26)*MAX(0,(B3556)-N(E26))^3/6+N(F26)*MAX(0,(B3556)-N(G26))^3/6+N(H26)*MAX(0,(B3556)-N(I26))^3/6+N(J26)*MAX(0,(B3556)-N(K26))^3/6+N(L26)*MAX(0,(B3556)-N(M26))^3/6)+$B$3507*(B3556))</f>
        <v>0</v>
      </c>
      <c r="E3556" s="3">
        <f>ABS($B$3505*(C3556)^2/2+$B$3506*(C3556)^3/6-$B$3504*(C3556)^4/24-(N(D26)*MAX(0,(C3556)-N(E26))^3/6+N(F26)*MAX(0,(C3556)-N(G26))^3/6+N(H26)*MAX(0,(C3556)-N(I26))^3/6+N(J26)*MAX(0,(C3556)-N(K26))^3/6+N(L26)*MAX(0,(C3556)-N(M26))^3/6)+$B$3507*(C3556))</f>
        <v>0</v>
      </c>
      <c r="F3556" s="3">
        <f>ABS($B$3505+$B$3506*(B3556)-$B$3504*(B3556)^2/2-(N(D26)*MAX(0,(B3556)-N(E26))+N(F26)*MAX(0,(B3556)-N(G26))+N(H26)*MAX(0,(B3556)-N(I26))+N(J26)*MAX(0,(B3556)-N(K26))+N(L26)*MAX(0,(B3556)-N(M26))))</f>
        <v>0</v>
      </c>
    </row>
    <row r="3557" spans="1:6" hidden="1">
      <c r="A3557" s="3">
        <f>G3535</f>
        <v>0</v>
      </c>
      <c r="B3557" s="3">
        <f>SMALL($A$3541:$A$3559,17)</f>
        <v>0</v>
      </c>
      <c r="C3557" s="3">
        <f>C4381</f>
        <v>1.2499999999999287</v>
      </c>
      <c r="D3557" s="3">
        <f>ABS($B$3505*(B3557)^2/2+$B$3506*(B3557)^3/6-$B$3504*(B3557)^4/24-(N(D26)*MAX(0,(B3557)-N(E26))^3/6+N(F26)*MAX(0,(B3557)-N(G26))^3/6+N(H26)*MAX(0,(B3557)-N(I26))^3/6+N(J26)*MAX(0,(B3557)-N(K26))^3/6+N(L26)*MAX(0,(B3557)-N(M26))^3/6)+$B$3507*(B3557))</f>
        <v>0</v>
      </c>
      <c r="E3557" s="3">
        <f>ABS($B$3505*(C3557)^2/2+$B$3506*(C3557)^3/6-$B$3504*(C3557)^4/24-(N(D26)*MAX(0,(C3557)-N(E26))^3/6+N(F26)*MAX(0,(C3557)-N(G26))^3/6+N(H26)*MAX(0,(C3557)-N(I26))^3/6+N(J26)*MAX(0,(C3557)-N(K26))^3/6+N(L26)*MAX(0,(C3557)-N(M26))^3/6)+$B$3507*(C3557))</f>
        <v>45.267740885416629</v>
      </c>
      <c r="F3557" s="3">
        <f>ABS($B$3505+$B$3506*(B3557)-$B$3504*(B3557)^2/2-(N(D26)*MAX(0,(B3557)-N(E26))+N(F26)*MAX(0,(B3557)-N(G26))+N(H26)*MAX(0,(B3557)-N(I26))+N(J26)*MAX(0,(B3557)-N(K26))+N(L26)*MAX(0,(B3557)-N(M26))))</f>
        <v>0</v>
      </c>
    </row>
    <row r="3558" spans="1:6" hidden="1">
      <c r="A3558" s="3">
        <f>F3536</f>
        <v>0</v>
      </c>
      <c r="B3558" s="3">
        <f>SMALL($A$3541:$A$3559,18)</f>
        <v>2.4999999999999996</v>
      </c>
      <c r="C3558" s="3">
        <f>C4427</f>
        <v>2.4999999999999996</v>
      </c>
      <c r="D3558" s="3">
        <f>ABS($B$3505*(B3558)^2/2+$B$3506*(B3558)^3/6-$B$3504*(B3558)^4/24-(N(D26)*MAX(0,(B3558)-N(E26))^3/6+N(F26)*MAX(0,(B3558)-N(G26))^3/6+N(H26)*MAX(0,(B3558)-N(I26))^3/6+N(J26)*MAX(0,(B3558)-N(K26))^3/6+N(L26)*MAX(0,(B3558)-N(M26))^3/6)+$B$3507*(B3558))</f>
        <v>0</v>
      </c>
      <c r="E3558" s="3">
        <f>ABS($B$3505*(C3558)^2/2+$B$3506*(C3558)^3/6-$B$3504*(C3558)^4/24-(N(D26)*MAX(0,(C3558)-N(E26))^3/6+N(F26)*MAX(0,(C3558)-N(G26))^3/6+N(H26)*MAX(0,(C3558)-N(I26))^3/6+N(J26)*MAX(0,(C3558)-N(K26))^3/6+N(L26)*MAX(0,(C3558)-N(M26))^3/6)+$B$3507*(C3558))</f>
        <v>0</v>
      </c>
      <c r="F3558" s="3">
        <f>ABS($B$3505+$B$3506*(B3558)-$B$3504*(B3558)^2/2-(N(D26)*MAX(0,(B3558)-N(E26))+N(F26)*MAX(0,(B3558)-N(G26))+N(H26)*MAX(0,(B3558)-N(I26))+N(J26)*MAX(0,(B3558)-N(K26))+N(L26)*MAX(0,(B3558)-N(M26))))</f>
        <v>0</v>
      </c>
    </row>
    <row r="3559" spans="1:6" hidden="1">
      <c r="A3559" s="3">
        <f>G3536</f>
        <v>2.4999999999999996</v>
      </c>
      <c r="B3559" s="3">
        <f>SMALL($A$3541:$A$3559,19)</f>
        <v>2.5</v>
      </c>
      <c r="D3559" s="3">
        <f>ABS($B$3505*(B3559)^2/2+$B$3506*(B3559)^3/6-$B$3504*(B3559)^4/24-(N(D26)*MAX(0,(B3559)-N(E26))^3/6+N(F26)*MAX(0,(B3559)-N(G26))^3/6+N(H26)*MAX(0,(B3559)-N(I26))^3/6+N(J26)*MAX(0,(B3559)-N(K26))^3/6+N(L26)*MAX(0,(B3559)-N(M26))^3/6)+$B$3507*(B3559))</f>
        <v>0</v>
      </c>
      <c r="F3559" s="3">
        <f>ABS($B$3505+$B$3506*(B3559)-$B$3504*(B3559)^2/2-(N(D26)*MAX(0,(B3559)-N(E26))+N(F26)*MAX(0,(B3559)-N(G26))+N(H26)*MAX(0,(B3559)-N(I26))+N(J26)*MAX(0,(B3559)-N(K26))+N(L26)*MAX(0,(B3559)-N(M26))))</f>
        <v>0</v>
      </c>
    </row>
    <row r="3560" spans="1:6" hidden="1"/>
    <row r="3561" spans="1:6" hidden="1"/>
    <row r="3562" spans="1:6" hidden="1"/>
    <row r="3563" spans="1:6" hidden="1"/>
    <row r="3564" spans="1:6" hidden="1"/>
    <row r="3565" spans="1:6" hidden="1"/>
    <row r="3566" spans="1:6" hidden="1">
      <c r="A3566" s="3">
        <f t="shared" ref="A3566:A3571" si="6">IFERROR(MAX(A3531,MIN(B3531,D3531/$B$3504)),A3531)</f>
        <v>0</v>
      </c>
      <c r="B3566" s="3">
        <f>ABS($B$3505+$B$3506*(A3566)-$B$3504*(A3566)^2/2-(N(D26)*MAX(0,(A3566)-N(E26))+N(F26)*MAX(0,(A3566)-N(G26))+N(H26)*MAX(0,(A3566)-N(I26))+N(J26)*MAX(0,(A3566)-N(K26))+N(L26)*MAX(0,(A3566)-N(M26))))</f>
        <v>0</v>
      </c>
    </row>
    <row r="3567" spans="1:6" hidden="1">
      <c r="A3567" s="3">
        <f t="shared" si="6"/>
        <v>0</v>
      </c>
      <c r="B3567" s="3">
        <f>ABS($B$3505+$B$3506*(A3567)-$B$3504*(A3567)^2/2-(N(D26)*MAX(0,(A3567)-N(E26))+N(F26)*MAX(0,(A3567)-N(G26))+N(H26)*MAX(0,(A3567)-N(I26))+N(J26)*MAX(0,(A3567)-N(K26))+N(L26)*MAX(0,(A3567)-N(M26))))</f>
        <v>0</v>
      </c>
    </row>
    <row r="3568" spans="1:6" hidden="1">
      <c r="A3568" s="3">
        <f t="shared" si="6"/>
        <v>0</v>
      </c>
      <c r="B3568" s="3">
        <f>ABS($B$3505+$B$3506*(A3568)-$B$3504*(A3568)^2/2-(N(D26)*MAX(0,(A3568)-N(E26))+N(F26)*MAX(0,(A3568)-N(G26))+N(H26)*MAX(0,(A3568)-N(I26))+N(J26)*MAX(0,(A3568)-N(K26))+N(L26)*MAX(0,(A3568)-N(M26))))</f>
        <v>0</v>
      </c>
    </row>
    <row r="3569" spans="1:2" hidden="1">
      <c r="A3569" s="3">
        <f t="shared" si="6"/>
        <v>0</v>
      </c>
      <c r="B3569" s="3">
        <f>ABS($B$3505+$B$3506*(A3569)-$B$3504*(A3569)^2/2-(N(D26)*MAX(0,(A3569)-N(E26))+N(F26)*MAX(0,(A3569)-N(G26))+N(H26)*MAX(0,(A3569)-N(I26))+N(J26)*MAX(0,(A3569)-N(K26))+N(L26)*MAX(0,(A3569)-N(M26))))</f>
        <v>0</v>
      </c>
    </row>
    <row r="3570" spans="1:2" hidden="1">
      <c r="A3570" s="3">
        <f t="shared" si="6"/>
        <v>0</v>
      </c>
      <c r="B3570" s="3">
        <f>ABS($B$3505+$B$3506*(A3570)-$B$3504*(A3570)^2/2-(N(D26)*MAX(0,(A3570)-N(E26))+N(F26)*MAX(0,(A3570)-N(G26))+N(H26)*MAX(0,(A3570)-N(I26))+N(J26)*MAX(0,(A3570)-N(K26))+N(L26)*MAX(0,(A3570)-N(M26))))</f>
        <v>0</v>
      </c>
    </row>
    <row r="3571" spans="1:2" hidden="1">
      <c r="A3571" s="3">
        <f t="shared" si="6"/>
        <v>1.2499999999999998</v>
      </c>
      <c r="B3571" s="3">
        <f>ABS($B$3505+$B$3506*(A3571)-$B$3504*(A3571)^2/2-(N(D26)*MAX(0,(A3571)-N(E26))+N(F26)*MAX(0,(A3571)-N(G26))+N(H26)*MAX(0,(A3571)-N(I26))+N(J26)*MAX(0,(A3571)-N(K26))+N(L26)*MAX(0,(A3571)-N(M26))))</f>
        <v>69.531249999999972</v>
      </c>
    </row>
    <row r="3572" spans="1:2" hidden="1"/>
    <row r="3573" spans="1:2" hidden="1"/>
    <row r="3574" spans="1:2" hidden="1"/>
    <row r="3575" spans="1:2" hidden="1"/>
    <row r="3576" spans="1:2" hidden="1"/>
    <row r="3577" spans="1:2" hidden="1"/>
    <row r="3578" spans="1:2" hidden="1"/>
    <row r="3579" spans="1:2" hidden="1"/>
    <row r="3580" spans="1:2" hidden="1"/>
    <row r="3581" spans="1:2" hidden="1"/>
    <row r="3582" spans="1:2" hidden="1"/>
    <row r="3583" spans="1:2" hidden="1"/>
    <row r="3584" spans="1:2" hidden="1"/>
    <row r="3585" hidden="1"/>
    <row r="3586" hidden="1"/>
    <row r="3587" hidden="1"/>
    <row r="3588" hidden="1"/>
    <row r="3589" hidden="1"/>
    <row r="3590" hidden="1"/>
    <row r="3591" hidden="1"/>
    <row r="3592" hidden="1"/>
    <row r="3593" hidden="1"/>
    <row r="3594" hidden="1"/>
    <row r="3595" hidden="1"/>
    <row r="3596" hidden="1"/>
    <row r="3597" hidden="1"/>
    <row r="3598" hidden="1"/>
    <row r="3599" hidden="1"/>
    <row r="3600" hidden="1"/>
    <row r="3601" spans="1:5" hidden="1">
      <c r="A3601" s="3">
        <f>B3541</f>
        <v>0</v>
      </c>
      <c r="B3601" s="3">
        <f>IF(($B$3505*(B3541)+$B$3506*(B3541)^2/2-$B$3504*(B3541)^3/6-(N(D26)*MAX(0,(B3541)-N(E26))^2/2+N(F26)*MAX(0,(B3541)-N(G26))^2/2+N(H26)*MAX(0,(B3541)-N(I26))^2/2+N(J26)*MAX(0,(B3541)-N(K26))^2/2+N(L26)*MAX(0,(B3541)-N(M26))^2/2)+$B$3507)*($B$3505*(B3542)+$B$3506*(B3542)^2/2-$B$3504*(B3542)^3/6-(N(D26)*MAX(0,(B3542)-N(E26))^2/2+N(F26)*MAX(0,(B3542)-N(G26))^2/2+N(H26)*MAX(0,(B3542)-N(I26))^2/2+N(J26)*MAX(0,(B3542)-N(K26))^2/2+N(L26)*MAX(0,(B3542)-N(M26))^2/2)+$B$3507)&lt;=0,B3542,B3541)</f>
        <v>0</v>
      </c>
      <c r="C3601" s="3">
        <f t="shared" ref="C3601:C3645" si="7">(A3601+B3601)/2</f>
        <v>0</v>
      </c>
      <c r="D3601" s="3">
        <f>$B$3505*(A3601)+$B$3506*(A3601)^2/2-$B$3504*(A3601)^3/6-(N(D26)*MAX(0,(A3601)-N(E26))^2/2+N(F26)*MAX(0,(A3601)-N(G26))^2/2+N(H26)*MAX(0,(A3601)-N(I26))^2/2+N(J26)*MAX(0,(A3601)-N(K26))^2/2+N(L26)*MAX(0,(A3601)-N(M26))^2/2)+$B$3507</f>
        <v>-57.9427083333333</v>
      </c>
      <c r="E3601" s="3">
        <f>$B$3505*(C3601)+$B$3506*(C3601)^2/2-$B$3504*(C3601)^3/6-(N(D26)*MAX(0,(C3601)-N(E26))^2/2+N(F26)*MAX(0,(C3601)-N(G26))^2/2+N(H26)*MAX(0,(C3601)-N(I26))^2/2+N(J26)*MAX(0,(C3601)-N(K26))^2/2+N(L26)*MAX(0,(C3601)-N(M26))^2/2)+$B$3507</f>
        <v>-57.9427083333333</v>
      </c>
    </row>
    <row r="3602" spans="1:5" hidden="1">
      <c r="A3602" s="3">
        <f t="shared" ref="A3602:A3645" si="8">IF(D3601*E3601&lt;=0,A3601,C3601)</f>
        <v>0</v>
      </c>
      <c r="B3602" s="3">
        <f t="shared" ref="B3602:B3645" si="9">IF(D3601*E3601&lt;=0,C3601,B3601)</f>
        <v>0</v>
      </c>
      <c r="C3602" s="3">
        <f t="shared" si="7"/>
        <v>0</v>
      </c>
      <c r="D3602" s="3">
        <f>$B$3505*(A3602)+$B$3506*(A3602)^2/2-$B$3504*(A3602)^3/6-(N(D26)*MAX(0,(A3602)-N(E26))^2/2+N(F26)*MAX(0,(A3602)-N(G26))^2/2+N(H26)*MAX(0,(A3602)-N(I26))^2/2+N(J26)*MAX(0,(A3602)-N(K26))^2/2+N(L26)*MAX(0,(A3602)-N(M26))^2/2)+$B$3507</f>
        <v>-57.9427083333333</v>
      </c>
      <c r="E3602" s="3">
        <f>$B$3505*(C3602)+$B$3506*(C3602)^2/2-$B$3504*(C3602)^3/6-(N(D26)*MAX(0,(C3602)-N(E26))^2/2+N(F26)*MAX(0,(C3602)-N(G26))^2/2+N(H26)*MAX(0,(C3602)-N(I26))^2/2+N(J26)*MAX(0,(C3602)-N(K26))^2/2+N(L26)*MAX(0,(C3602)-N(M26))^2/2)+$B$3507</f>
        <v>-57.9427083333333</v>
      </c>
    </row>
    <row r="3603" spans="1:5" hidden="1">
      <c r="A3603" s="3">
        <f t="shared" si="8"/>
        <v>0</v>
      </c>
      <c r="B3603" s="3">
        <f t="shared" si="9"/>
        <v>0</v>
      </c>
      <c r="C3603" s="3">
        <f t="shared" si="7"/>
        <v>0</v>
      </c>
      <c r="D3603" s="3">
        <f>$B$3505*(A3603)+$B$3506*(A3603)^2/2-$B$3504*(A3603)^3/6-(N(D26)*MAX(0,(A3603)-N(E26))^2/2+N(F26)*MAX(0,(A3603)-N(G26))^2/2+N(H26)*MAX(0,(A3603)-N(I26))^2/2+N(J26)*MAX(0,(A3603)-N(K26))^2/2+N(L26)*MAX(0,(A3603)-N(M26))^2/2)+$B$3507</f>
        <v>-57.9427083333333</v>
      </c>
      <c r="E3603" s="3">
        <f>$B$3505*(C3603)+$B$3506*(C3603)^2/2-$B$3504*(C3603)^3/6-(N(D26)*MAX(0,(C3603)-N(E26))^2/2+N(F26)*MAX(0,(C3603)-N(G26))^2/2+N(H26)*MAX(0,(C3603)-N(I26))^2/2+N(J26)*MAX(0,(C3603)-N(K26))^2/2+N(L26)*MAX(0,(C3603)-N(M26))^2/2)+$B$3507</f>
        <v>-57.9427083333333</v>
      </c>
    </row>
    <row r="3604" spans="1:5" hidden="1">
      <c r="A3604" s="3">
        <f t="shared" si="8"/>
        <v>0</v>
      </c>
      <c r="B3604" s="3">
        <f t="shared" si="9"/>
        <v>0</v>
      </c>
      <c r="C3604" s="3">
        <f t="shared" si="7"/>
        <v>0</v>
      </c>
      <c r="D3604" s="3">
        <f>$B$3505*(A3604)+$B$3506*(A3604)^2/2-$B$3504*(A3604)^3/6-(N(D26)*MAX(0,(A3604)-N(E26))^2/2+N(F26)*MAX(0,(A3604)-N(G26))^2/2+N(H26)*MAX(0,(A3604)-N(I26))^2/2+N(J26)*MAX(0,(A3604)-N(K26))^2/2+N(L26)*MAX(0,(A3604)-N(M26))^2/2)+$B$3507</f>
        <v>-57.9427083333333</v>
      </c>
      <c r="E3604" s="3">
        <f>$B$3505*(C3604)+$B$3506*(C3604)^2/2-$B$3504*(C3604)^3/6-(N(D26)*MAX(0,(C3604)-N(E26))^2/2+N(F26)*MAX(0,(C3604)-N(G26))^2/2+N(H26)*MAX(0,(C3604)-N(I26))^2/2+N(J26)*MAX(0,(C3604)-N(K26))^2/2+N(L26)*MAX(0,(C3604)-N(M26))^2/2)+$B$3507</f>
        <v>-57.9427083333333</v>
      </c>
    </row>
    <row r="3605" spans="1:5" hidden="1">
      <c r="A3605" s="3">
        <f t="shared" si="8"/>
        <v>0</v>
      </c>
      <c r="B3605" s="3">
        <f t="shared" si="9"/>
        <v>0</v>
      </c>
      <c r="C3605" s="3">
        <f t="shared" si="7"/>
        <v>0</v>
      </c>
      <c r="D3605" s="3">
        <f>$B$3505*(A3605)+$B$3506*(A3605)^2/2-$B$3504*(A3605)^3/6-(N(D26)*MAX(0,(A3605)-N(E26))^2/2+N(F26)*MAX(0,(A3605)-N(G26))^2/2+N(H26)*MAX(0,(A3605)-N(I26))^2/2+N(J26)*MAX(0,(A3605)-N(K26))^2/2+N(L26)*MAX(0,(A3605)-N(M26))^2/2)+$B$3507</f>
        <v>-57.9427083333333</v>
      </c>
      <c r="E3605" s="3">
        <f>$B$3505*(C3605)+$B$3506*(C3605)^2/2-$B$3504*(C3605)^3/6-(N(D26)*MAX(0,(C3605)-N(E26))^2/2+N(F26)*MAX(0,(C3605)-N(G26))^2/2+N(H26)*MAX(0,(C3605)-N(I26))^2/2+N(J26)*MAX(0,(C3605)-N(K26))^2/2+N(L26)*MAX(0,(C3605)-N(M26))^2/2)+$B$3507</f>
        <v>-57.9427083333333</v>
      </c>
    </row>
    <row r="3606" spans="1:5" hidden="1">
      <c r="A3606" s="3">
        <f t="shared" si="8"/>
        <v>0</v>
      </c>
      <c r="B3606" s="3">
        <f t="shared" si="9"/>
        <v>0</v>
      </c>
      <c r="C3606" s="3">
        <f t="shared" si="7"/>
        <v>0</v>
      </c>
      <c r="D3606" s="3">
        <f>$B$3505*(A3606)+$B$3506*(A3606)^2/2-$B$3504*(A3606)^3/6-(N(D26)*MAX(0,(A3606)-N(E26))^2/2+N(F26)*MAX(0,(A3606)-N(G26))^2/2+N(H26)*MAX(0,(A3606)-N(I26))^2/2+N(J26)*MAX(0,(A3606)-N(K26))^2/2+N(L26)*MAX(0,(A3606)-N(M26))^2/2)+$B$3507</f>
        <v>-57.9427083333333</v>
      </c>
      <c r="E3606" s="3">
        <f>$B$3505*(C3606)+$B$3506*(C3606)^2/2-$B$3504*(C3606)^3/6-(N(D26)*MAX(0,(C3606)-N(E26))^2/2+N(F26)*MAX(0,(C3606)-N(G26))^2/2+N(H26)*MAX(0,(C3606)-N(I26))^2/2+N(J26)*MAX(0,(C3606)-N(K26))^2/2+N(L26)*MAX(0,(C3606)-N(M26))^2/2)+$B$3507</f>
        <v>-57.9427083333333</v>
      </c>
    </row>
    <row r="3607" spans="1:5" hidden="1">
      <c r="A3607" s="3">
        <f t="shared" si="8"/>
        <v>0</v>
      </c>
      <c r="B3607" s="3">
        <f t="shared" si="9"/>
        <v>0</v>
      </c>
      <c r="C3607" s="3">
        <f t="shared" si="7"/>
        <v>0</v>
      </c>
      <c r="D3607" s="3">
        <f>$B$3505*(A3607)+$B$3506*(A3607)^2/2-$B$3504*(A3607)^3/6-(N(D26)*MAX(0,(A3607)-N(E26))^2/2+N(F26)*MAX(0,(A3607)-N(G26))^2/2+N(H26)*MAX(0,(A3607)-N(I26))^2/2+N(J26)*MAX(0,(A3607)-N(K26))^2/2+N(L26)*MAX(0,(A3607)-N(M26))^2/2)+$B$3507</f>
        <v>-57.9427083333333</v>
      </c>
      <c r="E3607" s="3">
        <f>$B$3505*(C3607)+$B$3506*(C3607)^2/2-$B$3504*(C3607)^3/6-(N(D26)*MAX(0,(C3607)-N(E26))^2/2+N(F26)*MAX(0,(C3607)-N(G26))^2/2+N(H26)*MAX(0,(C3607)-N(I26))^2/2+N(J26)*MAX(0,(C3607)-N(K26))^2/2+N(L26)*MAX(0,(C3607)-N(M26))^2/2)+$B$3507</f>
        <v>-57.9427083333333</v>
      </c>
    </row>
    <row r="3608" spans="1:5" hidden="1">
      <c r="A3608" s="3">
        <f t="shared" si="8"/>
        <v>0</v>
      </c>
      <c r="B3608" s="3">
        <f t="shared" si="9"/>
        <v>0</v>
      </c>
      <c r="C3608" s="3">
        <f t="shared" si="7"/>
        <v>0</v>
      </c>
      <c r="D3608" s="3">
        <f>$B$3505*(A3608)+$B$3506*(A3608)^2/2-$B$3504*(A3608)^3/6-(N(D26)*MAX(0,(A3608)-N(E26))^2/2+N(F26)*MAX(0,(A3608)-N(G26))^2/2+N(H26)*MAX(0,(A3608)-N(I26))^2/2+N(J26)*MAX(0,(A3608)-N(K26))^2/2+N(L26)*MAX(0,(A3608)-N(M26))^2/2)+$B$3507</f>
        <v>-57.9427083333333</v>
      </c>
      <c r="E3608" s="3">
        <f>$B$3505*(C3608)+$B$3506*(C3608)^2/2-$B$3504*(C3608)^3/6-(N(D26)*MAX(0,(C3608)-N(E26))^2/2+N(F26)*MAX(0,(C3608)-N(G26))^2/2+N(H26)*MAX(0,(C3608)-N(I26))^2/2+N(J26)*MAX(0,(C3608)-N(K26))^2/2+N(L26)*MAX(0,(C3608)-N(M26))^2/2)+$B$3507</f>
        <v>-57.9427083333333</v>
      </c>
    </row>
    <row r="3609" spans="1:5" hidden="1">
      <c r="A3609" s="3">
        <f t="shared" si="8"/>
        <v>0</v>
      </c>
      <c r="B3609" s="3">
        <f t="shared" si="9"/>
        <v>0</v>
      </c>
      <c r="C3609" s="3">
        <f t="shared" si="7"/>
        <v>0</v>
      </c>
      <c r="D3609" s="3">
        <f>$B$3505*(A3609)+$B$3506*(A3609)^2/2-$B$3504*(A3609)^3/6-(N(D26)*MAX(0,(A3609)-N(E26))^2/2+N(F26)*MAX(0,(A3609)-N(G26))^2/2+N(H26)*MAX(0,(A3609)-N(I26))^2/2+N(J26)*MAX(0,(A3609)-N(K26))^2/2+N(L26)*MAX(0,(A3609)-N(M26))^2/2)+$B$3507</f>
        <v>-57.9427083333333</v>
      </c>
      <c r="E3609" s="3">
        <f>$B$3505*(C3609)+$B$3506*(C3609)^2/2-$B$3504*(C3609)^3/6-(N(D26)*MAX(0,(C3609)-N(E26))^2/2+N(F26)*MAX(0,(C3609)-N(G26))^2/2+N(H26)*MAX(0,(C3609)-N(I26))^2/2+N(J26)*MAX(0,(C3609)-N(K26))^2/2+N(L26)*MAX(0,(C3609)-N(M26))^2/2)+$B$3507</f>
        <v>-57.9427083333333</v>
      </c>
    </row>
    <row r="3610" spans="1:5" hidden="1">
      <c r="A3610" s="3">
        <f t="shared" si="8"/>
        <v>0</v>
      </c>
      <c r="B3610" s="3">
        <f t="shared" si="9"/>
        <v>0</v>
      </c>
      <c r="C3610" s="3">
        <f t="shared" si="7"/>
        <v>0</v>
      </c>
      <c r="D3610" s="3">
        <f>$B$3505*(A3610)+$B$3506*(A3610)^2/2-$B$3504*(A3610)^3/6-(N(D26)*MAX(0,(A3610)-N(E26))^2/2+N(F26)*MAX(0,(A3610)-N(G26))^2/2+N(H26)*MAX(0,(A3610)-N(I26))^2/2+N(J26)*MAX(0,(A3610)-N(K26))^2/2+N(L26)*MAX(0,(A3610)-N(M26))^2/2)+$B$3507</f>
        <v>-57.9427083333333</v>
      </c>
      <c r="E3610" s="3">
        <f>$B$3505*(C3610)+$B$3506*(C3610)^2/2-$B$3504*(C3610)^3/6-(N(D26)*MAX(0,(C3610)-N(E26))^2/2+N(F26)*MAX(0,(C3610)-N(G26))^2/2+N(H26)*MAX(0,(C3610)-N(I26))^2/2+N(J26)*MAX(0,(C3610)-N(K26))^2/2+N(L26)*MAX(0,(C3610)-N(M26))^2/2)+$B$3507</f>
        <v>-57.9427083333333</v>
      </c>
    </row>
    <row r="3611" spans="1:5" hidden="1">
      <c r="A3611" s="3">
        <f t="shared" si="8"/>
        <v>0</v>
      </c>
      <c r="B3611" s="3">
        <f t="shared" si="9"/>
        <v>0</v>
      </c>
      <c r="C3611" s="3">
        <f t="shared" si="7"/>
        <v>0</v>
      </c>
      <c r="D3611" s="3">
        <f>$B$3505*(A3611)+$B$3506*(A3611)^2/2-$B$3504*(A3611)^3/6-(N(D26)*MAX(0,(A3611)-N(E26))^2/2+N(F26)*MAX(0,(A3611)-N(G26))^2/2+N(H26)*MAX(0,(A3611)-N(I26))^2/2+N(J26)*MAX(0,(A3611)-N(K26))^2/2+N(L26)*MAX(0,(A3611)-N(M26))^2/2)+$B$3507</f>
        <v>-57.9427083333333</v>
      </c>
      <c r="E3611" s="3">
        <f>$B$3505*(C3611)+$B$3506*(C3611)^2/2-$B$3504*(C3611)^3/6-(N(D26)*MAX(0,(C3611)-N(E26))^2/2+N(F26)*MAX(0,(C3611)-N(G26))^2/2+N(H26)*MAX(0,(C3611)-N(I26))^2/2+N(J26)*MAX(0,(C3611)-N(K26))^2/2+N(L26)*MAX(0,(C3611)-N(M26))^2/2)+$B$3507</f>
        <v>-57.9427083333333</v>
      </c>
    </row>
    <row r="3612" spans="1:5" hidden="1">
      <c r="A3612" s="3">
        <f t="shared" si="8"/>
        <v>0</v>
      </c>
      <c r="B3612" s="3">
        <f t="shared" si="9"/>
        <v>0</v>
      </c>
      <c r="C3612" s="3">
        <f t="shared" si="7"/>
        <v>0</v>
      </c>
      <c r="D3612" s="3">
        <f>$B$3505*(A3612)+$B$3506*(A3612)^2/2-$B$3504*(A3612)^3/6-(N(D26)*MAX(0,(A3612)-N(E26))^2/2+N(F26)*MAX(0,(A3612)-N(G26))^2/2+N(H26)*MAX(0,(A3612)-N(I26))^2/2+N(J26)*MAX(0,(A3612)-N(K26))^2/2+N(L26)*MAX(0,(A3612)-N(M26))^2/2)+$B$3507</f>
        <v>-57.9427083333333</v>
      </c>
      <c r="E3612" s="3">
        <f>$B$3505*(C3612)+$B$3506*(C3612)^2/2-$B$3504*(C3612)^3/6-(N(D26)*MAX(0,(C3612)-N(E26))^2/2+N(F26)*MAX(0,(C3612)-N(G26))^2/2+N(H26)*MAX(0,(C3612)-N(I26))^2/2+N(J26)*MAX(0,(C3612)-N(K26))^2/2+N(L26)*MAX(0,(C3612)-N(M26))^2/2)+$B$3507</f>
        <v>-57.9427083333333</v>
      </c>
    </row>
    <row r="3613" spans="1:5" hidden="1">
      <c r="A3613" s="3">
        <f t="shared" si="8"/>
        <v>0</v>
      </c>
      <c r="B3613" s="3">
        <f t="shared" si="9"/>
        <v>0</v>
      </c>
      <c r="C3613" s="3">
        <f t="shared" si="7"/>
        <v>0</v>
      </c>
      <c r="D3613" s="3">
        <f>$B$3505*(A3613)+$B$3506*(A3613)^2/2-$B$3504*(A3613)^3/6-(N(D26)*MAX(0,(A3613)-N(E26))^2/2+N(F26)*MAX(0,(A3613)-N(G26))^2/2+N(H26)*MAX(0,(A3613)-N(I26))^2/2+N(J26)*MAX(0,(A3613)-N(K26))^2/2+N(L26)*MAX(0,(A3613)-N(M26))^2/2)+$B$3507</f>
        <v>-57.9427083333333</v>
      </c>
      <c r="E3613" s="3">
        <f>$B$3505*(C3613)+$B$3506*(C3613)^2/2-$B$3504*(C3613)^3/6-(N(D26)*MAX(0,(C3613)-N(E26))^2/2+N(F26)*MAX(0,(C3613)-N(G26))^2/2+N(H26)*MAX(0,(C3613)-N(I26))^2/2+N(J26)*MAX(0,(C3613)-N(K26))^2/2+N(L26)*MAX(0,(C3613)-N(M26))^2/2)+$B$3507</f>
        <v>-57.9427083333333</v>
      </c>
    </row>
    <row r="3614" spans="1:5" hidden="1">
      <c r="A3614" s="3">
        <f t="shared" si="8"/>
        <v>0</v>
      </c>
      <c r="B3614" s="3">
        <f t="shared" si="9"/>
        <v>0</v>
      </c>
      <c r="C3614" s="3">
        <f t="shared" si="7"/>
        <v>0</v>
      </c>
      <c r="D3614" s="3">
        <f>$B$3505*(A3614)+$B$3506*(A3614)^2/2-$B$3504*(A3614)^3/6-(N(D26)*MAX(0,(A3614)-N(E26))^2/2+N(F26)*MAX(0,(A3614)-N(G26))^2/2+N(H26)*MAX(0,(A3614)-N(I26))^2/2+N(J26)*MAX(0,(A3614)-N(K26))^2/2+N(L26)*MAX(0,(A3614)-N(M26))^2/2)+$B$3507</f>
        <v>-57.9427083333333</v>
      </c>
      <c r="E3614" s="3">
        <f>$B$3505*(C3614)+$B$3506*(C3614)^2/2-$B$3504*(C3614)^3/6-(N(D26)*MAX(0,(C3614)-N(E26))^2/2+N(F26)*MAX(0,(C3614)-N(G26))^2/2+N(H26)*MAX(0,(C3614)-N(I26))^2/2+N(J26)*MAX(0,(C3614)-N(K26))^2/2+N(L26)*MAX(0,(C3614)-N(M26))^2/2)+$B$3507</f>
        <v>-57.9427083333333</v>
      </c>
    </row>
    <row r="3615" spans="1:5" hidden="1">
      <c r="A3615" s="3">
        <f t="shared" si="8"/>
        <v>0</v>
      </c>
      <c r="B3615" s="3">
        <f t="shared" si="9"/>
        <v>0</v>
      </c>
      <c r="C3615" s="3">
        <f t="shared" si="7"/>
        <v>0</v>
      </c>
      <c r="D3615" s="3">
        <f>$B$3505*(A3615)+$B$3506*(A3615)^2/2-$B$3504*(A3615)^3/6-(N(D26)*MAX(0,(A3615)-N(E26))^2/2+N(F26)*MAX(0,(A3615)-N(G26))^2/2+N(H26)*MAX(0,(A3615)-N(I26))^2/2+N(J26)*MAX(0,(A3615)-N(K26))^2/2+N(L26)*MAX(0,(A3615)-N(M26))^2/2)+$B$3507</f>
        <v>-57.9427083333333</v>
      </c>
      <c r="E3615" s="3">
        <f>$B$3505*(C3615)+$B$3506*(C3615)^2/2-$B$3504*(C3615)^3/6-(N(D26)*MAX(0,(C3615)-N(E26))^2/2+N(F26)*MAX(0,(C3615)-N(G26))^2/2+N(H26)*MAX(0,(C3615)-N(I26))^2/2+N(J26)*MAX(0,(C3615)-N(K26))^2/2+N(L26)*MAX(0,(C3615)-N(M26))^2/2)+$B$3507</f>
        <v>-57.9427083333333</v>
      </c>
    </row>
    <row r="3616" spans="1:5" hidden="1">
      <c r="A3616" s="3">
        <f t="shared" si="8"/>
        <v>0</v>
      </c>
      <c r="B3616" s="3">
        <f t="shared" si="9"/>
        <v>0</v>
      </c>
      <c r="C3616" s="3">
        <f t="shared" si="7"/>
        <v>0</v>
      </c>
      <c r="D3616" s="3">
        <f>$B$3505*(A3616)+$B$3506*(A3616)^2/2-$B$3504*(A3616)^3/6-(N(D26)*MAX(0,(A3616)-N(E26))^2/2+N(F26)*MAX(0,(A3616)-N(G26))^2/2+N(H26)*MAX(0,(A3616)-N(I26))^2/2+N(J26)*MAX(0,(A3616)-N(K26))^2/2+N(L26)*MAX(0,(A3616)-N(M26))^2/2)+$B$3507</f>
        <v>-57.9427083333333</v>
      </c>
      <c r="E3616" s="3">
        <f>$B$3505*(C3616)+$B$3506*(C3616)^2/2-$B$3504*(C3616)^3/6-(N(D26)*MAX(0,(C3616)-N(E26))^2/2+N(F26)*MAX(0,(C3616)-N(G26))^2/2+N(H26)*MAX(0,(C3616)-N(I26))^2/2+N(J26)*MAX(0,(C3616)-N(K26))^2/2+N(L26)*MAX(0,(C3616)-N(M26))^2/2)+$B$3507</f>
        <v>-57.9427083333333</v>
      </c>
    </row>
    <row r="3617" spans="1:5" hidden="1">
      <c r="A3617" s="3">
        <f t="shared" si="8"/>
        <v>0</v>
      </c>
      <c r="B3617" s="3">
        <f t="shared" si="9"/>
        <v>0</v>
      </c>
      <c r="C3617" s="3">
        <f t="shared" si="7"/>
        <v>0</v>
      </c>
      <c r="D3617" s="3">
        <f>$B$3505*(A3617)+$B$3506*(A3617)^2/2-$B$3504*(A3617)^3/6-(N(D26)*MAX(0,(A3617)-N(E26))^2/2+N(F26)*MAX(0,(A3617)-N(G26))^2/2+N(H26)*MAX(0,(A3617)-N(I26))^2/2+N(J26)*MAX(0,(A3617)-N(K26))^2/2+N(L26)*MAX(0,(A3617)-N(M26))^2/2)+$B$3507</f>
        <v>-57.9427083333333</v>
      </c>
      <c r="E3617" s="3">
        <f>$B$3505*(C3617)+$B$3506*(C3617)^2/2-$B$3504*(C3617)^3/6-(N(D26)*MAX(0,(C3617)-N(E26))^2/2+N(F26)*MAX(0,(C3617)-N(G26))^2/2+N(H26)*MAX(0,(C3617)-N(I26))^2/2+N(J26)*MAX(0,(C3617)-N(K26))^2/2+N(L26)*MAX(0,(C3617)-N(M26))^2/2)+$B$3507</f>
        <v>-57.9427083333333</v>
      </c>
    </row>
    <row r="3618" spans="1:5" hidden="1">
      <c r="A3618" s="3">
        <f t="shared" si="8"/>
        <v>0</v>
      </c>
      <c r="B3618" s="3">
        <f t="shared" si="9"/>
        <v>0</v>
      </c>
      <c r="C3618" s="3">
        <f t="shared" si="7"/>
        <v>0</v>
      </c>
      <c r="D3618" s="3">
        <f>$B$3505*(A3618)+$B$3506*(A3618)^2/2-$B$3504*(A3618)^3/6-(N(D26)*MAX(0,(A3618)-N(E26))^2/2+N(F26)*MAX(0,(A3618)-N(G26))^2/2+N(H26)*MAX(0,(A3618)-N(I26))^2/2+N(J26)*MAX(0,(A3618)-N(K26))^2/2+N(L26)*MAX(0,(A3618)-N(M26))^2/2)+$B$3507</f>
        <v>-57.9427083333333</v>
      </c>
      <c r="E3618" s="3">
        <f>$B$3505*(C3618)+$B$3506*(C3618)^2/2-$B$3504*(C3618)^3/6-(N(D26)*MAX(0,(C3618)-N(E26))^2/2+N(F26)*MAX(0,(C3618)-N(G26))^2/2+N(H26)*MAX(0,(C3618)-N(I26))^2/2+N(J26)*MAX(0,(C3618)-N(K26))^2/2+N(L26)*MAX(0,(C3618)-N(M26))^2/2)+$B$3507</f>
        <v>-57.9427083333333</v>
      </c>
    </row>
    <row r="3619" spans="1:5" hidden="1">
      <c r="A3619" s="3">
        <f t="shared" si="8"/>
        <v>0</v>
      </c>
      <c r="B3619" s="3">
        <f t="shared" si="9"/>
        <v>0</v>
      </c>
      <c r="C3619" s="3">
        <f t="shared" si="7"/>
        <v>0</v>
      </c>
      <c r="D3619" s="3">
        <f>$B$3505*(A3619)+$B$3506*(A3619)^2/2-$B$3504*(A3619)^3/6-(N(D26)*MAX(0,(A3619)-N(E26))^2/2+N(F26)*MAX(0,(A3619)-N(G26))^2/2+N(H26)*MAX(0,(A3619)-N(I26))^2/2+N(J26)*MAX(0,(A3619)-N(K26))^2/2+N(L26)*MAX(0,(A3619)-N(M26))^2/2)+$B$3507</f>
        <v>-57.9427083333333</v>
      </c>
      <c r="E3619" s="3">
        <f>$B$3505*(C3619)+$B$3506*(C3619)^2/2-$B$3504*(C3619)^3/6-(N(D26)*MAX(0,(C3619)-N(E26))^2/2+N(F26)*MAX(0,(C3619)-N(G26))^2/2+N(H26)*MAX(0,(C3619)-N(I26))^2/2+N(J26)*MAX(0,(C3619)-N(K26))^2/2+N(L26)*MAX(0,(C3619)-N(M26))^2/2)+$B$3507</f>
        <v>-57.9427083333333</v>
      </c>
    </row>
    <row r="3620" spans="1:5" hidden="1">
      <c r="A3620" s="3">
        <f t="shared" si="8"/>
        <v>0</v>
      </c>
      <c r="B3620" s="3">
        <f t="shared" si="9"/>
        <v>0</v>
      </c>
      <c r="C3620" s="3">
        <f t="shared" si="7"/>
        <v>0</v>
      </c>
      <c r="D3620" s="3">
        <f>$B$3505*(A3620)+$B$3506*(A3620)^2/2-$B$3504*(A3620)^3/6-(N(D26)*MAX(0,(A3620)-N(E26))^2/2+N(F26)*MAX(0,(A3620)-N(G26))^2/2+N(H26)*MAX(0,(A3620)-N(I26))^2/2+N(J26)*MAX(0,(A3620)-N(K26))^2/2+N(L26)*MAX(0,(A3620)-N(M26))^2/2)+$B$3507</f>
        <v>-57.9427083333333</v>
      </c>
      <c r="E3620" s="3">
        <f>$B$3505*(C3620)+$B$3506*(C3620)^2/2-$B$3504*(C3620)^3/6-(N(D26)*MAX(0,(C3620)-N(E26))^2/2+N(F26)*MAX(0,(C3620)-N(G26))^2/2+N(H26)*MAX(0,(C3620)-N(I26))^2/2+N(J26)*MAX(0,(C3620)-N(K26))^2/2+N(L26)*MAX(0,(C3620)-N(M26))^2/2)+$B$3507</f>
        <v>-57.9427083333333</v>
      </c>
    </row>
    <row r="3621" spans="1:5" hidden="1">
      <c r="A3621" s="3">
        <f t="shared" si="8"/>
        <v>0</v>
      </c>
      <c r="B3621" s="3">
        <f t="shared" si="9"/>
        <v>0</v>
      </c>
      <c r="C3621" s="3">
        <f t="shared" si="7"/>
        <v>0</v>
      </c>
      <c r="D3621" s="3">
        <f>$B$3505*(A3621)+$B$3506*(A3621)^2/2-$B$3504*(A3621)^3/6-(N(D26)*MAX(0,(A3621)-N(E26))^2/2+N(F26)*MAX(0,(A3621)-N(G26))^2/2+N(H26)*MAX(0,(A3621)-N(I26))^2/2+N(J26)*MAX(0,(A3621)-N(K26))^2/2+N(L26)*MAX(0,(A3621)-N(M26))^2/2)+$B$3507</f>
        <v>-57.9427083333333</v>
      </c>
      <c r="E3621" s="3">
        <f>$B$3505*(C3621)+$B$3506*(C3621)^2/2-$B$3504*(C3621)^3/6-(N(D26)*MAX(0,(C3621)-N(E26))^2/2+N(F26)*MAX(0,(C3621)-N(G26))^2/2+N(H26)*MAX(0,(C3621)-N(I26))^2/2+N(J26)*MAX(0,(C3621)-N(K26))^2/2+N(L26)*MAX(0,(C3621)-N(M26))^2/2)+$B$3507</f>
        <v>-57.9427083333333</v>
      </c>
    </row>
    <row r="3622" spans="1:5" hidden="1">
      <c r="A3622" s="3">
        <f t="shared" si="8"/>
        <v>0</v>
      </c>
      <c r="B3622" s="3">
        <f t="shared" si="9"/>
        <v>0</v>
      </c>
      <c r="C3622" s="3">
        <f t="shared" si="7"/>
        <v>0</v>
      </c>
      <c r="D3622" s="3">
        <f>$B$3505*(A3622)+$B$3506*(A3622)^2/2-$B$3504*(A3622)^3/6-(N(D26)*MAX(0,(A3622)-N(E26))^2/2+N(F26)*MAX(0,(A3622)-N(G26))^2/2+N(H26)*MAX(0,(A3622)-N(I26))^2/2+N(J26)*MAX(0,(A3622)-N(K26))^2/2+N(L26)*MAX(0,(A3622)-N(M26))^2/2)+$B$3507</f>
        <v>-57.9427083333333</v>
      </c>
      <c r="E3622" s="3">
        <f>$B$3505*(C3622)+$B$3506*(C3622)^2/2-$B$3504*(C3622)^3/6-(N(D26)*MAX(0,(C3622)-N(E26))^2/2+N(F26)*MAX(0,(C3622)-N(G26))^2/2+N(H26)*MAX(0,(C3622)-N(I26))^2/2+N(J26)*MAX(0,(C3622)-N(K26))^2/2+N(L26)*MAX(0,(C3622)-N(M26))^2/2)+$B$3507</f>
        <v>-57.9427083333333</v>
      </c>
    </row>
    <row r="3623" spans="1:5" hidden="1">
      <c r="A3623" s="3">
        <f t="shared" si="8"/>
        <v>0</v>
      </c>
      <c r="B3623" s="3">
        <f t="shared" si="9"/>
        <v>0</v>
      </c>
      <c r="C3623" s="3">
        <f t="shared" si="7"/>
        <v>0</v>
      </c>
      <c r="D3623" s="3">
        <f>$B$3505*(A3623)+$B$3506*(A3623)^2/2-$B$3504*(A3623)^3/6-(N(D26)*MAX(0,(A3623)-N(E26))^2/2+N(F26)*MAX(0,(A3623)-N(G26))^2/2+N(H26)*MAX(0,(A3623)-N(I26))^2/2+N(J26)*MAX(0,(A3623)-N(K26))^2/2+N(L26)*MAX(0,(A3623)-N(M26))^2/2)+$B$3507</f>
        <v>-57.9427083333333</v>
      </c>
      <c r="E3623" s="3">
        <f>$B$3505*(C3623)+$B$3506*(C3623)^2/2-$B$3504*(C3623)^3/6-(N(D26)*MAX(0,(C3623)-N(E26))^2/2+N(F26)*MAX(0,(C3623)-N(G26))^2/2+N(H26)*MAX(0,(C3623)-N(I26))^2/2+N(J26)*MAX(0,(C3623)-N(K26))^2/2+N(L26)*MAX(0,(C3623)-N(M26))^2/2)+$B$3507</f>
        <v>-57.9427083333333</v>
      </c>
    </row>
    <row r="3624" spans="1:5" hidden="1">
      <c r="A3624" s="3">
        <f t="shared" si="8"/>
        <v>0</v>
      </c>
      <c r="B3624" s="3">
        <f t="shared" si="9"/>
        <v>0</v>
      </c>
      <c r="C3624" s="3">
        <f t="shared" si="7"/>
        <v>0</v>
      </c>
      <c r="D3624" s="3">
        <f>$B$3505*(A3624)+$B$3506*(A3624)^2/2-$B$3504*(A3624)^3/6-(N(D26)*MAX(0,(A3624)-N(E26))^2/2+N(F26)*MAX(0,(A3624)-N(G26))^2/2+N(H26)*MAX(0,(A3624)-N(I26))^2/2+N(J26)*MAX(0,(A3624)-N(K26))^2/2+N(L26)*MAX(0,(A3624)-N(M26))^2/2)+$B$3507</f>
        <v>-57.9427083333333</v>
      </c>
      <c r="E3624" s="3">
        <f>$B$3505*(C3624)+$B$3506*(C3624)^2/2-$B$3504*(C3624)^3/6-(N(D26)*MAX(0,(C3624)-N(E26))^2/2+N(F26)*MAX(0,(C3624)-N(G26))^2/2+N(H26)*MAX(0,(C3624)-N(I26))^2/2+N(J26)*MAX(0,(C3624)-N(K26))^2/2+N(L26)*MAX(0,(C3624)-N(M26))^2/2)+$B$3507</f>
        <v>-57.9427083333333</v>
      </c>
    </row>
    <row r="3625" spans="1:5" hidden="1">
      <c r="A3625" s="3">
        <f t="shared" si="8"/>
        <v>0</v>
      </c>
      <c r="B3625" s="3">
        <f t="shared" si="9"/>
        <v>0</v>
      </c>
      <c r="C3625" s="3">
        <f t="shared" si="7"/>
        <v>0</v>
      </c>
      <c r="D3625" s="3">
        <f>$B$3505*(A3625)+$B$3506*(A3625)^2/2-$B$3504*(A3625)^3/6-(N(D26)*MAX(0,(A3625)-N(E26))^2/2+N(F26)*MAX(0,(A3625)-N(G26))^2/2+N(H26)*MAX(0,(A3625)-N(I26))^2/2+N(J26)*MAX(0,(A3625)-N(K26))^2/2+N(L26)*MAX(0,(A3625)-N(M26))^2/2)+$B$3507</f>
        <v>-57.9427083333333</v>
      </c>
      <c r="E3625" s="3">
        <f>$B$3505*(C3625)+$B$3506*(C3625)^2/2-$B$3504*(C3625)^3/6-(N(D26)*MAX(0,(C3625)-N(E26))^2/2+N(F26)*MAX(0,(C3625)-N(G26))^2/2+N(H26)*MAX(0,(C3625)-N(I26))^2/2+N(J26)*MAX(0,(C3625)-N(K26))^2/2+N(L26)*MAX(0,(C3625)-N(M26))^2/2)+$B$3507</f>
        <v>-57.9427083333333</v>
      </c>
    </row>
    <row r="3626" spans="1:5" hidden="1">
      <c r="A3626" s="3">
        <f t="shared" si="8"/>
        <v>0</v>
      </c>
      <c r="B3626" s="3">
        <f t="shared" si="9"/>
        <v>0</v>
      </c>
      <c r="C3626" s="3">
        <f t="shared" si="7"/>
        <v>0</v>
      </c>
      <c r="D3626" s="3">
        <f>$B$3505*(A3626)+$B$3506*(A3626)^2/2-$B$3504*(A3626)^3/6-(N(D26)*MAX(0,(A3626)-N(E26))^2/2+N(F26)*MAX(0,(A3626)-N(G26))^2/2+N(H26)*MAX(0,(A3626)-N(I26))^2/2+N(J26)*MAX(0,(A3626)-N(K26))^2/2+N(L26)*MAX(0,(A3626)-N(M26))^2/2)+$B$3507</f>
        <v>-57.9427083333333</v>
      </c>
      <c r="E3626" s="3">
        <f>$B$3505*(C3626)+$B$3506*(C3626)^2/2-$B$3504*(C3626)^3/6-(N(D26)*MAX(0,(C3626)-N(E26))^2/2+N(F26)*MAX(0,(C3626)-N(G26))^2/2+N(H26)*MAX(0,(C3626)-N(I26))^2/2+N(J26)*MAX(0,(C3626)-N(K26))^2/2+N(L26)*MAX(0,(C3626)-N(M26))^2/2)+$B$3507</f>
        <v>-57.9427083333333</v>
      </c>
    </row>
    <row r="3627" spans="1:5" hidden="1">
      <c r="A3627" s="3">
        <f t="shared" si="8"/>
        <v>0</v>
      </c>
      <c r="B3627" s="3">
        <f t="shared" si="9"/>
        <v>0</v>
      </c>
      <c r="C3627" s="3">
        <f t="shared" si="7"/>
        <v>0</v>
      </c>
      <c r="D3627" s="3">
        <f>$B$3505*(A3627)+$B$3506*(A3627)^2/2-$B$3504*(A3627)^3/6-(N(D26)*MAX(0,(A3627)-N(E26))^2/2+N(F26)*MAX(0,(A3627)-N(G26))^2/2+N(H26)*MAX(0,(A3627)-N(I26))^2/2+N(J26)*MAX(0,(A3627)-N(K26))^2/2+N(L26)*MAX(0,(A3627)-N(M26))^2/2)+$B$3507</f>
        <v>-57.9427083333333</v>
      </c>
      <c r="E3627" s="3">
        <f>$B$3505*(C3627)+$B$3506*(C3627)^2/2-$B$3504*(C3627)^3/6-(N(D26)*MAX(0,(C3627)-N(E26))^2/2+N(F26)*MAX(0,(C3627)-N(G26))^2/2+N(H26)*MAX(0,(C3627)-N(I26))^2/2+N(J26)*MAX(0,(C3627)-N(K26))^2/2+N(L26)*MAX(0,(C3627)-N(M26))^2/2)+$B$3507</f>
        <v>-57.9427083333333</v>
      </c>
    </row>
    <row r="3628" spans="1:5" hidden="1">
      <c r="A3628" s="3">
        <f t="shared" si="8"/>
        <v>0</v>
      </c>
      <c r="B3628" s="3">
        <f t="shared" si="9"/>
        <v>0</v>
      </c>
      <c r="C3628" s="3">
        <f t="shared" si="7"/>
        <v>0</v>
      </c>
      <c r="D3628" s="3">
        <f>$B$3505*(A3628)+$B$3506*(A3628)^2/2-$B$3504*(A3628)^3/6-(N(D26)*MAX(0,(A3628)-N(E26))^2/2+N(F26)*MAX(0,(A3628)-N(G26))^2/2+N(H26)*MAX(0,(A3628)-N(I26))^2/2+N(J26)*MAX(0,(A3628)-N(K26))^2/2+N(L26)*MAX(0,(A3628)-N(M26))^2/2)+$B$3507</f>
        <v>-57.9427083333333</v>
      </c>
      <c r="E3628" s="3">
        <f>$B$3505*(C3628)+$B$3506*(C3628)^2/2-$B$3504*(C3628)^3/6-(N(D26)*MAX(0,(C3628)-N(E26))^2/2+N(F26)*MAX(0,(C3628)-N(G26))^2/2+N(H26)*MAX(0,(C3628)-N(I26))^2/2+N(J26)*MAX(0,(C3628)-N(K26))^2/2+N(L26)*MAX(0,(C3628)-N(M26))^2/2)+$B$3507</f>
        <v>-57.9427083333333</v>
      </c>
    </row>
    <row r="3629" spans="1:5" hidden="1">
      <c r="A3629" s="3">
        <f t="shared" si="8"/>
        <v>0</v>
      </c>
      <c r="B3629" s="3">
        <f t="shared" si="9"/>
        <v>0</v>
      </c>
      <c r="C3629" s="3">
        <f t="shared" si="7"/>
        <v>0</v>
      </c>
      <c r="D3629" s="3">
        <f>$B$3505*(A3629)+$B$3506*(A3629)^2/2-$B$3504*(A3629)^3/6-(N(D26)*MAX(0,(A3629)-N(E26))^2/2+N(F26)*MAX(0,(A3629)-N(G26))^2/2+N(H26)*MAX(0,(A3629)-N(I26))^2/2+N(J26)*MAX(0,(A3629)-N(K26))^2/2+N(L26)*MAX(0,(A3629)-N(M26))^2/2)+$B$3507</f>
        <v>-57.9427083333333</v>
      </c>
      <c r="E3629" s="3">
        <f>$B$3505*(C3629)+$B$3506*(C3629)^2/2-$B$3504*(C3629)^3/6-(N(D26)*MAX(0,(C3629)-N(E26))^2/2+N(F26)*MAX(0,(C3629)-N(G26))^2/2+N(H26)*MAX(0,(C3629)-N(I26))^2/2+N(J26)*MAX(0,(C3629)-N(K26))^2/2+N(L26)*MAX(0,(C3629)-N(M26))^2/2)+$B$3507</f>
        <v>-57.9427083333333</v>
      </c>
    </row>
    <row r="3630" spans="1:5" hidden="1">
      <c r="A3630" s="3">
        <f t="shared" si="8"/>
        <v>0</v>
      </c>
      <c r="B3630" s="3">
        <f t="shared" si="9"/>
        <v>0</v>
      </c>
      <c r="C3630" s="3">
        <f t="shared" si="7"/>
        <v>0</v>
      </c>
      <c r="D3630" s="3">
        <f>$B$3505*(A3630)+$B$3506*(A3630)^2/2-$B$3504*(A3630)^3/6-(N(D26)*MAX(0,(A3630)-N(E26))^2/2+N(F26)*MAX(0,(A3630)-N(G26))^2/2+N(H26)*MAX(0,(A3630)-N(I26))^2/2+N(J26)*MAX(0,(A3630)-N(K26))^2/2+N(L26)*MAX(0,(A3630)-N(M26))^2/2)+$B$3507</f>
        <v>-57.9427083333333</v>
      </c>
      <c r="E3630" s="3">
        <f>$B$3505*(C3630)+$B$3506*(C3630)^2/2-$B$3504*(C3630)^3/6-(N(D26)*MAX(0,(C3630)-N(E26))^2/2+N(F26)*MAX(0,(C3630)-N(G26))^2/2+N(H26)*MAX(0,(C3630)-N(I26))^2/2+N(J26)*MAX(0,(C3630)-N(K26))^2/2+N(L26)*MAX(0,(C3630)-N(M26))^2/2)+$B$3507</f>
        <v>-57.9427083333333</v>
      </c>
    </row>
    <row r="3631" spans="1:5" hidden="1">
      <c r="A3631" s="3">
        <f t="shared" si="8"/>
        <v>0</v>
      </c>
      <c r="B3631" s="3">
        <f t="shared" si="9"/>
        <v>0</v>
      </c>
      <c r="C3631" s="3">
        <f t="shared" si="7"/>
        <v>0</v>
      </c>
      <c r="D3631" s="3">
        <f>$B$3505*(A3631)+$B$3506*(A3631)^2/2-$B$3504*(A3631)^3/6-(N(D26)*MAX(0,(A3631)-N(E26))^2/2+N(F26)*MAX(0,(A3631)-N(G26))^2/2+N(H26)*MAX(0,(A3631)-N(I26))^2/2+N(J26)*MAX(0,(A3631)-N(K26))^2/2+N(L26)*MAX(0,(A3631)-N(M26))^2/2)+$B$3507</f>
        <v>-57.9427083333333</v>
      </c>
      <c r="E3631" s="3">
        <f>$B$3505*(C3631)+$B$3506*(C3631)^2/2-$B$3504*(C3631)^3/6-(N(D26)*MAX(0,(C3631)-N(E26))^2/2+N(F26)*MAX(0,(C3631)-N(G26))^2/2+N(H26)*MAX(0,(C3631)-N(I26))^2/2+N(J26)*MAX(0,(C3631)-N(K26))^2/2+N(L26)*MAX(0,(C3631)-N(M26))^2/2)+$B$3507</f>
        <v>-57.9427083333333</v>
      </c>
    </row>
    <row r="3632" spans="1:5" hidden="1">
      <c r="A3632" s="3">
        <f t="shared" si="8"/>
        <v>0</v>
      </c>
      <c r="B3632" s="3">
        <f t="shared" si="9"/>
        <v>0</v>
      </c>
      <c r="C3632" s="3">
        <f t="shared" si="7"/>
        <v>0</v>
      </c>
      <c r="D3632" s="3">
        <f>$B$3505*(A3632)+$B$3506*(A3632)^2/2-$B$3504*(A3632)^3/6-(N(D26)*MAX(0,(A3632)-N(E26))^2/2+N(F26)*MAX(0,(A3632)-N(G26))^2/2+N(H26)*MAX(0,(A3632)-N(I26))^2/2+N(J26)*MAX(0,(A3632)-N(K26))^2/2+N(L26)*MAX(0,(A3632)-N(M26))^2/2)+$B$3507</f>
        <v>-57.9427083333333</v>
      </c>
      <c r="E3632" s="3">
        <f>$B$3505*(C3632)+$B$3506*(C3632)^2/2-$B$3504*(C3632)^3/6-(N(D26)*MAX(0,(C3632)-N(E26))^2/2+N(F26)*MAX(0,(C3632)-N(G26))^2/2+N(H26)*MAX(0,(C3632)-N(I26))^2/2+N(J26)*MAX(0,(C3632)-N(K26))^2/2+N(L26)*MAX(0,(C3632)-N(M26))^2/2)+$B$3507</f>
        <v>-57.9427083333333</v>
      </c>
    </row>
    <row r="3633" spans="1:5" hidden="1">
      <c r="A3633" s="3">
        <f t="shared" si="8"/>
        <v>0</v>
      </c>
      <c r="B3633" s="3">
        <f t="shared" si="9"/>
        <v>0</v>
      </c>
      <c r="C3633" s="3">
        <f t="shared" si="7"/>
        <v>0</v>
      </c>
      <c r="D3633" s="3">
        <f>$B$3505*(A3633)+$B$3506*(A3633)^2/2-$B$3504*(A3633)^3/6-(N(D26)*MAX(0,(A3633)-N(E26))^2/2+N(F26)*MAX(0,(A3633)-N(G26))^2/2+N(H26)*MAX(0,(A3633)-N(I26))^2/2+N(J26)*MAX(0,(A3633)-N(K26))^2/2+N(L26)*MAX(0,(A3633)-N(M26))^2/2)+$B$3507</f>
        <v>-57.9427083333333</v>
      </c>
      <c r="E3633" s="3">
        <f>$B$3505*(C3633)+$B$3506*(C3633)^2/2-$B$3504*(C3633)^3/6-(N(D26)*MAX(0,(C3633)-N(E26))^2/2+N(F26)*MAX(0,(C3633)-N(G26))^2/2+N(H26)*MAX(0,(C3633)-N(I26))^2/2+N(J26)*MAX(0,(C3633)-N(K26))^2/2+N(L26)*MAX(0,(C3633)-N(M26))^2/2)+$B$3507</f>
        <v>-57.9427083333333</v>
      </c>
    </row>
    <row r="3634" spans="1:5" hidden="1">
      <c r="A3634" s="3">
        <f t="shared" si="8"/>
        <v>0</v>
      </c>
      <c r="B3634" s="3">
        <f t="shared" si="9"/>
        <v>0</v>
      </c>
      <c r="C3634" s="3">
        <f t="shared" si="7"/>
        <v>0</v>
      </c>
      <c r="D3634" s="3">
        <f>$B$3505*(A3634)+$B$3506*(A3634)^2/2-$B$3504*(A3634)^3/6-(N(D26)*MAX(0,(A3634)-N(E26))^2/2+N(F26)*MAX(0,(A3634)-N(G26))^2/2+N(H26)*MAX(0,(A3634)-N(I26))^2/2+N(J26)*MAX(0,(A3634)-N(K26))^2/2+N(L26)*MAX(0,(A3634)-N(M26))^2/2)+$B$3507</f>
        <v>-57.9427083333333</v>
      </c>
      <c r="E3634" s="3">
        <f>$B$3505*(C3634)+$B$3506*(C3634)^2/2-$B$3504*(C3634)^3/6-(N(D26)*MAX(0,(C3634)-N(E26))^2/2+N(F26)*MAX(0,(C3634)-N(G26))^2/2+N(H26)*MAX(0,(C3634)-N(I26))^2/2+N(J26)*MAX(0,(C3634)-N(K26))^2/2+N(L26)*MAX(0,(C3634)-N(M26))^2/2)+$B$3507</f>
        <v>-57.9427083333333</v>
      </c>
    </row>
    <row r="3635" spans="1:5" hidden="1">
      <c r="A3635" s="3">
        <f t="shared" si="8"/>
        <v>0</v>
      </c>
      <c r="B3635" s="3">
        <f t="shared" si="9"/>
        <v>0</v>
      </c>
      <c r="C3635" s="3">
        <f t="shared" si="7"/>
        <v>0</v>
      </c>
      <c r="D3635" s="3">
        <f>$B$3505*(A3635)+$B$3506*(A3635)^2/2-$B$3504*(A3635)^3/6-(N(D26)*MAX(0,(A3635)-N(E26))^2/2+N(F26)*MAX(0,(A3635)-N(G26))^2/2+N(H26)*MAX(0,(A3635)-N(I26))^2/2+N(J26)*MAX(0,(A3635)-N(K26))^2/2+N(L26)*MAX(0,(A3635)-N(M26))^2/2)+$B$3507</f>
        <v>-57.9427083333333</v>
      </c>
      <c r="E3635" s="3">
        <f>$B$3505*(C3635)+$B$3506*(C3635)^2/2-$B$3504*(C3635)^3/6-(N(D26)*MAX(0,(C3635)-N(E26))^2/2+N(F26)*MAX(0,(C3635)-N(G26))^2/2+N(H26)*MAX(0,(C3635)-N(I26))^2/2+N(J26)*MAX(0,(C3635)-N(K26))^2/2+N(L26)*MAX(0,(C3635)-N(M26))^2/2)+$B$3507</f>
        <v>-57.9427083333333</v>
      </c>
    </row>
    <row r="3636" spans="1:5" hidden="1">
      <c r="A3636" s="3">
        <f t="shared" si="8"/>
        <v>0</v>
      </c>
      <c r="B3636" s="3">
        <f t="shared" si="9"/>
        <v>0</v>
      </c>
      <c r="C3636" s="3">
        <f t="shared" si="7"/>
        <v>0</v>
      </c>
      <c r="D3636" s="3">
        <f>$B$3505*(A3636)+$B$3506*(A3636)^2/2-$B$3504*(A3636)^3/6-(N(D26)*MAX(0,(A3636)-N(E26))^2/2+N(F26)*MAX(0,(A3636)-N(G26))^2/2+N(H26)*MAX(0,(A3636)-N(I26))^2/2+N(J26)*MAX(0,(A3636)-N(K26))^2/2+N(L26)*MAX(0,(A3636)-N(M26))^2/2)+$B$3507</f>
        <v>-57.9427083333333</v>
      </c>
      <c r="E3636" s="3">
        <f>$B$3505*(C3636)+$B$3506*(C3636)^2/2-$B$3504*(C3636)^3/6-(N(D26)*MAX(0,(C3636)-N(E26))^2/2+N(F26)*MAX(0,(C3636)-N(G26))^2/2+N(H26)*MAX(0,(C3636)-N(I26))^2/2+N(J26)*MAX(0,(C3636)-N(K26))^2/2+N(L26)*MAX(0,(C3636)-N(M26))^2/2)+$B$3507</f>
        <v>-57.9427083333333</v>
      </c>
    </row>
    <row r="3637" spans="1:5" hidden="1">
      <c r="A3637" s="3">
        <f t="shared" si="8"/>
        <v>0</v>
      </c>
      <c r="B3637" s="3">
        <f t="shared" si="9"/>
        <v>0</v>
      </c>
      <c r="C3637" s="3">
        <f t="shared" si="7"/>
        <v>0</v>
      </c>
      <c r="D3637" s="3">
        <f>$B$3505*(A3637)+$B$3506*(A3637)^2/2-$B$3504*(A3637)^3/6-(N(D26)*MAX(0,(A3637)-N(E26))^2/2+N(F26)*MAX(0,(A3637)-N(G26))^2/2+N(H26)*MAX(0,(A3637)-N(I26))^2/2+N(J26)*MAX(0,(A3637)-N(K26))^2/2+N(L26)*MAX(0,(A3637)-N(M26))^2/2)+$B$3507</f>
        <v>-57.9427083333333</v>
      </c>
      <c r="E3637" s="3">
        <f>$B$3505*(C3637)+$B$3506*(C3637)^2/2-$B$3504*(C3637)^3/6-(N(D26)*MAX(0,(C3637)-N(E26))^2/2+N(F26)*MAX(0,(C3637)-N(G26))^2/2+N(H26)*MAX(0,(C3637)-N(I26))^2/2+N(J26)*MAX(0,(C3637)-N(K26))^2/2+N(L26)*MAX(0,(C3637)-N(M26))^2/2)+$B$3507</f>
        <v>-57.9427083333333</v>
      </c>
    </row>
    <row r="3638" spans="1:5" hidden="1">
      <c r="A3638" s="3">
        <f t="shared" si="8"/>
        <v>0</v>
      </c>
      <c r="B3638" s="3">
        <f t="shared" si="9"/>
        <v>0</v>
      </c>
      <c r="C3638" s="3">
        <f t="shared" si="7"/>
        <v>0</v>
      </c>
      <c r="D3638" s="3">
        <f>$B$3505*(A3638)+$B$3506*(A3638)^2/2-$B$3504*(A3638)^3/6-(N(D26)*MAX(0,(A3638)-N(E26))^2/2+N(F26)*MAX(0,(A3638)-N(G26))^2/2+N(H26)*MAX(0,(A3638)-N(I26))^2/2+N(J26)*MAX(0,(A3638)-N(K26))^2/2+N(L26)*MAX(0,(A3638)-N(M26))^2/2)+$B$3507</f>
        <v>-57.9427083333333</v>
      </c>
      <c r="E3638" s="3">
        <f>$B$3505*(C3638)+$B$3506*(C3638)^2/2-$B$3504*(C3638)^3/6-(N(D26)*MAX(0,(C3638)-N(E26))^2/2+N(F26)*MAX(0,(C3638)-N(G26))^2/2+N(H26)*MAX(0,(C3638)-N(I26))^2/2+N(J26)*MAX(0,(C3638)-N(K26))^2/2+N(L26)*MAX(0,(C3638)-N(M26))^2/2)+$B$3507</f>
        <v>-57.9427083333333</v>
      </c>
    </row>
    <row r="3639" spans="1:5" hidden="1">
      <c r="A3639" s="3">
        <f t="shared" si="8"/>
        <v>0</v>
      </c>
      <c r="B3639" s="3">
        <f t="shared" si="9"/>
        <v>0</v>
      </c>
      <c r="C3639" s="3">
        <f t="shared" si="7"/>
        <v>0</v>
      </c>
      <c r="D3639" s="3">
        <f>$B$3505*(A3639)+$B$3506*(A3639)^2/2-$B$3504*(A3639)^3/6-(N(D26)*MAX(0,(A3639)-N(E26))^2/2+N(F26)*MAX(0,(A3639)-N(G26))^2/2+N(H26)*MAX(0,(A3639)-N(I26))^2/2+N(J26)*MAX(0,(A3639)-N(K26))^2/2+N(L26)*MAX(0,(A3639)-N(M26))^2/2)+$B$3507</f>
        <v>-57.9427083333333</v>
      </c>
      <c r="E3639" s="3">
        <f>$B$3505*(C3639)+$B$3506*(C3639)^2/2-$B$3504*(C3639)^3/6-(N(D26)*MAX(0,(C3639)-N(E26))^2/2+N(F26)*MAX(0,(C3639)-N(G26))^2/2+N(H26)*MAX(0,(C3639)-N(I26))^2/2+N(J26)*MAX(0,(C3639)-N(K26))^2/2+N(L26)*MAX(0,(C3639)-N(M26))^2/2)+$B$3507</f>
        <v>-57.9427083333333</v>
      </c>
    </row>
    <row r="3640" spans="1:5" hidden="1">
      <c r="A3640" s="3">
        <f t="shared" si="8"/>
        <v>0</v>
      </c>
      <c r="B3640" s="3">
        <f t="shared" si="9"/>
        <v>0</v>
      </c>
      <c r="C3640" s="3">
        <f t="shared" si="7"/>
        <v>0</v>
      </c>
      <c r="D3640" s="3">
        <f>$B$3505*(A3640)+$B$3506*(A3640)^2/2-$B$3504*(A3640)^3/6-(N(D26)*MAX(0,(A3640)-N(E26))^2/2+N(F26)*MAX(0,(A3640)-N(G26))^2/2+N(H26)*MAX(0,(A3640)-N(I26))^2/2+N(J26)*MAX(0,(A3640)-N(K26))^2/2+N(L26)*MAX(0,(A3640)-N(M26))^2/2)+$B$3507</f>
        <v>-57.9427083333333</v>
      </c>
      <c r="E3640" s="3">
        <f>$B$3505*(C3640)+$B$3506*(C3640)^2/2-$B$3504*(C3640)^3/6-(N(D26)*MAX(0,(C3640)-N(E26))^2/2+N(F26)*MAX(0,(C3640)-N(G26))^2/2+N(H26)*MAX(0,(C3640)-N(I26))^2/2+N(J26)*MAX(0,(C3640)-N(K26))^2/2+N(L26)*MAX(0,(C3640)-N(M26))^2/2)+$B$3507</f>
        <v>-57.9427083333333</v>
      </c>
    </row>
    <row r="3641" spans="1:5" hidden="1">
      <c r="A3641" s="3">
        <f t="shared" si="8"/>
        <v>0</v>
      </c>
      <c r="B3641" s="3">
        <f t="shared" si="9"/>
        <v>0</v>
      </c>
      <c r="C3641" s="3">
        <f t="shared" si="7"/>
        <v>0</v>
      </c>
      <c r="D3641" s="3">
        <f>$B$3505*(A3641)+$B$3506*(A3641)^2/2-$B$3504*(A3641)^3/6-(N(D26)*MAX(0,(A3641)-N(E26))^2/2+N(F26)*MAX(0,(A3641)-N(G26))^2/2+N(H26)*MAX(0,(A3641)-N(I26))^2/2+N(J26)*MAX(0,(A3641)-N(K26))^2/2+N(L26)*MAX(0,(A3641)-N(M26))^2/2)+$B$3507</f>
        <v>-57.9427083333333</v>
      </c>
      <c r="E3641" s="3">
        <f>$B$3505*(C3641)+$B$3506*(C3641)^2/2-$B$3504*(C3641)^3/6-(N(D26)*MAX(0,(C3641)-N(E26))^2/2+N(F26)*MAX(0,(C3641)-N(G26))^2/2+N(H26)*MAX(0,(C3641)-N(I26))^2/2+N(J26)*MAX(0,(C3641)-N(K26))^2/2+N(L26)*MAX(0,(C3641)-N(M26))^2/2)+$B$3507</f>
        <v>-57.9427083333333</v>
      </c>
    </row>
    <row r="3642" spans="1:5" hidden="1">
      <c r="A3642" s="3">
        <f t="shared" si="8"/>
        <v>0</v>
      </c>
      <c r="B3642" s="3">
        <f t="shared" si="9"/>
        <v>0</v>
      </c>
      <c r="C3642" s="3">
        <f t="shared" si="7"/>
        <v>0</v>
      </c>
      <c r="D3642" s="3">
        <f>$B$3505*(A3642)+$B$3506*(A3642)^2/2-$B$3504*(A3642)^3/6-(N(D26)*MAX(0,(A3642)-N(E26))^2/2+N(F26)*MAX(0,(A3642)-N(G26))^2/2+N(H26)*MAX(0,(A3642)-N(I26))^2/2+N(J26)*MAX(0,(A3642)-N(K26))^2/2+N(L26)*MAX(0,(A3642)-N(M26))^2/2)+$B$3507</f>
        <v>-57.9427083333333</v>
      </c>
      <c r="E3642" s="3">
        <f>$B$3505*(C3642)+$B$3506*(C3642)^2/2-$B$3504*(C3642)^3/6-(N(D26)*MAX(0,(C3642)-N(E26))^2/2+N(F26)*MAX(0,(C3642)-N(G26))^2/2+N(H26)*MAX(0,(C3642)-N(I26))^2/2+N(J26)*MAX(0,(C3642)-N(K26))^2/2+N(L26)*MAX(0,(C3642)-N(M26))^2/2)+$B$3507</f>
        <v>-57.9427083333333</v>
      </c>
    </row>
    <row r="3643" spans="1:5" hidden="1">
      <c r="A3643" s="3">
        <f t="shared" si="8"/>
        <v>0</v>
      </c>
      <c r="B3643" s="3">
        <f t="shared" si="9"/>
        <v>0</v>
      </c>
      <c r="C3643" s="3">
        <f t="shared" si="7"/>
        <v>0</v>
      </c>
      <c r="D3643" s="3">
        <f>$B$3505*(A3643)+$B$3506*(A3643)^2/2-$B$3504*(A3643)^3/6-(N(D26)*MAX(0,(A3643)-N(E26))^2/2+N(F26)*MAX(0,(A3643)-N(G26))^2/2+N(H26)*MAX(0,(A3643)-N(I26))^2/2+N(J26)*MAX(0,(A3643)-N(K26))^2/2+N(L26)*MAX(0,(A3643)-N(M26))^2/2)+$B$3507</f>
        <v>-57.9427083333333</v>
      </c>
      <c r="E3643" s="3">
        <f>$B$3505*(C3643)+$B$3506*(C3643)^2/2-$B$3504*(C3643)^3/6-(N(D26)*MAX(0,(C3643)-N(E26))^2/2+N(F26)*MAX(0,(C3643)-N(G26))^2/2+N(H26)*MAX(0,(C3643)-N(I26))^2/2+N(J26)*MAX(0,(C3643)-N(K26))^2/2+N(L26)*MAX(0,(C3643)-N(M26))^2/2)+$B$3507</f>
        <v>-57.9427083333333</v>
      </c>
    </row>
    <row r="3644" spans="1:5" hidden="1">
      <c r="A3644" s="3">
        <f t="shared" si="8"/>
        <v>0</v>
      </c>
      <c r="B3644" s="3">
        <f t="shared" si="9"/>
        <v>0</v>
      </c>
      <c r="C3644" s="3">
        <f t="shared" si="7"/>
        <v>0</v>
      </c>
      <c r="D3644" s="3">
        <f>$B$3505*(A3644)+$B$3506*(A3644)^2/2-$B$3504*(A3644)^3/6-(N(D26)*MAX(0,(A3644)-N(E26))^2/2+N(F26)*MAX(0,(A3644)-N(G26))^2/2+N(H26)*MAX(0,(A3644)-N(I26))^2/2+N(J26)*MAX(0,(A3644)-N(K26))^2/2+N(L26)*MAX(0,(A3644)-N(M26))^2/2)+$B$3507</f>
        <v>-57.9427083333333</v>
      </c>
      <c r="E3644" s="3">
        <f>$B$3505*(C3644)+$B$3506*(C3644)^2/2-$B$3504*(C3644)^3/6-(N(D26)*MAX(0,(C3644)-N(E26))^2/2+N(F26)*MAX(0,(C3644)-N(G26))^2/2+N(H26)*MAX(0,(C3644)-N(I26))^2/2+N(J26)*MAX(0,(C3644)-N(K26))^2/2+N(L26)*MAX(0,(C3644)-N(M26))^2/2)+$B$3507</f>
        <v>-57.9427083333333</v>
      </c>
    </row>
    <row r="3645" spans="1:5" hidden="1">
      <c r="A3645" s="3">
        <f t="shared" si="8"/>
        <v>0</v>
      </c>
      <c r="B3645" s="3">
        <f t="shared" si="9"/>
        <v>0</v>
      </c>
      <c r="C3645" s="3">
        <f t="shared" si="7"/>
        <v>0</v>
      </c>
      <c r="D3645" s="3">
        <f>$B$3505*(A3645)+$B$3506*(A3645)^2/2-$B$3504*(A3645)^3/6-(N(D26)*MAX(0,(A3645)-N(E26))^2/2+N(F26)*MAX(0,(A3645)-N(G26))^2/2+N(H26)*MAX(0,(A3645)-N(I26))^2/2+N(J26)*MAX(0,(A3645)-N(K26))^2/2+N(L26)*MAX(0,(A3645)-N(M26))^2/2)+$B$3507</f>
        <v>-57.9427083333333</v>
      </c>
      <c r="E3645" s="3">
        <f>$B$3505*(C3645)+$B$3506*(C3645)^2/2-$B$3504*(C3645)^3/6-(N(D26)*MAX(0,(C3645)-N(E26))^2/2+N(F26)*MAX(0,(C3645)-N(G26))^2/2+N(H26)*MAX(0,(C3645)-N(I26))^2/2+N(J26)*MAX(0,(C3645)-N(K26))^2/2+N(L26)*MAX(0,(C3645)-N(M26))^2/2)+$B$3507</f>
        <v>-57.9427083333333</v>
      </c>
    </row>
    <row r="3646" spans="1:5" hidden="1"/>
    <row r="3647" spans="1:5" hidden="1">
      <c r="A3647" s="3">
        <f>B3542</f>
        <v>0</v>
      </c>
      <c r="B3647" s="3">
        <f>IF(($B$3505*(B3542)+$B$3506*(B3542)^2/2-$B$3504*(B3542)^3/6-(N(D26)*MAX(0,(B3542)-N(E26))^2/2+N(F26)*MAX(0,(B3542)-N(G26))^2/2+N(H26)*MAX(0,(B3542)-N(I26))^2/2+N(J26)*MAX(0,(B3542)-N(K26))^2/2+N(L26)*MAX(0,(B3542)-N(M26))^2/2)+$B$3507)*($B$3505*(B3543)+$B$3506*(B3543)^2/2-$B$3504*(B3543)^3/6-(N(D26)*MAX(0,(B3543)-N(E26))^2/2+N(F26)*MAX(0,(B3543)-N(G26))^2/2+N(H26)*MAX(0,(B3543)-N(I26))^2/2+N(J26)*MAX(0,(B3543)-N(K26))^2/2+N(L26)*MAX(0,(B3543)-N(M26))^2/2)+$B$3507)&lt;=0,B3543,B3542)</f>
        <v>0</v>
      </c>
      <c r="C3647" s="3">
        <f t="shared" ref="C3647:C3691" si="10">(A3647+B3647)/2</f>
        <v>0</v>
      </c>
      <c r="D3647" s="3">
        <f>$B$3505*(A3647)+$B$3506*(A3647)^2/2-$B$3504*(A3647)^3/6-(N(D26)*MAX(0,(A3647)-N(E26))^2/2+N(F26)*MAX(0,(A3647)-N(G26))^2/2+N(H26)*MAX(0,(A3647)-N(I26))^2/2+N(J26)*MAX(0,(A3647)-N(K26))^2/2+N(L26)*MAX(0,(A3647)-N(M26))^2/2)+$B$3507</f>
        <v>-57.9427083333333</v>
      </c>
      <c r="E3647" s="3">
        <f>$B$3505*(C3647)+$B$3506*(C3647)^2/2-$B$3504*(C3647)^3/6-(N(D26)*MAX(0,(C3647)-N(E26))^2/2+N(F26)*MAX(0,(C3647)-N(G26))^2/2+N(H26)*MAX(0,(C3647)-N(I26))^2/2+N(J26)*MAX(0,(C3647)-N(K26))^2/2+N(L26)*MAX(0,(C3647)-N(M26))^2/2)+$B$3507</f>
        <v>-57.9427083333333</v>
      </c>
    </row>
    <row r="3648" spans="1:5" hidden="1">
      <c r="A3648" s="3">
        <f t="shared" ref="A3648:A3691" si="11">IF(D3647*E3647&lt;=0,A3647,C3647)</f>
        <v>0</v>
      </c>
      <c r="B3648" s="3">
        <f t="shared" ref="B3648:B3691" si="12">IF(D3647*E3647&lt;=0,C3647,B3647)</f>
        <v>0</v>
      </c>
      <c r="C3648" s="3">
        <f t="shared" si="10"/>
        <v>0</v>
      </c>
      <c r="D3648" s="3">
        <f>$B$3505*(A3648)+$B$3506*(A3648)^2/2-$B$3504*(A3648)^3/6-(N(D26)*MAX(0,(A3648)-N(E26))^2/2+N(F26)*MAX(0,(A3648)-N(G26))^2/2+N(H26)*MAX(0,(A3648)-N(I26))^2/2+N(J26)*MAX(0,(A3648)-N(K26))^2/2+N(L26)*MAX(0,(A3648)-N(M26))^2/2)+$B$3507</f>
        <v>-57.9427083333333</v>
      </c>
      <c r="E3648" s="3">
        <f>$B$3505*(C3648)+$B$3506*(C3648)^2/2-$B$3504*(C3648)^3/6-(N(D26)*MAX(0,(C3648)-N(E26))^2/2+N(F26)*MAX(0,(C3648)-N(G26))^2/2+N(H26)*MAX(0,(C3648)-N(I26))^2/2+N(J26)*MAX(0,(C3648)-N(K26))^2/2+N(L26)*MAX(0,(C3648)-N(M26))^2/2)+$B$3507</f>
        <v>-57.9427083333333</v>
      </c>
    </row>
    <row r="3649" spans="1:5" hidden="1">
      <c r="A3649" s="3">
        <f t="shared" si="11"/>
        <v>0</v>
      </c>
      <c r="B3649" s="3">
        <f t="shared" si="12"/>
        <v>0</v>
      </c>
      <c r="C3649" s="3">
        <f t="shared" si="10"/>
        <v>0</v>
      </c>
      <c r="D3649" s="3">
        <f>$B$3505*(A3649)+$B$3506*(A3649)^2/2-$B$3504*(A3649)^3/6-(N(D26)*MAX(0,(A3649)-N(E26))^2/2+N(F26)*MAX(0,(A3649)-N(G26))^2/2+N(H26)*MAX(0,(A3649)-N(I26))^2/2+N(J26)*MAX(0,(A3649)-N(K26))^2/2+N(L26)*MAX(0,(A3649)-N(M26))^2/2)+$B$3507</f>
        <v>-57.9427083333333</v>
      </c>
      <c r="E3649" s="3">
        <f>$B$3505*(C3649)+$B$3506*(C3649)^2/2-$B$3504*(C3649)^3/6-(N(D26)*MAX(0,(C3649)-N(E26))^2/2+N(F26)*MAX(0,(C3649)-N(G26))^2/2+N(H26)*MAX(0,(C3649)-N(I26))^2/2+N(J26)*MAX(0,(C3649)-N(K26))^2/2+N(L26)*MAX(0,(C3649)-N(M26))^2/2)+$B$3507</f>
        <v>-57.9427083333333</v>
      </c>
    </row>
    <row r="3650" spans="1:5" hidden="1">
      <c r="A3650" s="3">
        <f t="shared" si="11"/>
        <v>0</v>
      </c>
      <c r="B3650" s="3">
        <f t="shared" si="12"/>
        <v>0</v>
      </c>
      <c r="C3650" s="3">
        <f t="shared" si="10"/>
        <v>0</v>
      </c>
      <c r="D3650" s="3">
        <f>$B$3505*(A3650)+$B$3506*(A3650)^2/2-$B$3504*(A3650)^3/6-(N(D26)*MAX(0,(A3650)-N(E26))^2/2+N(F26)*MAX(0,(A3650)-N(G26))^2/2+N(H26)*MAX(0,(A3650)-N(I26))^2/2+N(J26)*MAX(0,(A3650)-N(K26))^2/2+N(L26)*MAX(0,(A3650)-N(M26))^2/2)+$B$3507</f>
        <v>-57.9427083333333</v>
      </c>
      <c r="E3650" s="3">
        <f>$B$3505*(C3650)+$B$3506*(C3650)^2/2-$B$3504*(C3650)^3/6-(N(D26)*MAX(0,(C3650)-N(E26))^2/2+N(F26)*MAX(0,(C3650)-N(G26))^2/2+N(H26)*MAX(0,(C3650)-N(I26))^2/2+N(J26)*MAX(0,(C3650)-N(K26))^2/2+N(L26)*MAX(0,(C3650)-N(M26))^2/2)+$B$3507</f>
        <v>-57.9427083333333</v>
      </c>
    </row>
    <row r="3651" spans="1:5" hidden="1">
      <c r="A3651" s="3">
        <f t="shared" si="11"/>
        <v>0</v>
      </c>
      <c r="B3651" s="3">
        <f t="shared" si="12"/>
        <v>0</v>
      </c>
      <c r="C3651" s="3">
        <f t="shared" si="10"/>
        <v>0</v>
      </c>
      <c r="D3651" s="3">
        <f>$B$3505*(A3651)+$B$3506*(A3651)^2/2-$B$3504*(A3651)^3/6-(N(D26)*MAX(0,(A3651)-N(E26))^2/2+N(F26)*MAX(0,(A3651)-N(G26))^2/2+N(H26)*MAX(0,(A3651)-N(I26))^2/2+N(J26)*MAX(0,(A3651)-N(K26))^2/2+N(L26)*MAX(0,(A3651)-N(M26))^2/2)+$B$3507</f>
        <v>-57.9427083333333</v>
      </c>
      <c r="E3651" s="3">
        <f>$B$3505*(C3651)+$B$3506*(C3651)^2/2-$B$3504*(C3651)^3/6-(N(D26)*MAX(0,(C3651)-N(E26))^2/2+N(F26)*MAX(0,(C3651)-N(G26))^2/2+N(H26)*MAX(0,(C3651)-N(I26))^2/2+N(J26)*MAX(0,(C3651)-N(K26))^2/2+N(L26)*MAX(0,(C3651)-N(M26))^2/2)+$B$3507</f>
        <v>-57.9427083333333</v>
      </c>
    </row>
    <row r="3652" spans="1:5" hidden="1">
      <c r="A3652" s="3">
        <f t="shared" si="11"/>
        <v>0</v>
      </c>
      <c r="B3652" s="3">
        <f t="shared" si="12"/>
        <v>0</v>
      </c>
      <c r="C3652" s="3">
        <f t="shared" si="10"/>
        <v>0</v>
      </c>
      <c r="D3652" s="3">
        <f>$B$3505*(A3652)+$B$3506*(A3652)^2/2-$B$3504*(A3652)^3/6-(N(D26)*MAX(0,(A3652)-N(E26))^2/2+N(F26)*MAX(0,(A3652)-N(G26))^2/2+N(H26)*MAX(0,(A3652)-N(I26))^2/2+N(J26)*MAX(0,(A3652)-N(K26))^2/2+N(L26)*MAX(0,(A3652)-N(M26))^2/2)+$B$3507</f>
        <v>-57.9427083333333</v>
      </c>
      <c r="E3652" s="3">
        <f>$B$3505*(C3652)+$B$3506*(C3652)^2/2-$B$3504*(C3652)^3/6-(N(D26)*MAX(0,(C3652)-N(E26))^2/2+N(F26)*MAX(0,(C3652)-N(G26))^2/2+N(H26)*MAX(0,(C3652)-N(I26))^2/2+N(J26)*MAX(0,(C3652)-N(K26))^2/2+N(L26)*MAX(0,(C3652)-N(M26))^2/2)+$B$3507</f>
        <v>-57.9427083333333</v>
      </c>
    </row>
    <row r="3653" spans="1:5" hidden="1">
      <c r="A3653" s="3">
        <f t="shared" si="11"/>
        <v>0</v>
      </c>
      <c r="B3653" s="3">
        <f t="shared" si="12"/>
        <v>0</v>
      </c>
      <c r="C3653" s="3">
        <f t="shared" si="10"/>
        <v>0</v>
      </c>
      <c r="D3653" s="3">
        <f>$B$3505*(A3653)+$B$3506*(A3653)^2/2-$B$3504*(A3653)^3/6-(N(D26)*MAX(0,(A3653)-N(E26))^2/2+N(F26)*MAX(0,(A3653)-N(G26))^2/2+N(H26)*MAX(0,(A3653)-N(I26))^2/2+N(J26)*MAX(0,(A3653)-N(K26))^2/2+N(L26)*MAX(0,(A3653)-N(M26))^2/2)+$B$3507</f>
        <v>-57.9427083333333</v>
      </c>
      <c r="E3653" s="3">
        <f>$B$3505*(C3653)+$B$3506*(C3653)^2/2-$B$3504*(C3653)^3/6-(N(D26)*MAX(0,(C3653)-N(E26))^2/2+N(F26)*MAX(0,(C3653)-N(G26))^2/2+N(H26)*MAX(0,(C3653)-N(I26))^2/2+N(J26)*MAX(0,(C3653)-N(K26))^2/2+N(L26)*MAX(0,(C3653)-N(M26))^2/2)+$B$3507</f>
        <v>-57.9427083333333</v>
      </c>
    </row>
    <row r="3654" spans="1:5" hidden="1">
      <c r="A3654" s="3">
        <f t="shared" si="11"/>
        <v>0</v>
      </c>
      <c r="B3654" s="3">
        <f t="shared" si="12"/>
        <v>0</v>
      </c>
      <c r="C3654" s="3">
        <f t="shared" si="10"/>
        <v>0</v>
      </c>
      <c r="D3654" s="3">
        <f>$B$3505*(A3654)+$B$3506*(A3654)^2/2-$B$3504*(A3654)^3/6-(N(D26)*MAX(0,(A3654)-N(E26))^2/2+N(F26)*MAX(0,(A3654)-N(G26))^2/2+N(H26)*MAX(0,(A3654)-N(I26))^2/2+N(J26)*MAX(0,(A3654)-N(K26))^2/2+N(L26)*MAX(0,(A3654)-N(M26))^2/2)+$B$3507</f>
        <v>-57.9427083333333</v>
      </c>
      <c r="E3654" s="3">
        <f>$B$3505*(C3654)+$B$3506*(C3654)^2/2-$B$3504*(C3654)^3/6-(N(D26)*MAX(0,(C3654)-N(E26))^2/2+N(F26)*MAX(0,(C3654)-N(G26))^2/2+N(H26)*MAX(0,(C3654)-N(I26))^2/2+N(J26)*MAX(0,(C3654)-N(K26))^2/2+N(L26)*MAX(0,(C3654)-N(M26))^2/2)+$B$3507</f>
        <v>-57.9427083333333</v>
      </c>
    </row>
    <row r="3655" spans="1:5" hidden="1">
      <c r="A3655" s="3">
        <f t="shared" si="11"/>
        <v>0</v>
      </c>
      <c r="B3655" s="3">
        <f t="shared" si="12"/>
        <v>0</v>
      </c>
      <c r="C3655" s="3">
        <f t="shared" si="10"/>
        <v>0</v>
      </c>
      <c r="D3655" s="3">
        <f>$B$3505*(A3655)+$B$3506*(A3655)^2/2-$B$3504*(A3655)^3/6-(N(D26)*MAX(0,(A3655)-N(E26))^2/2+N(F26)*MAX(0,(A3655)-N(G26))^2/2+N(H26)*MAX(0,(A3655)-N(I26))^2/2+N(J26)*MAX(0,(A3655)-N(K26))^2/2+N(L26)*MAX(0,(A3655)-N(M26))^2/2)+$B$3507</f>
        <v>-57.9427083333333</v>
      </c>
      <c r="E3655" s="3">
        <f>$B$3505*(C3655)+$B$3506*(C3655)^2/2-$B$3504*(C3655)^3/6-(N(D26)*MAX(0,(C3655)-N(E26))^2/2+N(F26)*MAX(0,(C3655)-N(G26))^2/2+N(H26)*MAX(0,(C3655)-N(I26))^2/2+N(J26)*MAX(0,(C3655)-N(K26))^2/2+N(L26)*MAX(0,(C3655)-N(M26))^2/2)+$B$3507</f>
        <v>-57.9427083333333</v>
      </c>
    </row>
    <row r="3656" spans="1:5" hidden="1">
      <c r="A3656" s="3">
        <f t="shared" si="11"/>
        <v>0</v>
      </c>
      <c r="B3656" s="3">
        <f t="shared" si="12"/>
        <v>0</v>
      </c>
      <c r="C3656" s="3">
        <f t="shared" si="10"/>
        <v>0</v>
      </c>
      <c r="D3656" s="3">
        <f>$B$3505*(A3656)+$B$3506*(A3656)^2/2-$B$3504*(A3656)^3/6-(N(D26)*MAX(0,(A3656)-N(E26))^2/2+N(F26)*MAX(0,(A3656)-N(G26))^2/2+N(H26)*MAX(0,(A3656)-N(I26))^2/2+N(J26)*MAX(0,(A3656)-N(K26))^2/2+N(L26)*MAX(0,(A3656)-N(M26))^2/2)+$B$3507</f>
        <v>-57.9427083333333</v>
      </c>
      <c r="E3656" s="3">
        <f>$B$3505*(C3656)+$B$3506*(C3656)^2/2-$B$3504*(C3656)^3/6-(N(D26)*MAX(0,(C3656)-N(E26))^2/2+N(F26)*MAX(0,(C3656)-N(G26))^2/2+N(H26)*MAX(0,(C3656)-N(I26))^2/2+N(J26)*MAX(0,(C3656)-N(K26))^2/2+N(L26)*MAX(0,(C3656)-N(M26))^2/2)+$B$3507</f>
        <v>-57.9427083333333</v>
      </c>
    </row>
    <row r="3657" spans="1:5" hidden="1">
      <c r="A3657" s="3">
        <f t="shared" si="11"/>
        <v>0</v>
      </c>
      <c r="B3657" s="3">
        <f t="shared" si="12"/>
        <v>0</v>
      </c>
      <c r="C3657" s="3">
        <f t="shared" si="10"/>
        <v>0</v>
      </c>
      <c r="D3657" s="3">
        <f>$B$3505*(A3657)+$B$3506*(A3657)^2/2-$B$3504*(A3657)^3/6-(N(D26)*MAX(0,(A3657)-N(E26))^2/2+N(F26)*MAX(0,(A3657)-N(G26))^2/2+N(H26)*MAX(0,(A3657)-N(I26))^2/2+N(J26)*MAX(0,(A3657)-N(K26))^2/2+N(L26)*MAX(0,(A3657)-N(M26))^2/2)+$B$3507</f>
        <v>-57.9427083333333</v>
      </c>
      <c r="E3657" s="3">
        <f>$B$3505*(C3657)+$B$3506*(C3657)^2/2-$B$3504*(C3657)^3/6-(N(D26)*MAX(0,(C3657)-N(E26))^2/2+N(F26)*MAX(0,(C3657)-N(G26))^2/2+N(H26)*MAX(0,(C3657)-N(I26))^2/2+N(J26)*MAX(0,(C3657)-N(K26))^2/2+N(L26)*MAX(0,(C3657)-N(M26))^2/2)+$B$3507</f>
        <v>-57.9427083333333</v>
      </c>
    </row>
    <row r="3658" spans="1:5" hidden="1">
      <c r="A3658" s="3">
        <f t="shared" si="11"/>
        <v>0</v>
      </c>
      <c r="B3658" s="3">
        <f t="shared" si="12"/>
        <v>0</v>
      </c>
      <c r="C3658" s="3">
        <f t="shared" si="10"/>
        <v>0</v>
      </c>
      <c r="D3658" s="3">
        <f>$B$3505*(A3658)+$B$3506*(A3658)^2/2-$B$3504*(A3658)^3/6-(N(D26)*MAX(0,(A3658)-N(E26))^2/2+N(F26)*MAX(0,(A3658)-N(G26))^2/2+N(H26)*MAX(0,(A3658)-N(I26))^2/2+N(J26)*MAX(0,(A3658)-N(K26))^2/2+N(L26)*MAX(0,(A3658)-N(M26))^2/2)+$B$3507</f>
        <v>-57.9427083333333</v>
      </c>
      <c r="E3658" s="3">
        <f>$B$3505*(C3658)+$B$3506*(C3658)^2/2-$B$3504*(C3658)^3/6-(N(D26)*MAX(0,(C3658)-N(E26))^2/2+N(F26)*MAX(0,(C3658)-N(G26))^2/2+N(H26)*MAX(0,(C3658)-N(I26))^2/2+N(J26)*MAX(0,(C3658)-N(K26))^2/2+N(L26)*MAX(0,(C3658)-N(M26))^2/2)+$B$3507</f>
        <v>-57.9427083333333</v>
      </c>
    </row>
    <row r="3659" spans="1:5" hidden="1">
      <c r="A3659" s="3">
        <f t="shared" si="11"/>
        <v>0</v>
      </c>
      <c r="B3659" s="3">
        <f t="shared" si="12"/>
        <v>0</v>
      </c>
      <c r="C3659" s="3">
        <f t="shared" si="10"/>
        <v>0</v>
      </c>
      <c r="D3659" s="3">
        <f>$B$3505*(A3659)+$B$3506*(A3659)^2/2-$B$3504*(A3659)^3/6-(N(D26)*MAX(0,(A3659)-N(E26))^2/2+N(F26)*MAX(0,(A3659)-N(G26))^2/2+N(H26)*MAX(0,(A3659)-N(I26))^2/2+N(J26)*MAX(0,(A3659)-N(K26))^2/2+N(L26)*MAX(0,(A3659)-N(M26))^2/2)+$B$3507</f>
        <v>-57.9427083333333</v>
      </c>
      <c r="E3659" s="3">
        <f>$B$3505*(C3659)+$B$3506*(C3659)^2/2-$B$3504*(C3659)^3/6-(N(D26)*MAX(0,(C3659)-N(E26))^2/2+N(F26)*MAX(0,(C3659)-N(G26))^2/2+N(H26)*MAX(0,(C3659)-N(I26))^2/2+N(J26)*MAX(0,(C3659)-N(K26))^2/2+N(L26)*MAX(0,(C3659)-N(M26))^2/2)+$B$3507</f>
        <v>-57.9427083333333</v>
      </c>
    </row>
    <row r="3660" spans="1:5" hidden="1">
      <c r="A3660" s="3">
        <f t="shared" si="11"/>
        <v>0</v>
      </c>
      <c r="B3660" s="3">
        <f t="shared" si="12"/>
        <v>0</v>
      </c>
      <c r="C3660" s="3">
        <f t="shared" si="10"/>
        <v>0</v>
      </c>
      <c r="D3660" s="3">
        <f>$B$3505*(A3660)+$B$3506*(A3660)^2/2-$B$3504*(A3660)^3/6-(N(D26)*MAX(0,(A3660)-N(E26))^2/2+N(F26)*MAX(0,(A3660)-N(G26))^2/2+N(H26)*MAX(0,(A3660)-N(I26))^2/2+N(J26)*MAX(0,(A3660)-N(K26))^2/2+N(L26)*MAX(0,(A3660)-N(M26))^2/2)+$B$3507</f>
        <v>-57.9427083333333</v>
      </c>
      <c r="E3660" s="3">
        <f>$B$3505*(C3660)+$B$3506*(C3660)^2/2-$B$3504*(C3660)^3/6-(N(D26)*MAX(0,(C3660)-N(E26))^2/2+N(F26)*MAX(0,(C3660)-N(G26))^2/2+N(H26)*MAX(0,(C3660)-N(I26))^2/2+N(J26)*MAX(0,(C3660)-N(K26))^2/2+N(L26)*MAX(0,(C3660)-N(M26))^2/2)+$B$3507</f>
        <v>-57.9427083333333</v>
      </c>
    </row>
    <row r="3661" spans="1:5" hidden="1">
      <c r="A3661" s="3">
        <f t="shared" si="11"/>
        <v>0</v>
      </c>
      <c r="B3661" s="3">
        <f t="shared" si="12"/>
        <v>0</v>
      </c>
      <c r="C3661" s="3">
        <f t="shared" si="10"/>
        <v>0</v>
      </c>
      <c r="D3661" s="3">
        <f>$B$3505*(A3661)+$B$3506*(A3661)^2/2-$B$3504*(A3661)^3/6-(N(D26)*MAX(0,(A3661)-N(E26))^2/2+N(F26)*MAX(0,(A3661)-N(G26))^2/2+N(H26)*MAX(0,(A3661)-N(I26))^2/2+N(J26)*MAX(0,(A3661)-N(K26))^2/2+N(L26)*MAX(0,(A3661)-N(M26))^2/2)+$B$3507</f>
        <v>-57.9427083333333</v>
      </c>
      <c r="E3661" s="3">
        <f>$B$3505*(C3661)+$B$3506*(C3661)^2/2-$B$3504*(C3661)^3/6-(N(D26)*MAX(0,(C3661)-N(E26))^2/2+N(F26)*MAX(0,(C3661)-N(G26))^2/2+N(H26)*MAX(0,(C3661)-N(I26))^2/2+N(J26)*MAX(0,(C3661)-N(K26))^2/2+N(L26)*MAX(0,(C3661)-N(M26))^2/2)+$B$3507</f>
        <v>-57.9427083333333</v>
      </c>
    </row>
    <row r="3662" spans="1:5" hidden="1">
      <c r="A3662" s="3">
        <f t="shared" si="11"/>
        <v>0</v>
      </c>
      <c r="B3662" s="3">
        <f t="shared" si="12"/>
        <v>0</v>
      </c>
      <c r="C3662" s="3">
        <f t="shared" si="10"/>
        <v>0</v>
      </c>
      <c r="D3662" s="3">
        <f>$B$3505*(A3662)+$B$3506*(A3662)^2/2-$B$3504*(A3662)^3/6-(N(D26)*MAX(0,(A3662)-N(E26))^2/2+N(F26)*MAX(0,(A3662)-N(G26))^2/2+N(H26)*MAX(0,(A3662)-N(I26))^2/2+N(J26)*MAX(0,(A3662)-N(K26))^2/2+N(L26)*MAX(0,(A3662)-N(M26))^2/2)+$B$3507</f>
        <v>-57.9427083333333</v>
      </c>
      <c r="E3662" s="3">
        <f>$B$3505*(C3662)+$B$3506*(C3662)^2/2-$B$3504*(C3662)^3/6-(N(D26)*MAX(0,(C3662)-N(E26))^2/2+N(F26)*MAX(0,(C3662)-N(G26))^2/2+N(H26)*MAX(0,(C3662)-N(I26))^2/2+N(J26)*MAX(0,(C3662)-N(K26))^2/2+N(L26)*MAX(0,(C3662)-N(M26))^2/2)+$B$3507</f>
        <v>-57.9427083333333</v>
      </c>
    </row>
    <row r="3663" spans="1:5" hidden="1">
      <c r="A3663" s="3">
        <f t="shared" si="11"/>
        <v>0</v>
      </c>
      <c r="B3663" s="3">
        <f t="shared" si="12"/>
        <v>0</v>
      </c>
      <c r="C3663" s="3">
        <f t="shared" si="10"/>
        <v>0</v>
      </c>
      <c r="D3663" s="3">
        <f>$B$3505*(A3663)+$B$3506*(A3663)^2/2-$B$3504*(A3663)^3/6-(N(D26)*MAX(0,(A3663)-N(E26))^2/2+N(F26)*MAX(0,(A3663)-N(G26))^2/2+N(H26)*MAX(0,(A3663)-N(I26))^2/2+N(J26)*MAX(0,(A3663)-N(K26))^2/2+N(L26)*MAX(0,(A3663)-N(M26))^2/2)+$B$3507</f>
        <v>-57.9427083333333</v>
      </c>
      <c r="E3663" s="3">
        <f>$B$3505*(C3663)+$B$3506*(C3663)^2/2-$B$3504*(C3663)^3/6-(N(D26)*MAX(0,(C3663)-N(E26))^2/2+N(F26)*MAX(0,(C3663)-N(G26))^2/2+N(H26)*MAX(0,(C3663)-N(I26))^2/2+N(J26)*MAX(0,(C3663)-N(K26))^2/2+N(L26)*MAX(0,(C3663)-N(M26))^2/2)+$B$3507</f>
        <v>-57.9427083333333</v>
      </c>
    </row>
    <row r="3664" spans="1:5" hidden="1">
      <c r="A3664" s="3">
        <f t="shared" si="11"/>
        <v>0</v>
      </c>
      <c r="B3664" s="3">
        <f t="shared" si="12"/>
        <v>0</v>
      </c>
      <c r="C3664" s="3">
        <f t="shared" si="10"/>
        <v>0</v>
      </c>
      <c r="D3664" s="3">
        <f>$B$3505*(A3664)+$B$3506*(A3664)^2/2-$B$3504*(A3664)^3/6-(N(D26)*MAX(0,(A3664)-N(E26))^2/2+N(F26)*MAX(0,(A3664)-N(G26))^2/2+N(H26)*MAX(0,(A3664)-N(I26))^2/2+N(J26)*MAX(0,(A3664)-N(K26))^2/2+N(L26)*MAX(0,(A3664)-N(M26))^2/2)+$B$3507</f>
        <v>-57.9427083333333</v>
      </c>
      <c r="E3664" s="3">
        <f>$B$3505*(C3664)+$B$3506*(C3664)^2/2-$B$3504*(C3664)^3/6-(N(D26)*MAX(0,(C3664)-N(E26))^2/2+N(F26)*MAX(0,(C3664)-N(G26))^2/2+N(H26)*MAX(0,(C3664)-N(I26))^2/2+N(J26)*MAX(0,(C3664)-N(K26))^2/2+N(L26)*MAX(0,(C3664)-N(M26))^2/2)+$B$3507</f>
        <v>-57.9427083333333</v>
      </c>
    </row>
    <row r="3665" spans="1:5" hidden="1">
      <c r="A3665" s="3">
        <f t="shared" si="11"/>
        <v>0</v>
      </c>
      <c r="B3665" s="3">
        <f t="shared" si="12"/>
        <v>0</v>
      </c>
      <c r="C3665" s="3">
        <f t="shared" si="10"/>
        <v>0</v>
      </c>
      <c r="D3665" s="3">
        <f>$B$3505*(A3665)+$B$3506*(A3665)^2/2-$B$3504*(A3665)^3/6-(N(D26)*MAX(0,(A3665)-N(E26))^2/2+N(F26)*MAX(0,(A3665)-N(G26))^2/2+N(H26)*MAX(0,(A3665)-N(I26))^2/2+N(J26)*MAX(0,(A3665)-N(K26))^2/2+N(L26)*MAX(0,(A3665)-N(M26))^2/2)+$B$3507</f>
        <v>-57.9427083333333</v>
      </c>
      <c r="E3665" s="3">
        <f>$B$3505*(C3665)+$B$3506*(C3665)^2/2-$B$3504*(C3665)^3/6-(N(D26)*MAX(0,(C3665)-N(E26))^2/2+N(F26)*MAX(0,(C3665)-N(G26))^2/2+N(H26)*MAX(0,(C3665)-N(I26))^2/2+N(J26)*MAX(0,(C3665)-N(K26))^2/2+N(L26)*MAX(0,(C3665)-N(M26))^2/2)+$B$3507</f>
        <v>-57.9427083333333</v>
      </c>
    </row>
    <row r="3666" spans="1:5" hidden="1">
      <c r="A3666" s="3">
        <f t="shared" si="11"/>
        <v>0</v>
      </c>
      <c r="B3666" s="3">
        <f t="shared" si="12"/>
        <v>0</v>
      </c>
      <c r="C3666" s="3">
        <f t="shared" si="10"/>
        <v>0</v>
      </c>
      <c r="D3666" s="3">
        <f>$B$3505*(A3666)+$B$3506*(A3666)^2/2-$B$3504*(A3666)^3/6-(N(D26)*MAX(0,(A3666)-N(E26))^2/2+N(F26)*MAX(0,(A3666)-N(G26))^2/2+N(H26)*MAX(0,(A3666)-N(I26))^2/2+N(J26)*MAX(0,(A3666)-N(K26))^2/2+N(L26)*MAX(0,(A3666)-N(M26))^2/2)+$B$3507</f>
        <v>-57.9427083333333</v>
      </c>
      <c r="E3666" s="3">
        <f>$B$3505*(C3666)+$B$3506*(C3666)^2/2-$B$3504*(C3666)^3/6-(N(D26)*MAX(0,(C3666)-N(E26))^2/2+N(F26)*MAX(0,(C3666)-N(G26))^2/2+N(H26)*MAX(0,(C3666)-N(I26))^2/2+N(J26)*MAX(0,(C3666)-N(K26))^2/2+N(L26)*MAX(0,(C3666)-N(M26))^2/2)+$B$3507</f>
        <v>-57.9427083333333</v>
      </c>
    </row>
    <row r="3667" spans="1:5" hidden="1">
      <c r="A3667" s="3">
        <f t="shared" si="11"/>
        <v>0</v>
      </c>
      <c r="B3667" s="3">
        <f t="shared" si="12"/>
        <v>0</v>
      </c>
      <c r="C3667" s="3">
        <f t="shared" si="10"/>
        <v>0</v>
      </c>
      <c r="D3667" s="3">
        <f>$B$3505*(A3667)+$B$3506*(A3667)^2/2-$B$3504*(A3667)^3/6-(N(D26)*MAX(0,(A3667)-N(E26))^2/2+N(F26)*MAX(0,(A3667)-N(G26))^2/2+N(H26)*MAX(0,(A3667)-N(I26))^2/2+N(J26)*MAX(0,(A3667)-N(K26))^2/2+N(L26)*MAX(0,(A3667)-N(M26))^2/2)+$B$3507</f>
        <v>-57.9427083333333</v>
      </c>
      <c r="E3667" s="3">
        <f>$B$3505*(C3667)+$B$3506*(C3667)^2/2-$B$3504*(C3667)^3/6-(N(D26)*MAX(0,(C3667)-N(E26))^2/2+N(F26)*MAX(0,(C3667)-N(G26))^2/2+N(H26)*MAX(0,(C3667)-N(I26))^2/2+N(J26)*MAX(0,(C3667)-N(K26))^2/2+N(L26)*MAX(0,(C3667)-N(M26))^2/2)+$B$3507</f>
        <v>-57.9427083333333</v>
      </c>
    </row>
    <row r="3668" spans="1:5" hidden="1">
      <c r="A3668" s="3">
        <f t="shared" si="11"/>
        <v>0</v>
      </c>
      <c r="B3668" s="3">
        <f t="shared" si="12"/>
        <v>0</v>
      </c>
      <c r="C3668" s="3">
        <f t="shared" si="10"/>
        <v>0</v>
      </c>
      <c r="D3668" s="3">
        <f>$B$3505*(A3668)+$B$3506*(A3668)^2/2-$B$3504*(A3668)^3/6-(N(D26)*MAX(0,(A3668)-N(E26))^2/2+N(F26)*MAX(0,(A3668)-N(G26))^2/2+N(H26)*MAX(0,(A3668)-N(I26))^2/2+N(J26)*MAX(0,(A3668)-N(K26))^2/2+N(L26)*MAX(0,(A3668)-N(M26))^2/2)+$B$3507</f>
        <v>-57.9427083333333</v>
      </c>
      <c r="E3668" s="3">
        <f>$B$3505*(C3668)+$B$3506*(C3668)^2/2-$B$3504*(C3668)^3/6-(N(D26)*MAX(0,(C3668)-N(E26))^2/2+N(F26)*MAX(0,(C3668)-N(G26))^2/2+N(H26)*MAX(0,(C3668)-N(I26))^2/2+N(J26)*MAX(0,(C3668)-N(K26))^2/2+N(L26)*MAX(0,(C3668)-N(M26))^2/2)+$B$3507</f>
        <v>-57.9427083333333</v>
      </c>
    </row>
    <row r="3669" spans="1:5" hidden="1">
      <c r="A3669" s="3">
        <f t="shared" si="11"/>
        <v>0</v>
      </c>
      <c r="B3669" s="3">
        <f t="shared" si="12"/>
        <v>0</v>
      </c>
      <c r="C3669" s="3">
        <f t="shared" si="10"/>
        <v>0</v>
      </c>
      <c r="D3669" s="3">
        <f>$B$3505*(A3669)+$B$3506*(A3669)^2/2-$B$3504*(A3669)^3/6-(N(D26)*MAX(0,(A3669)-N(E26))^2/2+N(F26)*MAX(0,(A3669)-N(G26))^2/2+N(H26)*MAX(0,(A3669)-N(I26))^2/2+N(J26)*MAX(0,(A3669)-N(K26))^2/2+N(L26)*MAX(0,(A3669)-N(M26))^2/2)+$B$3507</f>
        <v>-57.9427083333333</v>
      </c>
      <c r="E3669" s="3">
        <f>$B$3505*(C3669)+$B$3506*(C3669)^2/2-$B$3504*(C3669)^3/6-(N(D26)*MAX(0,(C3669)-N(E26))^2/2+N(F26)*MAX(0,(C3669)-N(G26))^2/2+N(H26)*MAX(0,(C3669)-N(I26))^2/2+N(J26)*MAX(0,(C3669)-N(K26))^2/2+N(L26)*MAX(0,(C3669)-N(M26))^2/2)+$B$3507</f>
        <v>-57.9427083333333</v>
      </c>
    </row>
    <row r="3670" spans="1:5" hidden="1">
      <c r="A3670" s="3">
        <f t="shared" si="11"/>
        <v>0</v>
      </c>
      <c r="B3670" s="3">
        <f t="shared" si="12"/>
        <v>0</v>
      </c>
      <c r="C3670" s="3">
        <f t="shared" si="10"/>
        <v>0</v>
      </c>
      <c r="D3670" s="3">
        <f>$B$3505*(A3670)+$B$3506*(A3670)^2/2-$B$3504*(A3670)^3/6-(N(D26)*MAX(0,(A3670)-N(E26))^2/2+N(F26)*MAX(0,(A3670)-N(G26))^2/2+N(H26)*MAX(0,(A3670)-N(I26))^2/2+N(J26)*MAX(0,(A3670)-N(K26))^2/2+N(L26)*MAX(0,(A3670)-N(M26))^2/2)+$B$3507</f>
        <v>-57.9427083333333</v>
      </c>
      <c r="E3670" s="3">
        <f>$B$3505*(C3670)+$B$3506*(C3670)^2/2-$B$3504*(C3670)^3/6-(N(D26)*MAX(0,(C3670)-N(E26))^2/2+N(F26)*MAX(0,(C3670)-N(G26))^2/2+N(H26)*MAX(0,(C3670)-N(I26))^2/2+N(J26)*MAX(0,(C3670)-N(K26))^2/2+N(L26)*MAX(0,(C3670)-N(M26))^2/2)+$B$3507</f>
        <v>-57.9427083333333</v>
      </c>
    </row>
    <row r="3671" spans="1:5" hidden="1">
      <c r="A3671" s="3">
        <f t="shared" si="11"/>
        <v>0</v>
      </c>
      <c r="B3671" s="3">
        <f t="shared" si="12"/>
        <v>0</v>
      </c>
      <c r="C3671" s="3">
        <f t="shared" si="10"/>
        <v>0</v>
      </c>
      <c r="D3671" s="3">
        <f>$B$3505*(A3671)+$B$3506*(A3671)^2/2-$B$3504*(A3671)^3/6-(N(D26)*MAX(0,(A3671)-N(E26))^2/2+N(F26)*MAX(0,(A3671)-N(G26))^2/2+N(H26)*MAX(0,(A3671)-N(I26))^2/2+N(J26)*MAX(0,(A3671)-N(K26))^2/2+N(L26)*MAX(0,(A3671)-N(M26))^2/2)+$B$3507</f>
        <v>-57.9427083333333</v>
      </c>
      <c r="E3671" s="3">
        <f>$B$3505*(C3671)+$B$3506*(C3671)^2/2-$B$3504*(C3671)^3/6-(N(D26)*MAX(0,(C3671)-N(E26))^2/2+N(F26)*MAX(0,(C3671)-N(G26))^2/2+N(H26)*MAX(0,(C3671)-N(I26))^2/2+N(J26)*MAX(0,(C3671)-N(K26))^2/2+N(L26)*MAX(0,(C3671)-N(M26))^2/2)+$B$3507</f>
        <v>-57.9427083333333</v>
      </c>
    </row>
    <row r="3672" spans="1:5" hidden="1">
      <c r="A3672" s="3">
        <f t="shared" si="11"/>
        <v>0</v>
      </c>
      <c r="B3672" s="3">
        <f t="shared" si="12"/>
        <v>0</v>
      </c>
      <c r="C3672" s="3">
        <f t="shared" si="10"/>
        <v>0</v>
      </c>
      <c r="D3672" s="3">
        <f>$B$3505*(A3672)+$B$3506*(A3672)^2/2-$B$3504*(A3672)^3/6-(N(D26)*MAX(0,(A3672)-N(E26))^2/2+N(F26)*MAX(0,(A3672)-N(G26))^2/2+N(H26)*MAX(0,(A3672)-N(I26))^2/2+N(J26)*MAX(0,(A3672)-N(K26))^2/2+N(L26)*MAX(0,(A3672)-N(M26))^2/2)+$B$3507</f>
        <v>-57.9427083333333</v>
      </c>
      <c r="E3672" s="3">
        <f>$B$3505*(C3672)+$B$3506*(C3672)^2/2-$B$3504*(C3672)^3/6-(N(D26)*MAX(0,(C3672)-N(E26))^2/2+N(F26)*MAX(0,(C3672)-N(G26))^2/2+N(H26)*MAX(0,(C3672)-N(I26))^2/2+N(J26)*MAX(0,(C3672)-N(K26))^2/2+N(L26)*MAX(0,(C3672)-N(M26))^2/2)+$B$3507</f>
        <v>-57.9427083333333</v>
      </c>
    </row>
    <row r="3673" spans="1:5" hidden="1">
      <c r="A3673" s="3">
        <f t="shared" si="11"/>
        <v>0</v>
      </c>
      <c r="B3673" s="3">
        <f t="shared" si="12"/>
        <v>0</v>
      </c>
      <c r="C3673" s="3">
        <f t="shared" si="10"/>
        <v>0</v>
      </c>
      <c r="D3673" s="3">
        <f>$B$3505*(A3673)+$B$3506*(A3673)^2/2-$B$3504*(A3673)^3/6-(N(D26)*MAX(0,(A3673)-N(E26))^2/2+N(F26)*MAX(0,(A3673)-N(G26))^2/2+N(H26)*MAX(0,(A3673)-N(I26))^2/2+N(J26)*MAX(0,(A3673)-N(K26))^2/2+N(L26)*MAX(0,(A3673)-N(M26))^2/2)+$B$3507</f>
        <v>-57.9427083333333</v>
      </c>
      <c r="E3673" s="3">
        <f>$B$3505*(C3673)+$B$3506*(C3673)^2/2-$B$3504*(C3673)^3/6-(N(D26)*MAX(0,(C3673)-N(E26))^2/2+N(F26)*MAX(0,(C3673)-N(G26))^2/2+N(H26)*MAX(0,(C3673)-N(I26))^2/2+N(J26)*MAX(0,(C3673)-N(K26))^2/2+N(L26)*MAX(0,(C3673)-N(M26))^2/2)+$B$3507</f>
        <v>-57.9427083333333</v>
      </c>
    </row>
    <row r="3674" spans="1:5" hidden="1">
      <c r="A3674" s="3">
        <f t="shared" si="11"/>
        <v>0</v>
      </c>
      <c r="B3674" s="3">
        <f t="shared" si="12"/>
        <v>0</v>
      </c>
      <c r="C3674" s="3">
        <f t="shared" si="10"/>
        <v>0</v>
      </c>
      <c r="D3674" s="3">
        <f>$B$3505*(A3674)+$B$3506*(A3674)^2/2-$B$3504*(A3674)^3/6-(N(D26)*MAX(0,(A3674)-N(E26))^2/2+N(F26)*MAX(0,(A3674)-N(G26))^2/2+N(H26)*MAX(0,(A3674)-N(I26))^2/2+N(J26)*MAX(0,(A3674)-N(K26))^2/2+N(L26)*MAX(0,(A3674)-N(M26))^2/2)+$B$3507</f>
        <v>-57.9427083333333</v>
      </c>
      <c r="E3674" s="3">
        <f>$B$3505*(C3674)+$B$3506*(C3674)^2/2-$B$3504*(C3674)^3/6-(N(D26)*MAX(0,(C3674)-N(E26))^2/2+N(F26)*MAX(0,(C3674)-N(G26))^2/2+N(H26)*MAX(0,(C3674)-N(I26))^2/2+N(J26)*MAX(0,(C3674)-N(K26))^2/2+N(L26)*MAX(0,(C3674)-N(M26))^2/2)+$B$3507</f>
        <v>-57.9427083333333</v>
      </c>
    </row>
    <row r="3675" spans="1:5" hidden="1">
      <c r="A3675" s="3">
        <f t="shared" si="11"/>
        <v>0</v>
      </c>
      <c r="B3675" s="3">
        <f t="shared" si="12"/>
        <v>0</v>
      </c>
      <c r="C3675" s="3">
        <f t="shared" si="10"/>
        <v>0</v>
      </c>
      <c r="D3675" s="3">
        <f>$B$3505*(A3675)+$B$3506*(A3675)^2/2-$B$3504*(A3675)^3/6-(N(D26)*MAX(0,(A3675)-N(E26))^2/2+N(F26)*MAX(0,(A3675)-N(G26))^2/2+N(H26)*MAX(0,(A3675)-N(I26))^2/2+N(J26)*MAX(0,(A3675)-N(K26))^2/2+N(L26)*MAX(0,(A3675)-N(M26))^2/2)+$B$3507</f>
        <v>-57.9427083333333</v>
      </c>
      <c r="E3675" s="3">
        <f>$B$3505*(C3675)+$B$3506*(C3675)^2/2-$B$3504*(C3675)^3/6-(N(D26)*MAX(0,(C3675)-N(E26))^2/2+N(F26)*MAX(0,(C3675)-N(G26))^2/2+N(H26)*MAX(0,(C3675)-N(I26))^2/2+N(J26)*MAX(0,(C3675)-N(K26))^2/2+N(L26)*MAX(0,(C3675)-N(M26))^2/2)+$B$3507</f>
        <v>-57.9427083333333</v>
      </c>
    </row>
    <row r="3676" spans="1:5" hidden="1">
      <c r="A3676" s="3">
        <f t="shared" si="11"/>
        <v>0</v>
      </c>
      <c r="B3676" s="3">
        <f t="shared" si="12"/>
        <v>0</v>
      </c>
      <c r="C3676" s="3">
        <f t="shared" si="10"/>
        <v>0</v>
      </c>
      <c r="D3676" s="3">
        <f>$B$3505*(A3676)+$B$3506*(A3676)^2/2-$B$3504*(A3676)^3/6-(N(D26)*MAX(0,(A3676)-N(E26))^2/2+N(F26)*MAX(0,(A3676)-N(G26))^2/2+N(H26)*MAX(0,(A3676)-N(I26))^2/2+N(J26)*MAX(0,(A3676)-N(K26))^2/2+N(L26)*MAX(0,(A3676)-N(M26))^2/2)+$B$3507</f>
        <v>-57.9427083333333</v>
      </c>
      <c r="E3676" s="3">
        <f>$B$3505*(C3676)+$B$3506*(C3676)^2/2-$B$3504*(C3676)^3/6-(N(D26)*MAX(0,(C3676)-N(E26))^2/2+N(F26)*MAX(0,(C3676)-N(G26))^2/2+N(H26)*MAX(0,(C3676)-N(I26))^2/2+N(J26)*MAX(0,(C3676)-N(K26))^2/2+N(L26)*MAX(0,(C3676)-N(M26))^2/2)+$B$3507</f>
        <v>-57.9427083333333</v>
      </c>
    </row>
    <row r="3677" spans="1:5" hidden="1">
      <c r="A3677" s="3">
        <f t="shared" si="11"/>
        <v>0</v>
      </c>
      <c r="B3677" s="3">
        <f t="shared" si="12"/>
        <v>0</v>
      </c>
      <c r="C3677" s="3">
        <f t="shared" si="10"/>
        <v>0</v>
      </c>
      <c r="D3677" s="3">
        <f>$B$3505*(A3677)+$B$3506*(A3677)^2/2-$B$3504*(A3677)^3/6-(N(D26)*MAX(0,(A3677)-N(E26))^2/2+N(F26)*MAX(0,(A3677)-N(G26))^2/2+N(H26)*MAX(0,(A3677)-N(I26))^2/2+N(J26)*MAX(0,(A3677)-N(K26))^2/2+N(L26)*MAX(0,(A3677)-N(M26))^2/2)+$B$3507</f>
        <v>-57.9427083333333</v>
      </c>
      <c r="E3677" s="3">
        <f>$B$3505*(C3677)+$B$3506*(C3677)^2/2-$B$3504*(C3677)^3/6-(N(D26)*MAX(0,(C3677)-N(E26))^2/2+N(F26)*MAX(0,(C3677)-N(G26))^2/2+N(H26)*MAX(0,(C3677)-N(I26))^2/2+N(J26)*MAX(0,(C3677)-N(K26))^2/2+N(L26)*MAX(0,(C3677)-N(M26))^2/2)+$B$3507</f>
        <v>-57.9427083333333</v>
      </c>
    </row>
    <row r="3678" spans="1:5" hidden="1">
      <c r="A3678" s="3">
        <f t="shared" si="11"/>
        <v>0</v>
      </c>
      <c r="B3678" s="3">
        <f t="shared" si="12"/>
        <v>0</v>
      </c>
      <c r="C3678" s="3">
        <f t="shared" si="10"/>
        <v>0</v>
      </c>
      <c r="D3678" s="3">
        <f>$B$3505*(A3678)+$B$3506*(A3678)^2/2-$B$3504*(A3678)^3/6-(N(D26)*MAX(0,(A3678)-N(E26))^2/2+N(F26)*MAX(0,(A3678)-N(G26))^2/2+N(H26)*MAX(0,(A3678)-N(I26))^2/2+N(J26)*MAX(0,(A3678)-N(K26))^2/2+N(L26)*MAX(0,(A3678)-N(M26))^2/2)+$B$3507</f>
        <v>-57.9427083333333</v>
      </c>
      <c r="E3678" s="3">
        <f>$B$3505*(C3678)+$B$3506*(C3678)^2/2-$B$3504*(C3678)^3/6-(N(D26)*MAX(0,(C3678)-N(E26))^2/2+N(F26)*MAX(0,(C3678)-N(G26))^2/2+N(H26)*MAX(0,(C3678)-N(I26))^2/2+N(J26)*MAX(0,(C3678)-N(K26))^2/2+N(L26)*MAX(0,(C3678)-N(M26))^2/2)+$B$3507</f>
        <v>-57.9427083333333</v>
      </c>
    </row>
    <row r="3679" spans="1:5" hidden="1">
      <c r="A3679" s="3">
        <f t="shared" si="11"/>
        <v>0</v>
      </c>
      <c r="B3679" s="3">
        <f t="shared" si="12"/>
        <v>0</v>
      </c>
      <c r="C3679" s="3">
        <f t="shared" si="10"/>
        <v>0</v>
      </c>
      <c r="D3679" s="3">
        <f>$B$3505*(A3679)+$B$3506*(A3679)^2/2-$B$3504*(A3679)^3/6-(N(D26)*MAX(0,(A3679)-N(E26))^2/2+N(F26)*MAX(0,(A3679)-N(G26))^2/2+N(H26)*MAX(0,(A3679)-N(I26))^2/2+N(J26)*MAX(0,(A3679)-N(K26))^2/2+N(L26)*MAX(0,(A3679)-N(M26))^2/2)+$B$3507</f>
        <v>-57.9427083333333</v>
      </c>
      <c r="E3679" s="3">
        <f>$B$3505*(C3679)+$B$3506*(C3679)^2/2-$B$3504*(C3679)^3/6-(N(D26)*MAX(0,(C3679)-N(E26))^2/2+N(F26)*MAX(0,(C3679)-N(G26))^2/2+N(H26)*MAX(0,(C3679)-N(I26))^2/2+N(J26)*MAX(0,(C3679)-N(K26))^2/2+N(L26)*MAX(0,(C3679)-N(M26))^2/2)+$B$3507</f>
        <v>-57.9427083333333</v>
      </c>
    </row>
    <row r="3680" spans="1:5" hidden="1">
      <c r="A3680" s="3">
        <f t="shared" si="11"/>
        <v>0</v>
      </c>
      <c r="B3680" s="3">
        <f t="shared" si="12"/>
        <v>0</v>
      </c>
      <c r="C3680" s="3">
        <f t="shared" si="10"/>
        <v>0</v>
      </c>
      <c r="D3680" s="3">
        <f>$B$3505*(A3680)+$B$3506*(A3680)^2/2-$B$3504*(A3680)^3/6-(N(D26)*MAX(0,(A3680)-N(E26))^2/2+N(F26)*MAX(0,(A3680)-N(G26))^2/2+N(H26)*MAX(0,(A3680)-N(I26))^2/2+N(J26)*MAX(0,(A3680)-N(K26))^2/2+N(L26)*MAX(0,(A3680)-N(M26))^2/2)+$B$3507</f>
        <v>-57.9427083333333</v>
      </c>
      <c r="E3680" s="3">
        <f>$B$3505*(C3680)+$B$3506*(C3680)^2/2-$B$3504*(C3680)^3/6-(N(D26)*MAX(0,(C3680)-N(E26))^2/2+N(F26)*MAX(0,(C3680)-N(G26))^2/2+N(H26)*MAX(0,(C3680)-N(I26))^2/2+N(J26)*MAX(0,(C3680)-N(K26))^2/2+N(L26)*MAX(0,(C3680)-N(M26))^2/2)+$B$3507</f>
        <v>-57.9427083333333</v>
      </c>
    </row>
    <row r="3681" spans="1:5" hidden="1">
      <c r="A3681" s="3">
        <f t="shared" si="11"/>
        <v>0</v>
      </c>
      <c r="B3681" s="3">
        <f t="shared" si="12"/>
        <v>0</v>
      </c>
      <c r="C3681" s="3">
        <f t="shared" si="10"/>
        <v>0</v>
      </c>
      <c r="D3681" s="3">
        <f>$B$3505*(A3681)+$B$3506*(A3681)^2/2-$B$3504*(A3681)^3/6-(N(D26)*MAX(0,(A3681)-N(E26))^2/2+N(F26)*MAX(0,(A3681)-N(G26))^2/2+N(H26)*MAX(0,(A3681)-N(I26))^2/2+N(J26)*MAX(0,(A3681)-N(K26))^2/2+N(L26)*MAX(0,(A3681)-N(M26))^2/2)+$B$3507</f>
        <v>-57.9427083333333</v>
      </c>
      <c r="E3681" s="3">
        <f>$B$3505*(C3681)+$B$3506*(C3681)^2/2-$B$3504*(C3681)^3/6-(N(D26)*MAX(0,(C3681)-N(E26))^2/2+N(F26)*MAX(0,(C3681)-N(G26))^2/2+N(H26)*MAX(0,(C3681)-N(I26))^2/2+N(J26)*MAX(0,(C3681)-N(K26))^2/2+N(L26)*MAX(0,(C3681)-N(M26))^2/2)+$B$3507</f>
        <v>-57.9427083333333</v>
      </c>
    </row>
    <row r="3682" spans="1:5" hidden="1">
      <c r="A3682" s="3">
        <f t="shared" si="11"/>
        <v>0</v>
      </c>
      <c r="B3682" s="3">
        <f t="shared" si="12"/>
        <v>0</v>
      </c>
      <c r="C3682" s="3">
        <f t="shared" si="10"/>
        <v>0</v>
      </c>
      <c r="D3682" s="3">
        <f>$B$3505*(A3682)+$B$3506*(A3682)^2/2-$B$3504*(A3682)^3/6-(N(D26)*MAX(0,(A3682)-N(E26))^2/2+N(F26)*MAX(0,(A3682)-N(G26))^2/2+N(H26)*MAX(0,(A3682)-N(I26))^2/2+N(J26)*MAX(0,(A3682)-N(K26))^2/2+N(L26)*MAX(0,(A3682)-N(M26))^2/2)+$B$3507</f>
        <v>-57.9427083333333</v>
      </c>
      <c r="E3682" s="3">
        <f>$B$3505*(C3682)+$B$3506*(C3682)^2/2-$B$3504*(C3682)^3/6-(N(D26)*MAX(0,(C3682)-N(E26))^2/2+N(F26)*MAX(0,(C3682)-N(G26))^2/2+N(H26)*MAX(0,(C3682)-N(I26))^2/2+N(J26)*MAX(0,(C3682)-N(K26))^2/2+N(L26)*MAX(0,(C3682)-N(M26))^2/2)+$B$3507</f>
        <v>-57.9427083333333</v>
      </c>
    </row>
    <row r="3683" spans="1:5" hidden="1">
      <c r="A3683" s="3">
        <f t="shared" si="11"/>
        <v>0</v>
      </c>
      <c r="B3683" s="3">
        <f t="shared" si="12"/>
        <v>0</v>
      </c>
      <c r="C3683" s="3">
        <f t="shared" si="10"/>
        <v>0</v>
      </c>
      <c r="D3683" s="3">
        <f>$B$3505*(A3683)+$B$3506*(A3683)^2/2-$B$3504*(A3683)^3/6-(N(D26)*MAX(0,(A3683)-N(E26))^2/2+N(F26)*MAX(0,(A3683)-N(G26))^2/2+N(H26)*MAX(0,(A3683)-N(I26))^2/2+N(J26)*MAX(0,(A3683)-N(K26))^2/2+N(L26)*MAX(0,(A3683)-N(M26))^2/2)+$B$3507</f>
        <v>-57.9427083333333</v>
      </c>
      <c r="E3683" s="3">
        <f>$B$3505*(C3683)+$B$3506*(C3683)^2/2-$B$3504*(C3683)^3/6-(N(D26)*MAX(0,(C3683)-N(E26))^2/2+N(F26)*MAX(0,(C3683)-N(G26))^2/2+N(H26)*MAX(0,(C3683)-N(I26))^2/2+N(J26)*MAX(0,(C3683)-N(K26))^2/2+N(L26)*MAX(0,(C3683)-N(M26))^2/2)+$B$3507</f>
        <v>-57.9427083333333</v>
      </c>
    </row>
    <row r="3684" spans="1:5" hidden="1">
      <c r="A3684" s="3">
        <f t="shared" si="11"/>
        <v>0</v>
      </c>
      <c r="B3684" s="3">
        <f t="shared" si="12"/>
        <v>0</v>
      </c>
      <c r="C3684" s="3">
        <f t="shared" si="10"/>
        <v>0</v>
      </c>
      <c r="D3684" s="3">
        <f>$B$3505*(A3684)+$B$3506*(A3684)^2/2-$B$3504*(A3684)^3/6-(N(D26)*MAX(0,(A3684)-N(E26))^2/2+N(F26)*MAX(0,(A3684)-N(G26))^2/2+N(H26)*MAX(0,(A3684)-N(I26))^2/2+N(J26)*MAX(0,(A3684)-N(K26))^2/2+N(L26)*MAX(0,(A3684)-N(M26))^2/2)+$B$3507</f>
        <v>-57.9427083333333</v>
      </c>
      <c r="E3684" s="3">
        <f>$B$3505*(C3684)+$B$3506*(C3684)^2/2-$B$3504*(C3684)^3/6-(N(D26)*MAX(0,(C3684)-N(E26))^2/2+N(F26)*MAX(0,(C3684)-N(G26))^2/2+N(H26)*MAX(0,(C3684)-N(I26))^2/2+N(J26)*MAX(0,(C3684)-N(K26))^2/2+N(L26)*MAX(0,(C3684)-N(M26))^2/2)+$B$3507</f>
        <v>-57.9427083333333</v>
      </c>
    </row>
    <row r="3685" spans="1:5" hidden="1">
      <c r="A3685" s="3">
        <f t="shared" si="11"/>
        <v>0</v>
      </c>
      <c r="B3685" s="3">
        <f t="shared" si="12"/>
        <v>0</v>
      </c>
      <c r="C3685" s="3">
        <f t="shared" si="10"/>
        <v>0</v>
      </c>
      <c r="D3685" s="3">
        <f>$B$3505*(A3685)+$B$3506*(A3685)^2/2-$B$3504*(A3685)^3/6-(N(D26)*MAX(0,(A3685)-N(E26))^2/2+N(F26)*MAX(0,(A3685)-N(G26))^2/2+N(H26)*MAX(0,(A3685)-N(I26))^2/2+N(J26)*MAX(0,(A3685)-N(K26))^2/2+N(L26)*MAX(0,(A3685)-N(M26))^2/2)+$B$3507</f>
        <v>-57.9427083333333</v>
      </c>
      <c r="E3685" s="3">
        <f>$B$3505*(C3685)+$B$3506*(C3685)^2/2-$B$3504*(C3685)^3/6-(N(D26)*MAX(0,(C3685)-N(E26))^2/2+N(F26)*MAX(0,(C3685)-N(G26))^2/2+N(H26)*MAX(0,(C3685)-N(I26))^2/2+N(J26)*MAX(0,(C3685)-N(K26))^2/2+N(L26)*MAX(0,(C3685)-N(M26))^2/2)+$B$3507</f>
        <v>-57.9427083333333</v>
      </c>
    </row>
    <row r="3686" spans="1:5" hidden="1">
      <c r="A3686" s="3">
        <f t="shared" si="11"/>
        <v>0</v>
      </c>
      <c r="B3686" s="3">
        <f t="shared" si="12"/>
        <v>0</v>
      </c>
      <c r="C3686" s="3">
        <f t="shared" si="10"/>
        <v>0</v>
      </c>
      <c r="D3686" s="3">
        <f>$B$3505*(A3686)+$B$3506*(A3686)^2/2-$B$3504*(A3686)^3/6-(N(D26)*MAX(0,(A3686)-N(E26))^2/2+N(F26)*MAX(0,(A3686)-N(G26))^2/2+N(H26)*MAX(0,(A3686)-N(I26))^2/2+N(J26)*MAX(0,(A3686)-N(K26))^2/2+N(L26)*MAX(0,(A3686)-N(M26))^2/2)+$B$3507</f>
        <v>-57.9427083333333</v>
      </c>
      <c r="E3686" s="3">
        <f>$B$3505*(C3686)+$B$3506*(C3686)^2/2-$B$3504*(C3686)^3/6-(N(D26)*MAX(0,(C3686)-N(E26))^2/2+N(F26)*MAX(0,(C3686)-N(G26))^2/2+N(H26)*MAX(0,(C3686)-N(I26))^2/2+N(J26)*MAX(0,(C3686)-N(K26))^2/2+N(L26)*MAX(0,(C3686)-N(M26))^2/2)+$B$3507</f>
        <v>-57.9427083333333</v>
      </c>
    </row>
    <row r="3687" spans="1:5" hidden="1">
      <c r="A3687" s="3">
        <f t="shared" si="11"/>
        <v>0</v>
      </c>
      <c r="B3687" s="3">
        <f t="shared" si="12"/>
        <v>0</v>
      </c>
      <c r="C3687" s="3">
        <f t="shared" si="10"/>
        <v>0</v>
      </c>
      <c r="D3687" s="3">
        <f>$B$3505*(A3687)+$B$3506*(A3687)^2/2-$B$3504*(A3687)^3/6-(N(D26)*MAX(0,(A3687)-N(E26))^2/2+N(F26)*MAX(0,(A3687)-N(G26))^2/2+N(H26)*MAX(0,(A3687)-N(I26))^2/2+N(J26)*MAX(0,(A3687)-N(K26))^2/2+N(L26)*MAX(0,(A3687)-N(M26))^2/2)+$B$3507</f>
        <v>-57.9427083333333</v>
      </c>
      <c r="E3687" s="3">
        <f>$B$3505*(C3687)+$B$3506*(C3687)^2/2-$B$3504*(C3687)^3/6-(N(D26)*MAX(0,(C3687)-N(E26))^2/2+N(F26)*MAX(0,(C3687)-N(G26))^2/2+N(H26)*MAX(0,(C3687)-N(I26))^2/2+N(J26)*MAX(0,(C3687)-N(K26))^2/2+N(L26)*MAX(0,(C3687)-N(M26))^2/2)+$B$3507</f>
        <v>-57.9427083333333</v>
      </c>
    </row>
    <row r="3688" spans="1:5" hidden="1">
      <c r="A3688" s="3">
        <f t="shared" si="11"/>
        <v>0</v>
      </c>
      <c r="B3688" s="3">
        <f t="shared" si="12"/>
        <v>0</v>
      </c>
      <c r="C3688" s="3">
        <f t="shared" si="10"/>
        <v>0</v>
      </c>
      <c r="D3688" s="3">
        <f>$B$3505*(A3688)+$B$3506*(A3688)^2/2-$B$3504*(A3688)^3/6-(N(D26)*MAX(0,(A3688)-N(E26))^2/2+N(F26)*MAX(0,(A3688)-N(G26))^2/2+N(H26)*MAX(0,(A3688)-N(I26))^2/2+N(J26)*MAX(0,(A3688)-N(K26))^2/2+N(L26)*MAX(0,(A3688)-N(M26))^2/2)+$B$3507</f>
        <v>-57.9427083333333</v>
      </c>
      <c r="E3688" s="3">
        <f>$B$3505*(C3688)+$B$3506*(C3688)^2/2-$B$3504*(C3688)^3/6-(N(D26)*MAX(0,(C3688)-N(E26))^2/2+N(F26)*MAX(0,(C3688)-N(G26))^2/2+N(H26)*MAX(0,(C3688)-N(I26))^2/2+N(J26)*MAX(0,(C3688)-N(K26))^2/2+N(L26)*MAX(0,(C3688)-N(M26))^2/2)+$B$3507</f>
        <v>-57.9427083333333</v>
      </c>
    </row>
    <row r="3689" spans="1:5" hidden="1">
      <c r="A3689" s="3">
        <f t="shared" si="11"/>
        <v>0</v>
      </c>
      <c r="B3689" s="3">
        <f t="shared" si="12"/>
        <v>0</v>
      </c>
      <c r="C3689" s="3">
        <f t="shared" si="10"/>
        <v>0</v>
      </c>
      <c r="D3689" s="3">
        <f>$B$3505*(A3689)+$B$3506*(A3689)^2/2-$B$3504*(A3689)^3/6-(N(D26)*MAX(0,(A3689)-N(E26))^2/2+N(F26)*MAX(0,(A3689)-N(G26))^2/2+N(H26)*MAX(0,(A3689)-N(I26))^2/2+N(J26)*MAX(0,(A3689)-N(K26))^2/2+N(L26)*MAX(0,(A3689)-N(M26))^2/2)+$B$3507</f>
        <v>-57.9427083333333</v>
      </c>
      <c r="E3689" s="3">
        <f>$B$3505*(C3689)+$B$3506*(C3689)^2/2-$B$3504*(C3689)^3/6-(N(D26)*MAX(0,(C3689)-N(E26))^2/2+N(F26)*MAX(0,(C3689)-N(G26))^2/2+N(H26)*MAX(0,(C3689)-N(I26))^2/2+N(J26)*MAX(0,(C3689)-N(K26))^2/2+N(L26)*MAX(0,(C3689)-N(M26))^2/2)+$B$3507</f>
        <v>-57.9427083333333</v>
      </c>
    </row>
    <row r="3690" spans="1:5" hidden="1">
      <c r="A3690" s="3">
        <f t="shared" si="11"/>
        <v>0</v>
      </c>
      <c r="B3690" s="3">
        <f t="shared" si="12"/>
        <v>0</v>
      </c>
      <c r="C3690" s="3">
        <f t="shared" si="10"/>
        <v>0</v>
      </c>
      <c r="D3690" s="3">
        <f>$B$3505*(A3690)+$B$3506*(A3690)^2/2-$B$3504*(A3690)^3/6-(N(D26)*MAX(0,(A3690)-N(E26))^2/2+N(F26)*MAX(0,(A3690)-N(G26))^2/2+N(H26)*MAX(0,(A3690)-N(I26))^2/2+N(J26)*MAX(0,(A3690)-N(K26))^2/2+N(L26)*MAX(0,(A3690)-N(M26))^2/2)+$B$3507</f>
        <v>-57.9427083333333</v>
      </c>
      <c r="E3690" s="3">
        <f>$B$3505*(C3690)+$B$3506*(C3690)^2/2-$B$3504*(C3690)^3/6-(N(D26)*MAX(0,(C3690)-N(E26))^2/2+N(F26)*MAX(0,(C3690)-N(G26))^2/2+N(H26)*MAX(0,(C3690)-N(I26))^2/2+N(J26)*MAX(0,(C3690)-N(K26))^2/2+N(L26)*MAX(0,(C3690)-N(M26))^2/2)+$B$3507</f>
        <v>-57.9427083333333</v>
      </c>
    </row>
    <row r="3691" spans="1:5" hidden="1">
      <c r="A3691" s="3">
        <f t="shared" si="11"/>
        <v>0</v>
      </c>
      <c r="B3691" s="3">
        <f t="shared" si="12"/>
        <v>0</v>
      </c>
      <c r="C3691" s="3">
        <f t="shared" si="10"/>
        <v>0</v>
      </c>
      <c r="D3691" s="3">
        <f>$B$3505*(A3691)+$B$3506*(A3691)^2/2-$B$3504*(A3691)^3/6-(N(D26)*MAX(0,(A3691)-N(E26))^2/2+N(F26)*MAX(0,(A3691)-N(G26))^2/2+N(H26)*MAX(0,(A3691)-N(I26))^2/2+N(J26)*MAX(0,(A3691)-N(K26))^2/2+N(L26)*MAX(0,(A3691)-N(M26))^2/2)+$B$3507</f>
        <v>-57.9427083333333</v>
      </c>
      <c r="E3691" s="3">
        <f>$B$3505*(C3691)+$B$3506*(C3691)^2/2-$B$3504*(C3691)^3/6-(N(D26)*MAX(0,(C3691)-N(E26))^2/2+N(F26)*MAX(0,(C3691)-N(G26))^2/2+N(H26)*MAX(0,(C3691)-N(I26))^2/2+N(J26)*MAX(0,(C3691)-N(K26))^2/2+N(L26)*MAX(0,(C3691)-N(M26))^2/2)+$B$3507</f>
        <v>-57.9427083333333</v>
      </c>
    </row>
    <row r="3692" spans="1:5" hidden="1"/>
    <row r="3693" spans="1:5" hidden="1">
      <c r="A3693" s="3">
        <f>B3543</f>
        <v>0</v>
      </c>
      <c r="B3693" s="3">
        <f>IF(($B$3505*(B3543)+$B$3506*(B3543)^2/2-$B$3504*(B3543)^3/6-(N(D26)*MAX(0,(B3543)-N(E26))^2/2+N(F26)*MAX(0,(B3543)-N(G26))^2/2+N(H26)*MAX(0,(B3543)-N(I26))^2/2+N(J26)*MAX(0,(B3543)-N(K26))^2/2+N(L26)*MAX(0,(B3543)-N(M26))^2/2)+$B$3507)*($B$3505*(B3544)+$B$3506*(B3544)^2/2-$B$3504*(B3544)^3/6-(N(D26)*MAX(0,(B3544)-N(E26))^2/2+N(F26)*MAX(0,(B3544)-N(G26))^2/2+N(H26)*MAX(0,(B3544)-N(I26))^2/2+N(J26)*MAX(0,(B3544)-N(K26))^2/2+N(L26)*MAX(0,(B3544)-N(M26))^2/2)+$B$3507)&lt;=0,B3544,B3543)</f>
        <v>0</v>
      </c>
      <c r="C3693" s="3">
        <f t="shared" ref="C3693:C3737" si="13">(A3693+B3693)/2</f>
        <v>0</v>
      </c>
      <c r="D3693" s="3">
        <f>$B$3505*(A3693)+$B$3506*(A3693)^2/2-$B$3504*(A3693)^3/6-(N(D26)*MAX(0,(A3693)-N(E26))^2/2+N(F26)*MAX(0,(A3693)-N(G26))^2/2+N(H26)*MAX(0,(A3693)-N(I26))^2/2+N(J26)*MAX(0,(A3693)-N(K26))^2/2+N(L26)*MAX(0,(A3693)-N(M26))^2/2)+$B$3507</f>
        <v>-57.9427083333333</v>
      </c>
      <c r="E3693" s="3">
        <f>$B$3505*(C3693)+$B$3506*(C3693)^2/2-$B$3504*(C3693)^3/6-(N(D26)*MAX(0,(C3693)-N(E26))^2/2+N(F26)*MAX(0,(C3693)-N(G26))^2/2+N(H26)*MAX(0,(C3693)-N(I26))^2/2+N(J26)*MAX(0,(C3693)-N(K26))^2/2+N(L26)*MAX(0,(C3693)-N(M26))^2/2)+$B$3507</f>
        <v>-57.9427083333333</v>
      </c>
    </row>
    <row r="3694" spans="1:5" hidden="1">
      <c r="A3694" s="3">
        <f t="shared" ref="A3694:A3737" si="14">IF(D3693*E3693&lt;=0,A3693,C3693)</f>
        <v>0</v>
      </c>
      <c r="B3694" s="3">
        <f t="shared" ref="B3694:B3737" si="15">IF(D3693*E3693&lt;=0,C3693,B3693)</f>
        <v>0</v>
      </c>
      <c r="C3694" s="3">
        <f t="shared" si="13"/>
        <v>0</v>
      </c>
      <c r="D3694" s="3">
        <f>$B$3505*(A3694)+$B$3506*(A3694)^2/2-$B$3504*(A3694)^3/6-(N(D26)*MAX(0,(A3694)-N(E26))^2/2+N(F26)*MAX(0,(A3694)-N(G26))^2/2+N(H26)*MAX(0,(A3694)-N(I26))^2/2+N(J26)*MAX(0,(A3694)-N(K26))^2/2+N(L26)*MAX(0,(A3694)-N(M26))^2/2)+$B$3507</f>
        <v>-57.9427083333333</v>
      </c>
      <c r="E3694" s="3">
        <f>$B$3505*(C3694)+$B$3506*(C3694)^2/2-$B$3504*(C3694)^3/6-(N(D26)*MAX(0,(C3694)-N(E26))^2/2+N(F26)*MAX(0,(C3694)-N(G26))^2/2+N(H26)*MAX(0,(C3694)-N(I26))^2/2+N(J26)*MAX(0,(C3694)-N(K26))^2/2+N(L26)*MAX(0,(C3694)-N(M26))^2/2)+$B$3507</f>
        <v>-57.9427083333333</v>
      </c>
    </row>
    <row r="3695" spans="1:5" hidden="1">
      <c r="A3695" s="3">
        <f t="shared" si="14"/>
        <v>0</v>
      </c>
      <c r="B3695" s="3">
        <f t="shared" si="15"/>
        <v>0</v>
      </c>
      <c r="C3695" s="3">
        <f t="shared" si="13"/>
        <v>0</v>
      </c>
      <c r="D3695" s="3">
        <f>$B$3505*(A3695)+$B$3506*(A3695)^2/2-$B$3504*(A3695)^3/6-(N(D26)*MAX(0,(A3695)-N(E26))^2/2+N(F26)*MAX(0,(A3695)-N(G26))^2/2+N(H26)*MAX(0,(A3695)-N(I26))^2/2+N(J26)*MAX(0,(A3695)-N(K26))^2/2+N(L26)*MAX(0,(A3695)-N(M26))^2/2)+$B$3507</f>
        <v>-57.9427083333333</v>
      </c>
      <c r="E3695" s="3">
        <f>$B$3505*(C3695)+$B$3506*(C3695)^2/2-$B$3504*(C3695)^3/6-(N(D26)*MAX(0,(C3695)-N(E26))^2/2+N(F26)*MAX(0,(C3695)-N(G26))^2/2+N(H26)*MAX(0,(C3695)-N(I26))^2/2+N(J26)*MAX(0,(C3695)-N(K26))^2/2+N(L26)*MAX(0,(C3695)-N(M26))^2/2)+$B$3507</f>
        <v>-57.9427083333333</v>
      </c>
    </row>
    <row r="3696" spans="1:5" hidden="1">
      <c r="A3696" s="3">
        <f t="shared" si="14"/>
        <v>0</v>
      </c>
      <c r="B3696" s="3">
        <f t="shared" si="15"/>
        <v>0</v>
      </c>
      <c r="C3696" s="3">
        <f t="shared" si="13"/>
        <v>0</v>
      </c>
      <c r="D3696" s="3">
        <f>$B$3505*(A3696)+$B$3506*(A3696)^2/2-$B$3504*(A3696)^3/6-(N(D26)*MAX(0,(A3696)-N(E26))^2/2+N(F26)*MAX(0,(A3696)-N(G26))^2/2+N(H26)*MAX(0,(A3696)-N(I26))^2/2+N(J26)*MAX(0,(A3696)-N(K26))^2/2+N(L26)*MAX(0,(A3696)-N(M26))^2/2)+$B$3507</f>
        <v>-57.9427083333333</v>
      </c>
      <c r="E3696" s="3">
        <f>$B$3505*(C3696)+$B$3506*(C3696)^2/2-$B$3504*(C3696)^3/6-(N(D26)*MAX(0,(C3696)-N(E26))^2/2+N(F26)*MAX(0,(C3696)-N(G26))^2/2+N(H26)*MAX(0,(C3696)-N(I26))^2/2+N(J26)*MAX(0,(C3696)-N(K26))^2/2+N(L26)*MAX(0,(C3696)-N(M26))^2/2)+$B$3507</f>
        <v>-57.9427083333333</v>
      </c>
    </row>
    <row r="3697" spans="1:5" hidden="1">
      <c r="A3697" s="3">
        <f t="shared" si="14"/>
        <v>0</v>
      </c>
      <c r="B3697" s="3">
        <f t="shared" si="15"/>
        <v>0</v>
      </c>
      <c r="C3697" s="3">
        <f t="shared" si="13"/>
        <v>0</v>
      </c>
      <c r="D3697" s="3">
        <f>$B$3505*(A3697)+$B$3506*(A3697)^2/2-$B$3504*(A3697)^3/6-(N(D26)*MAX(0,(A3697)-N(E26))^2/2+N(F26)*MAX(0,(A3697)-N(G26))^2/2+N(H26)*MAX(0,(A3697)-N(I26))^2/2+N(J26)*MAX(0,(A3697)-N(K26))^2/2+N(L26)*MAX(0,(A3697)-N(M26))^2/2)+$B$3507</f>
        <v>-57.9427083333333</v>
      </c>
      <c r="E3697" s="3">
        <f>$B$3505*(C3697)+$B$3506*(C3697)^2/2-$B$3504*(C3697)^3/6-(N(D26)*MAX(0,(C3697)-N(E26))^2/2+N(F26)*MAX(0,(C3697)-N(G26))^2/2+N(H26)*MAX(0,(C3697)-N(I26))^2/2+N(J26)*MAX(0,(C3697)-N(K26))^2/2+N(L26)*MAX(0,(C3697)-N(M26))^2/2)+$B$3507</f>
        <v>-57.9427083333333</v>
      </c>
    </row>
    <row r="3698" spans="1:5" hidden="1">
      <c r="A3698" s="3">
        <f t="shared" si="14"/>
        <v>0</v>
      </c>
      <c r="B3698" s="3">
        <f t="shared" si="15"/>
        <v>0</v>
      </c>
      <c r="C3698" s="3">
        <f t="shared" si="13"/>
        <v>0</v>
      </c>
      <c r="D3698" s="3">
        <f>$B$3505*(A3698)+$B$3506*(A3698)^2/2-$B$3504*(A3698)^3/6-(N(D26)*MAX(0,(A3698)-N(E26))^2/2+N(F26)*MAX(0,(A3698)-N(G26))^2/2+N(H26)*MAX(0,(A3698)-N(I26))^2/2+N(J26)*MAX(0,(A3698)-N(K26))^2/2+N(L26)*MAX(0,(A3698)-N(M26))^2/2)+$B$3507</f>
        <v>-57.9427083333333</v>
      </c>
      <c r="E3698" s="3">
        <f>$B$3505*(C3698)+$B$3506*(C3698)^2/2-$B$3504*(C3698)^3/6-(N(D26)*MAX(0,(C3698)-N(E26))^2/2+N(F26)*MAX(0,(C3698)-N(G26))^2/2+N(H26)*MAX(0,(C3698)-N(I26))^2/2+N(J26)*MAX(0,(C3698)-N(K26))^2/2+N(L26)*MAX(0,(C3698)-N(M26))^2/2)+$B$3507</f>
        <v>-57.9427083333333</v>
      </c>
    </row>
    <row r="3699" spans="1:5" hidden="1">
      <c r="A3699" s="3">
        <f t="shared" si="14"/>
        <v>0</v>
      </c>
      <c r="B3699" s="3">
        <f t="shared" si="15"/>
        <v>0</v>
      </c>
      <c r="C3699" s="3">
        <f t="shared" si="13"/>
        <v>0</v>
      </c>
      <c r="D3699" s="3">
        <f>$B$3505*(A3699)+$B$3506*(A3699)^2/2-$B$3504*(A3699)^3/6-(N(D26)*MAX(0,(A3699)-N(E26))^2/2+N(F26)*MAX(0,(A3699)-N(G26))^2/2+N(H26)*MAX(0,(A3699)-N(I26))^2/2+N(J26)*MAX(0,(A3699)-N(K26))^2/2+N(L26)*MAX(0,(A3699)-N(M26))^2/2)+$B$3507</f>
        <v>-57.9427083333333</v>
      </c>
      <c r="E3699" s="3">
        <f>$B$3505*(C3699)+$B$3506*(C3699)^2/2-$B$3504*(C3699)^3/6-(N(D26)*MAX(0,(C3699)-N(E26))^2/2+N(F26)*MAX(0,(C3699)-N(G26))^2/2+N(H26)*MAX(0,(C3699)-N(I26))^2/2+N(J26)*MAX(0,(C3699)-N(K26))^2/2+N(L26)*MAX(0,(C3699)-N(M26))^2/2)+$B$3507</f>
        <v>-57.9427083333333</v>
      </c>
    </row>
    <row r="3700" spans="1:5" hidden="1">
      <c r="A3700" s="3">
        <f t="shared" si="14"/>
        <v>0</v>
      </c>
      <c r="B3700" s="3">
        <f t="shared" si="15"/>
        <v>0</v>
      </c>
      <c r="C3700" s="3">
        <f t="shared" si="13"/>
        <v>0</v>
      </c>
      <c r="D3700" s="3">
        <f>$B$3505*(A3700)+$B$3506*(A3700)^2/2-$B$3504*(A3700)^3/6-(N(D26)*MAX(0,(A3700)-N(E26))^2/2+N(F26)*MAX(0,(A3700)-N(G26))^2/2+N(H26)*MAX(0,(A3700)-N(I26))^2/2+N(J26)*MAX(0,(A3700)-N(K26))^2/2+N(L26)*MAX(0,(A3700)-N(M26))^2/2)+$B$3507</f>
        <v>-57.9427083333333</v>
      </c>
      <c r="E3700" s="3">
        <f>$B$3505*(C3700)+$B$3506*(C3700)^2/2-$B$3504*(C3700)^3/6-(N(D26)*MAX(0,(C3700)-N(E26))^2/2+N(F26)*MAX(0,(C3700)-N(G26))^2/2+N(H26)*MAX(0,(C3700)-N(I26))^2/2+N(J26)*MAX(0,(C3700)-N(K26))^2/2+N(L26)*MAX(0,(C3700)-N(M26))^2/2)+$B$3507</f>
        <v>-57.9427083333333</v>
      </c>
    </row>
    <row r="3701" spans="1:5" hidden="1">
      <c r="A3701" s="3">
        <f t="shared" si="14"/>
        <v>0</v>
      </c>
      <c r="B3701" s="3">
        <f t="shared" si="15"/>
        <v>0</v>
      </c>
      <c r="C3701" s="3">
        <f t="shared" si="13"/>
        <v>0</v>
      </c>
      <c r="D3701" s="3">
        <f>$B$3505*(A3701)+$B$3506*(A3701)^2/2-$B$3504*(A3701)^3/6-(N(D26)*MAX(0,(A3701)-N(E26))^2/2+N(F26)*MAX(0,(A3701)-N(G26))^2/2+N(H26)*MAX(0,(A3701)-N(I26))^2/2+N(J26)*MAX(0,(A3701)-N(K26))^2/2+N(L26)*MAX(0,(A3701)-N(M26))^2/2)+$B$3507</f>
        <v>-57.9427083333333</v>
      </c>
      <c r="E3701" s="3">
        <f>$B$3505*(C3701)+$B$3506*(C3701)^2/2-$B$3504*(C3701)^3/6-(N(D26)*MAX(0,(C3701)-N(E26))^2/2+N(F26)*MAX(0,(C3701)-N(G26))^2/2+N(H26)*MAX(0,(C3701)-N(I26))^2/2+N(J26)*MAX(0,(C3701)-N(K26))^2/2+N(L26)*MAX(0,(C3701)-N(M26))^2/2)+$B$3507</f>
        <v>-57.9427083333333</v>
      </c>
    </row>
    <row r="3702" spans="1:5" hidden="1">
      <c r="A3702" s="3">
        <f t="shared" si="14"/>
        <v>0</v>
      </c>
      <c r="B3702" s="3">
        <f t="shared" si="15"/>
        <v>0</v>
      </c>
      <c r="C3702" s="3">
        <f t="shared" si="13"/>
        <v>0</v>
      </c>
      <c r="D3702" s="3">
        <f>$B$3505*(A3702)+$B$3506*(A3702)^2/2-$B$3504*(A3702)^3/6-(N(D26)*MAX(0,(A3702)-N(E26))^2/2+N(F26)*MAX(0,(A3702)-N(G26))^2/2+N(H26)*MAX(0,(A3702)-N(I26))^2/2+N(J26)*MAX(0,(A3702)-N(K26))^2/2+N(L26)*MAX(0,(A3702)-N(M26))^2/2)+$B$3507</f>
        <v>-57.9427083333333</v>
      </c>
      <c r="E3702" s="3">
        <f>$B$3505*(C3702)+$B$3506*(C3702)^2/2-$B$3504*(C3702)^3/6-(N(D26)*MAX(0,(C3702)-N(E26))^2/2+N(F26)*MAX(0,(C3702)-N(G26))^2/2+N(H26)*MAX(0,(C3702)-N(I26))^2/2+N(J26)*MAX(0,(C3702)-N(K26))^2/2+N(L26)*MAX(0,(C3702)-N(M26))^2/2)+$B$3507</f>
        <v>-57.9427083333333</v>
      </c>
    </row>
    <row r="3703" spans="1:5" hidden="1">
      <c r="A3703" s="3">
        <f t="shared" si="14"/>
        <v>0</v>
      </c>
      <c r="B3703" s="3">
        <f t="shared" si="15"/>
        <v>0</v>
      </c>
      <c r="C3703" s="3">
        <f t="shared" si="13"/>
        <v>0</v>
      </c>
      <c r="D3703" s="3">
        <f>$B$3505*(A3703)+$B$3506*(A3703)^2/2-$B$3504*(A3703)^3/6-(N(D26)*MAX(0,(A3703)-N(E26))^2/2+N(F26)*MAX(0,(A3703)-N(G26))^2/2+N(H26)*MAX(0,(A3703)-N(I26))^2/2+N(J26)*MAX(0,(A3703)-N(K26))^2/2+N(L26)*MAX(0,(A3703)-N(M26))^2/2)+$B$3507</f>
        <v>-57.9427083333333</v>
      </c>
      <c r="E3703" s="3">
        <f>$B$3505*(C3703)+$B$3506*(C3703)^2/2-$B$3504*(C3703)^3/6-(N(D26)*MAX(0,(C3703)-N(E26))^2/2+N(F26)*MAX(0,(C3703)-N(G26))^2/2+N(H26)*MAX(0,(C3703)-N(I26))^2/2+N(J26)*MAX(0,(C3703)-N(K26))^2/2+N(L26)*MAX(0,(C3703)-N(M26))^2/2)+$B$3507</f>
        <v>-57.9427083333333</v>
      </c>
    </row>
    <row r="3704" spans="1:5" hidden="1">
      <c r="A3704" s="3">
        <f t="shared" si="14"/>
        <v>0</v>
      </c>
      <c r="B3704" s="3">
        <f t="shared" si="15"/>
        <v>0</v>
      </c>
      <c r="C3704" s="3">
        <f t="shared" si="13"/>
        <v>0</v>
      </c>
      <c r="D3704" s="3">
        <f>$B$3505*(A3704)+$B$3506*(A3704)^2/2-$B$3504*(A3704)^3/6-(N(D26)*MAX(0,(A3704)-N(E26))^2/2+N(F26)*MAX(0,(A3704)-N(G26))^2/2+N(H26)*MAX(0,(A3704)-N(I26))^2/2+N(J26)*MAX(0,(A3704)-N(K26))^2/2+N(L26)*MAX(0,(A3704)-N(M26))^2/2)+$B$3507</f>
        <v>-57.9427083333333</v>
      </c>
      <c r="E3704" s="3">
        <f>$B$3505*(C3704)+$B$3506*(C3704)^2/2-$B$3504*(C3704)^3/6-(N(D26)*MAX(0,(C3704)-N(E26))^2/2+N(F26)*MAX(0,(C3704)-N(G26))^2/2+N(H26)*MAX(0,(C3704)-N(I26))^2/2+N(J26)*MAX(0,(C3704)-N(K26))^2/2+N(L26)*MAX(0,(C3704)-N(M26))^2/2)+$B$3507</f>
        <v>-57.9427083333333</v>
      </c>
    </row>
    <row r="3705" spans="1:5" hidden="1">
      <c r="A3705" s="3">
        <f t="shared" si="14"/>
        <v>0</v>
      </c>
      <c r="B3705" s="3">
        <f t="shared" si="15"/>
        <v>0</v>
      </c>
      <c r="C3705" s="3">
        <f t="shared" si="13"/>
        <v>0</v>
      </c>
      <c r="D3705" s="3">
        <f>$B$3505*(A3705)+$B$3506*(A3705)^2/2-$B$3504*(A3705)^3/6-(N(D26)*MAX(0,(A3705)-N(E26))^2/2+N(F26)*MAX(0,(A3705)-N(G26))^2/2+N(H26)*MAX(0,(A3705)-N(I26))^2/2+N(J26)*MAX(0,(A3705)-N(K26))^2/2+N(L26)*MAX(0,(A3705)-N(M26))^2/2)+$B$3507</f>
        <v>-57.9427083333333</v>
      </c>
      <c r="E3705" s="3">
        <f>$B$3505*(C3705)+$B$3506*(C3705)^2/2-$B$3504*(C3705)^3/6-(N(D26)*MAX(0,(C3705)-N(E26))^2/2+N(F26)*MAX(0,(C3705)-N(G26))^2/2+N(H26)*MAX(0,(C3705)-N(I26))^2/2+N(J26)*MAX(0,(C3705)-N(K26))^2/2+N(L26)*MAX(0,(C3705)-N(M26))^2/2)+$B$3507</f>
        <v>-57.9427083333333</v>
      </c>
    </row>
    <row r="3706" spans="1:5" hidden="1">
      <c r="A3706" s="3">
        <f t="shared" si="14"/>
        <v>0</v>
      </c>
      <c r="B3706" s="3">
        <f t="shared" si="15"/>
        <v>0</v>
      </c>
      <c r="C3706" s="3">
        <f t="shared" si="13"/>
        <v>0</v>
      </c>
      <c r="D3706" s="3">
        <f>$B$3505*(A3706)+$B$3506*(A3706)^2/2-$B$3504*(A3706)^3/6-(N(D26)*MAX(0,(A3706)-N(E26))^2/2+N(F26)*MAX(0,(A3706)-N(G26))^2/2+N(H26)*MAX(0,(A3706)-N(I26))^2/2+N(J26)*MAX(0,(A3706)-N(K26))^2/2+N(L26)*MAX(0,(A3706)-N(M26))^2/2)+$B$3507</f>
        <v>-57.9427083333333</v>
      </c>
      <c r="E3706" s="3">
        <f>$B$3505*(C3706)+$B$3506*(C3706)^2/2-$B$3504*(C3706)^3/6-(N(D26)*MAX(0,(C3706)-N(E26))^2/2+N(F26)*MAX(0,(C3706)-N(G26))^2/2+N(H26)*MAX(0,(C3706)-N(I26))^2/2+N(J26)*MAX(0,(C3706)-N(K26))^2/2+N(L26)*MAX(0,(C3706)-N(M26))^2/2)+$B$3507</f>
        <v>-57.9427083333333</v>
      </c>
    </row>
    <row r="3707" spans="1:5" hidden="1">
      <c r="A3707" s="3">
        <f t="shared" si="14"/>
        <v>0</v>
      </c>
      <c r="B3707" s="3">
        <f t="shared" si="15"/>
        <v>0</v>
      </c>
      <c r="C3707" s="3">
        <f t="shared" si="13"/>
        <v>0</v>
      </c>
      <c r="D3707" s="3">
        <f>$B$3505*(A3707)+$B$3506*(A3707)^2/2-$B$3504*(A3707)^3/6-(N(D26)*MAX(0,(A3707)-N(E26))^2/2+N(F26)*MAX(0,(A3707)-N(G26))^2/2+N(H26)*MAX(0,(A3707)-N(I26))^2/2+N(J26)*MAX(0,(A3707)-N(K26))^2/2+N(L26)*MAX(0,(A3707)-N(M26))^2/2)+$B$3507</f>
        <v>-57.9427083333333</v>
      </c>
      <c r="E3707" s="3">
        <f>$B$3505*(C3707)+$B$3506*(C3707)^2/2-$B$3504*(C3707)^3/6-(N(D26)*MAX(0,(C3707)-N(E26))^2/2+N(F26)*MAX(0,(C3707)-N(G26))^2/2+N(H26)*MAX(0,(C3707)-N(I26))^2/2+N(J26)*MAX(0,(C3707)-N(K26))^2/2+N(L26)*MAX(0,(C3707)-N(M26))^2/2)+$B$3507</f>
        <v>-57.9427083333333</v>
      </c>
    </row>
    <row r="3708" spans="1:5" hidden="1">
      <c r="A3708" s="3">
        <f t="shared" si="14"/>
        <v>0</v>
      </c>
      <c r="B3708" s="3">
        <f t="shared" si="15"/>
        <v>0</v>
      </c>
      <c r="C3708" s="3">
        <f t="shared" si="13"/>
        <v>0</v>
      </c>
      <c r="D3708" s="3">
        <f>$B$3505*(A3708)+$B$3506*(A3708)^2/2-$B$3504*(A3708)^3/6-(N(D26)*MAX(0,(A3708)-N(E26))^2/2+N(F26)*MAX(0,(A3708)-N(G26))^2/2+N(H26)*MAX(0,(A3708)-N(I26))^2/2+N(J26)*MAX(0,(A3708)-N(K26))^2/2+N(L26)*MAX(0,(A3708)-N(M26))^2/2)+$B$3507</f>
        <v>-57.9427083333333</v>
      </c>
      <c r="E3708" s="3">
        <f>$B$3505*(C3708)+$B$3506*(C3708)^2/2-$B$3504*(C3708)^3/6-(N(D26)*MAX(0,(C3708)-N(E26))^2/2+N(F26)*MAX(0,(C3708)-N(G26))^2/2+N(H26)*MAX(0,(C3708)-N(I26))^2/2+N(J26)*MAX(0,(C3708)-N(K26))^2/2+N(L26)*MAX(0,(C3708)-N(M26))^2/2)+$B$3507</f>
        <v>-57.9427083333333</v>
      </c>
    </row>
    <row r="3709" spans="1:5" hidden="1">
      <c r="A3709" s="3">
        <f t="shared" si="14"/>
        <v>0</v>
      </c>
      <c r="B3709" s="3">
        <f t="shared" si="15"/>
        <v>0</v>
      </c>
      <c r="C3709" s="3">
        <f t="shared" si="13"/>
        <v>0</v>
      </c>
      <c r="D3709" s="3">
        <f>$B$3505*(A3709)+$B$3506*(A3709)^2/2-$B$3504*(A3709)^3/6-(N(D26)*MAX(0,(A3709)-N(E26))^2/2+N(F26)*MAX(0,(A3709)-N(G26))^2/2+N(H26)*MAX(0,(A3709)-N(I26))^2/2+N(J26)*MAX(0,(A3709)-N(K26))^2/2+N(L26)*MAX(0,(A3709)-N(M26))^2/2)+$B$3507</f>
        <v>-57.9427083333333</v>
      </c>
      <c r="E3709" s="3">
        <f>$B$3505*(C3709)+$B$3506*(C3709)^2/2-$B$3504*(C3709)^3/6-(N(D26)*MAX(0,(C3709)-N(E26))^2/2+N(F26)*MAX(0,(C3709)-N(G26))^2/2+N(H26)*MAX(0,(C3709)-N(I26))^2/2+N(J26)*MAX(0,(C3709)-N(K26))^2/2+N(L26)*MAX(0,(C3709)-N(M26))^2/2)+$B$3507</f>
        <v>-57.9427083333333</v>
      </c>
    </row>
    <row r="3710" spans="1:5" hidden="1">
      <c r="A3710" s="3">
        <f t="shared" si="14"/>
        <v>0</v>
      </c>
      <c r="B3710" s="3">
        <f t="shared" si="15"/>
        <v>0</v>
      </c>
      <c r="C3710" s="3">
        <f t="shared" si="13"/>
        <v>0</v>
      </c>
      <c r="D3710" s="3">
        <f>$B$3505*(A3710)+$B$3506*(A3710)^2/2-$B$3504*(A3710)^3/6-(N(D26)*MAX(0,(A3710)-N(E26))^2/2+N(F26)*MAX(0,(A3710)-N(G26))^2/2+N(H26)*MAX(0,(A3710)-N(I26))^2/2+N(J26)*MAX(0,(A3710)-N(K26))^2/2+N(L26)*MAX(0,(A3710)-N(M26))^2/2)+$B$3507</f>
        <v>-57.9427083333333</v>
      </c>
      <c r="E3710" s="3">
        <f>$B$3505*(C3710)+$B$3506*(C3710)^2/2-$B$3504*(C3710)^3/6-(N(D26)*MAX(0,(C3710)-N(E26))^2/2+N(F26)*MAX(0,(C3710)-N(G26))^2/2+N(H26)*MAX(0,(C3710)-N(I26))^2/2+N(J26)*MAX(0,(C3710)-N(K26))^2/2+N(L26)*MAX(0,(C3710)-N(M26))^2/2)+$B$3507</f>
        <v>-57.9427083333333</v>
      </c>
    </row>
    <row r="3711" spans="1:5" hidden="1">
      <c r="A3711" s="3">
        <f t="shared" si="14"/>
        <v>0</v>
      </c>
      <c r="B3711" s="3">
        <f t="shared" si="15"/>
        <v>0</v>
      </c>
      <c r="C3711" s="3">
        <f t="shared" si="13"/>
        <v>0</v>
      </c>
      <c r="D3711" s="3">
        <f>$B$3505*(A3711)+$B$3506*(A3711)^2/2-$B$3504*(A3711)^3/6-(N(D26)*MAX(0,(A3711)-N(E26))^2/2+N(F26)*MAX(0,(A3711)-N(G26))^2/2+N(H26)*MAX(0,(A3711)-N(I26))^2/2+N(J26)*MAX(0,(A3711)-N(K26))^2/2+N(L26)*MAX(0,(A3711)-N(M26))^2/2)+$B$3507</f>
        <v>-57.9427083333333</v>
      </c>
      <c r="E3711" s="3">
        <f>$B$3505*(C3711)+$B$3506*(C3711)^2/2-$B$3504*(C3711)^3/6-(N(D26)*MAX(0,(C3711)-N(E26))^2/2+N(F26)*MAX(0,(C3711)-N(G26))^2/2+N(H26)*MAX(0,(C3711)-N(I26))^2/2+N(J26)*MAX(0,(C3711)-N(K26))^2/2+N(L26)*MAX(0,(C3711)-N(M26))^2/2)+$B$3507</f>
        <v>-57.9427083333333</v>
      </c>
    </row>
    <row r="3712" spans="1:5" hidden="1">
      <c r="A3712" s="3">
        <f t="shared" si="14"/>
        <v>0</v>
      </c>
      <c r="B3712" s="3">
        <f t="shared" si="15"/>
        <v>0</v>
      </c>
      <c r="C3712" s="3">
        <f t="shared" si="13"/>
        <v>0</v>
      </c>
      <c r="D3712" s="3">
        <f>$B$3505*(A3712)+$B$3506*(A3712)^2/2-$B$3504*(A3712)^3/6-(N(D26)*MAX(0,(A3712)-N(E26))^2/2+N(F26)*MAX(0,(A3712)-N(G26))^2/2+N(H26)*MAX(0,(A3712)-N(I26))^2/2+N(J26)*MAX(0,(A3712)-N(K26))^2/2+N(L26)*MAX(0,(A3712)-N(M26))^2/2)+$B$3507</f>
        <v>-57.9427083333333</v>
      </c>
      <c r="E3712" s="3">
        <f>$B$3505*(C3712)+$B$3506*(C3712)^2/2-$B$3504*(C3712)^3/6-(N(D26)*MAX(0,(C3712)-N(E26))^2/2+N(F26)*MAX(0,(C3712)-N(G26))^2/2+N(H26)*MAX(0,(C3712)-N(I26))^2/2+N(J26)*MAX(0,(C3712)-N(K26))^2/2+N(L26)*MAX(0,(C3712)-N(M26))^2/2)+$B$3507</f>
        <v>-57.9427083333333</v>
      </c>
    </row>
    <row r="3713" spans="1:5" hidden="1">
      <c r="A3713" s="3">
        <f t="shared" si="14"/>
        <v>0</v>
      </c>
      <c r="B3713" s="3">
        <f t="shared" si="15"/>
        <v>0</v>
      </c>
      <c r="C3713" s="3">
        <f t="shared" si="13"/>
        <v>0</v>
      </c>
      <c r="D3713" s="3">
        <f>$B$3505*(A3713)+$B$3506*(A3713)^2/2-$B$3504*(A3713)^3/6-(N(D26)*MAX(0,(A3713)-N(E26))^2/2+N(F26)*MAX(0,(A3713)-N(G26))^2/2+N(H26)*MAX(0,(A3713)-N(I26))^2/2+N(J26)*MAX(0,(A3713)-N(K26))^2/2+N(L26)*MAX(0,(A3713)-N(M26))^2/2)+$B$3507</f>
        <v>-57.9427083333333</v>
      </c>
      <c r="E3713" s="3">
        <f>$B$3505*(C3713)+$B$3506*(C3713)^2/2-$B$3504*(C3713)^3/6-(N(D26)*MAX(0,(C3713)-N(E26))^2/2+N(F26)*MAX(0,(C3713)-N(G26))^2/2+N(H26)*MAX(0,(C3713)-N(I26))^2/2+N(J26)*MAX(0,(C3713)-N(K26))^2/2+N(L26)*MAX(0,(C3713)-N(M26))^2/2)+$B$3507</f>
        <v>-57.9427083333333</v>
      </c>
    </row>
    <row r="3714" spans="1:5" hidden="1">
      <c r="A3714" s="3">
        <f t="shared" si="14"/>
        <v>0</v>
      </c>
      <c r="B3714" s="3">
        <f t="shared" si="15"/>
        <v>0</v>
      </c>
      <c r="C3714" s="3">
        <f t="shared" si="13"/>
        <v>0</v>
      </c>
      <c r="D3714" s="3">
        <f>$B$3505*(A3714)+$B$3506*(A3714)^2/2-$B$3504*(A3714)^3/6-(N(D26)*MAX(0,(A3714)-N(E26))^2/2+N(F26)*MAX(0,(A3714)-N(G26))^2/2+N(H26)*MAX(0,(A3714)-N(I26))^2/2+N(J26)*MAX(0,(A3714)-N(K26))^2/2+N(L26)*MAX(0,(A3714)-N(M26))^2/2)+$B$3507</f>
        <v>-57.9427083333333</v>
      </c>
      <c r="E3714" s="3">
        <f>$B$3505*(C3714)+$B$3506*(C3714)^2/2-$B$3504*(C3714)^3/6-(N(D26)*MAX(0,(C3714)-N(E26))^2/2+N(F26)*MAX(0,(C3714)-N(G26))^2/2+N(H26)*MAX(0,(C3714)-N(I26))^2/2+N(J26)*MAX(0,(C3714)-N(K26))^2/2+N(L26)*MAX(0,(C3714)-N(M26))^2/2)+$B$3507</f>
        <v>-57.9427083333333</v>
      </c>
    </row>
    <row r="3715" spans="1:5" hidden="1">
      <c r="A3715" s="3">
        <f t="shared" si="14"/>
        <v>0</v>
      </c>
      <c r="B3715" s="3">
        <f t="shared" si="15"/>
        <v>0</v>
      </c>
      <c r="C3715" s="3">
        <f t="shared" si="13"/>
        <v>0</v>
      </c>
      <c r="D3715" s="3">
        <f>$B$3505*(A3715)+$B$3506*(A3715)^2/2-$B$3504*(A3715)^3/6-(N(D26)*MAX(0,(A3715)-N(E26))^2/2+N(F26)*MAX(0,(A3715)-N(G26))^2/2+N(H26)*MAX(0,(A3715)-N(I26))^2/2+N(J26)*MAX(0,(A3715)-N(K26))^2/2+N(L26)*MAX(0,(A3715)-N(M26))^2/2)+$B$3507</f>
        <v>-57.9427083333333</v>
      </c>
      <c r="E3715" s="3">
        <f>$B$3505*(C3715)+$B$3506*(C3715)^2/2-$B$3504*(C3715)^3/6-(N(D26)*MAX(0,(C3715)-N(E26))^2/2+N(F26)*MAX(0,(C3715)-N(G26))^2/2+N(H26)*MAX(0,(C3715)-N(I26))^2/2+N(J26)*MAX(0,(C3715)-N(K26))^2/2+N(L26)*MAX(0,(C3715)-N(M26))^2/2)+$B$3507</f>
        <v>-57.9427083333333</v>
      </c>
    </row>
    <row r="3716" spans="1:5" hidden="1">
      <c r="A3716" s="3">
        <f t="shared" si="14"/>
        <v>0</v>
      </c>
      <c r="B3716" s="3">
        <f t="shared" si="15"/>
        <v>0</v>
      </c>
      <c r="C3716" s="3">
        <f t="shared" si="13"/>
        <v>0</v>
      </c>
      <c r="D3716" s="3">
        <f>$B$3505*(A3716)+$B$3506*(A3716)^2/2-$B$3504*(A3716)^3/6-(N(D26)*MAX(0,(A3716)-N(E26))^2/2+N(F26)*MAX(0,(A3716)-N(G26))^2/2+N(H26)*MAX(0,(A3716)-N(I26))^2/2+N(J26)*MAX(0,(A3716)-N(K26))^2/2+N(L26)*MAX(0,(A3716)-N(M26))^2/2)+$B$3507</f>
        <v>-57.9427083333333</v>
      </c>
      <c r="E3716" s="3">
        <f>$B$3505*(C3716)+$B$3506*(C3716)^2/2-$B$3504*(C3716)^3/6-(N(D26)*MAX(0,(C3716)-N(E26))^2/2+N(F26)*MAX(0,(C3716)-N(G26))^2/2+N(H26)*MAX(0,(C3716)-N(I26))^2/2+N(J26)*MAX(0,(C3716)-N(K26))^2/2+N(L26)*MAX(0,(C3716)-N(M26))^2/2)+$B$3507</f>
        <v>-57.9427083333333</v>
      </c>
    </row>
    <row r="3717" spans="1:5" hidden="1">
      <c r="A3717" s="3">
        <f t="shared" si="14"/>
        <v>0</v>
      </c>
      <c r="B3717" s="3">
        <f t="shared" si="15"/>
        <v>0</v>
      </c>
      <c r="C3717" s="3">
        <f t="shared" si="13"/>
        <v>0</v>
      </c>
      <c r="D3717" s="3">
        <f>$B$3505*(A3717)+$B$3506*(A3717)^2/2-$B$3504*(A3717)^3/6-(N(D26)*MAX(0,(A3717)-N(E26))^2/2+N(F26)*MAX(0,(A3717)-N(G26))^2/2+N(H26)*MAX(0,(A3717)-N(I26))^2/2+N(J26)*MAX(0,(A3717)-N(K26))^2/2+N(L26)*MAX(0,(A3717)-N(M26))^2/2)+$B$3507</f>
        <v>-57.9427083333333</v>
      </c>
      <c r="E3717" s="3">
        <f>$B$3505*(C3717)+$B$3506*(C3717)^2/2-$B$3504*(C3717)^3/6-(N(D26)*MAX(0,(C3717)-N(E26))^2/2+N(F26)*MAX(0,(C3717)-N(G26))^2/2+N(H26)*MAX(0,(C3717)-N(I26))^2/2+N(J26)*MAX(0,(C3717)-N(K26))^2/2+N(L26)*MAX(0,(C3717)-N(M26))^2/2)+$B$3507</f>
        <v>-57.9427083333333</v>
      </c>
    </row>
    <row r="3718" spans="1:5" hidden="1">
      <c r="A3718" s="3">
        <f t="shared" si="14"/>
        <v>0</v>
      </c>
      <c r="B3718" s="3">
        <f t="shared" si="15"/>
        <v>0</v>
      </c>
      <c r="C3718" s="3">
        <f t="shared" si="13"/>
        <v>0</v>
      </c>
      <c r="D3718" s="3">
        <f>$B$3505*(A3718)+$B$3506*(A3718)^2/2-$B$3504*(A3718)^3/6-(N(D26)*MAX(0,(A3718)-N(E26))^2/2+N(F26)*MAX(0,(A3718)-N(G26))^2/2+N(H26)*MAX(0,(A3718)-N(I26))^2/2+N(J26)*MAX(0,(A3718)-N(K26))^2/2+N(L26)*MAX(0,(A3718)-N(M26))^2/2)+$B$3507</f>
        <v>-57.9427083333333</v>
      </c>
      <c r="E3718" s="3">
        <f>$B$3505*(C3718)+$B$3506*(C3718)^2/2-$B$3504*(C3718)^3/6-(N(D26)*MAX(0,(C3718)-N(E26))^2/2+N(F26)*MAX(0,(C3718)-N(G26))^2/2+N(H26)*MAX(0,(C3718)-N(I26))^2/2+N(J26)*MAX(0,(C3718)-N(K26))^2/2+N(L26)*MAX(0,(C3718)-N(M26))^2/2)+$B$3507</f>
        <v>-57.9427083333333</v>
      </c>
    </row>
    <row r="3719" spans="1:5" hidden="1">
      <c r="A3719" s="3">
        <f t="shared" si="14"/>
        <v>0</v>
      </c>
      <c r="B3719" s="3">
        <f t="shared" si="15"/>
        <v>0</v>
      </c>
      <c r="C3719" s="3">
        <f t="shared" si="13"/>
        <v>0</v>
      </c>
      <c r="D3719" s="3">
        <f>$B$3505*(A3719)+$B$3506*(A3719)^2/2-$B$3504*(A3719)^3/6-(N(D26)*MAX(0,(A3719)-N(E26))^2/2+N(F26)*MAX(0,(A3719)-N(G26))^2/2+N(H26)*MAX(0,(A3719)-N(I26))^2/2+N(J26)*MAX(0,(A3719)-N(K26))^2/2+N(L26)*MAX(0,(A3719)-N(M26))^2/2)+$B$3507</f>
        <v>-57.9427083333333</v>
      </c>
      <c r="E3719" s="3">
        <f>$B$3505*(C3719)+$B$3506*(C3719)^2/2-$B$3504*(C3719)^3/6-(N(D26)*MAX(0,(C3719)-N(E26))^2/2+N(F26)*MAX(0,(C3719)-N(G26))^2/2+N(H26)*MAX(0,(C3719)-N(I26))^2/2+N(J26)*MAX(0,(C3719)-N(K26))^2/2+N(L26)*MAX(0,(C3719)-N(M26))^2/2)+$B$3507</f>
        <v>-57.9427083333333</v>
      </c>
    </row>
    <row r="3720" spans="1:5" hidden="1">
      <c r="A3720" s="3">
        <f t="shared" si="14"/>
        <v>0</v>
      </c>
      <c r="B3720" s="3">
        <f t="shared" si="15"/>
        <v>0</v>
      </c>
      <c r="C3720" s="3">
        <f t="shared" si="13"/>
        <v>0</v>
      </c>
      <c r="D3720" s="3">
        <f>$B$3505*(A3720)+$B$3506*(A3720)^2/2-$B$3504*(A3720)^3/6-(N(D26)*MAX(0,(A3720)-N(E26))^2/2+N(F26)*MAX(0,(A3720)-N(G26))^2/2+N(H26)*MAX(0,(A3720)-N(I26))^2/2+N(J26)*MAX(0,(A3720)-N(K26))^2/2+N(L26)*MAX(0,(A3720)-N(M26))^2/2)+$B$3507</f>
        <v>-57.9427083333333</v>
      </c>
      <c r="E3720" s="3">
        <f>$B$3505*(C3720)+$B$3506*(C3720)^2/2-$B$3504*(C3720)^3/6-(N(D26)*MAX(0,(C3720)-N(E26))^2/2+N(F26)*MAX(0,(C3720)-N(G26))^2/2+N(H26)*MAX(0,(C3720)-N(I26))^2/2+N(J26)*MAX(0,(C3720)-N(K26))^2/2+N(L26)*MAX(0,(C3720)-N(M26))^2/2)+$B$3507</f>
        <v>-57.9427083333333</v>
      </c>
    </row>
    <row r="3721" spans="1:5" hidden="1">
      <c r="A3721" s="3">
        <f t="shared" si="14"/>
        <v>0</v>
      </c>
      <c r="B3721" s="3">
        <f t="shared" si="15"/>
        <v>0</v>
      </c>
      <c r="C3721" s="3">
        <f t="shared" si="13"/>
        <v>0</v>
      </c>
      <c r="D3721" s="3">
        <f>$B$3505*(A3721)+$B$3506*(A3721)^2/2-$B$3504*(A3721)^3/6-(N(D26)*MAX(0,(A3721)-N(E26))^2/2+N(F26)*MAX(0,(A3721)-N(G26))^2/2+N(H26)*MAX(0,(A3721)-N(I26))^2/2+N(J26)*MAX(0,(A3721)-N(K26))^2/2+N(L26)*MAX(0,(A3721)-N(M26))^2/2)+$B$3507</f>
        <v>-57.9427083333333</v>
      </c>
      <c r="E3721" s="3">
        <f>$B$3505*(C3721)+$B$3506*(C3721)^2/2-$B$3504*(C3721)^3/6-(N(D26)*MAX(0,(C3721)-N(E26))^2/2+N(F26)*MAX(0,(C3721)-N(G26))^2/2+N(H26)*MAX(0,(C3721)-N(I26))^2/2+N(J26)*MAX(0,(C3721)-N(K26))^2/2+N(L26)*MAX(0,(C3721)-N(M26))^2/2)+$B$3507</f>
        <v>-57.9427083333333</v>
      </c>
    </row>
    <row r="3722" spans="1:5" hidden="1">
      <c r="A3722" s="3">
        <f t="shared" si="14"/>
        <v>0</v>
      </c>
      <c r="B3722" s="3">
        <f t="shared" si="15"/>
        <v>0</v>
      </c>
      <c r="C3722" s="3">
        <f t="shared" si="13"/>
        <v>0</v>
      </c>
      <c r="D3722" s="3">
        <f>$B$3505*(A3722)+$B$3506*(A3722)^2/2-$B$3504*(A3722)^3/6-(N(D26)*MAX(0,(A3722)-N(E26))^2/2+N(F26)*MAX(0,(A3722)-N(G26))^2/2+N(H26)*MAX(0,(A3722)-N(I26))^2/2+N(J26)*MAX(0,(A3722)-N(K26))^2/2+N(L26)*MAX(0,(A3722)-N(M26))^2/2)+$B$3507</f>
        <v>-57.9427083333333</v>
      </c>
      <c r="E3722" s="3">
        <f>$B$3505*(C3722)+$B$3506*(C3722)^2/2-$B$3504*(C3722)^3/6-(N(D26)*MAX(0,(C3722)-N(E26))^2/2+N(F26)*MAX(0,(C3722)-N(G26))^2/2+N(H26)*MAX(0,(C3722)-N(I26))^2/2+N(J26)*MAX(0,(C3722)-N(K26))^2/2+N(L26)*MAX(0,(C3722)-N(M26))^2/2)+$B$3507</f>
        <v>-57.9427083333333</v>
      </c>
    </row>
    <row r="3723" spans="1:5" hidden="1">
      <c r="A3723" s="3">
        <f t="shared" si="14"/>
        <v>0</v>
      </c>
      <c r="B3723" s="3">
        <f t="shared" si="15"/>
        <v>0</v>
      </c>
      <c r="C3723" s="3">
        <f t="shared" si="13"/>
        <v>0</v>
      </c>
      <c r="D3723" s="3">
        <f>$B$3505*(A3723)+$B$3506*(A3723)^2/2-$B$3504*(A3723)^3/6-(N(D26)*MAX(0,(A3723)-N(E26))^2/2+N(F26)*MAX(0,(A3723)-N(G26))^2/2+N(H26)*MAX(0,(A3723)-N(I26))^2/2+N(J26)*MAX(0,(A3723)-N(K26))^2/2+N(L26)*MAX(0,(A3723)-N(M26))^2/2)+$B$3507</f>
        <v>-57.9427083333333</v>
      </c>
      <c r="E3723" s="3">
        <f>$B$3505*(C3723)+$B$3506*(C3723)^2/2-$B$3504*(C3723)^3/6-(N(D26)*MAX(0,(C3723)-N(E26))^2/2+N(F26)*MAX(0,(C3723)-N(G26))^2/2+N(H26)*MAX(0,(C3723)-N(I26))^2/2+N(J26)*MAX(0,(C3723)-N(K26))^2/2+N(L26)*MAX(0,(C3723)-N(M26))^2/2)+$B$3507</f>
        <v>-57.9427083333333</v>
      </c>
    </row>
    <row r="3724" spans="1:5" hidden="1">
      <c r="A3724" s="3">
        <f t="shared" si="14"/>
        <v>0</v>
      </c>
      <c r="B3724" s="3">
        <f t="shared" si="15"/>
        <v>0</v>
      </c>
      <c r="C3724" s="3">
        <f t="shared" si="13"/>
        <v>0</v>
      </c>
      <c r="D3724" s="3">
        <f>$B$3505*(A3724)+$B$3506*(A3724)^2/2-$B$3504*(A3724)^3/6-(N(D26)*MAX(0,(A3724)-N(E26))^2/2+N(F26)*MAX(0,(A3724)-N(G26))^2/2+N(H26)*MAX(0,(A3724)-N(I26))^2/2+N(J26)*MAX(0,(A3724)-N(K26))^2/2+N(L26)*MAX(0,(A3724)-N(M26))^2/2)+$B$3507</f>
        <v>-57.9427083333333</v>
      </c>
      <c r="E3724" s="3">
        <f>$B$3505*(C3724)+$B$3506*(C3724)^2/2-$B$3504*(C3724)^3/6-(N(D26)*MAX(0,(C3724)-N(E26))^2/2+N(F26)*MAX(0,(C3724)-N(G26))^2/2+N(H26)*MAX(0,(C3724)-N(I26))^2/2+N(J26)*MAX(0,(C3724)-N(K26))^2/2+N(L26)*MAX(0,(C3724)-N(M26))^2/2)+$B$3507</f>
        <v>-57.9427083333333</v>
      </c>
    </row>
    <row r="3725" spans="1:5" hidden="1">
      <c r="A3725" s="3">
        <f t="shared" si="14"/>
        <v>0</v>
      </c>
      <c r="B3725" s="3">
        <f t="shared" si="15"/>
        <v>0</v>
      </c>
      <c r="C3725" s="3">
        <f t="shared" si="13"/>
        <v>0</v>
      </c>
      <c r="D3725" s="3">
        <f>$B$3505*(A3725)+$B$3506*(A3725)^2/2-$B$3504*(A3725)^3/6-(N(D26)*MAX(0,(A3725)-N(E26))^2/2+N(F26)*MAX(0,(A3725)-N(G26))^2/2+N(H26)*MAX(0,(A3725)-N(I26))^2/2+N(J26)*MAX(0,(A3725)-N(K26))^2/2+N(L26)*MAX(0,(A3725)-N(M26))^2/2)+$B$3507</f>
        <v>-57.9427083333333</v>
      </c>
      <c r="E3725" s="3">
        <f>$B$3505*(C3725)+$B$3506*(C3725)^2/2-$B$3504*(C3725)^3/6-(N(D26)*MAX(0,(C3725)-N(E26))^2/2+N(F26)*MAX(0,(C3725)-N(G26))^2/2+N(H26)*MAX(0,(C3725)-N(I26))^2/2+N(J26)*MAX(0,(C3725)-N(K26))^2/2+N(L26)*MAX(0,(C3725)-N(M26))^2/2)+$B$3507</f>
        <v>-57.9427083333333</v>
      </c>
    </row>
    <row r="3726" spans="1:5" hidden="1">
      <c r="A3726" s="3">
        <f t="shared" si="14"/>
        <v>0</v>
      </c>
      <c r="B3726" s="3">
        <f t="shared" si="15"/>
        <v>0</v>
      </c>
      <c r="C3726" s="3">
        <f t="shared" si="13"/>
        <v>0</v>
      </c>
      <c r="D3726" s="3">
        <f>$B$3505*(A3726)+$B$3506*(A3726)^2/2-$B$3504*(A3726)^3/6-(N(D26)*MAX(0,(A3726)-N(E26))^2/2+N(F26)*MAX(0,(A3726)-N(G26))^2/2+N(H26)*MAX(0,(A3726)-N(I26))^2/2+N(J26)*MAX(0,(A3726)-N(K26))^2/2+N(L26)*MAX(0,(A3726)-N(M26))^2/2)+$B$3507</f>
        <v>-57.9427083333333</v>
      </c>
      <c r="E3726" s="3">
        <f>$B$3505*(C3726)+$B$3506*(C3726)^2/2-$B$3504*(C3726)^3/6-(N(D26)*MAX(0,(C3726)-N(E26))^2/2+N(F26)*MAX(0,(C3726)-N(G26))^2/2+N(H26)*MAX(0,(C3726)-N(I26))^2/2+N(J26)*MAX(0,(C3726)-N(K26))^2/2+N(L26)*MAX(0,(C3726)-N(M26))^2/2)+$B$3507</f>
        <v>-57.9427083333333</v>
      </c>
    </row>
    <row r="3727" spans="1:5" hidden="1">
      <c r="A3727" s="3">
        <f t="shared" si="14"/>
        <v>0</v>
      </c>
      <c r="B3727" s="3">
        <f t="shared" si="15"/>
        <v>0</v>
      </c>
      <c r="C3727" s="3">
        <f t="shared" si="13"/>
        <v>0</v>
      </c>
      <c r="D3727" s="3">
        <f>$B$3505*(A3727)+$B$3506*(A3727)^2/2-$B$3504*(A3727)^3/6-(N(D26)*MAX(0,(A3727)-N(E26))^2/2+N(F26)*MAX(0,(A3727)-N(G26))^2/2+N(H26)*MAX(0,(A3727)-N(I26))^2/2+N(J26)*MAX(0,(A3727)-N(K26))^2/2+N(L26)*MAX(0,(A3727)-N(M26))^2/2)+$B$3507</f>
        <v>-57.9427083333333</v>
      </c>
      <c r="E3727" s="3">
        <f>$B$3505*(C3727)+$B$3506*(C3727)^2/2-$B$3504*(C3727)^3/6-(N(D26)*MAX(0,(C3727)-N(E26))^2/2+N(F26)*MAX(0,(C3727)-N(G26))^2/2+N(H26)*MAX(0,(C3727)-N(I26))^2/2+N(J26)*MAX(0,(C3727)-N(K26))^2/2+N(L26)*MAX(0,(C3727)-N(M26))^2/2)+$B$3507</f>
        <v>-57.9427083333333</v>
      </c>
    </row>
    <row r="3728" spans="1:5" hidden="1">
      <c r="A3728" s="3">
        <f t="shared" si="14"/>
        <v>0</v>
      </c>
      <c r="B3728" s="3">
        <f t="shared" si="15"/>
        <v>0</v>
      </c>
      <c r="C3728" s="3">
        <f t="shared" si="13"/>
        <v>0</v>
      </c>
      <c r="D3728" s="3">
        <f>$B$3505*(A3728)+$B$3506*(A3728)^2/2-$B$3504*(A3728)^3/6-(N(D26)*MAX(0,(A3728)-N(E26))^2/2+N(F26)*MAX(0,(A3728)-N(G26))^2/2+N(H26)*MAX(0,(A3728)-N(I26))^2/2+N(J26)*MAX(0,(A3728)-N(K26))^2/2+N(L26)*MAX(0,(A3728)-N(M26))^2/2)+$B$3507</f>
        <v>-57.9427083333333</v>
      </c>
      <c r="E3728" s="3">
        <f>$B$3505*(C3728)+$B$3506*(C3728)^2/2-$B$3504*(C3728)^3/6-(N(D26)*MAX(0,(C3728)-N(E26))^2/2+N(F26)*MAX(0,(C3728)-N(G26))^2/2+N(H26)*MAX(0,(C3728)-N(I26))^2/2+N(J26)*MAX(0,(C3728)-N(K26))^2/2+N(L26)*MAX(0,(C3728)-N(M26))^2/2)+$B$3507</f>
        <v>-57.9427083333333</v>
      </c>
    </row>
    <row r="3729" spans="1:5" hidden="1">
      <c r="A3729" s="3">
        <f t="shared" si="14"/>
        <v>0</v>
      </c>
      <c r="B3729" s="3">
        <f t="shared" si="15"/>
        <v>0</v>
      </c>
      <c r="C3729" s="3">
        <f t="shared" si="13"/>
        <v>0</v>
      </c>
      <c r="D3729" s="3">
        <f>$B$3505*(A3729)+$B$3506*(A3729)^2/2-$B$3504*(A3729)^3/6-(N(D26)*MAX(0,(A3729)-N(E26))^2/2+N(F26)*MAX(0,(A3729)-N(G26))^2/2+N(H26)*MAX(0,(A3729)-N(I26))^2/2+N(J26)*MAX(0,(A3729)-N(K26))^2/2+N(L26)*MAX(0,(A3729)-N(M26))^2/2)+$B$3507</f>
        <v>-57.9427083333333</v>
      </c>
      <c r="E3729" s="3">
        <f>$B$3505*(C3729)+$B$3506*(C3729)^2/2-$B$3504*(C3729)^3/6-(N(D26)*MAX(0,(C3729)-N(E26))^2/2+N(F26)*MAX(0,(C3729)-N(G26))^2/2+N(H26)*MAX(0,(C3729)-N(I26))^2/2+N(J26)*MAX(0,(C3729)-N(K26))^2/2+N(L26)*MAX(0,(C3729)-N(M26))^2/2)+$B$3507</f>
        <v>-57.9427083333333</v>
      </c>
    </row>
    <row r="3730" spans="1:5" hidden="1">
      <c r="A3730" s="3">
        <f t="shared" si="14"/>
        <v>0</v>
      </c>
      <c r="B3730" s="3">
        <f t="shared" si="15"/>
        <v>0</v>
      </c>
      <c r="C3730" s="3">
        <f t="shared" si="13"/>
        <v>0</v>
      </c>
      <c r="D3730" s="3">
        <f>$B$3505*(A3730)+$B$3506*(A3730)^2/2-$B$3504*(A3730)^3/6-(N(D26)*MAX(0,(A3730)-N(E26))^2/2+N(F26)*MAX(0,(A3730)-N(G26))^2/2+N(H26)*MAX(0,(A3730)-N(I26))^2/2+N(J26)*MAX(0,(A3730)-N(K26))^2/2+N(L26)*MAX(0,(A3730)-N(M26))^2/2)+$B$3507</f>
        <v>-57.9427083333333</v>
      </c>
      <c r="E3730" s="3">
        <f>$B$3505*(C3730)+$B$3506*(C3730)^2/2-$B$3504*(C3730)^3/6-(N(D26)*MAX(0,(C3730)-N(E26))^2/2+N(F26)*MAX(0,(C3730)-N(G26))^2/2+N(H26)*MAX(0,(C3730)-N(I26))^2/2+N(J26)*MAX(0,(C3730)-N(K26))^2/2+N(L26)*MAX(0,(C3730)-N(M26))^2/2)+$B$3507</f>
        <v>-57.9427083333333</v>
      </c>
    </row>
    <row r="3731" spans="1:5" hidden="1">
      <c r="A3731" s="3">
        <f t="shared" si="14"/>
        <v>0</v>
      </c>
      <c r="B3731" s="3">
        <f t="shared" si="15"/>
        <v>0</v>
      </c>
      <c r="C3731" s="3">
        <f t="shared" si="13"/>
        <v>0</v>
      </c>
      <c r="D3731" s="3">
        <f>$B$3505*(A3731)+$B$3506*(A3731)^2/2-$B$3504*(A3731)^3/6-(N(D26)*MAX(0,(A3731)-N(E26))^2/2+N(F26)*MAX(0,(A3731)-N(G26))^2/2+N(H26)*MAX(0,(A3731)-N(I26))^2/2+N(J26)*MAX(0,(A3731)-N(K26))^2/2+N(L26)*MAX(0,(A3731)-N(M26))^2/2)+$B$3507</f>
        <v>-57.9427083333333</v>
      </c>
      <c r="E3731" s="3">
        <f>$B$3505*(C3731)+$B$3506*(C3731)^2/2-$B$3504*(C3731)^3/6-(N(D26)*MAX(0,(C3731)-N(E26))^2/2+N(F26)*MAX(0,(C3731)-N(G26))^2/2+N(H26)*MAX(0,(C3731)-N(I26))^2/2+N(J26)*MAX(0,(C3731)-N(K26))^2/2+N(L26)*MAX(0,(C3731)-N(M26))^2/2)+$B$3507</f>
        <v>-57.9427083333333</v>
      </c>
    </row>
    <row r="3732" spans="1:5" hidden="1">
      <c r="A3732" s="3">
        <f t="shared" si="14"/>
        <v>0</v>
      </c>
      <c r="B3732" s="3">
        <f t="shared" si="15"/>
        <v>0</v>
      </c>
      <c r="C3732" s="3">
        <f t="shared" si="13"/>
        <v>0</v>
      </c>
      <c r="D3732" s="3">
        <f>$B$3505*(A3732)+$B$3506*(A3732)^2/2-$B$3504*(A3732)^3/6-(N(D26)*MAX(0,(A3732)-N(E26))^2/2+N(F26)*MAX(0,(A3732)-N(G26))^2/2+N(H26)*MAX(0,(A3732)-N(I26))^2/2+N(J26)*MAX(0,(A3732)-N(K26))^2/2+N(L26)*MAX(0,(A3732)-N(M26))^2/2)+$B$3507</f>
        <v>-57.9427083333333</v>
      </c>
      <c r="E3732" s="3">
        <f>$B$3505*(C3732)+$B$3506*(C3732)^2/2-$B$3504*(C3732)^3/6-(N(D26)*MAX(0,(C3732)-N(E26))^2/2+N(F26)*MAX(0,(C3732)-N(G26))^2/2+N(H26)*MAX(0,(C3732)-N(I26))^2/2+N(J26)*MAX(0,(C3732)-N(K26))^2/2+N(L26)*MAX(0,(C3732)-N(M26))^2/2)+$B$3507</f>
        <v>-57.9427083333333</v>
      </c>
    </row>
    <row r="3733" spans="1:5" hidden="1">
      <c r="A3733" s="3">
        <f t="shared" si="14"/>
        <v>0</v>
      </c>
      <c r="B3733" s="3">
        <f t="shared" si="15"/>
        <v>0</v>
      </c>
      <c r="C3733" s="3">
        <f t="shared" si="13"/>
        <v>0</v>
      </c>
      <c r="D3733" s="3">
        <f>$B$3505*(A3733)+$B$3506*(A3733)^2/2-$B$3504*(A3733)^3/6-(N(D26)*MAX(0,(A3733)-N(E26))^2/2+N(F26)*MAX(0,(A3733)-N(G26))^2/2+N(H26)*MAX(0,(A3733)-N(I26))^2/2+N(J26)*MAX(0,(A3733)-N(K26))^2/2+N(L26)*MAX(0,(A3733)-N(M26))^2/2)+$B$3507</f>
        <v>-57.9427083333333</v>
      </c>
      <c r="E3733" s="3">
        <f>$B$3505*(C3733)+$B$3506*(C3733)^2/2-$B$3504*(C3733)^3/6-(N(D26)*MAX(0,(C3733)-N(E26))^2/2+N(F26)*MAX(0,(C3733)-N(G26))^2/2+N(H26)*MAX(0,(C3733)-N(I26))^2/2+N(J26)*MAX(0,(C3733)-N(K26))^2/2+N(L26)*MAX(0,(C3733)-N(M26))^2/2)+$B$3507</f>
        <v>-57.9427083333333</v>
      </c>
    </row>
    <row r="3734" spans="1:5" hidden="1">
      <c r="A3734" s="3">
        <f t="shared" si="14"/>
        <v>0</v>
      </c>
      <c r="B3734" s="3">
        <f t="shared" si="15"/>
        <v>0</v>
      </c>
      <c r="C3734" s="3">
        <f t="shared" si="13"/>
        <v>0</v>
      </c>
      <c r="D3734" s="3">
        <f>$B$3505*(A3734)+$B$3506*(A3734)^2/2-$B$3504*(A3734)^3/6-(N(D26)*MAX(0,(A3734)-N(E26))^2/2+N(F26)*MAX(0,(A3734)-N(G26))^2/2+N(H26)*MAX(0,(A3734)-N(I26))^2/2+N(J26)*MAX(0,(A3734)-N(K26))^2/2+N(L26)*MAX(0,(A3734)-N(M26))^2/2)+$B$3507</f>
        <v>-57.9427083333333</v>
      </c>
      <c r="E3734" s="3">
        <f>$B$3505*(C3734)+$B$3506*(C3734)^2/2-$B$3504*(C3734)^3/6-(N(D26)*MAX(0,(C3734)-N(E26))^2/2+N(F26)*MAX(0,(C3734)-N(G26))^2/2+N(H26)*MAX(0,(C3734)-N(I26))^2/2+N(J26)*MAX(0,(C3734)-N(K26))^2/2+N(L26)*MAX(0,(C3734)-N(M26))^2/2)+$B$3507</f>
        <v>-57.9427083333333</v>
      </c>
    </row>
    <row r="3735" spans="1:5" hidden="1">
      <c r="A3735" s="3">
        <f t="shared" si="14"/>
        <v>0</v>
      </c>
      <c r="B3735" s="3">
        <f t="shared" si="15"/>
        <v>0</v>
      </c>
      <c r="C3735" s="3">
        <f t="shared" si="13"/>
        <v>0</v>
      </c>
      <c r="D3735" s="3">
        <f>$B$3505*(A3735)+$B$3506*(A3735)^2/2-$B$3504*(A3735)^3/6-(N(D26)*MAX(0,(A3735)-N(E26))^2/2+N(F26)*MAX(0,(A3735)-N(G26))^2/2+N(H26)*MAX(0,(A3735)-N(I26))^2/2+N(J26)*MAX(0,(A3735)-N(K26))^2/2+N(L26)*MAX(0,(A3735)-N(M26))^2/2)+$B$3507</f>
        <v>-57.9427083333333</v>
      </c>
      <c r="E3735" s="3">
        <f>$B$3505*(C3735)+$B$3506*(C3735)^2/2-$B$3504*(C3735)^3/6-(N(D26)*MAX(0,(C3735)-N(E26))^2/2+N(F26)*MAX(0,(C3735)-N(G26))^2/2+N(H26)*MAX(0,(C3735)-N(I26))^2/2+N(J26)*MAX(0,(C3735)-N(K26))^2/2+N(L26)*MAX(0,(C3735)-N(M26))^2/2)+$B$3507</f>
        <v>-57.9427083333333</v>
      </c>
    </row>
    <row r="3736" spans="1:5" hidden="1">
      <c r="A3736" s="3">
        <f t="shared" si="14"/>
        <v>0</v>
      </c>
      <c r="B3736" s="3">
        <f t="shared" si="15"/>
        <v>0</v>
      </c>
      <c r="C3736" s="3">
        <f t="shared" si="13"/>
        <v>0</v>
      </c>
      <c r="D3736" s="3">
        <f>$B$3505*(A3736)+$B$3506*(A3736)^2/2-$B$3504*(A3736)^3/6-(N(D26)*MAX(0,(A3736)-N(E26))^2/2+N(F26)*MAX(0,(A3736)-N(G26))^2/2+N(H26)*MAX(0,(A3736)-N(I26))^2/2+N(J26)*MAX(0,(A3736)-N(K26))^2/2+N(L26)*MAX(0,(A3736)-N(M26))^2/2)+$B$3507</f>
        <v>-57.9427083333333</v>
      </c>
      <c r="E3736" s="3">
        <f>$B$3505*(C3736)+$B$3506*(C3736)^2/2-$B$3504*(C3736)^3/6-(N(D26)*MAX(0,(C3736)-N(E26))^2/2+N(F26)*MAX(0,(C3736)-N(G26))^2/2+N(H26)*MAX(0,(C3736)-N(I26))^2/2+N(J26)*MAX(0,(C3736)-N(K26))^2/2+N(L26)*MAX(0,(C3736)-N(M26))^2/2)+$B$3507</f>
        <v>-57.9427083333333</v>
      </c>
    </row>
    <row r="3737" spans="1:5" hidden="1">
      <c r="A3737" s="3">
        <f t="shared" si="14"/>
        <v>0</v>
      </c>
      <c r="B3737" s="3">
        <f t="shared" si="15"/>
        <v>0</v>
      </c>
      <c r="C3737" s="3">
        <f t="shared" si="13"/>
        <v>0</v>
      </c>
      <c r="D3737" s="3">
        <f>$B$3505*(A3737)+$B$3506*(A3737)^2/2-$B$3504*(A3737)^3/6-(N(D26)*MAX(0,(A3737)-N(E26))^2/2+N(F26)*MAX(0,(A3737)-N(G26))^2/2+N(H26)*MAX(0,(A3737)-N(I26))^2/2+N(J26)*MAX(0,(A3737)-N(K26))^2/2+N(L26)*MAX(0,(A3737)-N(M26))^2/2)+$B$3507</f>
        <v>-57.9427083333333</v>
      </c>
      <c r="E3737" s="3">
        <f>$B$3505*(C3737)+$B$3506*(C3737)^2/2-$B$3504*(C3737)^3/6-(N(D26)*MAX(0,(C3737)-N(E26))^2/2+N(F26)*MAX(0,(C3737)-N(G26))^2/2+N(H26)*MAX(0,(C3737)-N(I26))^2/2+N(J26)*MAX(0,(C3737)-N(K26))^2/2+N(L26)*MAX(0,(C3737)-N(M26))^2/2)+$B$3507</f>
        <v>-57.9427083333333</v>
      </c>
    </row>
    <row r="3738" spans="1:5" hidden="1"/>
    <row r="3739" spans="1:5" hidden="1">
      <c r="A3739" s="3">
        <f>B3544</f>
        <v>0</v>
      </c>
      <c r="B3739" s="3">
        <f>IF(($B$3505*(B3544)+$B$3506*(B3544)^2/2-$B$3504*(B3544)^3/6-(N(D26)*MAX(0,(B3544)-N(E26))^2/2+N(F26)*MAX(0,(B3544)-N(G26))^2/2+N(H26)*MAX(0,(B3544)-N(I26))^2/2+N(J26)*MAX(0,(B3544)-N(K26))^2/2+N(L26)*MAX(0,(B3544)-N(M26))^2/2)+$B$3507)*($B$3505*(B3545)+$B$3506*(B3545)^2/2-$B$3504*(B3545)^3/6-(N(D26)*MAX(0,(B3545)-N(E26))^2/2+N(F26)*MAX(0,(B3545)-N(G26))^2/2+N(H26)*MAX(0,(B3545)-N(I26))^2/2+N(J26)*MAX(0,(B3545)-N(K26))^2/2+N(L26)*MAX(0,(B3545)-N(M26))^2/2)+$B$3507)&lt;=0,B3545,B3544)</f>
        <v>0</v>
      </c>
      <c r="C3739" s="3">
        <f t="shared" ref="C3739:C3783" si="16">(A3739+B3739)/2</f>
        <v>0</v>
      </c>
      <c r="D3739" s="3">
        <f>$B$3505*(A3739)+$B$3506*(A3739)^2/2-$B$3504*(A3739)^3/6-(N(D26)*MAX(0,(A3739)-N(E26))^2/2+N(F26)*MAX(0,(A3739)-N(G26))^2/2+N(H26)*MAX(0,(A3739)-N(I26))^2/2+N(J26)*MAX(0,(A3739)-N(K26))^2/2+N(L26)*MAX(0,(A3739)-N(M26))^2/2)+$B$3507</f>
        <v>-57.9427083333333</v>
      </c>
      <c r="E3739" s="3">
        <f>$B$3505*(C3739)+$B$3506*(C3739)^2/2-$B$3504*(C3739)^3/6-(N(D26)*MAX(0,(C3739)-N(E26))^2/2+N(F26)*MAX(0,(C3739)-N(G26))^2/2+N(H26)*MAX(0,(C3739)-N(I26))^2/2+N(J26)*MAX(0,(C3739)-N(K26))^2/2+N(L26)*MAX(0,(C3739)-N(M26))^2/2)+$B$3507</f>
        <v>-57.9427083333333</v>
      </c>
    </row>
    <row r="3740" spans="1:5" hidden="1">
      <c r="A3740" s="3">
        <f t="shared" ref="A3740:A3783" si="17">IF(D3739*E3739&lt;=0,A3739,C3739)</f>
        <v>0</v>
      </c>
      <c r="B3740" s="3">
        <f t="shared" ref="B3740:B3783" si="18">IF(D3739*E3739&lt;=0,C3739,B3739)</f>
        <v>0</v>
      </c>
      <c r="C3740" s="3">
        <f t="shared" si="16"/>
        <v>0</v>
      </c>
      <c r="D3740" s="3">
        <f>$B$3505*(A3740)+$B$3506*(A3740)^2/2-$B$3504*(A3740)^3/6-(N(D26)*MAX(0,(A3740)-N(E26))^2/2+N(F26)*MAX(0,(A3740)-N(G26))^2/2+N(H26)*MAX(0,(A3740)-N(I26))^2/2+N(J26)*MAX(0,(A3740)-N(K26))^2/2+N(L26)*MAX(0,(A3740)-N(M26))^2/2)+$B$3507</f>
        <v>-57.9427083333333</v>
      </c>
      <c r="E3740" s="3">
        <f>$B$3505*(C3740)+$B$3506*(C3740)^2/2-$B$3504*(C3740)^3/6-(N(D26)*MAX(0,(C3740)-N(E26))^2/2+N(F26)*MAX(0,(C3740)-N(G26))^2/2+N(H26)*MAX(0,(C3740)-N(I26))^2/2+N(J26)*MAX(0,(C3740)-N(K26))^2/2+N(L26)*MAX(0,(C3740)-N(M26))^2/2)+$B$3507</f>
        <v>-57.9427083333333</v>
      </c>
    </row>
    <row r="3741" spans="1:5" hidden="1">
      <c r="A3741" s="3">
        <f t="shared" si="17"/>
        <v>0</v>
      </c>
      <c r="B3741" s="3">
        <f t="shared" si="18"/>
        <v>0</v>
      </c>
      <c r="C3741" s="3">
        <f t="shared" si="16"/>
        <v>0</v>
      </c>
      <c r="D3741" s="3">
        <f>$B$3505*(A3741)+$B$3506*(A3741)^2/2-$B$3504*(A3741)^3/6-(N(D26)*MAX(0,(A3741)-N(E26))^2/2+N(F26)*MAX(0,(A3741)-N(G26))^2/2+N(H26)*MAX(0,(A3741)-N(I26))^2/2+N(J26)*MAX(0,(A3741)-N(K26))^2/2+N(L26)*MAX(0,(A3741)-N(M26))^2/2)+$B$3507</f>
        <v>-57.9427083333333</v>
      </c>
      <c r="E3741" s="3">
        <f>$B$3505*(C3741)+$B$3506*(C3741)^2/2-$B$3504*(C3741)^3/6-(N(D26)*MAX(0,(C3741)-N(E26))^2/2+N(F26)*MAX(0,(C3741)-N(G26))^2/2+N(H26)*MAX(0,(C3741)-N(I26))^2/2+N(J26)*MAX(0,(C3741)-N(K26))^2/2+N(L26)*MAX(0,(C3741)-N(M26))^2/2)+$B$3507</f>
        <v>-57.9427083333333</v>
      </c>
    </row>
    <row r="3742" spans="1:5" hidden="1">
      <c r="A3742" s="3">
        <f t="shared" si="17"/>
        <v>0</v>
      </c>
      <c r="B3742" s="3">
        <f t="shared" si="18"/>
        <v>0</v>
      </c>
      <c r="C3742" s="3">
        <f t="shared" si="16"/>
        <v>0</v>
      </c>
      <c r="D3742" s="3">
        <f>$B$3505*(A3742)+$B$3506*(A3742)^2/2-$B$3504*(A3742)^3/6-(N(D26)*MAX(0,(A3742)-N(E26))^2/2+N(F26)*MAX(0,(A3742)-N(G26))^2/2+N(H26)*MAX(0,(A3742)-N(I26))^2/2+N(J26)*MAX(0,(A3742)-N(K26))^2/2+N(L26)*MAX(0,(A3742)-N(M26))^2/2)+$B$3507</f>
        <v>-57.9427083333333</v>
      </c>
      <c r="E3742" s="3">
        <f>$B$3505*(C3742)+$B$3506*(C3742)^2/2-$B$3504*(C3742)^3/6-(N(D26)*MAX(0,(C3742)-N(E26))^2/2+N(F26)*MAX(0,(C3742)-N(G26))^2/2+N(H26)*MAX(0,(C3742)-N(I26))^2/2+N(J26)*MAX(0,(C3742)-N(K26))^2/2+N(L26)*MAX(0,(C3742)-N(M26))^2/2)+$B$3507</f>
        <v>-57.9427083333333</v>
      </c>
    </row>
    <row r="3743" spans="1:5" hidden="1">
      <c r="A3743" s="3">
        <f t="shared" si="17"/>
        <v>0</v>
      </c>
      <c r="B3743" s="3">
        <f t="shared" si="18"/>
        <v>0</v>
      </c>
      <c r="C3743" s="3">
        <f t="shared" si="16"/>
        <v>0</v>
      </c>
      <c r="D3743" s="3">
        <f>$B$3505*(A3743)+$B$3506*(A3743)^2/2-$B$3504*(A3743)^3/6-(N(D26)*MAX(0,(A3743)-N(E26))^2/2+N(F26)*MAX(0,(A3743)-N(G26))^2/2+N(H26)*MAX(0,(A3743)-N(I26))^2/2+N(J26)*MAX(0,(A3743)-N(K26))^2/2+N(L26)*MAX(0,(A3743)-N(M26))^2/2)+$B$3507</f>
        <v>-57.9427083333333</v>
      </c>
      <c r="E3743" s="3">
        <f>$B$3505*(C3743)+$B$3506*(C3743)^2/2-$B$3504*(C3743)^3/6-(N(D26)*MAX(0,(C3743)-N(E26))^2/2+N(F26)*MAX(0,(C3743)-N(G26))^2/2+N(H26)*MAX(0,(C3743)-N(I26))^2/2+N(J26)*MAX(0,(C3743)-N(K26))^2/2+N(L26)*MAX(0,(C3743)-N(M26))^2/2)+$B$3507</f>
        <v>-57.9427083333333</v>
      </c>
    </row>
    <row r="3744" spans="1:5" hidden="1">
      <c r="A3744" s="3">
        <f t="shared" si="17"/>
        <v>0</v>
      </c>
      <c r="B3744" s="3">
        <f t="shared" si="18"/>
        <v>0</v>
      </c>
      <c r="C3744" s="3">
        <f t="shared" si="16"/>
        <v>0</v>
      </c>
      <c r="D3744" s="3">
        <f>$B$3505*(A3744)+$B$3506*(A3744)^2/2-$B$3504*(A3744)^3/6-(N(D26)*MAX(0,(A3744)-N(E26))^2/2+N(F26)*MAX(0,(A3744)-N(G26))^2/2+N(H26)*MAX(0,(A3744)-N(I26))^2/2+N(J26)*MAX(0,(A3744)-N(K26))^2/2+N(L26)*MAX(0,(A3744)-N(M26))^2/2)+$B$3507</f>
        <v>-57.9427083333333</v>
      </c>
      <c r="E3744" s="3">
        <f>$B$3505*(C3744)+$B$3506*(C3744)^2/2-$B$3504*(C3744)^3/6-(N(D26)*MAX(0,(C3744)-N(E26))^2/2+N(F26)*MAX(0,(C3744)-N(G26))^2/2+N(H26)*MAX(0,(C3744)-N(I26))^2/2+N(J26)*MAX(0,(C3744)-N(K26))^2/2+N(L26)*MAX(0,(C3744)-N(M26))^2/2)+$B$3507</f>
        <v>-57.9427083333333</v>
      </c>
    </row>
    <row r="3745" spans="1:5" hidden="1">
      <c r="A3745" s="3">
        <f t="shared" si="17"/>
        <v>0</v>
      </c>
      <c r="B3745" s="3">
        <f t="shared" si="18"/>
        <v>0</v>
      </c>
      <c r="C3745" s="3">
        <f t="shared" si="16"/>
        <v>0</v>
      </c>
      <c r="D3745" s="3">
        <f>$B$3505*(A3745)+$B$3506*(A3745)^2/2-$B$3504*(A3745)^3/6-(N(D26)*MAX(0,(A3745)-N(E26))^2/2+N(F26)*MAX(0,(A3745)-N(G26))^2/2+N(H26)*MAX(0,(A3745)-N(I26))^2/2+N(J26)*MAX(0,(A3745)-N(K26))^2/2+N(L26)*MAX(0,(A3745)-N(M26))^2/2)+$B$3507</f>
        <v>-57.9427083333333</v>
      </c>
      <c r="E3745" s="3">
        <f>$B$3505*(C3745)+$B$3506*(C3745)^2/2-$B$3504*(C3745)^3/6-(N(D26)*MAX(0,(C3745)-N(E26))^2/2+N(F26)*MAX(0,(C3745)-N(G26))^2/2+N(H26)*MAX(0,(C3745)-N(I26))^2/2+N(J26)*MAX(0,(C3745)-N(K26))^2/2+N(L26)*MAX(0,(C3745)-N(M26))^2/2)+$B$3507</f>
        <v>-57.9427083333333</v>
      </c>
    </row>
    <row r="3746" spans="1:5" hidden="1">
      <c r="A3746" s="3">
        <f t="shared" si="17"/>
        <v>0</v>
      </c>
      <c r="B3746" s="3">
        <f t="shared" si="18"/>
        <v>0</v>
      </c>
      <c r="C3746" s="3">
        <f t="shared" si="16"/>
        <v>0</v>
      </c>
      <c r="D3746" s="3">
        <f>$B$3505*(A3746)+$B$3506*(A3746)^2/2-$B$3504*(A3746)^3/6-(N(D26)*MAX(0,(A3746)-N(E26))^2/2+N(F26)*MAX(0,(A3746)-N(G26))^2/2+N(H26)*MAX(0,(A3746)-N(I26))^2/2+N(J26)*MAX(0,(A3746)-N(K26))^2/2+N(L26)*MAX(0,(A3746)-N(M26))^2/2)+$B$3507</f>
        <v>-57.9427083333333</v>
      </c>
      <c r="E3746" s="3">
        <f>$B$3505*(C3746)+$B$3506*(C3746)^2/2-$B$3504*(C3746)^3/6-(N(D26)*MAX(0,(C3746)-N(E26))^2/2+N(F26)*MAX(0,(C3746)-N(G26))^2/2+N(H26)*MAX(0,(C3746)-N(I26))^2/2+N(J26)*MAX(0,(C3746)-N(K26))^2/2+N(L26)*MAX(0,(C3746)-N(M26))^2/2)+$B$3507</f>
        <v>-57.9427083333333</v>
      </c>
    </row>
    <row r="3747" spans="1:5" hidden="1">
      <c r="A3747" s="3">
        <f t="shared" si="17"/>
        <v>0</v>
      </c>
      <c r="B3747" s="3">
        <f t="shared" si="18"/>
        <v>0</v>
      </c>
      <c r="C3747" s="3">
        <f t="shared" si="16"/>
        <v>0</v>
      </c>
      <c r="D3747" s="3">
        <f>$B$3505*(A3747)+$B$3506*(A3747)^2/2-$B$3504*(A3747)^3/6-(N(D26)*MAX(0,(A3747)-N(E26))^2/2+N(F26)*MAX(0,(A3747)-N(G26))^2/2+N(H26)*MAX(0,(A3747)-N(I26))^2/2+N(J26)*MAX(0,(A3747)-N(K26))^2/2+N(L26)*MAX(0,(A3747)-N(M26))^2/2)+$B$3507</f>
        <v>-57.9427083333333</v>
      </c>
      <c r="E3747" s="3">
        <f>$B$3505*(C3747)+$B$3506*(C3747)^2/2-$B$3504*(C3747)^3/6-(N(D26)*MAX(0,(C3747)-N(E26))^2/2+N(F26)*MAX(0,(C3747)-N(G26))^2/2+N(H26)*MAX(0,(C3747)-N(I26))^2/2+N(J26)*MAX(0,(C3747)-N(K26))^2/2+N(L26)*MAX(0,(C3747)-N(M26))^2/2)+$B$3507</f>
        <v>-57.9427083333333</v>
      </c>
    </row>
    <row r="3748" spans="1:5" hidden="1">
      <c r="A3748" s="3">
        <f t="shared" si="17"/>
        <v>0</v>
      </c>
      <c r="B3748" s="3">
        <f t="shared" si="18"/>
        <v>0</v>
      </c>
      <c r="C3748" s="3">
        <f t="shared" si="16"/>
        <v>0</v>
      </c>
      <c r="D3748" s="3">
        <f>$B$3505*(A3748)+$B$3506*(A3748)^2/2-$B$3504*(A3748)^3/6-(N(D26)*MAX(0,(A3748)-N(E26))^2/2+N(F26)*MAX(0,(A3748)-N(G26))^2/2+N(H26)*MAX(0,(A3748)-N(I26))^2/2+N(J26)*MAX(0,(A3748)-N(K26))^2/2+N(L26)*MAX(0,(A3748)-N(M26))^2/2)+$B$3507</f>
        <v>-57.9427083333333</v>
      </c>
      <c r="E3748" s="3">
        <f>$B$3505*(C3748)+$B$3506*(C3748)^2/2-$B$3504*(C3748)^3/6-(N(D26)*MAX(0,(C3748)-N(E26))^2/2+N(F26)*MAX(0,(C3748)-N(G26))^2/2+N(H26)*MAX(0,(C3748)-N(I26))^2/2+N(J26)*MAX(0,(C3748)-N(K26))^2/2+N(L26)*MAX(0,(C3748)-N(M26))^2/2)+$B$3507</f>
        <v>-57.9427083333333</v>
      </c>
    </row>
    <row r="3749" spans="1:5" hidden="1">
      <c r="A3749" s="3">
        <f t="shared" si="17"/>
        <v>0</v>
      </c>
      <c r="B3749" s="3">
        <f t="shared" si="18"/>
        <v>0</v>
      </c>
      <c r="C3749" s="3">
        <f t="shared" si="16"/>
        <v>0</v>
      </c>
      <c r="D3749" s="3">
        <f>$B$3505*(A3749)+$B$3506*(A3749)^2/2-$B$3504*(A3749)^3/6-(N(D26)*MAX(0,(A3749)-N(E26))^2/2+N(F26)*MAX(0,(A3749)-N(G26))^2/2+N(H26)*MAX(0,(A3749)-N(I26))^2/2+N(J26)*MAX(0,(A3749)-N(K26))^2/2+N(L26)*MAX(0,(A3749)-N(M26))^2/2)+$B$3507</f>
        <v>-57.9427083333333</v>
      </c>
      <c r="E3749" s="3">
        <f>$B$3505*(C3749)+$B$3506*(C3749)^2/2-$B$3504*(C3749)^3/6-(N(D26)*MAX(0,(C3749)-N(E26))^2/2+N(F26)*MAX(0,(C3749)-N(G26))^2/2+N(H26)*MAX(0,(C3749)-N(I26))^2/2+N(J26)*MAX(0,(C3749)-N(K26))^2/2+N(L26)*MAX(0,(C3749)-N(M26))^2/2)+$B$3507</f>
        <v>-57.9427083333333</v>
      </c>
    </row>
    <row r="3750" spans="1:5" hidden="1">
      <c r="A3750" s="3">
        <f t="shared" si="17"/>
        <v>0</v>
      </c>
      <c r="B3750" s="3">
        <f t="shared" si="18"/>
        <v>0</v>
      </c>
      <c r="C3750" s="3">
        <f t="shared" si="16"/>
        <v>0</v>
      </c>
      <c r="D3750" s="3">
        <f>$B$3505*(A3750)+$B$3506*(A3750)^2/2-$B$3504*(A3750)^3/6-(N(D26)*MAX(0,(A3750)-N(E26))^2/2+N(F26)*MAX(0,(A3750)-N(G26))^2/2+N(H26)*MAX(0,(A3750)-N(I26))^2/2+N(J26)*MAX(0,(A3750)-N(K26))^2/2+N(L26)*MAX(0,(A3750)-N(M26))^2/2)+$B$3507</f>
        <v>-57.9427083333333</v>
      </c>
      <c r="E3750" s="3">
        <f>$B$3505*(C3750)+$B$3506*(C3750)^2/2-$B$3504*(C3750)^3/6-(N(D26)*MAX(0,(C3750)-N(E26))^2/2+N(F26)*MAX(0,(C3750)-N(G26))^2/2+N(H26)*MAX(0,(C3750)-N(I26))^2/2+N(J26)*MAX(0,(C3750)-N(K26))^2/2+N(L26)*MAX(0,(C3750)-N(M26))^2/2)+$B$3507</f>
        <v>-57.9427083333333</v>
      </c>
    </row>
    <row r="3751" spans="1:5" hidden="1">
      <c r="A3751" s="3">
        <f t="shared" si="17"/>
        <v>0</v>
      </c>
      <c r="B3751" s="3">
        <f t="shared" si="18"/>
        <v>0</v>
      </c>
      <c r="C3751" s="3">
        <f t="shared" si="16"/>
        <v>0</v>
      </c>
      <c r="D3751" s="3">
        <f>$B$3505*(A3751)+$B$3506*(A3751)^2/2-$B$3504*(A3751)^3/6-(N(D26)*MAX(0,(A3751)-N(E26))^2/2+N(F26)*MAX(0,(A3751)-N(G26))^2/2+N(H26)*MAX(0,(A3751)-N(I26))^2/2+N(J26)*MAX(0,(A3751)-N(K26))^2/2+N(L26)*MAX(0,(A3751)-N(M26))^2/2)+$B$3507</f>
        <v>-57.9427083333333</v>
      </c>
      <c r="E3751" s="3">
        <f>$B$3505*(C3751)+$B$3506*(C3751)^2/2-$B$3504*(C3751)^3/6-(N(D26)*MAX(0,(C3751)-N(E26))^2/2+N(F26)*MAX(0,(C3751)-N(G26))^2/2+N(H26)*MAX(0,(C3751)-N(I26))^2/2+N(J26)*MAX(0,(C3751)-N(K26))^2/2+N(L26)*MAX(0,(C3751)-N(M26))^2/2)+$B$3507</f>
        <v>-57.9427083333333</v>
      </c>
    </row>
    <row r="3752" spans="1:5" hidden="1">
      <c r="A3752" s="3">
        <f t="shared" si="17"/>
        <v>0</v>
      </c>
      <c r="B3752" s="3">
        <f t="shared" si="18"/>
        <v>0</v>
      </c>
      <c r="C3752" s="3">
        <f t="shared" si="16"/>
        <v>0</v>
      </c>
      <c r="D3752" s="3">
        <f>$B$3505*(A3752)+$B$3506*(A3752)^2/2-$B$3504*(A3752)^3/6-(N(D26)*MAX(0,(A3752)-N(E26))^2/2+N(F26)*MAX(0,(A3752)-N(G26))^2/2+N(H26)*MAX(0,(A3752)-N(I26))^2/2+N(J26)*MAX(0,(A3752)-N(K26))^2/2+N(L26)*MAX(0,(A3752)-N(M26))^2/2)+$B$3507</f>
        <v>-57.9427083333333</v>
      </c>
      <c r="E3752" s="3">
        <f>$B$3505*(C3752)+$B$3506*(C3752)^2/2-$B$3504*(C3752)^3/6-(N(D26)*MAX(0,(C3752)-N(E26))^2/2+N(F26)*MAX(0,(C3752)-N(G26))^2/2+N(H26)*MAX(0,(C3752)-N(I26))^2/2+N(J26)*MAX(0,(C3752)-N(K26))^2/2+N(L26)*MAX(0,(C3752)-N(M26))^2/2)+$B$3507</f>
        <v>-57.9427083333333</v>
      </c>
    </row>
    <row r="3753" spans="1:5" hidden="1">
      <c r="A3753" s="3">
        <f t="shared" si="17"/>
        <v>0</v>
      </c>
      <c r="B3753" s="3">
        <f t="shared" si="18"/>
        <v>0</v>
      </c>
      <c r="C3753" s="3">
        <f t="shared" si="16"/>
        <v>0</v>
      </c>
      <c r="D3753" s="3">
        <f>$B$3505*(A3753)+$B$3506*(A3753)^2/2-$B$3504*(A3753)^3/6-(N(D26)*MAX(0,(A3753)-N(E26))^2/2+N(F26)*MAX(0,(A3753)-N(G26))^2/2+N(H26)*MAX(0,(A3753)-N(I26))^2/2+N(J26)*MAX(0,(A3753)-N(K26))^2/2+N(L26)*MAX(0,(A3753)-N(M26))^2/2)+$B$3507</f>
        <v>-57.9427083333333</v>
      </c>
      <c r="E3753" s="3">
        <f>$B$3505*(C3753)+$B$3506*(C3753)^2/2-$B$3504*(C3753)^3/6-(N(D26)*MAX(0,(C3753)-N(E26))^2/2+N(F26)*MAX(0,(C3753)-N(G26))^2/2+N(H26)*MAX(0,(C3753)-N(I26))^2/2+N(J26)*MAX(0,(C3753)-N(K26))^2/2+N(L26)*MAX(0,(C3753)-N(M26))^2/2)+$B$3507</f>
        <v>-57.9427083333333</v>
      </c>
    </row>
    <row r="3754" spans="1:5" hidden="1">
      <c r="A3754" s="3">
        <f t="shared" si="17"/>
        <v>0</v>
      </c>
      <c r="B3754" s="3">
        <f t="shared" si="18"/>
        <v>0</v>
      </c>
      <c r="C3754" s="3">
        <f t="shared" si="16"/>
        <v>0</v>
      </c>
      <c r="D3754" s="3">
        <f>$B$3505*(A3754)+$B$3506*(A3754)^2/2-$B$3504*(A3754)^3/6-(N(D26)*MAX(0,(A3754)-N(E26))^2/2+N(F26)*MAX(0,(A3754)-N(G26))^2/2+N(H26)*MAX(0,(A3754)-N(I26))^2/2+N(J26)*MAX(0,(A3754)-N(K26))^2/2+N(L26)*MAX(0,(A3754)-N(M26))^2/2)+$B$3507</f>
        <v>-57.9427083333333</v>
      </c>
      <c r="E3754" s="3">
        <f>$B$3505*(C3754)+$B$3506*(C3754)^2/2-$B$3504*(C3754)^3/6-(N(D26)*MAX(0,(C3754)-N(E26))^2/2+N(F26)*MAX(0,(C3754)-N(G26))^2/2+N(H26)*MAX(0,(C3754)-N(I26))^2/2+N(J26)*MAX(0,(C3754)-N(K26))^2/2+N(L26)*MAX(0,(C3754)-N(M26))^2/2)+$B$3507</f>
        <v>-57.9427083333333</v>
      </c>
    </row>
    <row r="3755" spans="1:5" hidden="1">
      <c r="A3755" s="3">
        <f t="shared" si="17"/>
        <v>0</v>
      </c>
      <c r="B3755" s="3">
        <f t="shared" si="18"/>
        <v>0</v>
      </c>
      <c r="C3755" s="3">
        <f t="shared" si="16"/>
        <v>0</v>
      </c>
      <c r="D3755" s="3">
        <f>$B$3505*(A3755)+$B$3506*(A3755)^2/2-$B$3504*(A3755)^3/6-(N(D26)*MAX(0,(A3755)-N(E26))^2/2+N(F26)*MAX(0,(A3755)-N(G26))^2/2+N(H26)*MAX(0,(A3755)-N(I26))^2/2+N(J26)*MAX(0,(A3755)-N(K26))^2/2+N(L26)*MAX(0,(A3755)-N(M26))^2/2)+$B$3507</f>
        <v>-57.9427083333333</v>
      </c>
      <c r="E3755" s="3">
        <f>$B$3505*(C3755)+$B$3506*(C3755)^2/2-$B$3504*(C3755)^3/6-(N(D26)*MAX(0,(C3755)-N(E26))^2/2+N(F26)*MAX(0,(C3755)-N(G26))^2/2+N(H26)*MAX(0,(C3755)-N(I26))^2/2+N(J26)*MAX(0,(C3755)-N(K26))^2/2+N(L26)*MAX(0,(C3755)-N(M26))^2/2)+$B$3507</f>
        <v>-57.9427083333333</v>
      </c>
    </row>
    <row r="3756" spans="1:5" hidden="1">
      <c r="A3756" s="3">
        <f t="shared" si="17"/>
        <v>0</v>
      </c>
      <c r="B3756" s="3">
        <f t="shared" si="18"/>
        <v>0</v>
      </c>
      <c r="C3756" s="3">
        <f t="shared" si="16"/>
        <v>0</v>
      </c>
      <c r="D3756" s="3">
        <f>$B$3505*(A3756)+$B$3506*(A3756)^2/2-$B$3504*(A3756)^3/6-(N(D26)*MAX(0,(A3756)-N(E26))^2/2+N(F26)*MAX(0,(A3756)-N(G26))^2/2+N(H26)*MAX(0,(A3756)-N(I26))^2/2+N(J26)*MAX(0,(A3756)-N(K26))^2/2+N(L26)*MAX(0,(A3756)-N(M26))^2/2)+$B$3507</f>
        <v>-57.9427083333333</v>
      </c>
      <c r="E3756" s="3">
        <f>$B$3505*(C3756)+$B$3506*(C3756)^2/2-$B$3504*(C3756)^3/6-(N(D26)*MAX(0,(C3756)-N(E26))^2/2+N(F26)*MAX(0,(C3756)-N(G26))^2/2+N(H26)*MAX(0,(C3756)-N(I26))^2/2+N(J26)*MAX(0,(C3756)-N(K26))^2/2+N(L26)*MAX(0,(C3756)-N(M26))^2/2)+$B$3507</f>
        <v>-57.9427083333333</v>
      </c>
    </row>
    <row r="3757" spans="1:5" hidden="1">
      <c r="A3757" s="3">
        <f t="shared" si="17"/>
        <v>0</v>
      </c>
      <c r="B3757" s="3">
        <f t="shared" si="18"/>
        <v>0</v>
      </c>
      <c r="C3757" s="3">
        <f t="shared" si="16"/>
        <v>0</v>
      </c>
      <c r="D3757" s="3">
        <f>$B$3505*(A3757)+$B$3506*(A3757)^2/2-$B$3504*(A3757)^3/6-(N(D26)*MAX(0,(A3757)-N(E26))^2/2+N(F26)*MAX(0,(A3757)-N(G26))^2/2+N(H26)*MAX(0,(A3757)-N(I26))^2/2+N(J26)*MAX(0,(A3757)-N(K26))^2/2+N(L26)*MAX(0,(A3757)-N(M26))^2/2)+$B$3507</f>
        <v>-57.9427083333333</v>
      </c>
      <c r="E3757" s="3">
        <f>$B$3505*(C3757)+$B$3506*(C3757)^2/2-$B$3504*(C3757)^3/6-(N(D26)*MAX(0,(C3757)-N(E26))^2/2+N(F26)*MAX(0,(C3757)-N(G26))^2/2+N(H26)*MAX(0,(C3757)-N(I26))^2/2+N(J26)*MAX(0,(C3757)-N(K26))^2/2+N(L26)*MAX(0,(C3757)-N(M26))^2/2)+$B$3507</f>
        <v>-57.9427083333333</v>
      </c>
    </row>
    <row r="3758" spans="1:5" hidden="1">
      <c r="A3758" s="3">
        <f t="shared" si="17"/>
        <v>0</v>
      </c>
      <c r="B3758" s="3">
        <f t="shared" si="18"/>
        <v>0</v>
      </c>
      <c r="C3758" s="3">
        <f t="shared" si="16"/>
        <v>0</v>
      </c>
      <c r="D3758" s="3">
        <f>$B$3505*(A3758)+$B$3506*(A3758)^2/2-$B$3504*(A3758)^3/6-(N(D26)*MAX(0,(A3758)-N(E26))^2/2+N(F26)*MAX(0,(A3758)-N(G26))^2/2+N(H26)*MAX(0,(A3758)-N(I26))^2/2+N(J26)*MAX(0,(A3758)-N(K26))^2/2+N(L26)*MAX(0,(A3758)-N(M26))^2/2)+$B$3507</f>
        <v>-57.9427083333333</v>
      </c>
      <c r="E3758" s="3">
        <f>$B$3505*(C3758)+$B$3506*(C3758)^2/2-$B$3504*(C3758)^3/6-(N(D26)*MAX(0,(C3758)-N(E26))^2/2+N(F26)*MAX(0,(C3758)-N(G26))^2/2+N(H26)*MAX(0,(C3758)-N(I26))^2/2+N(J26)*MAX(0,(C3758)-N(K26))^2/2+N(L26)*MAX(0,(C3758)-N(M26))^2/2)+$B$3507</f>
        <v>-57.9427083333333</v>
      </c>
    </row>
    <row r="3759" spans="1:5" hidden="1">
      <c r="A3759" s="3">
        <f t="shared" si="17"/>
        <v>0</v>
      </c>
      <c r="B3759" s="3">
        <f t="shared" si="18"/>
        <v>0</v>
      </c>
      <c r="C3759" s="3">
        <f t="shared" si="16"/>
        <v>0</v>
      </c>
      <c r="D3759" s="3">
        <f>$B$3505*(A3759)+$B$3506*(A3759)^2/2-$B$3504*(A3759)^3/6-(N(D26)*MAX(0,(A3759)-N(E26))^2/2+N(F26)*MAX(0,(A3759)-N(G26))^2/2+N(H26)*MAX(0,(A3759)-N(I26))^2/2+N(J26)*MAX(0,(A3759)-N(K26))^2/2+N(L26)*MAX(0,(A3759)-N(M26))^2/2)+$B$3507</f>
        <v>-57.9427083333333</v>
      </c>
      <c r="E3759" s="3">
        <f>$B$3505*(C3759)+$B$3506*(C3759)^2/2-$B$3504*(C3759)^3/6-(N(D26)*MAX(0,(C3759)-N(E26))^2/2+N(F26)*MAX(0,(C3759)-N(G26))^2/2+N(H26)*MAX(0,(C3759)-N(I26))^2/2+N(J26)*MAX(0,(C3759)-N(K26))^2/2+N(L26)*MAX(0,(C3759)-N(M26))^2/2)+$B$3507</f>
        <v>-57.9427083333333</v>
      </c>
    </row>
    <row r="3760" spans="1:5" hidden="1">
      <c r="A3760" s="3">
        <f t="shared" si="17"/>
        <v>0</v>
      </c>
      <c r="B3760" s="3">
        <f t="shared" si="18"/>
        <v>0</v>
      </c>
      <c r="C3760" s="3">
        <f t="shared" si="16"/>
        <v>0</v>
      </c>
      <c r="D3760" s="3">
        <f>$B$3505*(A3760)+$B$3506*(A3760)^2/2-$B$3504*(A3760)^3/6-(N(D26)*MAX(0,(A3760)-N(E26))^2/2+N(F26)*MAX(0,(A3760)-N(G26))^2/2+N(H26)*MAX(0,(A3760)-N(I26))^2/2+N(J26)*MAX(0,(A3760)-N(K26))^2/2+N(L26)*MAX(0,(A3760)-N(M26))^2/2)+$B$3507</f>
        <v>-57.9427083333333</v>
      </c>
      <c r="E3760" s="3">
        <f>$B$3505*(C3760)+$B$3506*(C3760)^2/2-$B$3504*(C3760)^3/6-(N(D26)*MAX(0,(C3760)-N(E26))^2/2+N(F26)*MAX(0,(C3760)-N(G26))^2/2+N(H26)*MAX(0,(C3760)-N(I26))^2/2+N(J26)*MAX(0,(C3760)-N(K26))^2/2+N(L26)*MAX(0,(C3760)-N(M26))^2/2)+$B$3507</f>
        <v>-57.9427083333333</v>
      </c>
    </row>
    <row r="3761" spans="1:5" hidden="1">
      <c r="A3761" s="3">
        <f t="shared" si="17"/>
        <v>0</v>
      </c>
      <c r="B3761" s="3">
        <f t="shared" si="18"/>
        <v>0</v>
      </c>
      <c r="C3761" s="3">
        <f t="shared" si="16"/>
        <v>0</v>
      </c>
      <c r="D3761" s="3">
        <f>$B$3505*(A3761)+$B$3506*(A3761)^2/2-$B$3504*(A3761)^3/6-(N(D26)*MAX(0,(A3761)-N(E26))^2/2+N(F26)*MAX(0,(A3761)-N(G26))^2/2+N(H26)*MAX(0,(A3761)-N(I26))^2/2+N(J26)*MAX(0,(A3761)-N(K26))^2/2+N(L26)*MAX(0,(A3761)-N(M26))^2/2)+$B$3507</f>
        <v>-57.9427083333333</v>
      </c>
      <c r="E3761" s="3">
        <f>$B$3505*(C3761)+$B$3506*(C3761)^2/2-$B$3504*(C3761)^3/6-(N(D26)*MAX(0,(C3761)-N(E26))^2/2+N(F26)*MAX(0,(C3761)-N(G26))^2/2+N(H26)*MAX(0,(C3761)-N(I26))^2/2+N(J26)*MAX(0,(C3761)-N(K26))^2/2+N(L26)*MAX(0,(C3761)-N(M26))^2/2)+$B$3507</f>
        <v>-57.9427083333333</v>
      </c>
    </row>
    <row r="3762" spans="1:5" hidden="1">
      <c r="A3762" s="3">
        <f t="shared" si="17"/>
        <v>0</v>
      </c>
      <c r="B3762" s="3">
        <f t="shared" si="18"/>
        <v>0</v>
      </c>
      <c r="C3762" s="3">
        <f t="shared" si="16"/>
        <v>0</v>
      </c>
      <c r="D3762" s="3">
        <f>$B$3505*(A3762)+$B$3506*(A3762)^2/2-$B$3504*(A3762)^3/6-(N(D26)*MAX(0,(A3762)-N(E26))^2/2+N(F26)*MAX(0,(A3762)-N(G26))^2/2+N(H26)*MAX(0,(A3762)-N(I26))^2/2+N(J26)*MAX(0,(A3762)-N(K26))^2/2+N(L26)*MAX(0,(A3762)-N(M26))^2/2)+$B$3507</f>
        <v>-57.9427083333333</v>
      </c>
      <c r="E3762" s="3">
        <f>$B$3505*(C3762)+$B$3506*(C3762)^2/2-$B$3504*(C3762)^3/6-(N(D26)*MAX(0,(C3762)-N(E26))^2/2+N(F26)*MAX(0,(C3762)-N(G26))^2/2+N(H26)*MAX(0,(C3762)-N(I26))^2/2+N(J26)*MAX(0,(C3762)-N(K26))^2/2+N(L26)*MAX(0,(C3762)-N(M26))^2/2)+$B$3507</f>
        <v>-57.9427083333333</v>
      </c>
    </row>
    <row r="3763" spans="1:5" hidden="1">
      <c r="A3763" s="3">
        <f t="shared" si="17"/>
        <v>0</v>
      </c>
      <c r="B3763" s="3">
        <f t="shared" si="18"/>
        <v>0</v>
      </c>
      <c r="C3763" s="3">
        <f t="shared" si="16"/>
        <v>0</v>
      </c>
      <c r="D3763" s="3">
        <f>$B$3505*(A3763)+$B$3506*(A3763)^2/2-$B$3504*(A3763)^3/6-(N(D26)*MAX(0,(A3763)-N(E26))^2/2+N(F26)*MAX(0,(A3763)-N(G26))^2/2+N(H26)*MAX(0,(A3763)-N(I26))^2/2+N(J26)*MAX(0,(A3763)-N(K26))^2/2+N(L26)*MAX(0,(A3763)-N(M26))^2/2)+$B$3507</f>
        <v>-57.9427083333333</v>
      </c>
      <c r="E3763" s="3">
        <f>$B$3505*(C3763)+$B$3506*(C3763)^2/2-$B$3504*(C3763)^3/6-(N(D26)*MAX(0,(C3763)-N(E26))^2/2+N(F26)*MAX(0,(C3763)-N(G26))^2/2+N(H26)*MAX(0,(C3763)-N(I26))^2/2+N(J26)*MAX(0,(C3763)-N(K26))^2/2+N(L26)*MAX(0,(C3763)-N(M26))^2/2)+$B$3507</f>
        <v>-57.9427083333333</v>
      </c>
    </row>
    <row r="3764" spans="1:5" hidden="1">
      <c r="A3764" s="3">
        <f t="shared" si="17"/>
        <v>0</v>
      </c>
      <c r="B3764" s="3">
        <f t="shared" si="18"/>
        <v>0</v>
      </c>
      <c r="C3764" s="3">
        <f t="shared" si="16"/>
        <v>0</v>
      </c>
      <c r="D3764" s="3">
        <f>$B$3505*(A3764)+$B$3506*(A3764)^2/2-$B$3504*(A3764)^3/6-(N(D26)*MAX(0,(A3764)-N(E26))^2/2+N(F26)*MAX(0,(A3764)-N(G26))^2/2+N(H26)*MAX(0,(A3764)-N(I26))^2/2+N(J26)*MAX(0,(A3764)-N(K26))^2/2+N(L26)*MAX(0,(A3764)-N(M26))^2/2)+$B$3507</f>
        <v>-57.9427083333333</v>
      </c>
      <c r="E3764" s="3">
        <f>$B$3505*(C3764)+$B$3506*(C3764)^2/2-$B$3504*(C3764)^3/6-(N(D26)*MAX(0,(C3764)-N(E26))^2/2+N(F26)*MAX(0,(C3764)-N(G26))^2/2+N(H26)*MAX(0,(C3764)-N(I26))^2/2+N(J26)*MAX(0,(C3764)-N(K26))^2/2+N(L26)*MAX(0,(C3764)-N(M26))^2/2)+$B$3507</f>
        <v>-57.9427083333333</v>
      </c>
    </row>
    <row r="3765" spans="1:5" hidden="1">
      <c r="A3765" s="3">
        <f t="shared" si="17"/>
        <v>0</v>
      </c>
      <c r="B3765" s="3">
        <f t="shared" si="18"/>
        <v>0</v>
      </c>
      <c r="C3765" s="3">
        <f t="shared" si="16"/>
        <v>0</v>
      </c>
      <c r="D3765" s="3">
        <f>$B$3505*(A3765)+$B$3506*(A3765)^2/2-$B$3504*(A3765)^3/6-(N(D26)*MAX(0,(A3765)-N(E26))^2/2+N(F26)*MAX(0,(A3765)-N(G26))^2/2+N(H26)*MAX(0,(A3765)-N(I26))^2/2+N(J26)*MAX(0,(A3765)-N(K26))^2/2+N(L26)*MAX(0,(A3765)-N(M26))^2/2)+$B$3507</f>
        <v>-57.9427083333333</v>
      </c>
      <c r="E3765" s="3">
        <f>$B$3505*(C3765)+$B$3506*(C3765)^2/2-$B$3504*(C3765)^3/6-(N(D26)*MAX(0,(C3765)-N(E26))^2/2+N(F26)*MAX(0,(C3765)-N(G26))^2/2+N(H26)*MAX(0,(C3765)-N(I26))^2/2+N(J26)*MAX(0,(C3765)-N(K26))^2/2+N(L26)*MAX(0,(C3765)-N(M26))^2/2)+$B$3507</f>
        <v>-57.9427083333333</v>
      </c>
    </row>
    <row r="3766" spans="1:5" hidden="1">
      <c r="A3766" s="3">
        <f t="shared" si="17"/>
        <v>0</v>
      </c>
      <c r="B3766" s="3">
        <f t="shared" si="18"/>
        <v>0</v>
      </c>
      <c r="C3766" s="3">
        <f t="shared" si="16"/>
        <v>0</v>
      </c>
      <c r="D3766" s="3">
        <f>$B$3505*(A3766)+$B$3506*(A3766)^2/2-$B$3504*(A3766)^3/6-(N(D26)*MAX(0,(A3766)-N(E26))^2/2+N(F26)*MAX(0,(A3766)-N(G26))^2/2+N(H26)*MAX(0,(A3766)-N(I26))^2/2+N(J26)*MAX(0,(A3766)-N(K26))^2/2+N(L26)*MAX(0,(A3766)-N(M26))^2/2)+$B$3507</f>
        <v>-57.9427083333333</v>
      </c>
      <c r="E3766" s="3">
        <f>$B$3505*(C3766)+$B$3506*(C3766)^2/2-$B$3504*(C3766)^3/6-(N(D26)*MAX(0,(C3766)-N(E26))^2/2+N(F26)*MAX(0,(C3766)-N(G26))^2/2+N(H26)*MAX(0,(C3766)-N(I26))^2/2+N(J26)*MAX(0,(C3766)-N(K26))^2/2+N(L26)*MAX(0,(C3766)-N(M26))^2/2)+$B$3507</f>
        <v>-57.9427083333333</v>
      </c>
    </row>
    <row r="3767" spans="1:5" hidden="1">
      <c r="A3767" s="3">
        <f t="shared" si="17"/>
        <v>0</v>
      </c>
      <c r="B3767" s="3">
        <f t="shared" si="18"/>
        <v>0</v>
      </c>
      <c r="C3767" s="3">
        <f t="shared" si="16"/>
        <v>0</v>
      </c>
      <c r="D3767" s="3">
        <f>$B$3505*(A3767)+$B$3506*(A3767)^2/2-$B$3504*(A3767)^3/6-(N(D26)*MAX(0,(A3767)-N(E26))^2/2+N(F26)*MAX(0,(A3767)-N(G26))^2/2+N(H26)*MAX(0,(A3767)-N(I26))^2/2+N(J26)*MAX(0,(A3767)-N(K26))^2/2+N(L26)*MAX(0,(A3767)-N(M26))^2/2)+$B$3507</f>
        <v>-57.9427083333333</v>
      </c>
      <c r="E3767" s="3">
        <f>$B$3505*(C3767)+$B$3506*(C3767)^2/2-$B$3504*(C3767)^3/6-(N(D26)*MAX(0,(C3767)-N(E26))^2/2+N(F26)*MAX(0,(C3767)-N(G26))^2/2+N(H26)*MAX(0,(C3767)-N(I26))^2/2+N(J26)*MAX(0,(C3767)-N(K26))^2/2+N(L26)*MAX(0,(C3767)-N(M26))^2/2)+$B$3507</f>
        <v>-57.9427083333333</v>
      </c>
    </row>
    <row r="3768" spans="1:5" hidden="1">
      <c r="A3768" s="3">
        <f t="shared" si="17"/>
        <v>0</v>
      </c>
      <c r="B3768" s="3">
        <f t="shared" si="18"/>
        <v>0</v>
      </c>
      <c r="C3768" s="3">
        <f t="shared" si="16"/>
        <v>0</v>
      </c>
      <c r="D3768" s="3">
        <f>$B$3505*(A3768)+$B$3506*(A3768)^2/2-$B$3504*(A3768)^3/6-(N(D26)*MAX(0,(A3768)-N(E26))^2/2+N(F26)*MAX(0,(A3768)-N(G26))^2/2+N(H26)*MAX(0,(A3768)-N(I26))^2/2+N(J26)*MAX(0,(A3768)-N(K26))^2/2+N(L26)*MAX(0,(A3768)-N(M26))^2/2)+$B$3507</f>
        <v>-57.9427083333333</v>
      </c>
      <c r="E3768" s="3">
        <f>$B$3505*(C3768)+$B$3506*(C3768)^2/2-$B$3504*(C3768)^3/6-(N(D26)*MAX(0,(C3768)-N(E26))^2/2+N(F26)*MAX(0,(C3768)-N(G26))^2/2+N(H26)*MAX(0,(C3768)-N(I26))^2/2+N(J26)*MAX(0,(C3768)-N(K26))^2/2+N(L26)*MAX(0,(C3768)-N(M26))^2/2)+$B$3507</f>
        <v>-57.9427083333333</v>
      </c>
    </row>
    <row r="3769" spans="1:5" hidden="1">
      <c r="A3769" s="3">
        <f t="shared" si="17"/>
        <v>0</v>
      </c>
      <c r="B3769" s="3">
        <f t="shared" si="18"/>
        <v>0</v>
      </c>
      <c r="C3769" s="3">
        <f t="shared" si="16"/>
        <v>0</v>
      </c>
      <c r="D3769" s="3">
        <f>$B$3505*(A3769)+$B$3506*(A3769)^2/2-$B$3504*(A3769)^3/6-(N(D26)*MAX(0,(A3769)-N(E26))^2/2+N(F26)*MAX(0,(A3769)-N(G26))^2/2+N(H26)*MAX(0,(A3769)-N(I26))^2/2+N(J26)*MAX(0,(A3769)-N(K26))^2/2+N(L26)*MAX(0,(A3769)-N(M26))^2/2)+$B$3507</f>
        <v>-57.9427083333333</v>
      </c>
      <c r="E3769" s="3">
        <f>$B$3505*(C3769)+$B$3506*(C3769)^2/2-$B$3504*(C3769)^3/6-(N(D26)*MAX(0,(C3769)-N(E26))^2/2+N(F26)*MAX(0,(C3769)-N(G26))^2/2+N(H26)*MAX(0,(C3769)-N(I26))^2/2+N(J26)*MAX(0,(C3769)-N(K26))^2/2+N(L26)*MAX(0,(C3769)-N(M26))^2/2)+$B$3507</f>
        <v>-57.9427083333333</v>
      </c>
    </row>
    <row r="3770" spans="1:5" hidden="1">
      <c r="A3770" s="3">
        <f t="shared" si="17"/>
        <v>0</v>
      </c>
      <c r="B3770" s="3">
        <f t="shared" si="18"/>
        <v>0</v>
      </c>
      <c r="C3770" s="3">
        <f t="shared" si="16"/>
        <v>0</v>
      </c>
      <c r="D3770" s="3">
        <f>$B$3505*(A3770)+$B$3506*(A3770)^2/2-$B$3504*(A3770)^3/6-(N(D26)*MAX(0,(A3770)-N(E26))^2/2+N(F26)*MAX(0,(A3770)-N(G26))^2/2+N(H26)*MAX(0,(A3770)-N(I26))^2/2+N(J26)*MAX(0,(A3770)-N(K26))^2/2+N(L26)*MAX(0,(A3770)-N(M26))^2/2)+$B$3507</f>
        <v>-57.9427083333333</v>
      </c>
      <c r="E3770" s="3">
        <f>$B$3505*(C3770)+$B$3506*(C3770)^2/2-$B$3504*(C3770)^3/6-(N(D26)*MAX(0,(C3770)-N(E26))^2/2+N(F26)*MAX(0,(C3770)-N(G26))^2/2+N(H26)*MAX(0,(C3770)-N(I26))^2/2+N(J26)*MAX(0,(C3770)-N(K26))^2/2+N(L26)*MAX(0,(C3770)-N(M26))^2/2)+$B$3507</f>
        <v>-57.9427083333333</v>
      </c>
    </row>
    <row r="3771" spans="1:5" hidden="1">
      <c r="A3771" s="3">
        <f t="shared" si="17"/>
        <v>0</v>
      </c>
      <c r="B3771" s="3">
        <f t="shared" si="18"/>
        <v>0</v>
      </c>
      <c r="C3771" s="3">
        <f t="shared" si="16"/>
        <v>0</v>
      </c>
      <c r="D3771" s="3">
        <f>$B$3505*(A3771)+$B$3506*(A3771)^2/2-$B$3504*(A3771)^3/6-(N(D26)*MAX(0,(A3771)-N(E26))^2/2+N(F26)*MAX(0,(A3771)-N(G26))^2/2+N(H26)*MAX(0,(A3771)-N(I26))^2/2+N(J26)*MAX(0,(A3771)-N(K26))^2/2+N(L26)*MAX(0,(A3771)-N(M26))^2/2)+$B$3507</f>
        <v>-57.9427083333333</v>
      </c>
      <c r="E3771" s="3">
        <f>$B$3505*(C3771)+$B$3506*(C3771)^2/2-$B$3504*(C3771)^3/6-(N(D26)*MAX(0,(C3771)-N(E26))^2/2+N(F26)*MAX(0,(C3771)-N(G26))^2/2+N(H26)*MAX(0,(C3771)-N(I26))^2/2+N(J26)*MAX(0,(C3771)-N(K26))^2/2+N(L26)*MAX(0,(C3771)-N(M26))^2/2)+$B$3507</f>
        <v>-57.9427083333333</v>
      </c>
    </row>
    <row r="3772" spans="1:5" hidden="1">
      <c r="A3772" s="3">
        <f t="shared" si="17"/>
        <v>0</v>
      </c>
      <c r="B3772" s="3">
        <f t="shared" si="18"/>
        <v>0</v>
      </c>
      <c r="C3772" s="3">
        <f t="shared" si="16"/>
        <v>0</v>
      </c>
      <c r="D3772" s="3">
        <f>$B$3505*(A3772)+$B$3506*(A3772)^2/2-$B$3504*(A3772)^3/6-(N(D26)*MAX(0,(A3772)-N(E26))^2/2+N(F26)*MAX(0,(A3772)-N(G26))^2/2+N(H26)*MAX(0,(A3772)-N(I26))^2/2+N(J26)*MAX(0,(A3772)-N(K26))^2/2+N(L26)*MAX(0,(A3772)-N(M26))^2/2)+$B$3507</f>
        <v>-57.9427083333333</v>
      </c>
      <c r="E3772" s="3">
        <f>$B$3505*(C3772)+$B$3506*(C3772)^2/2-$B$3504*(C3772)^3/6-(N(D26)*MAX(0,(C3772)-N(E26))^2/2+N(F26)*MAX(0,(C3772)-N(G26))^2/2+N(H26)*MAX(0,(C3772)-N(I26))^2/2+N(J26)*MAX(0,(C3772)-N(K26))^2/2+N(L26)*MAX(0,(C3772)-N(M26))^2/2)+$B$3507</f>
        <v>-57.9427083333333</v>
      </c>
    </row>
    <row r="3773" spans="1:5" hidden="1">
      <c r="A3773" s="3">
        <f t="shared" si="17"/>
        <v>0</v>
      </c>
      <c r="B3773" s="3">
        <f t="shared" si="18"/>
        <v>0</v>
      </c>
      <c r="C3773" s="3">
        <f t="shared" si="16"/>
        <v>0</v>
      </c>
      <c r="D3773" s="3">
        <f>$B$3505*(A3773)+$B$3506*(A3773)^2/2-$B$3504*(A3773)^3/6-(N(D26)*MAX(0,(A3773)-N(E26))^2/2+N(F26)*MAX(0,(A3773)-N(G26))^2/2+N(H26)*MAX(0,(A3773)-N(I26))^2/2+N(J26)*MAX(0,(A3773)-N(K26))^2/2+N(L26)*MAX(0,(A3773)-N(M26))^2/2)+$B$3507</f>
        <v>-57.9427083333333</v>
      </c>
      <c r="E3773" s="3">
        <f>$B$3505*(C3773)+$B$3506*(C3773)^2/2-$B$3504*(C3773)^3/6-(N(D26)*MAX(0,(C3773)-N(E26))^2/2+N(F26)*MAX(0,(C3773)-N(G26))^2/2+N(H26)*MAX(0,(C3773)-N(I26))^2/2+N(J26)*MAX(0,(C3773)-N(K26))^2/2+N(L26)*MAX(0,(C3773)-N(M26))^2/2)+$B$3507</f>
        <v>-57.9427083333333</v>
      </c>
    </row>
    <row r="3774" spans="1:5" hidden="1">
      <c r="A3774" s="3">
        <f t="shared" si="17"/>
        <v>0</v>
      </c>
      <c r="B3774" s="3">
        <f t="shared" si="18"/>
        <v>0</v>
      </c>
      <c r="C3774" s="3">
        <f t="shared" si="16"/>
        <v>0</v>
      </c>
      <c r="D3774" s="3">
        <f>$B$3505*(A3774)+$B$3506*(A3774)^2/2-$B$3504*(A3774)^3/6-(N(D26)*MAX(0,(A3774)-N(E26))^2/2+N(F26)*MAX(0,(A3774)-N(G26))^2/2+N(H26)*MAX(0,(A3774)-N(I26))^2/2+N(J26)*MAX(0,(A3774)-N(K26))^2/2+N(L26)*MAX(0,(A3774)-N(M26))^2/2)+$B$3507</f>
        <v>-57.9427083333333</v>
      </c>
      <c r="E3774" s="3">
        <f>$B$3505*(C3774)+$B$3506*(C3774)^2/2-$B$3504*(C3774)^3/6-(N(D26)*MAX(0,(C3774)-N(E26))^2/2+N(F26)*MAX(0,(C3774)-N(G26))^2/2+N(H26)*MAX(0,(C3774)-N(I26))^2/2+N(J26)*MAX(0,(C3774)-N(K26))^2/2+N(L26)*MAX(0,(C3774)-N(M26))^2/2)+$B$3507</f>
        <v>-57.9427083333333</v>
      </c>
    </row>
    <row r="3775" spans="1:5" hidden="1">
      <c r="A3775" s="3">
        <f t="shared" si="17"/>
        <v>0</v>
      </c>
      <c r="B3775" s="3">
        <f t="shared" si="18"/>
        <v>0</v>
      </c>
      <c r="C3775" s="3">
        <f t="shared" si="16"/>
        <v>0</v>
      </c>
      <c r="D3775" s="3">
        <f>$B$3505*(A3775)+$B$3506*(A3775)^2/2-$B$3504*(A3775)^3/6-(N(D26)*MAX(0,(A3775)-N(E26))^2/2+N(F26)*MAX(0,(A3775)-N(G26))^2/2+N(H26)*MAX(0,(A3775)-N(I26))^2/2+N(J26)*MAX(0,(A3775)-N(K26))^2/2+N(L26)*MAX(0,(A3775)-N(M26))^2/2)+$B$3507</f>
        <v>-57.9427083333333</v>
      </c>
      <c r="E3775" s="3">
        <f>$B$3505*(C3775)+$B$3506*(C3775)^2/2-$B$3504*(C3775)^3/6-(N(D26)*MAX(0,(C3775)-N(E26))^2/2+N(F26)*MAX(0,(C3775)-N(G26))^2/2+N(H26)*MAX(0,(C3775)-N(I26))^2/2+N(J26)*MAX(0,(C3775)-N(K26))^2/2+N(L26)*MAX(0,(C3775)-N(M26))^2/2)+$B$3507</f>
        <v>-57.9427083333333</v>
      </c>
    </row>
    <row r="3776" spans="1:5" hidden="1">
      <c r="A3776" s="3">
        <f t="shared" si="17"/>
        <v>0</v>
      </c>
      <c r="B3776" s="3">
        <f t="shared" si="18"/>
        <v>0</v>
      </c>
      <c r="C3776" s="3">
        <f t="shared" si="16"/>
        <v>0</v>
      </c>
      <c r="D3776" s="3">
        <f>$B$3505*(A3776)+$B$3506*(A3776)^2/2-$B$3504*(A3776)^3/6-(N(D26)*MAX(0,(A3776)-N(E26))^2/2+N(F26)*MAX(0,(A3776)-N(G26))^2/2+N(H26)*MAX(0,(A3776)-N(I26))^2/2+N(J26)*MAX(0,(A3776)-N(K26))^2/2+N(L26)*MAX(0,(A3776)-N(M26))^2/2)+$B$3507</f>
        <v>-57.9427083333333</v>
      </c>
      <c r="E3776" s="3">
        <f>$B$3505*(C3776)+$B$3506*(C3776)^2/2-$B$3504*(C3776)^3/6-(N(D26)*MAX(0,(C3776)-N(E26))^2/2+N(F26)*MAX(0,(C3776)-N(G26))^2/2+N(H26)*MAX(0,(C3776)-N(I26))^2/2+N(J26)*MAX(0,(C3776)-N(K26))^2/2+N(L26)*MAX(0,(C3776)-N(M26))^2/2)+$B$3507</f>
        <v>-57.9427083333333</v>
      </c>
    </row>
    <row r="3777" spans="1:5" hidden="1">
      <c r="A3777" s="3">
        <f t="shared" si="17"/>
        <v>0</v>
      </c>
      <c r="B3777" s="3">
        <f t="shared" si="18"/>
        <v>0</v>
      </c>
      <c r="C3777" s="3">
        <f t="shared" si="16"/>
        <v>0</v>
      </c>
      <c r="D3777" s="3">
        <f>$B$3505*(A3777)+$B$3506*(A3777)^2/2-$B$3504*(A3777)^3/6-(N(D26)*MAX(0,(A3777)-N(E26))^2/2+N(F26)*MAX(0,(A3777)-N(G26))^2/2+N(H26)*MAX(0,(A3777)-N(I26))^2/2+N(J26)*MAX(0,(A3777)-N(K26))^2/2+N(L26)*MAX(0,(A3777)-N(M26))^2/2)+$B$3507</f>
        <v>-57.9427083333333</v>
      </c>
      <c r="E3777" s="3">
        <f>$B$3505*(C3777)+$B$3506*(C3777)^2/2-$B$3504*(C3777)^3/6-(N(D26)*MAX(0,(C3777)-N(E26))^2/2+N(F26)*MAX(0,(C3777)-N(G26))^2/2+N(H26)*MAX(0,(C3777)-N(I26))^2/2+N(J26)*MAX(0,(C3777)-N(K26))^2/2+N(L26)*MAX(0,(C3777)-N(M26))^2/2)+$B$3507</f>
        <v>-57.9427083333333</v>
      </c>
    </row>
    <row r="3778" spans="1:5" hidden="1">
      <c r="A3778" s="3">
        <f t="shared" si="17"/>
        <v>0</v>
      </c>
      <c r="B3778" s="3">
        <f t="shared" si="18"/>
        <v>0</v>
      </c>
      <c r="C3778" s="3">
        <f t="shared" si="16"/>
        <v>0</v>
      </c>
      <c r="D3778" s="3">
        <f>$B$3505*(A3778)+$B$3506*(A3778)^2/2-$B$3504*(A3778)^3/6-(N(D26)*MAX(0,(A3778)-N(E26))^2/2+N(F26)*MAX(0,(A3778)-N(G26))^2/2+N(H26)*MAX(0,(A3778)-N(I26))^2/2+N(J26)*MAX(0,(A3778)-N(K26))^2/2+N(L26)*MAX(0,(A3778)-N(M26))^2/2)+$B$3507</f>
        <v>-57.9427083333333</v>
      </c>
      <c r="E3778" s="3">
        <f>$B$3505*(C3778)+$B$3506*(C3778)^2/2-$B$3504*(C3778)^3/6-(N(D26)*MAX(0,(C3778)-N(E26))^2/2+N(F26)*MAX(0,(C3778)-N(G26))^2/2+N(H26)*MAX(0,(C3778)-N(I26))^2/2+N(J26)*MAX(0,(C3778)-N(K26))^2/2+N(L26)*MAX(0,(C3778)-N(M26))^2/2)+$B$3507</f>
        <v>-57.9427083333333</v>
      </c>
    </row>
    <row r="3779" spans="1:5" hidden="1">
      <c r="A3779" s="3">
        <f t="shared" si="17"/>
        <v>0</v>
      </c>
      <c r="B3779" s="3">
        <f t="shared" si="18"/>
        <v>0</v>
      </c>
      <c r="C3779" s="3">
        <f t="shared" si="16"/>
        <v>0</v>
      </c>
      <c r="D3779" s="3">
        <f>$B$3505*(A3779)+$B$3506*(A3779)^2/2-$B$3504*(A3779)^3/6-(N(D26)*MAX(0,(A3779)-N(E26))^2/2+N(F26)*MAX(0,(A3779)-N(G26))^2/2+N(H26)*MAX(0,(A3779)-N(I26))^2/2+N(J26)*MAX(0,(A3779)-N(K26))^2/2+N(L26)*MAX(0,(A3779)-N(M26))^2/2)+$B$3507</f>
        <v>-57.9427083333333</v>
      </c>
      <c r="E3779" s="3">
        <f>$B$3505*(C3779)+$B$3506*(C3779)^2/2-$B$3504*(C3779)^3/6-(N(D26)*MAX(0,(C3779)-N(E26))^2/2+N(F26)*MAX(0,(C3779)-N(G26))^2/2+N(H26)*MAX(0,(C3779)-N(I26))^2/2+N(J26)*MAX(0,(C3779)-N(K26))^2/2+N(L26)*MAX(0,(C3779)-N(M26))^2/2)+$B$3507</f>
        <v>-57.9427083333333</v>
      </c>
    </row>
    <row r="3780" spans="1:5" hidden="1">
      <c r="A3780" s="3">
        <f t="shared" si="17"/>
        <v>0</v>
      </c>
      <c r="B3780" s="3">
        <f t="shared" si="18"/>
        <v>0</v>
      </c>
      <c r="C3780" s="3">
        <f t="shared" si="16"/>
        <v>0</v>
      </c>
      <c r="D3780" s="3">
        <f>$B$3505*(A3780)+$B$3506*(A3780)^2/2-$B$3504*(A3780)^3/6-(N(D26)*MAX(0,(A3780)-N(E26))^2/2+N(F26)*MAX(0,(A3780)-N(G26))^2/2+N(H26)*MAX(0,(A3780)-N(I26))^2/2+N(J26)*MAX(0,(A3780)-N(K26))^2/2+N(L26)*MAX(0,(A3780)-N(M26))^2/2)+$B$3507</f>
        <v>-57.9427083333333</v>
      </c>
      <c r="E3780" s="3">
        <f>$B$3505*(C3780)+$B$3506*(C3780)^2/2-$B$3504*(C3780)^3/6-(N(D26)*MAX(0,(C3780)-N(E26))^2/2+N(F26)*MAX(0,(C3780)-N(G26))^2/2+N(H26)*MAX(0,(C3780)-N(I26))^2/2+N(J26)*MAX(0,(C3780)-N(K26))^2/2+N(L26)*MAX(0,(C3780)-N(M26))^2/2)+$B$3507</f>
        <v>-57.9427083333333</v>
      </c>
    </row>
    <row r="3781" spans="1:5" hidden="1">
      <c r="A3781" s="3">
        <f t="shared" si="17"/>
        <v>0</v>
      </c>
      <c r="B3781" s="3">
        <f t="shared" si="18"/>
        <v>0</v>
      </c>
      <c r="C3781" s="3">
        <f t="shared" si="16"/>
        <v>0</v>
      </c>
      <c r="D3781" s="3">
        <f>$B$3505*(A3781)+$B$3506*(A3781)^2/2-$B$3504*(A3781)^3/6-(N(D26)*MAX(0,(A3781)-N(E26))^2/2+N(F26)*MAX(0,(A3781)-N(G26))^2/2+N(H26)*MAX(0,(A3781)-N(I26))^2/2+N(J26)*MAX(0,(A3781)-N(K26))^2/2+N(L26)*MAX(0,(A3781)-N(M26))^2/2)+$B$3507</f>
        <v>-57.9427083333333</v>
      </c>
      <c r="E3781" s="3">
        <f>$B$3505*(C3781)+$B$3506*(C3781)^2/2-$B$3504*(C3781)^3/6-(N(D26)*MAX(0,(C3781)-N(E26))^2/2+N(F26)*MAX(0,(C3781)-N(G26))^2/2+N(H26)*MAX(0,(C3781)-N(I26))^2/2+N(J26)*MAX(0,(C3781)-N(K26))^2/2+N(L26)*MAX(0,(C3781)-N(M26))^2/2)+$B$3507</f>
        <v>-57.9427083333333</v>
      </c>
    </row>
    <row r="3782" spans="1:5" hidden="1">
      <c r="A3782" s="3">
        <f t="shared" si="17"/>
        <v>0</v>
      </c>
      <c r="B3782" s="3">
        <f t="shared" si="18"/>
        <v>0</v>
      </c>
      <c r="C3782" s="3">
        <f t="shared" si="16"/>
        <v>0</v>
      </c>
      <c r="D3782" s="3">
        <f>$B$3505*(A3782)+$B$3506*(A3782)^2/2-$B$3504*(A3782)^3/6-(N(D26)*MAX(0,(A3782)-N(E26))^2/2+N(F26)*MAX(0,(A3782)-N(G26))^2/2+N(H26)*MAX(0,(A3782)-N(I26))^2/2+N(J26)*MAX(0,(A3782)-N(K26))^2/2+N(L26)*MAX(0,(A3782)-N(M26))^2/2)+$B$3507</f>
        <v>-57.9427083333333</v>
      </c>
      <c r="E3782" s="3">
        <f>$B$3505*(C3782)+$B$3506*(C3782)^2/2-$B$3504*(C3782)^3/6-(N(D26)*MAX(0,(C3782)-N(E26))^2/2+N(F26)*MAX(0,(C3782)-N(G26))^2/2+N(H26)*MAX(0,(C3782)-N(I26))^2/2+N(J26)*MAX(0,(C3782)-N(K26))^2/2+N(L26)*MAX(0,(C3782)-N(M26))^2/2)+$B$3507</f>
        <v>-57.9427083333333</v>
      </c>
    </row>
    <row r="3783" spans="1:5" hidden="1">
      <c r="A3783" s="3">
        <f t="shared" si="17"/>
        <v>0</v>
      </c>
      <c r="B3783" s="3">
        <f t="shared" si="18"/>
        <v>0</v>
      </c>
      <c r="C3783" s="3">
        <f t="shared" si="16"/>
        <v>0</v>
      </c>
      <c r="D3783" s="3">
        <f>$B$3505*(A3783)+$B$3506*(A3783)^2/2-$B$3504*(A3783)^3/6-(N(D26)*MAX(0,(A3783)-N(E26))^2/2+N(F26)*MAX(0,(A3783)-N(G26))^2/2+N(H26)*MAX(0,(A3783)-N(I26))^2/2+N(J26)*MAX(0,(A3783)-N(K26))^2/2+N(L26)*MAX(0,(A3783)-N(M26))^2/2)+$B$3507</f>
        <v>-57.9427083333333</v>
      </c>
      <c r="E3783" s="3">
        <f>$B$3505*(C3783)+$B$3506*(C3783)^2/2-$B$3504*(C3783)^3/6-(N(D26)*MAX(0,(C3783)-N(E26))^2/2+N(F26)*MAX(0,(C3783)-N(G26))^2/2+N(H26)*MAX(0,(C3783)-N(I26))^2/2+N(J26)*MAX(0,(C3783)-N(K26))^2/2+N(L26)*MAX(0,(C3783)-N(M26))^2/2)+$B$3507</f>
        <v>-57.9427083333333</v>
      </c>
    </row>
    <row r="3784" spans="1:5" hidden="1"/>
    <row r="3785" spans="1:5" hidden="1">
      <c r="A3785" s="3">
        <f>B3545</f>
        <v>0</v>
      </c>
      <c r="B3785" s="3">
        <f>IF(($B$3505*(B3545)+$B$3506*(B3545)^2/2-$B$3504*(B3545)^3/6-(N(D26)*MAX(0,(B3545)-N(E26))^2/2+N(F26)*MAX(0,(B3545)-N(G26))^2/2+N(H26)*MAX(0,(B3545)-N(I26))^2/2+N(J26)*MAX(0,(B3545)-N(K26))^2/2+N(L26)*MAX(0,(B3545)-N(M26))^2/2)+$B$3507)*($B$3505*(B3546)+$B$3506*(B3546)^2/2-$B$3504*(B3546)^3/6-(N(D26)*MAX(0,(B3546)-N(E26))^2/2+N(F26)*MAX(0,(B3546)-N(G26))^2/2+N(H26)*MAX(0,(B3546)-N(I26))^2/2+N(J26)*MAX(0,(B3546)-N(K26))^2/2+N(L26)*MAX(0,(B3546)-N(M26))^2/2)+$B$3507)&lt;=0,B3546,B3545)</f>
        <v>0</v>
      </c>
      <c r="C3785" s="3">
        <f t="shared" ref="C3785:C3829" si="19">(A3785+B3785)/2</f>
        <v>0</v>
      </c>
      <c r="D3785" s="3">
        <f>$B$3505*(A3785)+$B$3506*(A3785)^2/2-$B$3504*(A3785)^3/6-(N(D26)*MAX(0,(A3785)-N(E26))^2/2+N(F26)*MAX(0,(A3785)-N(G26))^2/2+N(H26)*MAX(0,(A3785)-N(I26))^2/2+N(J26)*MAX(0,(A3785)-N(K26))^2/2+N(L26)*MAX(0,(A3785)-N(M26))^2/2)+$B$3507</f>
        <v>-57.9427083333333</v>
      </c>
      <c r="E3785" s="3">
        <f>$B$3505*(C3785)+$B$3506*(C3785)^2/2-$B$3504*(C3785)^3/6-(N(D26)*MAX(0,(C3785)-N(E26))^2/2+N(F26)*MAX(0,(C3785)-N(G26))^2/2+N(H26)*MAX(0,(C3785)-N(I26))^2/2+N(J26)*MAX(0,(C3785)-N(K26))^2/2+N(L26)*MAX(0,(C3785)-N(M26))^2/2)+$B$3507</f>
        <v>-57.9427083333333</v>
      </c>
    </row>
    <row r="3786" spans="1:5" hidden="1">
      <c r="A3786" s="3">
        <f t="shared" ref="A3786:A3829" si="20">IF(D3785*E3785&lt;=0,A3785,C3785)</f>
        <v>0</v>
      </c>
      <c r="B3786" s="3">
        <f t="shared" ref="B3786:B3829" si="21">IF(D3785*E3785&lt;=0,C3785,B3785)</f>
        <v>0</v>
      </c>
      <c r="C3786" s="3">
        <f t="shared" si="19"/>
        <v>0</v>
      </c>
      <c r="D3786" s="3">
        <f>$B$3505*(A3786)+$B$3506*(A3786)^2/2-$B$3504*(A3786)^3/6-(N(D26)*MAX(0,(A3786)-N(E26))^2/2+N(F26)*MAX(0,(A3786)-N(G26))^2/2+N(H26)*MAX(0,(A3786)-N(I26))^2/2+N(J26)*MAX(0,(A3786)-N(K26))^2/2+N(L26)*MAX(0,(A3786)-N(M26))^2/2)+$B$3507</f>
        <v>-57.9427083333333</v>
      </c>
      <c r="E3786" s="3">
        <f>$B$3505*(C3786)+$B$3506*(C3786)^2/2-$B$3504*(C3786)^3/6-(N(D26)*MAX(0,(C3786)-N(E26))^2/2+N(F26)*MAX(0,(C3786)-N(G26))^2/2+N(H26)*MAX(0,(C3786)-N(I26))^2/2+N(J26)*MAX(0,(C3786)-N(K26))^2/2+N(L26)*MAX(0,(C3786)-N(M26))^2/2)+$B$3507</f>
        <v>-57.9427083333333</v>
      </c>
    </row>
    <row r="3787" spans="1:5" hidden="1">
      <c r="A3787" s="3">
        <f t="shared" si="20"/>
        <v>0</v>
      </c>
      <c r="B3787" s="3">
        <f t="shared" si="21"/>
        <v>0</v>
      </c>
      <c r="C3787" s="3">
        <f t="shared" si="19"/>
        <v>0</v>
      </c>
      <c r="D3787" s="3">
        <f>$B$3505*(A3787)+$B$3506*(A3787)^2/2-$B$3504*(A3787)^3/6-(N(D26)*MAX(0,(A3787)-N(E26))^2/2+N(F26)*MAX(0,(A3787)-N(G26))^2/2+N(H26)*MAX(0,(A3787)-N(I26))^2/2+N(J26)*MAX(0,(A3787)-N(K26))^2/2+N(L26)*MAX(0,(A3787)-N(M26))^2/2)+$B$3507</f>
        <v>-57.9427083333333</v>
      </c>
      <c r="E3787" s="3">
        <f>$B$3505*(C3787)+$B$3506*(C3787)^2/2-$B$3504*(C3787)^3/6-(N(D26)*MAX(0,(C3787)-N(E26))^2/2+N(F26)*MAX(0,(C3787)-N(G26))^2/2+N(H26)*MAX(0,(C3787)-N(I26))^2/2+N(J26)*MAX(0,(C3787)-N(K26))^2/2+N(L26)*MAX(0,(C3787)-N(M26))^2/2)+$B$3507</f>
        <v>-57.9427083333333</v>
      </c>
    </row>
    <row r="3788" spans="1:5" hidden="1">
      <c r="A3788" s="3">
        <f t="shared" si="20"/>
        <v>0</v>
      </c>
      <c r="B3788" s="3">
        <f t="shared" si="21"/>
        <v>0</v>
      </c>
      <c r="C3788" s="3">
        <f t="shared" si="19"/>
        <v>0</v>
      </c>
      <c r="D3788" s="3">
        <f>$B$3505*(A3788)+$B$3506*(A3788)^2/2-$B$3504*(A3788)^3/6-(N(D26)*MAX(0,(A3788)-N(E26))^2/2+N(F26)*MAX(0,(A3788)-N(G26))^2/2+N(H26)*MAX(0,(A3788)-N(I26))^2/2+N(J26)*MAX(0,(A3788)-N(K26))^2/2+N(L26)*MAX(0,(A3788)-N(M26))^2/2)+$B$3507</f>
        <v>-57.9427083333333</v>
      </c>
      <c r="E3788" s="3">
        <f>$B$3505*(C3788)+$B$3506*(C3788)^2/2-$B$3504*(C3788)^3/6-(N(D26)*MAX(0,(C3788)-N(E26))^2/2+N(F26)*MAX(0,(C3788)-N(G26))^2/2+N(H26)*MAX(0,(C3788)-N(I26))^2/2+N(J26)*MAX(0,(C3788)-N(K26))^2/2+N(L26)*MAX(0,(C3788)-N(M26))^2/2)+$B$3507</f>
        <v>-57.9427083333333</v>
      </c>
    </row>
    <row r="3789" spans="1:5" hidden="1">
      <c r="A3789" s="3">
        <f t="shared" si="20"/>
        <v>0</v>
      </c>
      <c r="B3789" s="3">
        <f t="shared" si="21"/>
        <v>0</v>
      </c>
      <c r="C3789" s="3">
        <f t="shared" si="19"/>
        <v>0</v>
      </c>
      <c r="D3789" s="3">
        <f>$B$3505*(A3789)+$B$3506*(A3789)^2/2-$B$3504*(A3789)^3/6-(N(D26)*MAX(0,(A3789)-N(E26))^2/2+N(F26)*MAX(0,(A3789)-N(G26))^2/2+N(H26)*MAX(0,(A3789)-N(I26))^2/2+N(J26)*MAX(0,(A3789)-N(K26))^2/2+N(L26)*MAX(0,(A3789)-N(M26))^2/2)+$B$3507</f>
        <v>-57.9427083333333</v>
      </c>
      <c r="E3789" s="3">
        <f>$B$3505*(C3789)+$B$3506*(C3789)^2/2-$B$3504*(C3789)^3/6-(N(D26)*MAX(0,(C3789)-N(E26))^2/2+N(F26)*MAX(0,(C3789)-N(G26))^2/2+N(H26)*MAX(0,(C3789)-N(I26))^2/2+N(J26)*MAX(0,(C3789)-N(K26))^2/2+N(L26)*MAX(0,(C3789)-N(M26))^2/2)+$B$3507</f>
        <v>-57.9427083333333</v>
      </c>
    </row>
    <row r="3790" spans="1:5" hidden="1">
      <c r="A3790" s="3">
        <f t="shared" si="20"/>
        <v>0</v>
      </c>
      <c r="B3790" s="3">
        <f t="shared" si="21"/>
        <v>0</v>
      </c>
      <c r="C3790" s="3">
        <f t="shared" si="19"/>
        <v>0</v>
      </c>
      <c r="D3790" s="3">
        <f>$B$3505*(A3790)+$B$3506*(A3790)^2/2-$B$3504*(A3790)^3/6-(N(D26)*MAX(0,(A3790)-N(E26))^2/2+N(F26)*MAX(0,(A3790)-N(G26))^2/2+N(H26)*MAX(0,(A3790)-N(I26))^2/2+N(J26)*MAX(0,(A3790)-N(K26))^2/2+N(L26)*MAX(0,(A3790)-N(M26))^2/2)+$B$3507</f>
        <v>-57.9427083333333</v>
      </c>
      <c r="E3790" s="3">
        <f>$B$3505*(C3790)+$B$3506*(C3790)^2/2-$B$3504*(C3790)^3/6-(N(D26)*MAX(0,(C3790)-N(E26))^2/2+N(F26)*MAX(0,(C3790)-N(G26))^2/2+N(H26)*MAX(0,(C3790)-N(I26))^2/2+N(J26)*MAX(0,(C3790)-N(K26))^2/2+N(L26)*MAX(0,(C3790)-N(M26))^2/2)+$B$3507</f>
        <v>-57.9427083333333</v>
      </c>
    </row>
    <row r="3791" spans="1:5" hidden="1">
      <c r="A3791" s="3">
        <f t="shared" si="20"/>
        <v>0</v>
      </c>
      <c r="B3791" s="3">
        <f t="shared" si="21"/>
        <v>0</v>
      </c>
      <c r="C3791" s="3">
        <f t="shared" si="19"/>
        <v>0</v>
      </c>
      <c r="D3791" s="3">
        <f>$B$3505*(A3791)+$B$3506*(A3791)^2/2-$B$3504*(A3791)^3/6-(N(D26)*MAX(0,(A3791)-N(E26))^2/2+N(F26)*MAX(0,(A3791)-N(G26))^2/2+N(H26)*MAX(0,(A3791)-N(I26))^2/2+N(J26)*MAX(0,(A3791)-N(K26))^2/2+N(L26)*MAX(0,(A3791)-N(M26))^2/2)+$B$3507</f>
        <v>-57.9427083333333</v>
      </c>
      <c r="E3791" s="3">
        <f>$B$3505*(C3791)+$B$3506*(C3791)^2/2-$B$3504*(C3791)^3/6-(N(D26)*MAX(0,(C3791)-N(E26))^2/2+N(F26)*MAX(0,(C3791)-N(G26))^2/2+N(H26)*MAX(0,(C3791)-N(I26))^2/2+N(J26)*MAX(0,(C3791)-N(K26))^2/2+N(L26)*MAX(0,(C3791)-N(M26))^2/2)+$B$3507</f>
        <v>-57.9427083333333</v>
      </c>
    </row>
    <row r="3792" spans="1:5" hidden="1">
      <c r="A3792" s="3">
        <f t="shared" si="20"/>
        <v>0</v>
      </c>
      <c r="B3792" s="3">
        <f t="shared" si="21"/>
        <v>0</v>
      </c>
      <c r="C3792" s="3">
        <f t="shared" si="19"/>
        <v>0</v>
      </c>
      <c r="D3792" s="3">
        <f>$B$3505*(A3792)+$B$3506*(A3792)^2/2-$B$3504*(A3792)^3/6-(N(D26)*MAX(0,(A3792)-N(E26))^2/2+N(F26)*MAX(0,(A3792)-N(G26))^2/2+N(H26)*MAX(0,(A3792)-N(I26))^2/2+N(J26)*MAX(0,(A3792)-N(K26))^2/2+N(L26)*MAX(0,(A3792)-N(M26))^2/2)+$B$3507</f>
        <v>-57.9427083333333</v>
      </c>
      <c r="E3792" s="3">
        <f>$B$3505*(C3792)+$B$3506*(C3792)^2/2-$B$3504*(C3792)^3/6-(N(D26)*MAX(0,(C3792)-N(E26))^2/2+N(F26)*MAX(0,(C3792)-N(G26))^2/2+N(H26)*MAX(0,(C3792)-N(I26))^2/2+N(J26)*MAX(0,(C3792)-N(K26))^2/2+N(L26)*MAX(0,(C3792)-N(M26))^2/2)+$B$3507</f>
        <v>-57.9427083333333</v>
      </c>
    </row>
    <row r="3793" spans="1:5" hidden="1">
      <c r="A3793" s="3">
        <f t="shared" si="20"/>
        <v>0</v>
      </c>
      <c r="B3793" s="3">
        <f t="shared" si="21"/>
        <v>0</v>
      </c>
      <c r="C3793" s="3">
        <f t="shared" si="19"/>
        <v>0</v>
      </c>
      <c r="D3793" s="3">
        <f>$B$3505*(A3793)+$B$3506*(A3793)^2/2-$B$3504*(A3793)^3/6-(N(D26)*MAX(0,(A3793)-N(E26))^2/2+N(F26)*MAX(0,(A3793)-N(G26))^2/2+N(H26)*MAX(0,(A3793)-N(I26))^2/2+N(J26)*MAX(0,(A3793)-N(K26))^2/2+N(L26)*MAX(0,(A3793)-N(M26))^2/2)+$B$3507</f>
        <v>-57.9427083333333</v>
      </c>
      <c r="E3793" s="3">
        <f>$B$3505*(C3793)+$B$3506*(C3793)^2/2-$B$3504*(C3793)^3/6-(N(D26)*MAX(0,(C3793)-N(E26))^2/2+N(F26)*MAX(0,(C3793)-N(G26))^2/2+N(H26)*MAX(0,(C3793)-N(I26))^2/2+N(J26)*MAX(0,(C3793)-N(K26))^2/2+N(L26)*MAX(0,(C3793)-N(M26))^2/2)+$B$3507</f>
        <v>-57.9427083333333</v>
      </c>
    </row>
    <row r="3794" spans="1:5" hidden="1">
      <c r="A3794" s="3">
        <f t="shared" si="20"/>
        <v>0</v>
      </c>
      <c r="B3794" s="3">
        <f t="shared" si="21"/>
        <v>0</v>
      </c>
      <c r="C3794" s="3">
        <f t="shared" si="19"/>
        <v>0</v>
      </c>
      <c r="D3794" s="3">
        <f>$B$3505*(A3794)+$B$3506*(A3794)^2/2-$B$3504*(A3794)^3/6-(N(D26)*MAX(0,(A3794)-N(E26))^2/2+N(F26)*MAX(0,(A3794)-N(G26))^2/2+N(H26)*MAX(0,(A3794)-N(I26))^2/2+N(J26)*MAX(0,(A3794)-N(K26))^2/2+N(L26)*MAX(0,(A3794)-N(M26))^2/2)+$B$3507</f>
        <v>-57.9427083333333</v>
      </c>
      <c r="E3794" s="3">
        <f>$B$3505*(C3794)+$B$3506*(C3794)^2/2-$B$3504*(C3794)^3/6-(N(D26)*MAX(0,(C3794)-N(E26))^2/2+N(F26)*MAX(0,(C3794)-N(G26))^2/2+N(H26)*MAX(0,(C3794)-N(I26))^2/2+N(J26)*MAX(0,(C3794)-N(K26))^2/2+N(L26)*MAX(0,(C3794)-N(M26))^2/2)+$B$3507</f>
        <v>-57.9427083333333</v>
      </c>
    </row>
    <row r="3795" spans="1:5" hidden="1">
      <c r="A3795" s="3">
        <f t="shared" si="20"/>
        <v>0</v>
      </c>
      <c r="B3795" s="3">
        <f t="shared" si="21"/>
        <v>0</v>
      </c>
      <c r="C3795" s="3">
        <f t="shared" si="19"/>
        <v>0</v>
      </c>
      <c r="D3795" s="3">
        <f>$B$3505*(A3795)+$B$3506*(A3795)^2/2-$B$3504*(A3795)^3/6-(N(D26)*MAX(0,(A3795)-N(E26))^2/2+N(F26)*MAX(0,(A3795)-N(G26))^2/2+N(H26)*MAX(0,(A3795)-N(I26))^2/2+N(J26)*MAX(0,(A3795)-N(K26))^2/2+N(L26)*MAX(0,(A3795)-N(M26))^2/2)+$B$3507</f>
        <v>-57.9427083333333</v>
      </c>
      <c r="E3795" s="3">
        <f>$B$3505*(C3795)+$B$3506*(C3795)^2/2-$B$3504*(C3795)^3/6-(N(D26)*MAX(0,(C3795)-N(E26))^2/2+N(F26)*MAX(0,(C3795)-N(G26))^2/2+N(H26)*MAX(0,(C3795)-N(I26))^2/2+N(J26)*MAX(0,(C3795)-N(K26))^2/2+N(L26)*MAX(0,(C3795)-N(M26))^2/2)+$B$3507</f>
        <v>-57.9427083333333</v>
      </c>
    </row>
    <row r="3796" spans="1:5" hidden="1">
      <c r="A3796" s="3">
        <f t="shared" si="20"/>
        <v>0</v>
      </c>
      <c r="B3796" s="3">
        <f t="shared" si="21"/>
        <v>0</v>
      </c>
      <c r="C3796" s="3">
        <f t="shared" si="19"/>
        <v>0</v>
      </c>
      <c r="D3796" s="3">
        <f>$B$3505*(A3796)+$B$3506*(A3796)^2/2-$B$3504*(A3796)^3/6-(N(D26)*MAX(0,(A3796)-N(E26))^2/2+N(F26)*MAX(0,(A3796)-N(G26))^2/2+N(H26)*MAX(0,(A3796)-N(I26))^2/2+N(J26)*MAX(0,(A3796)-N(K26))^2/2+N(L26)*MAX(0,(A3796)-N(M26))^2/2)+$B$3507</f>
        <v>-57.9427083333333</v>
      </c>
      <c r="E3796" s="3">
        <f>$B$3505*(C3796)+$B$3506*(C3796)^2/2-$B$3504*(C3796)^3/6-(N(D26)*MAX(0,(C3796)-N(E26))^2/2+N(F26)*MAX(0,(C3796)-N(G26))^2/2+N(H26)*MAX(0,(C3796)-N(I26))^2/2+N(J26)*MAX(0,(C3796)-N(K26))^2/2+N(L26)*MAX(0,(C3796)-N(M26))^2/2)+$B$3507</f>
        <v>-57.9427083333333</v>
      </c>
    </row>
    <row r="3797" spans="1:5" hidden="1">
      <c r="A3797" s="3">
        <f t="shared" si="20"/>
        <v>0</v>
      </c>
      <c r="B3797" s="3">
        <f t="shared" si="21"/>
        <v>0</v>
      </c>
      <c r="C3797" s="3">
        <f t="shared" si="19"/>
        <v>0</v>
      </c>
      <c r="D3797" s="3">
        <f>$B$3505*(A3797)+$B$3506*(A3797)^2/2-$B$3504*(A3797)^3/6-(N(D26)*MAX(0,(A3797)-N(E26))^2/2+N(F26)*MAX(0,(A3797)-N(G26))^2/2+N(H26)*MAX(0,(A3797)-N(I26))^2/2+N(J26)*MAX(0,(A3797)-N(K26))^2/2+N(L26)*MAX(0,(A3797)-N(M26))^2/2)+$B$3507</f>
        <v>-57.9427083333333</v>
      </c>
      <c r="E3797" s="3">
        <f>$B$3505*(C3797)+$B$3506*(C3797)^2/2-$B$3504*(C3797)^3/6-(N(D26)*MAX(0,(C3797)-N(E26))^2/2+N(F26)*MAX(0,(C3797)-N(G26))^2/2+N(H26)*MAX(0,(C3797)-N(I26))^2/2+N(J26)*MAX(0,(C3797)-N(K26))^2/2+N(L26)*MAX(0,(C3797)-N(M26))^2/2)+$B$3507</f>
        <v>-57.9427083333333</v>
      </c>
    </row>
    <row r="3798" spans="1:5" hidden="1">
      <c r="A3798" s="3">
        <f t="shared" si="20"/>
        <v>0</v>
      </c>
      <c r="B3798" s="3">
        <f t="shared" si="21"/>
        <v>0</v>
      </c>
      <c r="C3798" s="3">
        <f t="shared" si="19"/>
        <v>0</v>
      </c>
      <c r="D3798" s="3">
        <f>$B$3505*(A3798)+$B$3506*(A3798)^2/2-$B$3504*(A3798)^3/6-(N(D26)*MAX(0,(A3798)-N(E26))^2/2+N(F26)*MAX(0,(A3798)-N(G26))^2/2+N(H26)*MAX(0,(A3798)-N(I26))^2/2+N(J26)*MAX(0,(A3798)-N(K26))^2/2+N(L26)*MAX(0,(A3798)-N(M26))^2/2)+$B$3507</f>
        <v>-57.9427083333333</v>
      </c>
      <c r="E3798" s="3">
        <f>$B$3505*(C3798)+$B$3506*(C3798)^2/2-$B$3504*(C3798)^3/6-(N(D26)*MAX(0,(C3798)-N(E26))^2/2+N(F26)*MAX(0,(C3798)-N(G26))^2/2+N(H26)*MAX(0,(C3798)-N(I26))^2/2+N(J26)*MAX(0,(C3798)-N(K26))^2/2+N(L26)*MAX(0,(C3798)-N(M26))^2/2)+$B$3507</f>
        <v>-57.9427083333333</v>
      </c>
    </row>
    <row r="3799" spans="1:5" hidden="1">
      <c r="A3799" s="3">
        <f t="shared" si="20"/>
        <v>0</v>
      </c>
      <c r="B3799" s="3">
        <f t="shared" si="21"/>
        <v>0</v>
      </c>
      <c r="C3799" s="3">
        <f t="shared" si="19"/>
        <v>0</v>
      </c>
      <c r="D3799" s="3">
        <f>$B$3505*(A3799)+$B$3506*(A3799)^2/2-$B$3504*(A3799)^3/6-(N(D26)*MAX(0,(A3799)-N(E26))^2/2+N(F26)*MAX(0,(A3799)-N(G26))^2/2+N(H26)*MAX(0,(A3799)-N(I26))^2/2+N(J26)*MAX(0,(A3799)-N(K26))^2/2+N(L26)*MAX(0,(A3799)-N(M26))^2/2)+$B$3507</f>
        <v>-57.9427083333333</v>
      </c>
      <c r="E3799" s="3">
        <f>$B$3505*(C3799)+$B$3506*(C3799)^2/2-$B$3504*(C3799)^3/6-(N(D26)*MAX(0,(C3799)-N(E26))^2/2+N(F26)*MAX(0,(C3799)-N(G26))^2/2+N(H26)*MAX(0,(C3799)-N(I26))^2/2+N(J26)*MAX(0,(C3799)-N(K26))^2/2+N(L26)*MAX(0,(C3799)-N(M26))^2/2)+$B$3507</f>
        <v>-57.9427083333333</v>
      </c>
    </row>
    <row r="3800" spans="1:5" hidden="1">
      <c r="A3800" s="3">
        <f t="shared" si="20"/>
        <v>0</v>
      </c>
      <c r="B3800" s="3">
        <f t="shared" si="21"/>
        <v>0</v>
      </c>
      <c r="C3800" s="3">
        <f t="shared" si="19"/>
        <v>0</v>
      </c>
      <c r="D3800" s="3">
        <f>$B$3505*(A3800)+$B$3506*(A3800)^2/2-$B$3504*(A3800)^3/6-(N(D26)*MAX(0,(A3800)-N(E26))^2/2+N(F26)*MAX(0,(A3800)-N(G26))^2/2+N(H26)*MAX(0,(A3800)-N(I26))^2/2+N(J26)*MAX(0,(A3800)-N(K26))^2/2+N(L26)*MAX(0,(A3800)-N(M26))^2/2)+$B$3507</f>
        <v>-57.9427083333333</v>
      </c>
      <c r="E3800" s="3">
        <f>$B$3505*(C3800)+$B$3506*(C3800)^2/2-$B$3504*(C3800)^3/6-(N(D26)*MAX(0,(C3800)-N(E26))^2/2+N(F26)*MAX(0,(C3800)-N(G26))^2/2+N(H26)*MAX(0,(C3800)-N(I26))^2/2+N(J26)*MAX(0,(C3800)-N(K26))^2/2+N(L26)*MAX(0,(C3800)-N(M26))^2/2)+$B$3507</f>
        <v>-57.9427083333333</v>
      </c>
    </row>
    <row r="3801" spans="1:5" hidden="1">
      <c r="A3801" s="3">
        <f t="shared" si="20"/>
        <v>0</v>
      </c>
      <c r="B3801" s="3">
        <f t="shared" si="21"/>
        <v>0</v>
      </c>
      <c r="C3801" s="3">
        <f t="shared" si="19"/>
        <v>0</v>
      </c>
      <c r="D3801" s="3">
        <f>$B$3505*(A3801)+$B$3506*(A3801)^2/2-$B$3504*(A3801)^3/6-(N(D26)*MAX(0,(A3801)-N(E26))^2/2+N(F26)*MAX(0,(A3801)-N(G26))^2/2+N(H26)*MAX(0,(A3801)-N(I26))^2/2+N(J26)*MAX(0,(A3801)-N(K26))^2/2+N(L26)*MAX(0,(A3801)-N(M26))^2/2)+$B$3507</f>
        <v>-57.9427083333333</v>
      </c>
      <c r="E3801" s="3">
        <f>$B$3505*(C3801)+$B$3506*(C3801)^2/2-$B$3504*(C3801)^3/6-(N(D26)*MAX(0,(C3801)-N(E26))^2/2+N(F26)*MAX(0,(C3801)-N(G26))^2/2+N(H26)*MAX(0,(C3801)-N(I26))^2/2+N(J26)*MAX(0,(C3801)-N(K26))^2/2+N(L26)*MAX(0,(C3801)-N(M26))^2/2)+$B$3507</f>
        <v>-57.9427083333333</v>
      </c>
    </row>
    <row r="3802" spans="1:5" hidden="1">
      <c r="A3802" s="3">
        <f t="shared" si="20"/>
        <v>0</v>
      </c>
      <c r="B3802" s="3">
        <f t="shared" si="21"/>
        <v>0</v>
      </c>
      <c r="C3802" s="3">
        <f t="shared" si="19"/>
        <v>0</v>
      </c>
      <c r="D3802" s="3">
        <f>$B$3505*(A3802)+$B$3506*(A3802)^2/2-$B$3504*(A3802)^3/6-(N(D26)*MAX(0,(A3802)-N(E26))^2/2+N(F26)*MAX(0,(A3802)-N(G26))^2/2+N(H26)*MAX(0,(A3802)-N(I26))^2/2+N(J26)*MAX(0,(A3802)-N(K26))^2/2+N(L26)*MAX(0,(A3802)-N(M26))^2/2)+$B$3507</f>
        <v>-57.9427083333333</v>
      </c>
      <c r="E3802" s="3">
        <f>$B$3505*(C3802)+$B$3506*(C3802)^2/2-$B$3504*(C3802)^3/6-(N(D26)*MAX(0,(C3802)-N(E26))^2/2+N(F26)*MAX(0,(C3802)-N(G26))^2/2+N(H26)*MAX(0,(C3802)-N(I26))^2/2+N(J26)*MAX(0,(C3802)-N(K26))^2/2+N(L26)*MAX(0,(C3802)-N(M26))^2/2)+$B$3507</f>
        <v>-57.9427083333333</v>
      </c>
    </row>
    <row r="3803" spans="1:5" hidden="1">
      <c r="A3803" s="3">
        <f t="shared" si="20"/>
        <v>0</v>
      </c>
      <c r="B3803" s="3">
        <f t="shared" si="21"/>
        <v>0</v>
      </c>
      <c r="C3803" s="3">
        <f t="shared" si="19"/>
        <v>0</v>
      </c>
      <c r="D3803" s="3">
        <f>$B$3505*(A3803)+$B$3506*(A3803)^2/2-$B$3504*(A3803)^3/6-(N(D26)*MAX(0,(A3803)-N(E26))^2/2+N(F26)*MAX(0,(A3803)-N(G26))^2/2+N(H26)*MAX(0,(A3803)-N(I26))^2/2+N(J26)*MAX(0,(A3803)-N(K26))^2/2+N(L26)*MAX(0,(A3803)-N(M26))^2/2)+$B$3507</f>
        <v>-57.9427083333333</v>
      </c>
      <c r="E3803" s="3">
        <f>$B$3505*(C3803)+$B$3506*(C3803)^2/2-$B$3504*(C3803)^3/6-(N(D26)*MAX(0,(C3803)-N(E26))^2/2+N(F26)*MAX(0,(C3803)-N(G26))^2/2+N(H26)*MAX(0,(C3803)-N(I26))^2/2+N(J26)*MAX(0,(C3803)-N(K26))^2/2+N(L26)*MAX(0,(C3803)-N(M26))^2/2)+$B$3507</f>
        <v>-57.9427083333333</v>
      </c>
    </row>
    <row r="3804" spans="1:5" hidden="1">
      <c r="A3804" s="3">
        <f t="shared" si="20"/>
        <v>0</v>
      </c>
      <c r="B3804" s="3">
        <f t="shared" si="21"/>
        <v>0</v>
      </c>
      <c r="C3804" s="3">
        <f t="shared" si="19"/>
        <v>0</v>
      </c>
      <c r="D3804" s="3">
        <f>$B$3505*(A3804)+$B$3506*(A3804)^2/2-$B$3504*(A3804)^3/6-(N(D26)*MAX(0,(A3804)-N(E26))^2/2+N(F26)*MAX(0,(A3804)-N(G26))^2/2+N(H26)*MAX(0,(A3804)-N(I26))^2/2+N(J26)*MAX(0,(A3804)-N(K26))^2/2+N(L26)*MAX(0,(A3804)-N(M26))^2/2)+$B$3507</f>
        <v>-57.9427083333333</v>
      </c>
      <c r="E3804" s="3">
        <f>$B$3505*(C3804)+$B$3506*(C3804)^2/2-$B$3504*(C3804)^3/6-(N(D26)*MAX(0,(C3804)-N(E26))^2/2+N(F26)*MAX(0,(C3804)-N(G26))^2/2+N(H26)*MAX(0,(C3804)-N(I26))^2/2+N(J26)*MAX(0,(C3804)-N(K26))^2/2+N(L26)*MAX(0,(C3804)-N(M26))^2/2)+$B$3507</f>
        <v>-57.9427083333333</v>
      </c>
    </row>
    <row r="3805" spans="1:5" hidden="1">
      <c r="A3805" s="3">
        <f t="shared" si="20"/>
        <v>0</v>
      </c>
      <c r="B3805" s="3">
        <f t="shared" si="21"/>
        <v>0</v>
      </c>
      <c r="C3805" s="3">
        <f t="shared" si="19"/>
        <v>0</v>
      </c>
      <c r="D3805" s="3">
        <f>$B$3505*(A3805)+$B$3506*(A3805)^2/2-$B$3504*(A3805)^3/6-(N(D26)*MAX(0,(A3805)-N(E26))^2/2+N(F26)*MAX(0,(A3805)-N(G26))^2/2+N(H26)*MAX(0,(A3805)-N(I26))^2/2+N(J26)*MAX(0,(A3805)-N(K26))^2/2+N(L26)*MAX(0,(A3805)-N(M26))^2/2)+$B$3507</f>
        <v>-57.9427083333333</v>
      </c>
      <c r="E3805" s="3">
        <f>$B$3505*(C3805)+$B$3506*(C3805)^2/2-$B$3504*(C3805)^3/6-(N(D26)*MAX(0,(C3805)-N(E26))^2/2+N(F26)*MAX(0,(C3805)-N(G26))^2/2+N(H26)*MAX(0,(C3805)-N(I26))^2/2+N(J26)*MAX(0,(C3805)-N(K26))^2/2+N(L26)*MAX(0,(C3805)-N(M26))^2/2)+$B$3507</f>
        <v>-57.9427083333333</v>
      </c>
    </row>
    <row r="3806" spans="1:5" hidden="1">
      <c r="A3806" s="3">
        <f t="shared" si="20"/>
        <v>0</v>
      </c>
      <c r="B3806" s="3">
        <f t="shared" si="21"/>
        <v>0</v>
      </c>
      <c r="C3806" s="3">
        <f t="shared" si="19"/>
        <v>0</v>
      </c>
      <c r="D3806" s="3">
        <f>$B$3505*(A3806)+$B$3506*(A3806)^2/2-$B$3504*(A3806)^3/6-(N(D26)*MAX(0,(A3806)-N(E26))^2/2+N(F26)*MAX(0,(A3806)-N(G26))^2/2+N(H26)*MAX(0,(A3806)-N(I26))^2/2+N(J26)*MAX(0,(A3806)-N(K26))^2/2+N(L26)*MAX(0,(A3806)-N(M26))^2/2)+$B$3507</f>
        <v>-57.9427083333333</v>
      </c>
      <c r="E3806" s="3">
        <f>$B$3505*(C3806)+$B$3506*(C3806)^2/2-$B$3504*(C3806)^3/6-(N(D26)*MAX(0,(C3806)-N(E26))^2/2+N(F26)*MAX(0,(C3806)-N(G26))^2/2+N(H26)*MAX(0,(C3806)-N(I26))^2/2+N(J26)*MAX(0,(C3806)-N(K26))^2/2+N(L26)*MAX(0,(C3806)-N(M26))^2/2)+$B$3507</f>
        <v>-57.9427083333333</v>
      </c>
    </row>
    <row r="3807" spans="1:5" hidden="1">
      <c r="A3807" s="3">
        <f t="shared" si="20"/>
        <v>0</v>
      </c>
      <c r="B3807" s="3">
        <f t="shared" si="21"/>
        <v>0</v>
      </c>
      <c r="C3807" s="3">
        <f t="shared" si="19"/>
        <v>0</v>
      </c>
      <c r="D3807" s="3">
        <f>$B$3505*(A3807)+$B$3506*(A3807)^2/2-$B$3504*(A3807)^3/6-(N(D26)*MAX(0,(A3807)-N(E26))^2/2+N(F26)*MAX(0,(A3807)-N(G26))^2/2+N(H26)*MAX(0,(A3807)-N(I26))^2/2+N(J26)*MAX(0,(A3807)-N(K26))^2/2+N(L26)*MAX(0,(A3807)-N(M26))^2/2)+$B$3507</f>
        <v>-57.9427083333333</v>
      </c>
      <c r="E3807" s="3">
        <f>$B$3505*(C3807)+$B$3506*(C3807)^2/2-$B$3504*(C3807)^3/6-(N(D26)*MAX(0,(C3807)-N(E26))^2/2+N(F26)*MAX(0,(C3807)-N(G26))^2/2+N(H26)*MAX(0,(C3807)-N(I26))^2/2+N(J26)*MAX(0,(C3807)-N(K26))^2/2+N(L26)*MAX(0,(C3807)-N(M26))^2/2)+$B$3507</f>
        <v>-57.9427083333333</v>
      </c>
    </row>
    <row r="3808" spans="1:5" hidden="1">
      <c r="A3808" s="3">
        <f t="shared" si="20"/>
        <v>0</v>
      </c>
      <c r="B3808" s="3">
        <f t="shared" si="21"/>
        <v>0</v>
      </c>
      <c r="C3808" s="3">
        <f t="shared" si="19"/>
        <v>0</v>
      </c>
      <c r="D3808" s="3">
        <f>$B$3505*(A3808)+$B$3506*(A3808)^2/2-$B$3504*(A3808)^3/6-(N(D26)*MAX(0,(A3808)-N(E26))^2/2+N(F26)*MAX(0,(A3808)-N(G26))^2/2+N(H26)*MAX(0,(A3808)-N(I26))^2/2+N(J26)*MAX(0,(A3808)-N(K26))^2/2+N(L26)*MAX(0,(A3808)-N(M26))^2/2)+$B$3507</f>
        <v>-57.9427083333333</v>
      </c>
      <c r="E3808" s="3">
        <f>$B$3505*(C3808)+$B$3506*(C3808)^2/2-$B$3504*(C3808)^3/6-(N(D26)*MAX(0,(C3808)-N(E26))^2/2+N(F26)*MAX(0,(C3808)-N(G26))^2/2+N(H26)*MAX(0,(C3808)-N(I26))^2/2+N(J26)*MAX(0,(C3808)-N(K26))^2/2+N(L26)*MAX(0,(C3808)-N(M26))^2/2)+$B$3507</f>
        <v>-57.9427083333333</v>
      </c>
    </row>
    <row r="3809" spans="1:5" hidden="1">
      <c r="A3809" s="3">
        <f t="shared" si="20"/>
        <v>0</v>
      </c>
      <c r="B3809" s="3">
        <f t="shared" si="21"/>
        <v>0</v>
      </c>
      <c r="C3809" s="3">
        <f t="shared" si="19"/>
        <v>0</v>
      </c>
      <c r="D3809" s="3">
        <f>$B$3505*(A3809)+$B$3506*(A3809)^2/2-$B$3504*(A3809)^3/6-(N(D26)*MAX(0,(A3809)-N(E26))^2/2+N(F26)*MAX(0,(A3809)-N(G26))^2/2+N(H26)*MAX(0,(A3809)-N(I26))^2/2+N(J26)*MAX(0,(A3809)-N(K26))^2/2+N(L26)*MAX(0,(A3809)-N(M26))^2/2)+$B$3507</f>
        <v>-57.9427083333333</v>
      </c>
      <c r="E3809" s="3">
        <f>$B$3505*(C3809)+$B$3506*(C3809)^2/2-$B$3504*(C3809)^3/6-(N(D26)*MAX(0,(C3809)-N(E26))^2/2+N(F26)*MAX(0,(C3809)-N(G26))^2/2+N(H26)*MAX(0,(C3809)-N(I26))^2/2+N(J26)*MAX(0,(C3809)-N(K26))^2/2+N(L26)*MAX(0,(C3809)-N(M26))^2/2)+$B$3507</f>
        <v>-57.9427083333333</v>
      </c>
    </row>
    <row r="3810" spans="1:5" hidden="1">
      <c r="A3810" s="3">
        <f t="shared" si="20"/>
        <v>0</v>
      </c>
      <c r="B3810" s="3">
        <f t="shared" si="21"/>
        <v>0</v>
      </c>
      <c r="C3810" s="3">
        <f t="shared" si="19"/>
        <v>0</v>
      </c>
      <c r="D3810" s="3">
        <f>$B$3505*(A3810)+$B$3506*(A3810)^2/2-$B$3504*(A3810)^3/6-(N(D26)*MAX(0,(A3810)-N(E26))^2/2+N(F26)*MAX(0,(A3810)-N(G26))^2/2+N(H26)*MAX(0,(A3810)-N(I26))^2/2+N(J26)*MAX(0,(A3810)-N(K26))^2/2+N(L26)*MAX(0,(A3810)-N(M26))^2/2)+$B$3507</f>
        <v>-57.9427083333333</v>
      </c>
      <c r="E3810" s="3">
        <f>$B$3505*(C3810)+$B$3506*(C3810)^2/2-$B$3504*(C3810)^3/6-(N(D26)*MAX(0,(C3810)-N(E26))^2/2+N(F26)*MAX(0,(C3810)-N(G26))^2/2+N(H26)*MAX(0,(C3810)-N(I26))^2/2+N(J26)*MAX(0,(C3810)-N(K26))^2/2+N(L26)*MAX(0,(C3810)-N(M26))^2/2)+$B$3507</f>
        <v>-57.9427083333333</v>
      </c>
    </row>
    <row r="3811" spans="1:5" hidden="1">
      <c r="A3811" s="3">
        <f t="shared" si="20"/>
        <v>0</v>
      </c>
      <c r="B3811" s="3">
        <f t="shared" si="21"/>
        <v>0</v>
      </c>
      <c r="C3811" s="3">
        <f t="shared" si="19"/>
        <v>0</v>
      </c>
      <c r="D3811" s="3">
        <f>$B$3505*(A3811)+$B$3506*(A3811)^2/2-$B$3504*(A3811)^3/6-(N(D26)*MAX(0,(A3811)-N(E26))^2/2+N(F26)*MAX(0,(A3811)-N(G26))^2/2+N(H26)*MAX(0,(A3811)-N(I26))^2/2+N(J26)*MAX(0,(A3811)-N(K26))^2/2+N(L26)*MAX(0,(A3811)-N(M26))^2/2)+$B$3507</f>
        <v>-57.9427083333333</v>
      </c>
      <c r="E3811" s="3">
        <f>$B$3505*(C3811)+$B$3506*(C3811)^2/2-$B$3504*(C3811)^3/6-(N(D26)*MAX(0,(C3811)-N(E26))^2/2+N(F26)*MAX(0,(C3811)-N(G26))^2/2+N(H26)*MAX(0,(C3811)-N(I26))^2/2+N(J26)*MAX(0,(C3811)-N(K26))^2/2+N(L26)*MAX(0,(C3811)-N(M26))^2/2)+$B$3507</f>
        <v>-57.9427083333333</v>
      </c>
    </row>
    <row r="3812" spans="1:5" hidden="1">
      <c r="A3812" s="3">
        <f t="shared" si="20"/>
        <v>0</v>
      </c>
      <c r="B3812" s="3">
        <f t="shared" si="21"/>
        <v>0</v>
      </c>
      <c r="C3812" s="3">
        <f t="shared" si="19"/>
        <v>0</v>
      </c>
      <c r="D3812" s="3">
        <f>$B$3505*(A3812)+$B$3506*(A3812)^2/2-$B$3504*(A3812)^3/6-(N(D26)*MAX(0,(A3812)-N(E26))^2/2+N(F26)*MAX(0,(A3812)-N(G26))^2/2+N(H26)*MAX(0,(A3812)-N(I26))^2/2+N(J26)*MAX(0,(A3812)-N(K26))^2/2+N(L26)*MAX(0,(A3812)-N(M26))^2/2)+$B$3507</f>
        <v>-57.9427083333333</v>
      </c>
      <c r="E3812" s="3">
        <f>$B$3505*(C3812)+$B$3506*(C3812)^2/2-$B$3504*(C3812)^3/6-(N(D26)*MAX(0,(C3812)-N(E26))^2/2+N(F26)*MAX(0,(C3812)-N(G26))^2/2+N(H26)*MAX(0,(C3812)-N(I26))^2/2+N(J26)*MAX(0,(C3812)-N(K26))^2/2+N(L26)*MAX(0,(C3812)-N(M26))^2/2)+$B$3507</f>
        <v>-57.9427083333333</v>
      </c>
    </row>
    <row r="3813" spans="1:5" hidden="1">
      <c r="A3813" s="3">
        <f t="shared" si="20"/>
        <v>0</v>
      </c>
      <c r="B3813" s="3">
        <f t="shared" si="21"/>
        <v>0</v>
      </c>
      <c r="C3813" s="3">
        <f t="shared" si="19"/>
        <v>0</v>
      </c>
      <c r="D3813" s="3">
        <f>$B$3505*(A3813)+$B$3506*(A3813)^2/2-$B$3504*(A3813)^3/6-(N(D26)*MAX(0,(A3813)-N(E26))^2/2+N(F26)*MAX(0,(A3813)-N(G26))^2/2+N(H26)*MAX(0,(A3813)-N(I26))^2/2+N(J26)*MAX(0,(A3813)-N(K26))^2/2+N(L26)*MAX(0,(A3813)-N(M26))^2/2)+$B$3507</f>
        <v>-57.9427083333333</v>
      </c>
      <c r="E3813" s="3">
        <f>$B$3505*(C3813)+$B$3506*(C3813)^2/2-$B$3504*(C3813)^3/6-(N(D26)*MAX(0,(C3813)-N(E26))^2/2+N(F26)*MAX(0,(C3813)-N(G26))^2/2+N(H26)*MAX(0,(C3813)-N(I26))^2/2+N(J26)*MAX(0,(C3813)-N(K26))^2/2+N(L26)*MAX(0,(C3813)-N(M26))^2/2)+$B$3507</f>
        <v>-57.9427083333333</v>
      </c>
    </row>
    <row r="3814" spans="1:5" hidden="1">
      <c r="A3814" s="3">
        <f t="shared" si="20"/>
        <v>0</v>
      </c>
      <c r="B3814" s="3">
        <f t="shared" si="21"/>
        <v>0</v>
      </c>
      <c r="C3814" s="3">
        <f t="shared" si="19"/>
        <v>0</v>
      </c>
      <c r="D3814" s="3">
        <f>$B$3505*(A3814)+$B$3506*(A3814)^2/2-$B$3504*(A3814)^3/6-(N(D26)*MAX(0,(A3814)-N(E26))^2/2+N(F26)*MAX(0,(A3814)-N(G26))^2/2+N(H26)*MAX(0,(A3814)-N(I26))^2/2+N(J26)*MAX(0,(A3814)-N(K26))^2/2+N(L26)*MAX(0,(A3814)-N(M26))^2/2)+$B$3507</f>
        <v>-57.9427083333333</v>
      </c>
      <c r="E3814" s="3">
        <f>$B$3505*(C3814)+$B$3506*(C3814)^2/2-$B$3504*(C3814)^3/6-(N(D26)*MAX(0,(C3814)-N(E26))^2/2+N(F26)*MAX(0,(C3814)-N(G26))^2/2+N(H26)*MAX(0,(C3814)-N(I26))^2/2+N(J26)*MAX(0,(C3814)-N(K26))^2/2+N(L26)*MAX(0,(C3814)-N(M26))^2/2)+$B$3507</f>
        <v>-57.9427083333333</v>
      </c>
    </row>
    <row r="3815" spans="1:5" hidden="1">
      <c r="A3815" s="3">
        <f t="shared" si="20"/>
        <v>0</v>
      </c>
      <c r="B3815" s="3">
        <f t="shared" si="21"/>
        <v>0</v>
      </c>
      <c r="C3815" s="3">
        <f t="shared" si="19"/>
        <v>0</v>
      </c>
      <c r="D3815" s="3">
        <f>$B$3505*(A3815)+$B$3506*(A3815)^2/2-$B$3504*(A3815)^3/6-(N(D26)*MAX(0,(A3815)-N(E26))^2/2+N(F26)*MAX(0,(A3815)-N(G26))^2/2+N(H26)*MAX(0,(A3815)-N(I26))^2/2+N(J26)*MAX(0,(A3815)-N(K26))^2/2+N(L26)*MAX(0,(A3815)-N(M26))^2/2)+$B$3507</f>
        <v>-57.9427083333333</v>
      </c>
      <c r="E3815" s="3">
        <f>$B$3505*(C3815)+$B$3506*(C3815)^2/2-$B$3504*(C3815)^3/6-(N(D26)*MAX(0,(C3815)-N(E26))^2/2+N(F26)*MAX(0,(C3815)-N(G26))^2/2+N(H26)*MAX(0,(C3815)-N(I26))^2/2+N(J26)*MAX(0,(C3815)-N(K26))^2/2+N(L26)*MAX(0,(C3815)-N(M26))^2/2)+$B$3507</f>
        <v>-57.9427083333333</v>
      </c>
    </row>
    <row r="3816" spans="1:5" hidden="1">
      <c r="A3816" s="3">
        <f t="shared" si="20"/>
        <v>0</v>
      </c>
      <c r="B3816" s="3">
        <f t="shared" si="21"/>
        <v>0</v>
      </c>
      <c r="C3816" s="3">
        <f t="shared" si="19"/>
        <v>0</v>
      </c>
      <c r="D3816" s="3">
        <f>$B$3505*(A3816)+$B$3506*(A3816)^2/2-$B$3504*(A3816)^3/6-(N(D26)*MAX(0,(A3816)-N(E26))^2/2+N(F26)*MAX(0,(A3816)-N(G26))^2/2+N(H26)*MAX(0,(A3816)-N(I26))^2/2+N(J26)*MAX(0,(A3816)-N(K26))^2/2+N(L26)*MAX(0,(A3816)-N(M26))^2/2)+$B$3507</f>
        <v>-57.9427083333333</v>
      </c>
      <c r="E3816" s="3">
        <f>$B$3505*(C3816)+$B$3506*(C3816)^2/2-$B$3504*(C3816)^3/6-(N(D26)*MAX(0,(C3816)-N(E26))^2/2+N(F26)*MAX(0,(C3816)-N(G26))^2/2+N(H26)*MAX(0,(C3816)-N(I26))^2/2+N(J26)*MAX(0,(C3816)-N(K26))^2/2+N(L26)*MAX(0,(C3816)-N(M26))^2/2)+$B$3507</f>
        <v>-57.9427083333333</v>
      </c>
    </row>
    <row r="3817" spans="1:5" hidden="1">
      <c r="A3817" s="3">
        <f t="shared" si="20"/>
        <v>0</v>
      </c>
      <c r="B3817" s="3">
        <f t="shared" si="21"/>
        <v>0</v>
      </c>
      <c r="C3817" s="3">
        <f t="shared" si="19"/>
        <v>0</v>
      </c>
      <c r="D3817" s="3">
        <f>$B$3505*(A3817)+$B$3506*(A3817)^2/2-$B$3504*(A3817)^3/6-(N(D26)*MAX(0,(A3817)-N(E26))^2/2+N(F26)*MAX(0,(A3817)-N(G26))^2/2+N(H26)*MAX(0,(A3817)-N(I26))^2/2+N(J26)*MAX(0,(A3817)-N(K26))^2/2+N(L26)*MAX(0,(A3817)-N(M26))^2/2)+$B$3507</f>
        <v>-57.9427083333333</v>
      </c>
      <c r="E3817" s="3">
        <f>$B$3505*(C3817)+$B$3506*(C3817)^2/2-$B$3504*(C3817)^3/6-(N(D26)*MAX(0,(C3817)-N(E26))^2/2+N(F26)*MAX(0,(C3817)-N(G26))^2/2+N(H26)*MAX(0,(C3817)-N(I26))^2/2+N(J26)*MAX(0,(C3817)-N(K26))^2/2+N(L26)*MAX(0,(C3817)-N(M26))^2/2)+$B$3507</f>
        <v>-57.9427083333333</v>
      </c>
    </row>
    <row r="3818" spans="1:5" hidden="1">
      <c r="A3818" s="3">
        <f t="shared" si="20"/>
        <v>0</v>
      </c>
      <c r="B3818" s="3">
        <f t="shared" si="21"/>
        <v>0</v>
      </c>
      <c r="C3818" s="3">
        <f t="shared" si="19"/>
        <v>0</v>
      </c>
      <c r="D3818" s="3">
        <f>$B$3505*(A3818)+$B$3506*(A3818)^2/2-$B$3504*(A3818)^3/6-(N(D26)*MAX(0,(A3818)-N(E26))^2/2+N(F26)*MAX(0,(A3818)-N(G26))^2/2+N(H26)*MAX(0,(A3818)-N(I26))^2/2+N(J26)*MAX(0,(A3818)-N(K26))^2/2+N(L26)*MAX(0,(A3818)-N(M26))^2/2)+$B$3507</f>
        <v>-57.9427083333333</v>
      </c>
      <c r="E3818" s="3">
        <f>$B$3505*(C3818)+$B$3506*(C3818)^2/2-$B$3504*(C3818)^3/6-(N(D26)*MAX(0,(C3818)-N(E26))^2/2+N(F26)*MAX(0,(C3818)-N(G26))^2/2+N(H26)*MAX(0,(C3818)-N(I26))^2/2+N(J26)*MAX(0,(C3818)-N(K26))^2/2+N(L26)*MAX(0,(C3818)-N(M26))^2/2)+$B$3507</f>
        <v>-57.9427083333333</v>
      </c>
    </row>
    <row r="3819" spans="1:5" hidden="1">
      <c r="A3819" s="3">
        <f t="shared" si="20"/>
        <v>0</v>
      </c>
      <c r="B3819" s="3">
        <f t="shared" si="21"/>
        <v>0</v>
      </c>
      <c r="C3819" s="3">
        <f t="shared" si="19"/>
        <v>0</v>
      </c>
      <c r="D3819" s="3">
        <f>$B$3505*(A3819)+$B$3506*(A3819)^2/2-$B$3504*(A3819)^3/6-(N(D26)*MAX(0,(A3819)-N(E26))^2/2+N(F26)*MAX(0,(A3819)-N(G26))^2/2+N(H26)*MAX(0,(A3819)-N(I26))^2/2+N(J26)*MAX(0,(A3819)-N(K26))^2/2+N(L26)*MAX(0,(A3819)-N(M26))^2/2)+$B$3507</f>
        <v>-57.9427083333333</v>
      </c>
      <c r="E3819" s="3">
        <f>$B$3505*(C3819)+$B$3506*(C3819)^2/2-$B$3504*(C3819)^3/6-(N(D26)*MAX(0,(C3819)-N(E26))^2/2+N(F26)*MAX(0,(C3819)-N(G26))^2/2+N(H26)*MAX(0,(C3819)-N(I26))^2/2+N(J26)*MAX(0,(C3819)-N(K26))^2/2+N(L26)*MAX(0,(C3819)-N(M26))^2/2)+$B$3507</f>
        <v>-57.9427083333333</v>
      </c>
    </row>
    <row r="3820" spans="1:5" hidden="1">
      <c r="A3820" s="3">
        <f t="shared" si="20"/>
        <v>0</v>
      </c>
      <c r="B3820" s="3">
        <f t="shared" si="21"/>
        <v>0</v>
      </c>
      <c r="C3820" s="3">
        <f t="shared" si="19"/>
        <v>0</v>
      </c>
      <c r="D3820" s="3">
        <f>$B$3505*(A3820)+$B$3506*(A3820)^2/2-$B$3504*(A3820)^3/6-(N(D26)*MAX(0,(A3820)-N(E26))^2/2+N(F26)*MAX(0,(A3820)-N(G26))^2/2+N(H26)*MAX(0,(A3820)-N(I26))^2/2+N(J26)*MAX(0,(A3820)-N(K26))^2/2+N(L26)*MAX(0,(A3820)-N(M26))^2/2)+$B$3507</f>
        <v>-57.9427083333333</v>
      </c>
      <c r="E3820" s="3">
        <f>$B$3505*(C3820)+$B$3506*(C3820)^2/2-$B$3504*(C3820)^3/6-(N(D26)*MAX(0,(C3820)-N(E26))^2/2+N(F26)*MAX(0,(C3820)-N(G26))^2/2+N(H26)*MAX(0,(C3820)-N(I26))^2/2+N(J26)*MAX(0,(C3820)-N(K26))^2/2+N(L26)*MAX(0,(C3820)-N(M26))^2/2)+$B$3507</f>
        <v>-57.9427083333333</v>
      </c>
    </row>
    <row r="3821" spans="1:5" hidden="1">
      <c r="A3821" s="3">
        <f t="shared" si="20"/>
        <v>0</v>
      </c>
      <c r="B3821" s="3">
        <f t="shared" si="21"/>
        <v>0</v>
      </c>
      <c r="C3821" s="3">
        <f t="shared" si="19"/>
        <v>0</v>
      </c>
      <c r="D3821" s="3">
        <f>$B$3505*(A3821)+$B$3506*(A3821)^2/2-$B$3504*(A3821)^3/6-(N(D26)*MAX(0,(A3821)-N(E26))^2/2+N(F26)*MAX(0,(A3821)-N(G26))^2/2+N(H26)*MAX(0,(A3821)-N(I26))^2/2+N(J26)*MAX(0,(A3821)-N(K26))^2/2+N(L26)*MAX(0,(A3821)-N(M26))^2/2)+$B$3507</f>
        <v>-57.9427083333333</v>
      </c>
      <c r="E3821" s="3">
        <f>$B$3505*(C3821)+$B$3506*(C3821)^2/2-$B$3504*(C3821)^3/6-(N(D26)*MAX(0,(C3821)-N(E26))^2/2+N(F26)*MAX(0,(C3821)-N(G26))^2/2+N(H26)*MAX(0,(C3821)-N(I26))^2/2+N(J26)*MAX(0,(C3821)-N(K26))^2/2+N(L26)*MAX(0,(C3821)-N(M26))^2/2)+$B$3507</f>
        <v>-57.9427083333333</v>
      </c>
    </row>
    <row r="3822" spans="1:5" hidden="1">
      <c r="A3822" s="3">
        <f t="shared" si="20"/>
        <v>0</v>
      </c>
      <c r="B3822" s="3">
        <f t="shared" si="21"/>
        <v>0</v>
      </c>
      <c r="C3822" s="3">
        <f t="shared" si="19"/>
        <v>0</v>
      </c>
      <c r="D3822" s="3">
        <f>$B$3505*(A3822)+$B$3506*(A3822)^2/2-$B$3504*(A3822)^3/6-(N(D26)*MAX(0,(A3822)-N(E26))^2/2+N(F26)*MAX(0,(A3822)-N(G26))^2/2+N(H26)*MAX(0,(A3822)-N(I26))^2/2+N(J26)*MAX(0,(A3822)-N(K26))^2/2+N(L26)*MAX(0,(A3822)-N(M26))^2/2)+$B$3507</f>
        <v>-57.9427083333333</v>
      </c>
      <c r="E3822" s="3">
        <f>$B$3505*(C3822)+$B$3506*(C3822)^2/2-$B$3504*(C3822)^3/6-(N(D26)*MAX(0,(C3822)-N(E26))^2/2+N(F26)*MAX(0,(C3822)-N(G26))^2/2+N(H26)*MAX(0,(C3822)-N(I26))^2/2+N(J26)*MAX(0,(C3822)-N(K26))^2/2+N(L26)*MAX(0,(C3822)-N(M26))^2/2)+$B$3507</f>
        <v>-57.9427083333333</v>
      </c>
    </row>
    <row r="3823" spans="1:5" hidden="1">
      <c r="A3823" s="3">
        <f t="shared" si="20"/>
        <v>0</v>
      </c>
      <c r="B3823" s="3">
        <f t="shared" si="21"/>
        <v>0</v>
      </c>
      <c r="C3823" s="3">
        <f t="shared" si="19"/>
        <v>0</v>
      </c>
      <c r="D3823" s="3">
        <f>$B$3505*(A3823)+$B$3506*(A3823)^2/2-$B$3504*(A3823)^3/6-(N(D26)*MAX(0,(A3823)-N(E26))^2/2+N(F26)*MAX(0,(A3823)-N(G26))^2/2+N(H26)*MAX(0,(A3823)-N(I26))^2/2+N(J26)*MAX(0,(A3823)-N(K26))^2/2+N(L26)*MAX(0,(A3823)-N(M26))^2/2)+$B$3507</f>
        <v>-57.9427083333333</v>
      </c>
      <c r="E3823" s="3">
        <f>$B$3505*(C3823)+$B$3506*(C3823)^2/2-$B$3504*(C3823)^3/6-(N(D26)*MAX(0,(C3823)-N(E26))^2/2+N(F26)*MAX(0,(C3823)-N(G26))^2/2+N(H26)*MAX(0,(C3823)-N(I26))^2/2+N(J26)*MAX(0,(C3823)-N(K26))^2/2+N(L26)*MAX(0,(C3823)-N(M26))^2/2)+$B$3507</f>
        <v>-57.9427083333333</v>
      </c>
    </row>
    <row r="3824" spans="1:5" hidden="1">
      <c r="A3824" s="3">
        <f t="shared" si="20"/>
        <v>0</v>
      </c>
      <c r="B3824" s="3">
        <f t="shared" si="21"/>
        <v>0</v>
      </c>
      <c r="C3824" s="3">
        <f t="shared" si="19"/>
        <v>0</v>
      </c>
      <c r="D3824" s="3">
        <f>$B$3505*(A3824)+$B$3506*(A3824)^2/2-$B$3504*(A3824)^3/6-(N(D26)*MAX(0,(A3824)-N(E26))^2/2+N(F26)*MAX(0,(A3824)-N(G26))^2/2+N(H26)*MAX(0,(A3824)-N(I26))^2/2+N(J26)*MAX(0,(A3824)-N(K26))^2/2+N(L26)*MAX(0,(A3824)-N(M26))^2/2)+$B$3507</f>
        <v>-57.9427083333333</v>
      </c>
      <c r="E3824" s="3">
        <f>$B$3505*(C3824)+$B$3506*(C3824)^2/2-$B$3504*(C3824)^3/6-(N(D26)*MAX(0,(C3824)-N(E26))^2/2+N(F26)*MAX(0,(C3824)-N(G26))^2/2+N(H26)*MAX(0,(C3824)-N(I26))^2/2+N(J26)*MAX(0,(C3824)-N(K26))^2/2+N(L26)*MAX(0,(C3824)-N(M26))^2/2)+$B$3507</f>
        <v>-57.9427083333333</v>
      </c>
    </row>
    <row r="3825" spans="1:5" hidden="1">
      <c r="A3825" s="3">
        <f t="shared" si="20"/>
        <v>0</v>
      </c>
      <c r="B3825" s="3">
        <f t="shared" si="21"/>
        <v>0</v>
      </c>
      <c r="C3825" s="3">
        <f t="shared" si="19"/>
        <v>0</v>
      </c>
      <c r="D3825" s="3">
        <f>$B$3505*(A3825)+$B$3506*(A3825)^2/2-$B$3504*(A3825)^3/6-(N(D26)*MAX(0,(A3825)-N(E26))^2/2+N(F26)*MAX(0,(A3825)-N(G26))^2/2+N(H26)*MAX(0,(A3825)-N(I26))^2/2+N(J26)*MAX(0,(A3825)-N(K26))^2/2+N(L26)*MAX(0,(A3825)-N(M26))^2/2)+$B$3507</f>
        <v>-57.9427083333333</v>
      </c>
      <c r="E3825" s="3">
        <f>$B$3505*(C3825)+$B$3506*(C3825)^2/2-$B$3504*(C3825)^3/6-(N(D26)*MAX(0,(C3825)-N(E26))^2/2+N(F26)*MAX(0,(C3825)-N(G26))^2/2+N(H26)*MAX(0,(C3825)-N(I26))^2/2+N(J26)*MAX(0,(C3825)-N(K26))^2/2+N(L26)*MAX(0,(C3825)-N(M26))^2/2)+$B$3507</f>
        <v>-57.9427083333333</v>
      </c>
    </row>
    <row r="3826" spans="1:5" hidden="1">
      <c r="A3826" s="3">
        <f t="shared" si="20"/>
        <v>0</v>
      </c>
      <c r="B3826" s="3">
        <f t="shared" si="21"/>
        <v>0</v>
      </c>
      <c r="C3826" s="3">
        <f t="shared" si="19"/>
        <v>0</v>
      </c>
      <c r="D3826" s="3">
        <f>$B$3505*(A3826)+$B$3506*(A3826)^2/2-$B$3504*(A3826)^3/6-(N(D26)*MAX(0,(A3826)-N(E26))^2/2+N(F26)*MAX(0,(A3826)-N(G26))^2/2+N(H26)*MAX(0,(A3826)-N(I26))^2/2+N(J26)*MAX(0,(A3826)-N(K26))^2/2+N(L26)*MAX(0,(A3826)-N(M26))^2/2)+$B$3507</f>
        <v>-57.9427083333333</v>
      </c>
      <c r="E3826" s="3">
        <f>$B$3505*(C3826)+$B$3506*(C3826)^2/2-$B$3504*(C3826)^3/6-(N(D26)*MAX(0,(C3826)-N(E26))^2/2+N(F26)*MAX(0,(C3826)-N(G26))^2/2+N(H26)*MAX(0,(C3826)-N(I26))^2/2+N(J26)*MAX(0,(C3826)-N(K26))^2/2+N(L26)*MAX(0,(C3826)-N(M26))^2/2)+$B$3507</f>
        <v>-57.9427083333333</v>
      </c>
    </row>
    <row r="3827" spans="1:5" hidden="1">
      <c r="A3827" s="3">
        <f t="shared" si="20"/>
        <v>0</v>
      </c>
      <c r="B3827" s="3">
        <f t="shared" si="21"/>
        <v>0</v>
      </c>
      <c r="C3827" s="3">
        <f t="shared" si="19"/>
        <v>0</v>
      </c>
      <c r="D3827" s="3">
        <f>$B$3505*(A3827)+$B$3506*(A3827)^2/2-$B$3504*(A3827)^3/6-(N(D26)*MAX(0,(A3827)-N(E26))^2/2+N(F26)*MAX(0,(A3827)-N(G26))^2/2+N(H26)*MAX(0,(A3827)-N(I26))^2/2+N(J26)*MAX(0,(A3827)-N(K26))^2/2+N(L26)*MAX(0,(A3827)-N(M26))^2/2)+$B$3507</f>
        <v>-57.9427083333333</v>
      </c>
      <c r="E3827" s="3">
        <f>$B$3505*(C3827)+$B$3506*(C3827)^2/2-$B$3504*(C3827)^3/6-(N(D26)*MAX(0,(C3827)-N(E26))^2/2+N(F26)*MAX(0,(C3827)-N(G26))^2/2+N(H26)*MAX(0,(C3827)-N(I26))^2/2+N(J26)*MAX(0,(C3827)-N(K26))^2/2+N(L26)*MAX(0,(C3827)-N(M26))^2/2)+$B$3507</f>
        <v>-57.9427083333333</v>
      </c>
    </row>
    <row r="3828" spans="1:5" hidden="1">
      <c r="A3828" s="3">
        <f t="shared" si="20"/>
        <v>0</v>
      </c>
      <c r="B3828" s="3">
        <f t="shared" si="21"/>
        <v>0</v>
      </c>
      <c r="C3828" s="3">
        <f t="shared" si="19"/>
        <v>0</v>
      </c>
      <c r="D3828" s="3">
        <f>$B$3505*(A3828)+$B$3506*(A3828)^2/2-$B$3504*(A3828)^3/6-(N(D26)*MAX(0,(A3828)-N(E26))^2/2+N(F26)*MAX(0,(A3828)-N(G26))^2/2+N(H26)*MAX(0,(A3828)-N(I26))^2/2+N(J26)*MAX(0,(A3828)-N(K26))^2/2+N(L26)*MAX(0,(A3828)-N(M26))^2/2)+$B$3507</f>
        <v>-57.9427083333333</v>
      </c>
      <c r="E3828" s="3">
        <f>$B$3505*(C3828)+$B$3506*(C3828)^2/2-$B$3504*(C3828)^3/6-(N(D26)*MAX(0,(C3828)-N(E26))^2/2+N(F26)*MAX(0,(C3828)-N(G26))^2/2+N(H26)*MAX(0,(C3828)-N(I26))^2/2+N(J26)*MAX(0,(C3828)-N(K26))^2/2+N(L26)*MAX(0,(C3828)-N(M26))^2/2)+$B$3507</f>
        <v>-57.9427083333333</v>
      </c>
    </row>
    <row r="3829" spans="1:5" hidden="1">
      <c r="A3829" s="3">
        <f t="shared" si="20"/>
        <v>0</v>
      </c>
      <c r="B3829" s="3">
        <f t="shared" si="21"/>
        <v>0</v>
      </c>
      <c r="C3829" s="3">
        <f t="shared" si="19"/>
        <v>0</v>
      </c>
      <c r="D3829" s="3">
        <f>$B$3505*(A3829)+$B$3506*(A3829)^2/2-$B$3504*(A3829)^3/6-(N(D26)*MAX(0,(A3829)-N(E26))^2/2+N(F26)*MAX(0,(A3829)-N(G26))^2/2+N(H26)*MAX(0,(A3829)-N(I26))^2/2+N(J26)*MAX(0,(A3829)-N(K26))^2/2+N(L26)*MAX(0,(A3829)-N(M26))^2/2)+$B$3507</f>
        <v>-57.9427083333333</v>
      </c>
      <c r="E3829" s="3">
        <f>$B$3505*(C3829)+$B$3506*(C3829)^2/2-$B$3504*(C3829)^3/6-(N(D26)*MAX(0,(C3829)-N(E26))^2/2+N(F26)*MAX(0,(C3829)-N(G26))^2/2+N(H26)*MAX(0,(C3829)-N(I26))^2/2+N(J26)*MAX(0,(C3829)-N(K26))^2/2+N(L26)*MAX(0,(C3829)-N(M26))^2/2)+$B$3507</f>
        <v>-57.9427083333333</v>
      </c>
    </row>
    <row r="3830" spans="1:5" hidden="1"/>
    <row r="3831" spans="1:5" hidden="1">
      <c r="A3831" s="3">
        <f>B3546</f>
        <v>0</v>
      </c>
      <c r="B3831" s="3">
        <f>IF(($B$3505*(B3546)+$B$3506*(B3546)^2/2-$B$3504*(B3546)^3/6-(N(D26)*MAX(0,(B3546)-N(E26))^2/2+N(F26)*MAX(0,(B3546)-N(G26))^2/2+N(H26)*MAX(0,(B3546)-N(I26))^2/2+N(J26)*MAX(0,(B3546)-N(K26))^2/2+N(L26)*MAX(0,(B3546)-N(M26))^2/2)+$B$3507)*($B$3505*(B3547)+$B$3506*(B3547)^2/2-$B$3504*(B3547)^3/6-(N(D26)*MAX(0,(B3547)-N(E26))^2/2+N(F26)*MAX(0,(B3547)-N(G26))^2/2+N(H26)*MAX(0,(B3547)-N(I26))^2/2+N(J26)*MAX(0,(B3547)-N(K26))^2/2+N(L26)*MAX(0,(B3547)-N(M26))^2/2)+$B$3507)&lt;=0,B3547,B3546)</f>
        <v>0</v>
      </c>
      <c r="C3831" s="3">
        <f t="shared" ref="C3831:C3875" si="22">(A3831+B3831)/2</f>
        <v>0</v>
      </c>
      <c r="D3831" s="3">
        <f>$B$3505*(A3831)+$B$3506*(A3831)^2/2-$B$3504*(A3831)^3/6-(N(D26)*MAX(0,(A3831)-N(E26))^2/2+N(F26)*MAX(0,(A3831)-N(G26))^2/2+N(H26)*MAX(0,(A3831)-N(I26))^2/2+N(J26)*MAX(0,(A3831)-N(K26))^2/2+N(L26)*MAX(0,(A3831)-N(M26))^2/2)+$B$3507</f>
        <v>-57.9427083333333</v>
      </c>
      <c r="E3831" s="3">
        <f>$B$3505*(C3831)+$B$3506*(C3831)^2/2-$B$3504*(C3831)^3/6-(N(D26)*MAX(0,(C3831)-N(E26))^2/2+N(F26)*MAX(0,(C3831)-N(G26))^2/2+N(H26)*MAX(0,(C3831)-N(I26))^2/2+N(J26)*MAX(0,(C3831)-N(K26))^2/2+N(L26)*MAX(0,(C3831)-N(M26))^2/2)+$B$3507</f>
        <v>-57.9427083333333</v>
      </c>
    </row>
    <row r="3832" spans="1:5" hidden="1">
      <c r="A3832" s="3">
        <f t="shared" ref="A3832:A3875" si="23">IF(D3831*E3831&lt;=0,A3831,C3831)</f>
        <v>0</v>
      </c>
      <c r="B3832" s="3">
        <f t="shared" ref="B3832:B3875" si="24">IF(D3831*E3831&lt;=0,C3831,B3831)</f>
        <v>0</v>
      </c>
      <c r="C3832" s="3">
        <f t="shared" si="22"/>
        <v>0</v>
      </c>
      <c r="D3832" s="3">
        <f>$B$3505*(A3832)+$B$3506*(A3832)^2/2-$B$3504*(A3832)^3/6-(N(D26)*MAX(0,(A3832)-N(E26))^2/2+N(F26)*MAX(0,(A3832)-N(G26))^2/2+N(H26)*MAX(0,(A3832)-N(I26))^2/2+N(J26)*MAX(0,(A3832)-N(K26))^2/2+N(L26)*MAX(0,(A3832)-N(M26))^2/2)+$B$3507</f>
        <v>-57.9427083333333</v>
      </c>
      <c r="E3832" s="3">
        <f>$B$3505*(C3832)+$B$3506*(C3832)^2/2-$B$3504*(C3832)^3/6-(N(D26)*MAX(0,(C3832)-N(E26))^2/2+N(F26)*MAX(0,(C3832)-N(G26))^2/2+N(H26)*MAX(0,(C3832)-N(I26))^2/2+N(J26)*MAX(0,(C3832)-N(K26))^2/2+N(L26)*MAX(0,(C3832)-N(M26))^2/2)+$B$3507</f>
        <v>-57.9427083333333</v>
      </c>
    </row>
    <row r="3833" spans="1:5" hidden="1">
      <c r="A3833" s="3">
        <f t="shared" si="23"/>
        <v>0</v>
      </c>
      <c r="B3833" s="3">
        <f t="shared" si="24"/>
        <v>0</v>
      </c>
      <c r="C3833" s="3">
        <f t="shared" si="22"/>
        <v>0</v>
      </c>
      <c r="D3833" s="3">
        <f>$B$3505*(A3833)+$B$3506*(A3833)^2/2-$B$3504*(A3833)^3/6-(N(D26)*MAX(0,(A3833)-N(E26))^2/2+N(F26)*MAX(0,(A3833)-N(G26))^2/2+N(H26)*MAX(0,(A3833)-N(I26))^2/2+N(J26)*MAX(0,(A3833)-N(K26))^2/2+N(L26)*MAX(0,(A3833)-N(M26))^2/2)+$B$3507</f>
        <v>-57.9427083333333</v>
      </c>
      <c r="E3833" s="3">
        <f>$B$3505*(C3833)+$B$3506*(C3833)^2/2-$B$3504*(C3833)^3/6-(N(D26)*MAX(0,(C3833)-N(E26))^2/2+N(F26)*MAX(0,(C3833)-N(G26))^2/2+N(H26)*MAX(0,(C3833)-N(I26))^2/2+N(J26)*MAX(0,(C3833)-N(K26))^2/2+N(L26)*MAX(0,(C3833)-N(M26))^2/2)+$B$3507</f>
        <v>-57.9427083333333</v>
      </c>
    </row>
    <row r="3834" spans="1:5" hidden="1">
      <c r="A3834" s="3">
        <f t="shared" si="23"/>
        <v>0</v>
      </c>
      <c r="B3834" s="3">
        <f t="shared" si="24"/>
        <v>0</v>
      </c>
      <c r="C3834" s="3">
        <f t="shared" si="22"/>
        <v>0</v>
      </c>
      <c r="D3834" s="3">
        <f>$B$3505*(A3834)+$B$3506*(A3834)^2/2-$B$3504*(A3834)^3/6-(N(D26)*MAX(0,(A3834)-N(E26))^2/2+N(F26)*MAX(0,(A3834)-N(G26))^2/2+N(H26)*MAX(0,(A3834)-N(I26))^2/2+N(J26)*MAX(0,(A3834)-N(K26))^2/2+N(L26)*MAX(0,(A3834)-N(M26))^2/2)+$B$3507</f>
        <v>-57.9427083333333</v>
      </c>
      <c r="E3834" s="3">
        <f>$B$3505*(C3834)+$B$3506*(C3834)^2/2-$B$3504*(C3834)^3/6-(N(D26)*MAX(0,(C3834)-N(E26))^2/2+N(F26)*MAX(0,(C3834)-N(G26))^2/2+N(H26)*MAX(0,(C3834)-N(I26))^2/2+N(J26)*MAX(0,(C3834)-N(K26))^2/2+N(L26)*MAX(0,(C3834)-N(M26))^2/2)+$B$3507</f>
        <v>-57.9427083333333</v>
      </c>
    </row>
    <row r="3835" spans="1:5" hidden="1">
      <c r="A3835" s="3">
        <f t="shared" si="23"/>
        <v>0</v>
      </c>
      <c r="B3835" s="3">
        <f t="shared" si="24"/>
        <v>0</v>
      </c>
      <c r="C3835" s="3">
        <f t="shared" si="22"/>
        <v>0</v>
      </c>
      <c r="D3835" s="3">
        <f>$B$3505*(A3835)+$B$3506*(A3835)^2/2-$B$3504*(A3835)^3/6-(N(D26)*MAX(0,(A3835)-N(E26))^2/2+N(F26)*MAX(0,(A3835)-N(G26))^2/2+N(H26)*MAX(0,(A3835)-N(I26))^2/2+N(J26)*MAX(0,(A3835)-N(K26))^2/2+N(L26)*MAX(0,(A3835)-N(M26))^2/2)+$B$3507</f>
        <v>-57.9427083333333</v>
      </c>
      <c r="E3835" s="3">
        <f>$B$3505*(C3835)+$B$3506*(C3835)^2/2-$B$3504*(C3835)^3/6-(N(D26)*MAX(0,(C3835)-N(E26))^2/2+N(F26)*MAX(0,(C3835)-N(G26))^2/2+N(H26)*MAX(0,(C3835)-N(I26))^2/2+N(J26)*MAX(0,(C3835)-N(K26))^2/2+N(L26)*MAX(0,(C3835)-N(M26))^2/2)+$B$3507</f>
        <v>-57.9427083333333</v>
      </c>
    </row>
    <row r="3836" spans="1:5" hidden="1">
      <c r="A3836" s="3">
        <f t="shared" si="23"/>
        <v>0</v>
      </c>
      <c r="B3836" s="3">
        <f t="shared" si="24"/>
        <v>0</v>
      </c>
      <c r="C3836" s="3">
        <f t="shared" si="22"/>
        <v>0</v>
      </c>
      <c r="D3836" s="3">
        <f>$B$3505*(A3836)+$B$3506*(A3836)^2/2-$B$3504*(A3836)^3/6-(N(D26)*MAX(0,(A3836)-N(E26))^2/2+N(F26)*MAX(0,(A3836)-N(G26))^2/2+N(H26)*MAX(0,(A3836)-N(I26))^2/2+N(J26)*MAX(0,(A3836)-N(K26))^2/2+N(L26)*MAX(0,(A3836)-N(M26))^2/2)+$B$3507</f>
        <v>-57.9427083333333</v>
      </c>
      <c r="E3836" s="3">
        <f>$B$3505*(C3836)+$B$3506*(C3836)^2/2-$B$3504*(C3836)^3/6-(N(D26)*MAX(0,(C3836)-N(E26))^2/2+N(F26)*MAX(0,(C3836)-N(G26))^2/2+N(H26)*MAX(0,(C3836)-N(I26))^2/2+N(J26)*MAX(0,(C3836)-N(K26))^2/2+N(L26)*MAX(0,(C3836)-N(M26))^2/2)+$B$3507</f>
        <v>-57.9427083333333</v>
      </c>
    </row>
    <row r="3837" spans="1:5" hidden="1">
      <c r="A3837" s="3">
        <f t="shared" si="23"/>
        <v>0</v>
      </c>
      <c r="B3837" s="3">
        <f t="shared" si="24"/>
        <v>0</v>
      </c>
      <c r="C3837" s="3">
        <f t="shared" si="22"/>
        <v>0</v>
      </c>
      <c r="D3837" s="3">
        <f>$B$3505*(A3837)+$B$3506*(A3837)^2/2-$B$3504*(A3837)^3/6-(N(D26)*MAX(0,(A3837)-N(E26))^2/2+N(F26)*MAX(0,(A3837)-N(G26))^2/2+N(H26)*MAX(0,(A3837)-N(I26))^2/2+N(J26)*MAX(0,(A3837)-N(K26))^2/2+N(L26)*MAX(0,(A3837)-N(M26))^2/2)+$B$3507</f>
        <v>-57.9427083333333</v>
      </c>
      <c r="E3837" s="3">
        <f>$B$3505*(C3837)+$B$3506*(C3837)^2/2-$B$3504*(C3837)^3/6-(N(D26)*MAX(0,(C3837)-N(E26))^2/2+N(F26)*MAX(0,(C3837)-N(G26))^2/2+N(H26)*MAX(0,(C3837)-N(I26))^2/2+N(J26)*MAX(0,(C3837)-N(K26))^2/2+N(L26)*MAX(0,(C3837)-N(M26))^2/2)+$B$3507</f>
        <v>-57.9427083333333</v>
      </c>
    </row>
    <row r="3838" spans="1:5" hidden="1">
      <c r="A3838" s="3">
        <f t="shared" si="23"/>
        <v>0</v>
      </c>
      <c r="B3838" s="3">
        <f t="shared" si="24"/>
        <v>0</v>
      </c>
      <c r="C3838" s="3">
        <f t="shared" si="22"/>
        <v>0</v>
      </c>
      <c r="D3838" s="3">
        <f>$B$3505*(A3838)+$B$3506*(A3838)^2/2-$B$3504*(A3838)^3/6-(N(D26)*MAX(0,(A3838)-N(E26))^2/2+N(F26)*MAX(0,(A3838)-N(G26))^2/2+N(H26)*MAX(0,(A3838)-N(I26))^2/2+N(J26)*MAX(0,(A3838)-N(K26))^2/2+N(L26)*MAX(0,(A3838)-N(M26))^2/2)+$B$3507</f>
        <v>-57.9427083333333</v>
      </c>
      <c r="E3838" s="3">
        <f>$B$3505*(C3838)+$B$3506*(C3838)^2/2-$B$3504*(C3838)^3/6-(N(D26)*MAX(0,(C3838)-N(E26))^2/2+N(F26)*MAX(0,(C3838)-N(G26))^2/2+N(H26)*MAX(0,(C3838)-N(I26))^2/2+N(J26)*MAX(0,(C3838)-N(K26))^2/2+N(L26)*MAX(0,(C3838)-N(M26))^2/2)+$B$3507</f>
        <v>-57.9427083333333</v>
      </c>
    </row>
    <row r="3839" spans="1:5" hidden="1">
      <c r="A3839" s="3">
        <f t="shared" si="23"/>
        <v>0</v>
      </c>
      <c r="B3839" s="3">
        <f t="shared" si="24"/>
        <v>0</v>
      </c>
      <c r="C3839" s="3">
        <f t="shared" si="22"/>
        <v>0</v>
      </c>
      <c r="D3839" s="3">
        <f>$B$3505*(A3839)+$B$3506*(A3839)^2/2-$B$3504*(A3839)^3/6-(N(D26)*MAX(0,(A3839)-N(E26))^2/2+N(F26)*MAX(0,(A3839)-N(G26))^2/2+N(H26)*MAX(0,(A3839)-N(I26))^2/2+N(J26)*MAX(0,(A3839)-N(K26))^2/2+N(L26)*MAX(0,(A3839)-N(M26))^2/2)+$B$3507</f>
        <v>-57.9427083333333</v>
      </c>
      <c r="E3839" s="3">
        <f>$B$3505*(C3839)+$B$3506*(C3839)^2/2-$B$3504*(C3839)^3/6-(N(D26)*MAX(0,(C3839)-N(E26))^2/2+N(F26)*MAX(0,(C3839)-N(G26))^2/2+N(H26)*MAX(0,(C3839)-N(I26))^2/2+N(J26)*MAX(0,(C3839)-N(K26))^2/2+N(L26)*MAX(0,(C3839)-N(M26))^2/2)+$B$3507</f>
        <v>-57.9427083333333</v>
      </c>
    </row>
    <row r="3840" spans="1:5" hidden="1">
      <c r="A3840" s="3">
        <f t="shared" si="23"/>
        <v>0</v>
      </c>
      <c r="B3840" s="3">
        <f t="shared" si="24"/>
        <v>0</v>
      </c>
      <c r="C3840" s="3">
        <f t="shared" si="22"/>
        <v>0</v>
      </c>
      <c r="D3840" s="3">
        <f>$B$3505*(A3840)+$B$3506*(A3840)^2/2-$B$3504*(A3840)^3/6-(N(D26)*MAX(0,(A3840)-N(E26))^2/2+N(F26)*MAX(0,(A3840)-N(G26))^2/2+N(H26)*MAX(0,(A3840)-N(I26))^2/2+N(J26)*MAX(0,(A3840)-N(K26))^2/2+N(L26)*MAX(0,(A3840)-N(M26))^2/2)+$B$3507</f>
        <v>-57.9427083333333</v>
      </c>
      <c r="E3840" s="3">
        <f>$B$3505*(C3840)+$B$3506*(C3840)^2/2-$B$3504*(C3840)^3/6-(N(D26)*MAX(0,(C3840)-N(E26))^2/2+N(F26)*MAX(0,(C3840)-N(G26))^2/2+N(H26)*MAX(0,(C3840)-N(I26))^2/2+N(J26)*MAX(0,(C3840)-N(K26))^2/2+N(L26)*MAX(0,(C3840)-N(M26))^2/2)+$B$3507</f>
        <v>-57.9427083333333</v>
      </c>
    </row>
    <row r="3841" spans="1:5" hidden="1">
      <c r="A3841" s="3">
        <f t="shared" si="23"/>
        <v>0</v>
      </c>
      <c r="B3841" s="3">
        <f t="shared" si="24"/>
        <v>0</v>
      </c>
      <c r="C3841" s="3">
        <f t="shared" si="22"/>
        <v>0</v>
      </c>
      <c r="D3841" s="3">
        <f>$B$3505*(A3841)+$B$3506*(A3841)^2/2-$B$3504*(A3841)^3/6-(N(D26)*MAX(0,(A3841)-N(E26))^2/2+N(F26)*MAX(0,(A3841)-N(G26))^2/2+N(H26)*MAX(0,(A3841)-N(I26))^2/2+N(J26)*MAX(0,(A3841)-N(K26))^2/2+N(L26)*MAX(0,(A3841)-N(M26))^2/2)+$B$3507</f>
        <v>-57.9427083333333</v>
      </c>
      <c r="E3841" s="3">
        <f>$B$3505*(C3841)+$B$3506*(C3841)^2/2-$B$3504*(C3841)^3/6-(N(D26)*MAX(0,(C3841)-N(E26))^2/2+N(F26)*MAX(0,(C3841)-N(G26))^2/2+N(H26)*MAX(0,(C3841)-N(I26))^2/2+N(J26)*MAX(0,(C3841)-N(K26))^2/2+N(L26)*MAX(0,(C3841)-N(M26))^2/2)+$B$3507</f>
        <v>-57.9427083333333</v>
      </c>
    </row>
    <row r="3842" spans="1:5" hidden="1">
      <c r="A3842" s="3">
        <f t="shared" si="23"/>
        <v>0</v>
      </c>
      <c r="B3842" s="3">
        <f t="shared" si="24"/>
        <v>0</v>
      </c>
      <c r="C3842" s="3">
        <f t="shared" si="22"/>
        <v>0</v>
      </c>
      <c r="D3842" s="3">
        <f>$B$3505*(A3842)+$B$3506*(A3842)^2/2-$B$3504*(A3842)^3/6-(N(D26)*MAX(0,(A3842)-N(E26))^2/2+N(F26)*MAX(0,(A3842)-N(G26))^2/2+N(H26)*MAX(0,(A3842)-N(I26))^2/2+N(J26)*MAX(0,(A3842)-N(K26))^2/2+N(L26)*MAX(0,(A3842)-N(M26))^2/2)+$B$3507</f>
        <v>-57.9427083333333</v>
      </c>
      <c r="E3842" s="3">
        <f>$B$3505*(C3842)+$B$3506*(C3842)^2/2-$B$3504*(C3842)^3/6-(N(D26)*MAX(0,(C3842)-N(E26))^2/2+N(F26)*MAX(0,(C3842)-N(G26))^2/2+N(H26)*MAX(0,(C3842)-N(I26))^2/2+N(J26)*MAX(0,(C3842)-N(K26))^2/2+N(L26)*MAX(0,(C3842)-N(M26))^2/2)+$B$3507</f>
        <v>-57.9427083333333</v>
      </c>
    </row>
    <row r="3843" spans="1:5" hidden="1">
      <c r="A3843" s="3">
        <f t="shared" si="23"/>
        <v>0</v>
      </c>
      <c r="B3843" s="3">
        <f t="shared" si="24"/>
        <v>0</v>
      </c>
      <c r="C3843" s="3">
        <f t="shared" si="22"/>
        <v>0</v>
      </c>
      <c r="D3843" s="3">
        <f>$B$3505*(A3843)+$B$3506*(A3843)^2/2-$B$3504*(A3843)^3/6-(N(D26)*MAX(0,(A3843)-N(E26))^2/2+N(F26)*MAX(0,(A3843)-N(G26))^2/2+N(H26)*MAX(0,(A3843)-N(I26))^2/2+N(J26)*MAX(0,(A3843)-N(K26))^2/2+N(L26)*MAX(0,(A3843)-N(M26))^2/2)+$B$3507</f>
        <v>-57.9427083333333</v>
      </c>
      <c r="E3843" s="3">
        <f>$B$3505*(C3843)+$B$3506*(C3843)^2/2-$B$3504*(C3843)^3/6-(N(D26)*MAX(0,(C3843)-N(E26))^2/2+N(F26)*MAX(0,(C3843)-N(G26))^2/2+N(H26)*MAX(0,(C3843)-N(I26))^2/2+N(J26)*MAX(0,(C3843)-N(K26))^2/2+N(L26)*MAX(0,(C3843)-N(M26))^2/2)+$B$3507</f>
        <v>-57.9427083333333</v>
      </c>
    </row>
    <row r="3844" spans="1:5" hidden="1">
      <c r="A3844" s="3">
        <f t="shared" si="23"/>
        <v>0</v>
      </c>
      <c r="B3844" s="3">
        <f t="shared" si="24"/>
        <v>0</v>
      </c>
      <c r="C3844" s="3">
        <f t="shared" si="22"/>
        <v>0</v>
      </c>
      <c r="D3844" s="3">
        <f>$B$3505*(A3844)+$B$3506*(A3844)^2/2-$B$3504*(A3844)^3/6-(N(D26)*MAX(0,(A3844)-N(E26))^2/2+N(F26)*MAX(0,(A3844)-N(G26))^2/2+N(H26)*MAX(0,(A3844)-N(I26))^2/2+N(J26)*MAX(0,(A3844)-N(K26))^2/2+N(L26)*MAX(0,(A3844)-N(M26))^2/2)+$B$3507</f>
        <v>-57.9427083333333</v>
      </c>
      <c r="E3844" s="3">
        <f>$B$3505*(C3844)+$B$3506*(C3844)^2/2-$B$3504*(C3844)^3/6-(N(D26)*MAX(0,(C3844)-N(E26))^2/2+N(F26)*MAX(0,(C3844)-N(G26))^2/2+N(H26)*MAX(0,(C3844)-N(I26))^2/2+N(J26)*MAX(0,(C3844)-N(K26))^2/2+N(L26)*MAX(0,(C3844)-N(M26))^2/2)+$B$3507</f>
        <v>-57.9427083333333</v>
      </c>
    </row>
    <row r="3845" spans="1:5" hidden="1">
      <c r="A3845" s="3">
        <f t="shared" si="23"/>
        <v>0</v>
      </c>
      <c r="B3845" s="3">
        <f t="shared" si="24"/>
        <v>0</v>
      </c>
      <c r="C3845" s="3">
        <f t="shared" si="22"/>
        <v>0</v>
      </c>
      <c r="D3845" s="3">
        <f>$B$3505*(A3845)+$B$3506*(A3845)^2/2-$B$3504*(A3845)^3/6-(N(D26)*MAX(0,(A3845)-N(E26))^2/2+N(F26)*MAX(0,(A3845)-N(G26))^2/2+N(H26)*MAX(0,(A3845)-N(I26))^2/2+N(J26)*MAX(0,(A3845)-N(K26))^2/2+N(L26)*MAX(0,(A3845)-N(M26))^2/2)+$B$3507</f>
        <v>-57.9427083333333</v>
      </c>
      <c r="E3845" s="3">
        <f>$B$3505*(C3845)+$B$3506*(C3845)^2/2-$B$3504*(C3845)^3/6-(N(D26)*MAX(0,(C3845)-N(E26))^2/2+N(F26)*MAX(0,(C3845)-N(G26))^2/2+N(H26)*MAX(0,(C3845)-N(I26))^2/2+N(J26)*MAX(0,(C3845)-N(K26))^2/2+N(L26)*MAX(0,(C3845)-N(M26))^2/2)+$B$3507</f>
        <v>-57.9427083333333</v>
      </c>
    </row>
    <row r="3846" spans="1:5" hidden="1">
      <c r="A3846" s="3">
        <f t="shared" si="23"/>
        <v>0</v>
      </c>
      <c r="B3846" s="3">
        <f t="shared" si="24"/>
        <v>0</v>
      </c>
      <c r="C3846" s="3">
        <f t="shared" si="22"/>
        <v>0</v>
      </c>
      <c r="D3846" s="3">
        <f>$B$3505*(A3846)+$B$3506*(A3846)^2/2-$B$3504*(A3846)^3/6-(N(D26)*MAX(0,(A3846)-N(E26))^2/2+N(F26)*MAX(0,(A3846)-N(G26))^2/2+N(H26)*MAX(0,(A3846)-N(I26))^2/2+N(J26)*MAX(0,(A3846)-N(K26))^2/2+N(L26)*MAX(0,(A3846)-N(M26))^2/2)+$B$3507</f>
        <v>-57.9427083333333</v>
      </c>
      <c r="E3846" s="3">
        <f>$B$3505*(C3846)+$B$3506*(C3846)^2/2-$B$3504*(C3846)^3/6-(N(D26)*MAX(0,(C3846)-N(E26))^2/2+N(F26)*MAX(0,(C3846)-N(G26))^2/2+N(H26)*MAX(0,(C3846)-N(I26))^2/2+N(J26)*MAX(0,(C3846)-N(K26))^2/2+N(L26)*MAX(0,(C3846)-N(M26))^2/2)+$B$3507</f>
        <v>-57.9427083333333</v>
      </c>
    </row>
    <row r="3847" spans="1:5" hidden="1">
      <c r="A3847" s="3">
        <f t="shared" si="23"/>
        <v>0</v>
      </c>
      <c r="B3847" s="3">
        <f t="shared" si="24"/>
        <v>0</v>
      </c>
      <c r="C3847" s="3">
        <f t="shared" si="22"/>
        <v>0</v>
      </c>
      <c r="D3847" s="3">
        <f>$B$3505*(A3847)+$B$3506*(A3847)^2/2-$B$3504*(A3847)^3/6-(N(D26)*MAX(0,(A3847)-N(E26))^2/2+N(F26)*MAX(0,(A3847)-N(G26))^2/2+N(H26)*MAX(0,(A3847)-N(I26))^2/2+N(J26)*MAX(0,(A3847)-N(K26))^2/2+N(L26)*MAX(0,(A3847)-N(M26))^2/2)+$B$3507</f>
        <v>-57.9427083333333</v>
      </c>
      <c r="E3847" s="3">
        <f>$B$3505*(C3847)+$B$3506*(C3847)^2/2-$B$3504*(C3847)^3/6-(N(D26)*MAX(0,(C3847)-N(E26))^2/2+N(F26)*MAX(0,(C3847)-N(G26))^2/2+N(H26)*MAX(0,(C3847)-N(I26))^2/2+N(J26)*MAX(0,(C3847)-N(K26))^2/2+N(L26)*MAX(0,(C3847)-N(M26))^2/2)+$B$3507</f>
        <v>-57.9427083333333</v>
      </c>
    </row>
    <row r="3848" spans="1:5" hidden="1">
      <c r="A3848" s="3">
        <f t="shared" si="23"/>
        <v>0</v>
      </c>
      <c r="B3848" s="3">
        <f t="shared" si="24"/>
        <v>0</v>
      </c>
      <c r="C3848" s="3">
        <f t="shared" si="22"/>
        <v>0</v>
      </c>
      <c r="D3848" s="3">
        <f>$B$3505*(A3848)+$B$3506*(A3848)^2/2-$B$3504*(A3848)^3/6-(N(D26)*MAX(0,(A3848)-N(E26))^2/2+N(F26)*MAX(0,(A3848)-N(G26))^2/2+N(H26)*MAX(0,(A3848)-N(I26))^2/2+N(J26)*MAX(0,(A3848)-N(K26))^2/2+N(L26)*MAX(0,(A3848)-N(M26))^2/2)+$B$3507</f>
        <v>-57.9427083333333</v>
      </c>
      <c r="E3848" s="3">
        <f>$B$3505*(C3848)+$B$3506*(C3848)^2/2-$B$3504*(C3848)^3/6-(N(D26)*MAX(0,(C3848)-N(E26))^2/2+N(F26)*MAX(0,(C3848)-N(G26))^2/2+N(H26)*MAX(0,(C3848)-N(I26))^2/2+N(J26)*MAX(0,(C3848)-N(K26))^2/2+N(L26)*MAX(0,(C3848)-N(M26))^2/2)+$B$3507</f>
        <v>-57.9427083333333</v>
      </c>
    </row>
    <row r="3849" spans="1:5" hidden="1">
      <c r="A3849" s="3">
        <f t="shared" si="23"/>
        <v>0</v>
      </c>
      <c r="B3849" s="3">
        <f t="shared" si="24"/>
        <v>0</v>
      </c>
      <c r="C3849" s="3">
        <f t="shared" si="22"/>
        <v>0</v>
      </c>
      <c r="D3849" s="3">
        <f>$B$3505*(A3849)+$B$3506*(A3849)^2/2-$B$3504*(A3849)^3/6-(N(D26)*MAX(0,(A3849)-N(E26))^2/2+N(F26)*MAX(0,(A3849)-N(G26))^2/2+N(H26)*MAX(0,(A3849)-N(I26))^2/2+N(J26)*MAX(0,(A3849)-N(K26))^2/2+N(L26)*MAX(0,(A3849)-N(M26))^2/2)+$B$3507</f>
        <v>-57.9427083333333</v>
      </c>
      <c r="E3849" s="3">
        <f>$B$3505*(C3849)+$B$3506*(C3849)^2/2-$B$3504*(C3849)^3/6-(N(D26)*MAX(0,(C3849)-N(E26))^2/2+N(F26)*MAX(0,(C3849)-N(G26))^2/2+N(H26)*MAX(0,(C3849)-N(I26))^2/2+N(J26)*MAX(0,(C3849)-N(K26))^2/2+N(L26)*MAX(0,(C3849)-N(M26))^2/2)+$B$3507</f>
        <v>-57.9427083333333</v>
      </c>
    </row>
    <row r="3850" spans="1:5" hidden="1">
      <c r="A3850" s="3">
        <f t="shared" si="23"/>
        <v>0</v>
      </c>
      <c r="B3850" s="3">
        <f t="shared" si="24"/>
        <v>0</v>
      </c>
      <c r="C3850" s="3">
        <f t="shared" si="22"/>
        <v>0</v>
      </c>
      <c r="D3850" s="3">
        <f>$B$3505*(A3850)+$B$3506*(A3850)^2/2-$B$3504*(A3850)^3/6-(N(D26)*MAX(0,(A3850)-N(E26))^2/2+N(F26)*MAX(0,(A3850)-N(G26))^2/2+N(H26)*MAX(0,(A3850)-N(I26))^2/2+N(J26)*MAX(0,(A3850)-N(K26))^2/2+N(L26)*MAX(0,(A3850)-N(M26))^2/2)+$B$3507</f>
        <v>-57.9427083333333</v>
      </c>
      <c r="E3850" s="3">
        <f>$B$3505*(C3850)+$B$3506*(C3850)^2/2-$B$3504*(C3850)^3/6-(N(D26)*MAX(0,(C3850)-N(E26))^2/2+N(F26)*MAX(0,(C3850)-N(G26))^2/2+N(H26)*MAX(0,(C3850)-N(I26))^2/2+N(J26)*MAX(0,(C3850)-N(K26))^2/2+N(L26)*MAX(0,(C3850)-N(M26))^2/2)+$B$3507</f>
        <v>-57.9427083333333</v>
      </c>
    </row>
    <row r="3851" spans="1:5" hidden="1">
      <c r="A3851" s="3">
        <f t="shared" si="23"/>
        <v>0</v>
      </c>
      <c r="B3851" s="3">
        <f t="shared" si="24"/>
        <v>0</v>
      </c>
      <c r="C3851" s="3">
        <f t="shared" si="22"/>
        <v>0</v>
      </c>
      <c r="D3851" s="3">
        <f>$B$3505*(A3851)+$B$3506*(A3851)^2/2-$B$3504*(A3851)^3/6-(N(D26)*MAX(0,(A3851)-N(E26))^2/2+N(F26)*MAX(0,(A3851)-N(G26))^2/2+N(H26)*MAX(0,(A3851)-N(I26))^2/2+N(J26)*MAX(0,(A3851)-N(K26))^2/2+N(L26)*MAX(0,(A3851)-N(M26))^2/2)+$B$3507</f>
        <v>-57.9427083333333</v>
      </c>
      <c r="E3851" s="3">
        <f>$B$3505*(C3851)+$B$3506*(C3851)^2/2-$B$3504*(C3851)^3/6-(N(D26)*MAX(0,(C3851)-N(E26))^2/2+N(F26)*MAX(0,(C3851)-N(G26))^2/2+N(H26)*MAX(0,(C3851)-N(I26))^2/2+N(J26)*MAX(0,(C3851)-N(K26))^2/2+N(L26)*MAX(0,(C3851)-N(M26))^2/2)+$B$3507</f>
        <v>-57.9427083333333</v>
      </c>
    </row>
    <row r="3852" spans="1:5" hidden="1">
      <c r="A3852" s="3">
        <f t="shared" si="23"/>
        <v>0</v>
      </c>
      <c r="B3852" s="3">
        <f t="shared" si="24"/>
        <v>0</v>
      </c>
      <c r="C3852" s="3">
        <f t="shared" si="22"/>
        <v>0</v>
      </c>
      <c r="D3852" s="3">
        <f>$B$3505*(A3852)+$B$3506*(A3852)^2/2-$B$3504*(A3852)^3/6-(N(D26)*MAX(0,(A3852)-N(E26))^2/2+N(F26)*MAX(0,(A3852)-N(G26))^2/2+N(H26)*MAX(0,(A3852)-N(I26))^2/2+N(J26)*MAX(0,(A3852)-N(K26))^2/2+N(L26)*MAX(0,(A3852)-N(M26))^2/2)+$B$3507</f>
        <v>-57.9427083333333</v>
      </c>
      <c r="E3852" s="3">
        <f>$B$3505*(C3852)+$B$3506*(C3852)^2/2-$B$3504*(C3852)^3/6-(N(D26)*MAX(0,(C3852)-N(E26))^2/2+N(F26)*MAX(0,(C3852)-N(G26))^2/2+N(H26)*MAX(0,(C3852)-N(I26))^2/2+N(J26)*MAX(0,(C3852)-N(K26))^2/2+N(L26)*MAX(0,(C3852)-N(M26))^2/2)+$B$3507</f>
        <v>-57.9427083333333</v>
      </c>
    </row>
    <row r="3853" spans="1:5" hidden="1">
      <c r="A3853" s="3">
        <f t="shared" si="23"/>
        <v>0</v>
      </c>
      <c r="B3853" s="3">
        <f t="shared" si="24"/>
        <v>0</v>
      </c>
      <c r="C3853" s="3">
        <f t="shared" si="22"/>
        <v>0</v>
      </c>
      <c r="D3853" s="3">
        <f>$B$3505*(A3853)+$B$3506*(A3853)^2/2-$B$3504*(A3853)^3/6-(N(D26)*MAX(0,(A3853)-N(E26))^2/2+N(F26)*MAX(0,(A3853)-N(G26))^2/2+N(H26)*MAX(0,(A3853)-N(I26))^2/2+N(J26)*MAX(0,(A3853)-N(K26))^2/2+N(L26)*MAX(0,(A3853)-N(M26))^2/2)+$B$3507</f>
        <v>-57.9427083333333</v>
      </c>
      <c r="E3853" s="3">
        <f>$B$3505*(C3853)+$B$3506*(C3853)^2/2-$B$3504*(C3853)^3/6-(N(D26)*MAX(0,(C3853)-N(E26))^2/2+N(F26)*MAX(0,(C3853)-N(G26))^2/2+N(H26)*MAX(0,(C3853)-N(I26))^2/2+N(J26)*MAX(0,(C3853)-N(K26))^2/2+N(L26)*MAX(0,(C3853)-N(M26))^2/2)+$B$3507</f>
        <v>-57.9427083333333</v>
      </c>
    </row>
    <row r="3854" spans="1:5" hidden="1">
      <c r="A3854" s="3">
        <f t="shared" si="23"/>
        <v>0</v>
      </c>
      <c r="B3854" s="3">
        <f t="shared" si="24"/>
        <v>0</v>
      </c>
      <c r="C3854" s="3">
        <f t="shared" si="22"/>
        <v>0</v>
      </c>
      <c r="D3854" s="3">
        <f>$B$3505*(A3854)+$B$3506*(A3854)^2/2-$B$3504*(A3854)^3/6-(N(D26)*MAX(0,(A3854)-N(E26))^2/2+N(F26)*MAX(0,(A3854)-N(G26))^2/2+N(H26)*MAX(0,(A3854)-N(I26))^2/2+N(J26)*MAX(0,(A3854)-N(K26))^2/2+N(L26)*MAX(0,(A3854)-N(M26))^2/2)+$B$3507</f>
        <v>-57.9427083333333</v>
      </c>
      <c r="E3854" s="3">
        <f>$B$3505*(C3854)+$B$3506*(C3854)^2/2-$B$3504*(C3854)^3/6-(N(D26)*MAX(0,(C3854)-N(E26))^2/2+N(F26)*MAX(0,(C3854)-N(G26))^2/2+N(H26)*MAX(0,(C3854)-N(I26))^2/2+N(J26)*MAX(0,(C3854)-N(K26))^2/2+N(L26)*MAX(0,(C3854)-N(M26))^2/2)+$B$3507</f>
        <v>-57.9427083333333</v>
      </c>
    </row>
    <row r="3855" spans="1:5" hidden="1">
      <c r="A3855" s="3">
        <f t="shared" si="23"/>
        <v>0</v>
      </c>
      <c r="B3855" s="3">
        <f t="shared" si="24"/>
        <v>0</v>
      </c>
      <c r="C3855" s="3">
        <f t="shared" si="22"/>
        <v>0</v>
      </c>
      <c r="D3855" s="3">
        <f>$B$3505*(A3855)+$B$3506*(A3855)^2/2-$B$3504*(A3855)^3/6-(N(D26)*MAX(0,(A3855)-N(E26))^2/2+N(F26)*MAX(0,(A3855)-N(G26))^2/2+N(H26)*MAX(0,(A3855)-N(I26))^2/2+N(J26)*MAX(0,(A3855)-N(K26))^2/2+N(L26)*MAX(0,(A3855)-N(M26))^2/2)+$B$3507</f>
        <v>-57.9427083333333</v>
      </c>
      <c r="E3855" s="3">
        <f>$B$3505*(C3855)+$B$3506*(C3855)^2/2-$B$3504*(C3855)^3/6-(N(D26)*MAX(0,(C3855)-N(E26))^2/2+N(F26)*MAX(0,(C3855)-N(G26))^2/2+N(H26)*MAX(0,(C3855)-N(I26))^2/2+N(J26)*MAX(0,(C3855)-N(K26))^2/2+N(L26)*MAX(0,(C3855)-N(M26))^2/2)+$B$3507</f>
        <v>-57.9427083333333</v>
      </c>
    </row>
    <row r="3856" spans="1:5" hidden="1">
      <c r="A3856" s="3">
        <f t="shared" si="23"/>
        <v>0</v>
      </c>
      <c r="B3856" s="3">
        <f t="shared" si="24"/>
        <v>0</v>
      </c>
      <c r="C3856" s="3">
        <f t="shared" si="22"/>
        <v>0</v>
      </c>
      <c r="D3856" s="3">
        <f>$B$3505*(A3856)+$B$3506*(A3856)^2/2-$B$3504*(A3856)^3/6-(N(D26)*MAX(0,(A3856)-N(E26))^2/2+N(F26)*MAX(0,(A3856)-N(G26))^2/2+N(H26)*MAX(0,(A3856)-N(I26))^2/2+N(J26)*MAX(0,(A3856)-N(K26))^2/2+N(L26)*MAX(0,(A3856)-N(M26))^2/2)+$B$3507</f>
        <v>-57.9427083333333</v>
      </c>
      <c r="E3856" s="3">
        <f>$B$3505*(C3856)+$B$3506*(C3856)^2/2-$B$3504*(C3856)^3/6-(N(D26)*MAX(0,(C3856)-N(E26))^2/2+N(F26)*MAX(0,(C3856)-N(G26))^2/2+N(H26)*MAX(0,(C3856)-N(I26))^2/2+N(J26)*MAX(0,(C3856)-N(K26))^2/2+N(L26)*MAX(0,(C3856)-N(M26))^2/2)+$B$3507</f>
        <v>-57.9427083333333</v>
      </c>
    </row>
    <row r="3857" spans="1:5" hidden="1">
      <c r="A3857" s="3">
        <f t="shared" si="23"/>
        <v>0</v>
      </c>
      <c r="B3857" s="3">
        <f t="shared" si="24"/>
        <v>0</v>
      </c>
      <c r="C3857" s="3">
        <f t="shared" si="22"/>
        <v>0</v>
      </c>
      <c r="D3857" s="3">
        <f>$B$3505*(A3857)+$B$3506*(A3857)^2/2-$B$3504*(A3857)^3/6-(N(D26)*MAX(0,(A3857)-N(E26))^2/2+N(F26)*MAX(0,(A3857)-N(G26))^2/2+N(H26)*MAX(0,(A3857)-N(I26))^2/2+N(J26)*MAX(0,(A3857)-N(K26))^2/2+N(L26)*MAX(0,(A3857)-N(M26))^2/2)+$B$3507</f>
        <v>-57.9427083333333</v>
      </c>
      <c r="E3857" s="3">
        <f>$B$3505*(C3857)+$B$3506*(C3857)^2/2-$B$3504*(C3857)^3/6-(N(D26)*MAX(0,(C3857)-N(E26))^2/2+N(F26)*MAX(0,(C3857)-N(G26))^2/2+N(H26)*MAX(0,(C3857)-N(I26))^2/2+N(J26)*MAX(0,(C3857)-N(K26))^2/2+N(L26)*MAX(0,(C3857)-N(M26))^2/2)+$B$3507</f>
        <v>-57.9427083333333</v>
      </c>
    </row>
    <row r="3858" spans="1:5" hidden="1">
      <c r="A3858" s="3">
        <f t="shared" si="23"/>
        <v>0</v>
      </c>
      <c r="B3858" s="3">
        <f t="shared" si="24"/>
        <v>0</v>
      </c>
      <c r="C3858" s="3">
        <f t="shared" si="22"/>
        <v>0</v>
      </c>
      <c r="D3858" s="3">
        <f>$B$3505*(A3858)+$B$3506*(A3858)^2/2-$B$3504*(A3858)^3/6-(N(D26)*MAX(0,(A3858)-N(E26))^2/2+N(F26)*MAX(0,(A3858)-N(G26))^2/2+N(H26)*MAX(0,(A3858)-N(I26))^2/2+N(J26)*MAX(0,(A3858)-N(K26))^2/2+N(L26)*MAX(0,(A3858)-N(M26))^2/2)+$B$3507</f>
        <v>-57.9427083333333</v>
      </c>
      <c r="E3858" s="3">
        <f>$B$3505*(C3858)+$B$3506*(C3858)^2/2-$B$3504*(C3858)^3/6-(N(D26)*MAX(0,(C3858)-N(E26))^2/2+N(F26)*MAX(0,(C3858)-N(G26))^2/2+N(H26)*MAX(0,(C3858)-N(I26))^2/2+N(J26)*MAX(0,(C3858)-N(K26))^2/2+N(L26)*MAX(0,(C3858)-N(M26))^2/2)+$B$3507</f>
        <v>-57.9427083333333</v>
      </c>
    </row>
    <row r="3859" spans="1:5" hidden="1">
      <c r="A3859" s="3">
        <f t="shared" si="23"/>
        <v>0</v>
      </c>
      <c r="B3859" s="3">
        <f t="shared" si="24"/>
        <v>0</v>
      </c>
      <c r="C3859" s="3">
        <f t="shared" si="22"/>
        <v>0</v>
      </c>
      <c r="D3859" s="3">
        <f>$B$3505*(A3859)+$B$3506*(A3859)^2/2-$B$3504*(A3859)^3/6-(N(D26)*MAX(0,(A3859)-N(E26))^2/2+N(F26)*MAX(0,(A3859)-N(G26))^2/2+N(H26)*MAX(0,(A3859)-N(I26))^2/2+N(J26)*MAX(0,(A3859)-N(K26))^2/2+N(L26)*MAX(0,(A3859)-N(M26))^2/2)+$B$3507</f>
        <v>-57.9427083333333</v>
      </c>
      <c r="E3859" s="3">
        <f>$B$3505*(C3859)+$B$3506*(C3859)^2/2-$B$3504*(C3859)^3/6-(N(D26)*MAX(0,(C3859)-N(E26))^2/2+N(F26)*MAX(0,(C3859)-N(G26))^2/2+N(H26)*MAX(0,(C3859)-N(I26))^2/2+N(J26)*MAX(0,(C3859)-N(K26))^2/2+N(L26)*MAX(0,(C3859)-N(M26))^2/2)+$B$3507</f>
        <v>-57.9427083333333</v>
      </c>
    </row>
    <row r="3860" spans="1:5" hidden="1">
      <c r="A3860" s="3">
        <f t="shared" si="23"/>
        <v>0</v>
      </c>
      <c r="B3860" s="3">
        <f t="shared" si="24"/>
        <v>0</v>
      </c>
      <c r="C3860" s="3">
        <f t="shared" si="22"/>
        <v>0</v>
      </c>
      <c r="D3860" s="3">
        <f>$B$3505*(A3860)+$B$3506*(A3860)^2/2-$B$3504*(A3860)^3/6-(N(D26)*MAX(0,(A3860)-N(E26))^2/2+N(F26)*MAX(0,(A3860)-N(G26))^2/2+N(H26)*MAX(0,(A3860)-N(I26))^2/2+N(J26)*MAX(0,(A3860)-N(K26))^2/2+N(L26)*MAX(0,(A3860)-N(M26))^2/2)+$B$3507</f>
        <v>-57.9427083333333</v>
      </c>
      <c r="E3860" s="3">
        <f>$B$3505*(C3860)+$B$3506*(C3860)^2/2-$B$3504*(C3860)^3/6-(N(D26)*MAX(0,(C3860)-N(E26))^2/2+N(F26)*MAX(0,(C3860)-N(G26))^2/2+N(H26)*MAX(0,(C3860)-N(I26))^2/2+N(J26)*MAX(0,(C3860)-N(K26))^2/2+N(L26)*MAX(0,(C3860)-N(M26))^2/2)+$B$3507</f>
        <v>-57.9427083333333</v>
      </c>
    </row>
    <row r="3861" spans="1:5" hidden="1">
      <c r="A3861" s="3">
        <f t="shared" si="23"/>
        <v>0</v>
      </c>
      <c r="B3861" s="3">
        <f t="shared" si="24"/>
        <v>0</v>
      </c>
      <c r="C3861" s="3">
        <f t="shared" si="22"/>
        <v>0</v>
      </c>
      <c r="D3861" s="3">
        <f>$B$3505*(A3861)+$B$3506*(A3861)^2/2-$B$3504*(A3861)^3/6-(N(D26)*MAX(0,(A3861)-N(E26))^2/2+N(F26)*MAX(0,(A3861)-N(G26))^2/2+N(H26)*MAX(0,(A3861)-N(I26))^2/2+N(J26)*MAX(0,(A3861)-N(K26))^2/2+N(L26)*MAX(0,(A3861)-N(M26))^2/2)+$B$3507</f>
        <v>-57.9427083333333</v>
      </c>
      <c r="E3861" s="3">
        <f>$B$3505*(C3861)+$B$3506*(C3861)^2/2-$B$3504*(C3861)^3/6-(N(D26)*MAX(0,(C3861)-N(E26))^2/2+N(F26)*MAX(0,(C3861)-N(G26))^2/2+N(H26)*MAX(0,(C3861)-N(I26))^2/2+N(J26)*MAX(0,(C3861)-N(K26))^2/2+N(L26)*MAX(0,(C3861)-N(M26))^2/2)+$B$3507</f>
        <v>-57.9427083333333</v>
      </c>
    </row>
    <row r="3862" spans="1:5" hidden="1">
      <c r="A3862" s="3">
        <f t="shared" si="23"/>
        <v>0</v>
      </c>
      <c r="B3862" s="3">
        <f t="shared" si="24"/>
        <v>0</v>
      </c>
      <c r="C3862" s="3">
        <f t="shared" si="22"/>
        <v>0</v>
      </c>
      <c r="D3862" s="3">
        <f>$B$3505*(A3862)+$B$3506*(A3862)^2/2-$B$3504*(A3862)^3/6-(N(D26)*MAX(0,(A3862)-N(E26))^2/2+N(F26)*MAX(0,(A3862)-N(G26))^2/2+N(H26)*MAX(0,(A3862)-N(I26))^2/2+N(J26)*MAX(0,(A3862)-N(K26))^2/2+N(L26)*MAX(0,(A3862)-N(M26))^2/2)+$B$3507</f>
        <v>-57.9427083333333</v>
      </c>
      <c r="E3862" s="3">
        <f>$B$3505*(C3862)+$B$3506*(C3862)^2/2-$B$3504*(C3862)^3/6-(N(D26)*MAX(0,(C3862)-N(E26))^2/2+N(F26)*MAX(0,(C3862)-N(G26))^2/2+N(H26)*MAX(0,(C3862)-N(I26))^2/2+N(J26)*MAX(0,(C3862)-N(K26))^2/2+N(L26)*MAX(0,(C3862)-N(M26))^2/2)+$B$3507</f>
        <v>-57.9427083333333</v>
      </c>
    </row>
    <row r="3863" spans="1:5" hidden="1">
      <c r="A3863" s="3">
        <f t="shared" si="23"/>
        <v>0</v>
      </c>
      <c r="B3863" s="3">
        <f t="shared" si="24"/>
        <v>0</v>
      </c>
      <c r="C3863" s="3">
        <f t="shared" si="22"/>
        <v>0</v>
      </c>
      <c r="D3863" s="3">
        <f>$B$3505*(A3863)+$B$3506*(A3863)^2/2-$B$3504*(A3863)^3/6-(N(D26)*MAX(0,(A3863)-N(E26))^2/2+N(F26)*MAX(0,(A3863)-N(G26))^2/2+N(H26)*MAX(0,(A3863)-N(I26))^2/2+N(J26)*MAX(0,(A3863)-N(K26))^2/2+N(L26)*MAX(0,(A3863)-N(M26))^2/2)+$B$3507</f>
        <v>-57.9427083333333</v>
      </c>
      <c r="E3863" s="3">
        <f>$B$3505*(C3863)+$B$3506*(C3863)^2/2-$B$3504*(C3863)^3/6-(N(D26)*MAX(0,(C3863)-N(E26))^2/2+N(F26)*MAX(0,(C3863)-N(G26))^2/2+N(H26)*MAX(0,(C3863)-N(I26))^2/2+N(J26)*MAX(0,(C3863)-N(K26))^2/2+N(L26)*MAX(0,(C3863)-N(M26))^2/2)+$B$3507</f>
        <v>-57.9427083333333</v>
      </c>
    </row>
    <row r="3864" spans="1:5" hidden="1">
      <c r="A3864" s="3">
        <f t="shared" si="23"/>
        <v>0</v>
      </c>
      <c r="B3864" s="3">
        <f t="shared" si="24"/>
        <v>0</v>
      </c>
      <c r="C3864" s="3">
        <f t="shared" si="22"/>
        <v>0</v>
      </c>
      <c r="D3864" s="3">
        <f>$B$3505*(A3864)+$B$3506*(A3864)^2/2-$B$3504*(A3864)^3/6-(N(D26)*MAX(0,(A3864)-N(E26))^2/2+N(F26)*MAX(0,(A3864)-N(G26))^2/2+N(H26)*MAX(0,(A3864)-N(I26))^2/2+N(J26)*MAX(0,(A3864)-N(K26))^2/2+N(L26)*MAX(0,(A3864)-N(M26))^2/2)+$B$3507</f>
        <v>-57.9427083333333</v>
      </c>
      <c r="E3864" s="3">
        <f>$B$3505*(C3864)+$B$3506*(C3864)^2/2-$B$3504*(C3864)^3/6-(N(D26)*MAX(0,(C3864)-N(E26))^2/2+N(F26)*MAX(0,(C3864)-N(G26))^2/2+N(H26)*MAX(0,(C3864)-N(I26))^2/2+N(J26)*MAX(0,(C3864)-N(K26))^2/2+N(L26)*MAX(0,(C3864)-N(M26))^2/2)+$B$3507</f>
        <v>-57.9427083333333</v>
      </c>
    </row>
    <row r="3865" spans="1:5" hidden="1">
      <c r="A3865" s="3">
        <f t="shared" si="23"/>
        <v>0</v>
      </c>
      <c r="B3865" s="3">
        <f t="shared" si="24"/>
        <v>0</v>
      </c>
      <c r="C3865" s="3">
        <f t="shared" si="22"/>
        <v>0</v>
      </c>
      <c r="D3865" s="3">
        <f>$B$3505*(A3865)+$B$3506*(A3865)^2/2-$B$3504*(A3865)^3/6-(N(D26)*MAX(0,(A3865)-N(E26))^2/2+N(F26)*MAX(0,(A3865)-N(G26))^2/2+N(H26)*MAX(0,(A3865)-N(I26))^2/2+N(J26)*MAX(0,(A3865)-N(K26))^2/2+N(L26)*MAX(0,(A3865)-N(M26))^2/2)+$B$3507</f>
        <v>-57.9427083333333</v>
      </c>
      <c r="E3865" s="3">
        <f>$B$3505*(C3865)+$B$3506*(C3865)^2/2-$B$3504*(C3865)^3/6-(N(D26)*MAX(0,(C3865)-N(E26))^2/2+N(F26)*MAX(0,(C3865)-N(G26))^2/2+N(H26)*MAX(0,(C3865)-N(I26))^2/2+N(J26)*MAX(0,(C3865)-N(K26))^2/2+N(L26)*MAX(0,(C3865)-N(M26))^2/2)+$B$3507</f>
        <v>-57.9427083333333</v>
      </c>
    </row>
    <row r="3866" spans="1:5" hidden="1">
      <c r="A3866" s="3">
        <f t="shared" si="23"/>
        <v>0</v>
      </c>
      <c r="B3866" s="3">
        <f t="shared" si="24"/>
        <v>0</v>
      </c>
      <c r="C3866" s="3">
        <f t="shared" si="22"/>
        <v>0</v>
      </c>
      <c r="D3866" s="3">
        <f>$B$3505*(A3866)+$B$3506*(A3866)^2/2-$B$3504*(A3866)^3/6-(N(D26)*MAX(0,(A3866)-N(E26))^2/2+N(F26)*MAX(0,(A3866)-N(G26))^2/2+N(H26)*MAX(0,(A3866)-N(I26))^2/2+N(J26)*MAX(0,(A3866)-N(K26))^2/2+N(L26)*MAX(0,(A3866)-N(M26))^2/2)+$B$3507</f>
        <v>-57.9427083333333</v>
      </c>
      <c r="E3866" s="3">
        <f>$B$3505*(C3866)+$B$3506*(C3866)^2/2-$B$3504*(C3866)^3/6-(N(D26)*MAX(0,(C3866)-N(E26))^2/2+N(F26)*MAX(0,(C3866)-N(G26))^2/2+N(H26)*MAX(0,(C3866)-N(I26))^2/2+N(J26)*MAX(0,(C3866)-N(K26))^2/2+N(L26)*MAX(0,(C3866)-N(M26))^2/2)+$B$3507</f>
        <v>-57.9427083333333</v>
      </c>
    </row>
    <row r="3867" spans="1:5" hidden="1">
      <c r="A3867" s="3">
        <f t="shared" si="23"/>
        <v>0</v>
      </c>
      <c r="B3867" s="3">
        <f t="shared" si="24"/>
        <v>0</v>
      </c>
      <c r="C3867" s="3">
        <f t="shared" si="22"/>
        <v>0</v>
      </c>
      <c r="D3867" s="3">
        <f>$B$3505*(A3867)+$B$3506*(A3867)^2/2-$B$3504*(A3867)^3/6-(N(D26)*MAX(0,(A3867)-N(E26))^2/2+N(F26)*MAX(0,(A3867)-N(G26))^2/2+N(H26)*MAX(0,(A3867)-N(I26))^2/2+N(J26)*MAX(0,(A3867)-N(K26))^2/2+N(L26)*MAX(0,(A3867)-N(M26))^2/2)+$B$3507</f>
        <v>-57.9427083333333</v>
      </c>
      <c r="E3867" s="3">
        <f>$B$3505*(C3867)+$B$3506*(C3867)^2/2-$B$3504*(C3867)^3/6-(N(D26)*MAX(0,(C3867)-N(E26))^2/2+N(F26)*MAX(0,(C3867)-N(G26))^2/2+N(H26)*MAX(0,(C3867)-N(I26))^2/2+N(J26)*MAX(0,(C3867)-N(K26))^2/2+N(L26)*MAX(0,(C3867)-N(M26))^2/2)+$B$3507</f>
        <v>-57.9427083333333</v>
      </c>
    </row>
    <row r="3868" spans="1:5" hidden="1">
      <c r="A3868" s="3">
        <f t="shared" si="23"/>
        <v>0</v>
      </c>
      <c r="B3868" s="3">
        <f t="shared" si="24"/>
        <v>0</v>
      </c>
      <c r="C3868" s="3">
        <f t="shared" si="22"/>
        <v>0</v>
      </c>
      <c r="D3868" s="3">
        <f>$B$3505*(A3868)+$B$3506*(A3868)^2/2-$B$3504*(A3868)^3/6-(N(D26)*MAX(0,(A3868)-N(E26))^2/2+N(F26)*MAX(0,(A3868)-N(G26))^2/2+N(H26)*MAX(0,(A3868)-N(I26))^2/2+N(J26)*MAX(0,(A3868)-N(K26))^2/2+N(L26)*MAX(0,(A3868)-N(M26))^2/2)+$B$3507</f>
        <v>-57.9427083333333</v>
      </c>
      <c r="E3868" s="3">
        <f>$B$3505*(C3868)+$B$3506*(C3868)^2/2-$B$3504*(C3868)^3/6-(N(D26)*MAX(0,(C3868)-N(E26))^2/2+N(F26)*MAX(0,(C3868)-N(G26))^2/2+N(H26)*MAX(0,(C3868)-N(I26))^2/2+N(J26)*MAX(0,(C3868)-N(K26))^2/2+N(L26)*MAX(0,(C3868)-N(M26))^2/2)+$B$3507</f>
        <v>-57.9427083333333</v>
      </c>
    </row>
    <row r="3869" spans="1:5" hidden="1">
      <c r="A3869" s="3">
        <f t="shared" si="23"/>
        <v>0</v>
      </c>
      <c r="B3869" s="3">
        <f t="shared" si="24"/>
        <v>0</v>
      </c>
      <c r="C3869" s="3">
        <f t="shared" si="22"/>
        <v>0</v>
      </c>
      <c r="D3869" s="3">
        <f>$B$3505*(A3869)+$B$3506*(A3869)^2/2-$B$3504*(A3869)^3/6-(N(D26)*MAX(0,(A3869)-N(E26))^2/2+N(F26)*MAX(0,(A3869)-N(G26))^2/2+N(H26)*MAX(0,(A3869)-N(I26))^2/2+N(J26)*MAX(0,(A3869)-N(K26))^2/2+N(L26)*MAX(0,(A3869)-N(M26))^2/2)+$B$3507</f>
        <v>-57.9427083333333</v>
      </c>
      <c r="E3869" s="3">
        <f>$B$3505*(C3869)+$B$3506*(C3869)^2/2-$B$3504*(C3869)^3/6-(N(D26)*MAX(0,(C3869)-N(E26))^2/2+N(F26)*MAX(0,(C3869)-N(G26))^2/2+N(H26)*MAX(0,(C3869)-N(I26))^2/2+N(J26)*MAX(0,(C3869)-N(K26))^2/2+N(L26)*MAX(0,(C3869)-N(M26))^2/2)+$B$3507</f>
        <v>-57.9427083333333</v>
      </c>
    </row>
    <row r="3870" spans="1:5" hidden="1">
      <c r="A3870" s="3">
        <f t="shared" si="23"/>
        <v>0</v>
      </c>
      <c r="B3870" s="3">
        <f t="shared" si="24"/>
        <v>0</v>
      </c>
      <c r="C3870" s="3">
        <f t="shared" si="22"/>
        <v>0</v>
      </c>
      <c r="D3870" s="3">
        <f>$B$3505*(A3870)+$B$3506*(A3870)^2/2-$B$3504*(A3870)^3/6-(N(D26)*MAX(0,(A3870)-N(E26))^2/2+N(F26)*MAX(0,(A3870)-N(G26))^2/2+N(H26)*MAX(0,(A3870)-N(I26))^2/2+N(J26)*MAX(0,(A3870)-N(K26))^2/2+N(L26)*MAX(0,(A3870)-N(M26))^2/2)+$B$3507</f>
        <v>-57.9427083333333</v>
      </c>
      <c r="E3870" s="3">
        <f>$B$3505*(C3870)+$B$3506*(C3870)^2/2-$B$3504*(C3870)^3/6-(N(D26)*MAX(0,(C3870)-N(E26))^2/2+N(F26)*MAX(0,(C3870)-N(G26))^2/2+N(H26)*MAX(0,(C3870)-N(I26))^2/2+N(J26)*MAX(0,(C3870)-N(K26))^2/2+N(L26)*MAX(0,(C3870)-N(M26))^2/2)+$B$3507</f>
        <v>-57.9427083333333</v>
      </c>
    </row>
    <row r="3871" spans="1:5" hidden="1">
      <c r="A3871" s="3">
        <f t="shared" si="23"/>
        <v>0</v>
      </c>
      <c r="B3871" s="3">
        <f t="shared" si="24"/>
        <v>0</v>
      </c>
      <c r="C3871" s="3">
        <f t="shared" si="22"/>
        <v>0</v>
      </c>
      <c r="D3871" s="3">
        <f>$B$3505*(A3871)+$B$3506*(A3871)^2/2-$B$3504*(A3871)^3/6-(N(D26)*MAX(0,(A3871)-N(E26))^2/2+N(F26)*MAX(0,(A3871)-N(G26))^2/2+N(H26)*MAX(0,(A3871)-N(I26))^2/2+N(J26)*MAX(0,(A3871)-N(K26))^2/2+N(L26)*MAX(0,(A3871)-N(M26))^2/2)+$B$3507</f>
        <v>-57.9427083333333</v>
      </c>
      <c r="E3871" s="3">
        <f>$B$3505*(C3871)+$B$3506*(C3871)^2/2-$B$3504*(C3871)^3/6-(N(D26)*MAX(0,(C3871)-N(E26))^2/2+N(F26)*MAX(0,(C3871)-N(G26))^2/2+N(H26)*MAX(0,(C3871)-N(I26))^2/2+N(J26)*MAX(0,(C3871)-N(K26))^2/2+N(L26)*MAX(0,(C3871)-N(M26))^2/2)+$B$3507</f>
        <v>-57.9427083333333</v>
      </c>
    </row>
    <row r="3872" spans="1:5" hidden="1">
      <c r="A3872" s="3">
        <f t="shared" si="23"/>
        <v>0</v>
      </c>
      <c r="B3872" s="3">
        <f t="shared" si="24"/>
        <v>0</v>
      </c>
      <c r="C3872" s="3">
        <f t="shared" si="22"/>
        <v>0</v>
      </c>
      <c r="D3872" s="3">
        <f>$B$3505*(A3872)+$B$3506*(A3872)^2/2-$B$3504*(A3872)^3/6-(N(D26)*MAX(0,(A3872)-N(E26))^2/2+N(F26)*MAX(0,(A3872)-N(G26))^2/2+N(H26)*MAX(0,(A3872)-N(I26))^2/2+N(J26)*MAX(0,(A3872)-N(K26))^2/2+N(L26)*MAX(0,(A3872)-N(M26))^2/2)+$B$3507</f>
        <v>-57.9427083333333</v>
      </c>
      <c r="E3872" s="3">
        <f>$B$3505*(C3872)+$B$3506*(C3872)^2/2-$B$3504*(C3872)^3/6-(N(D26)*MAX(0,(C3872)-N(E26))^2/2+N(F26)*MAX(0,(C3872)-N(G26))^2/2+N(H26)*MAX(0,(C3872)-N(I26))^2/2+N(J26)*MAX(0,(C3872)-N(K26))^2/2+N(L26)*MAX(0,(C3872)-N(M26))^2/2)+$B$3507</f>
        <v>-57.9427083333333</v>
      </c>
    </row>
    <row r="3873" spans="1:5" hidden="1">
      <c r="A3873" s="3">
        <f t="shared" si="23"/>
        <v>0</v>
      </c>
      <c r="B3873" s="3">
        <f t="shared" si="24"/>
        <v>0</v>
      </c>
      <c r="C3873" s="3">
        <f t="shared" si="22"/>
        <v>0</v>
      </c>
      <c r="D3873" s="3">
        <f>$B$3505*(A3873)+$B$3506*(A3873)^2/2-$B$3504*(A3873)^3/6-(N(D26)*MAX(0,(A3873)-N(E26))^2/2+N(F26)*MAX(0,(A3873)-N(G26))^2/2+N(H26)*MAX(0,(A3873)-N(I26))^2/2+N(J26)*MAX(0,(A3873)-N(K26))^2/2+N(L26)*MAX(0,(A3873)-N(M26))^2/2)+$B$3507</f>
        <v>-57.9427083333333</v>
      </c>
      <c r="E3873" s="3">
        <f>$B$3505*(C3873)+$B$3506*(C3873)^2/2-$B$3504*(C3873)^3/6-(N(D26)*MAX(0,(C3873)-N(E26))^2/2+N(F26)*MAX(0,(C3873)-N(G26))^2/2+N(H26)*MAX(0,(C3873)-N(I26))^2/2+N(J26)*MAX(0,(C3873)-N(K26))^2/2+N(L26)*MAX(0,(C3873)-N(M26))^2/2)+$B$3507</f>
        <v>-57.9427083333333</v>
      </c>
    </row>
    <row r="3874" spans="1:5" hidden="1">
      <c r="A3874" s="3">
        <f t="shared" si="23"/>
        <v>0</v>
      </c>
      <c r="B3874" s="3">
        <f t="shared" si="24"/>
        <v>0</v>
      </c>
      <c r="C3874" s="3">
        <f t="shared" si="22"/>
        <v>0</v>
      </c>
      <c r="D3874" s="3">
        <f>$B$3505*(A3874)+$B$3506*(A3874)^2/2-$B$3504*(A3874)^3/6-(N(D26)*MAX(0,(A3874)-N(E26))^2/2+N(F26)*MAX(0,(A3874)-N(G26))^2/2+N(H26)*MAX(0,(A3874)-N(I26))^2/2+N(J26)*MAX(0,(A3874)-N(K26))^2/2+N(L26)*MAX(0,(A3874)-N(M26))^2/2)+$B$3507</f>
        <v>-57.9427083333333</v>
      </c>
      <c r="E3874" s="3">
        <f>$B$3505*(C3874)+$B$3506*(C3874)^2/2-$B$3504*(C3874)^3/6-(N(D26)*MAX(0,(C3874)-N(E26))^2/2+N(F26)*MAX(0,(C3874)-N(G26))^2/2+N(H26)*MAX(0,(C3874)-N(I26))^2/2+N(J26)*MAX(0,(C3874)-N(K26))^2/2+N(L26)*MAX(0,(C3874)-N(M26))^2/2)+$B$3507</f>
        <v>-57.9427083333333</v>
      </c>
    </row>
    <row r="3875" spans="1:5" hidden="1">
      <c r="A3875" s="3">
        <f t="shared" si="23"/>
        <v>0</v>
      </c>
      <c r="B3875" s="3">
        <f t="shared" si="24"/>
        <v>0</v>
      </c>
      <c r="C3875" s="3">
        <f t="shared" si="22"/>
        <v>0</v>
      </c>
      <c r="D3875" s="3">
        <f>$B$3505*(A3875)+$B$3506*(A3875)^2/2-$B$3504*(A3875)^3/6-(N(D26)*MAX(0,(A3875)-N(E26))^2/2+N(F26)*MAX(0,(A3875)-N(G26))^2/2+N(H26)*MAX(0,(A3875)-N(I26))^2/2+N(J26)*MAX(0,(A3875)-N(K26))^2/2+N(L26)*MAX(0,(A3875)-N(M26))^2/2)+$B$3507</f>
        <v>-57.9427083333333</v>
      </c>
      <c r="E3875" s="3">
        <f>$B$3505*(C3875)+$B$3506*(C3875)^2/2-$B$3504*(C3875)^3/6-(N(D26)*MAX(0,(C3875)-N(E26))^2/2+N(F26)*MAX(0,(C3875)-N(G26))^2/2+N(H26)*MAX(0,(C3875)-N(I26))^2/2+N(J26)*MAX(0,(C3875)-N(K26))^2/2+N(L26)*MAX(0,(C3875)-N(M26))^2/2)+$B$3507</f>
        <v>-57.9427083333333</v>
      </c>
    </row>
    <row r="3876" spans="1:5" hidden="1"/>
    <row r="3877" spans="1:5" hidden="1">
      <c r="A3877" s="3">
        <f>B3547</f>
        <v>0</v>
      </c>
      <c r="B3877" s="3">
        <f>IF(($B$3505*(B3547)+$B$3506*(B3547)^2/2-$B$3504*(B3547)^3/6-(N(D26)*MAX(0,(B3547)-N(E26))^2/2+N(F26)*MAX(0,(B3547)-N(G26))^2/2+N(H26)*MAX(0,(B3547)-N(I26))^2/2+N(J26)*MAX(0,(B3547)-N(K26))^2/2+N(L26)*MAX(0,(B3547)-N(M26))^2/2)+$B$3507)*($B$3505*(B3548)+$B$3506*(B3548)^2/2-$B$3504*(B3548)^3/6-(N(D26)*MAX(0,(B3548)-N(E26))^2/2+N(F26)*MAX(0,(B3548)-N(G26))^2/2+N(H26)*MAX(0,(B3548)-N(I26))^2/2+N(J26)*MAX(0,(B3548)-N(K26))^2/2+N(L26)*MAX(0,(B3548)-N(M26))^2/2)+$B$3507)&lt;=0,B3548,B3547)</f>
        <v>0</v>
      </c>
      <c r="C3877" s="3">
        <f t="shared" ref="C3877:C3921" si="25">(A3877+B3877)/2</f>
        <v>0</v>
      </c>
      <c r="D3877" s="3">
        <f>$B$3505*(A3877)+$B$3506*(A3877)^2/2-$B$3504*(A3877)^3/6-(N(D26)*MAX(0,(A3877)-N(E26))^2/2+N(F26)*MAX(0,(A3877)-N(G26))^2/2+N(H26)*MAX(0,(A3877)-N(I26))^2/2+N(J26)*MAX(0,(A3877)-N(K26))^2/2+N(L26)*MAX(0,(A3877)-N(M26))^2/2)+$B$3507</f>
        <v>-57.9427083333333</v>
      </c>
      <c r="E3877" s="3">
        <f>$B$3505*(C3877)+$B$3506*(C3877)^2/2-$B$3504*(C3877)^3/6-(N(D26)*MAX(0,(C3877)-N(E26))^2/2+N(F26)*MAX(0,(C3877)-N(G26))^2/2+N(H26)*MAX(0,(C3877)-N(I26))^2/2+N(J26)*MAX(0,(C3877)-N(K26))^2/2+N(L26)*MAX(0,(C3877)-N(M26))^2/2)+$B$3507</f>
        <v>-57.9427083333333</v>
      </c>
    </row>
    <row r="3878" spans="1:5" hidden="1">
      <c r="A3878" s="3">
        <f t="shared" ref="A3878:A3921" si="26">IF(D3877*E3877&lt;=0,A3877,C3877)</f>
        <v>0</v>
      </c>
      <c r="B3878" s="3">
        <f t="shared" ref="B3878:B3921" si="27">IF(D3877*E3877&lt;=0,C3877,B3877)</f>
        <v>0</v>
      </c>
      <c r="C3878" s="3">
        <f t="shared" si="25"/>
        <v>0</v>
      </c>
      <c r="D3878" s="3">
        <f>$B$3505*(A3878)+$B$3506*(A3878)^2/2-$B$3504*(A3878)^3/6-(N(D26)*MAX(0,(A3878)-N(E26))^2/2+N(F26)*MAX(0,(A3878)-N(G26))^2/2+N(H26)*MAX(0,(A3878)-N(I26))^2/2+N(J26)*MAX(0,(A3878)-N(K26))^2/2+N(L26)*MAX(0,(A3878)-N(M26))^2/2)+$B$3507</f>
        <v>-57.9427083333333</v>
      </c>
      <c r="E3878" s="3">
        <f>$B$3505*(C3878)+$B$3506*(C3878)^2/2-$B$3504*(C3878)^3/6-(N(D26)*MAX(0,(C3878)-N(E26))^2/2+N(F26)*MAX(0,(C3878)-N(G26))^2/2+N(H26)*MAX(0,(C3878)-N(I26))^2/2+N(J26)*MAX(0,(C3878)-N(K26))^2/2+N(L26)*MAX(0,(C3878)-N(M26))^2/2)+$B$3507</f>
        <v>-57.9427083333333</v>
      </c>
    </row>
    <row r="3879" spans="1:5" hidden="1">
      <c r="A3879" s="3">
        <f t="shared" si="26"/>
        <v>0</v>
      </c>
      <c r="B3879" s="3">
        <f t="shared" si="27"/>
        <v>0</v>
      </c>
      <c r="C3879" s="3">
        <f t="shared" si="25"/>
        <v>0</v>
      </c>
      <c r="D3879" s="3">
        <f>$B$3505*(A3879)+$B$3506*(A3879)^2/2-$B$3504*(A3879)^3/6-(N(D26)*MAX(0,(A3879)-N(E26))^2/2+N(F26)*MAX(0,(A3879)-N(G26))^2/2+N(H26)*MAX(0,(A3879)-N(I26))^2/2+N(J26)*MAX(0,(A3879)-N(K26))^2/2+N(L26)*MAX(0,(A3879)-N(M26))^2/2)+$B$3507</f>
        <v>-57.9427083333333</v>
      </c>
      <c r="E3879" s="3">
        <f>$B$3505*(C3879)+$B$3506*(C3879)^2/2-$B$3504*(C3879)^3/6-(N(D26)*MAX(0,(C3879)-N(E26))^2/2+N(F26)*MAX(0,(C3879)-N(G26))^2/2+N(H26)*MAX(0,(C3879)-N(I26))^2/2+N(J26)*MAX(0,(C3879)-N(K26))^2/2+N(L26)*MAX(0,(C3879)-N(M26))^2/2)+$B$3507</f>
        <v>-57.9427083333333</v>
      </c>
    </row>
    <row r="3880" spans="1:5" hidden="1">
      <c r="A3880" s="3">
        <f t="shared" si="26"/>
        <v>0</v>
      </c>
      <c r="B3880" s="3">
        <f t="shared" si="27"/>
        <v>0</v>
      </c>
      <c r="C3880" s="3">
        <f t="shared" si="25"/>
        <v>0</v>
      </c>
      <c r="D3880" s="3">
        <f>$B$3505*(A3880)+$B$3506*(A3880)^2/2-$B$3504*(A3880)^3/6-(N(D26)*MAX(0,(A3880)-N(E26))^2/2+N(F26)*MAX(0,(A3880)-N(G26))^2/2+N(H26)*MAX(0,(A3880)-N(I26))^2/2+N(J26)*MAX(0,(A3880)-N(K26))^2/2+N(L26)*MAX(0,(A3880)-N(M26))^2/2)+$B$3507</f>
        <v>-57.9427083333333</v>
      </c>
      <c r="E3880" s="3">
        <f>$B$3505*(C3880)+$B$3506*(C3880)^2/2-$B$3504*(C3880)^3/6-(N(D26)*MAX(0,(C3880)-N(E26))^2/2+N(F26)*MAX(0,(C3880)-N(G26))^2/2+N(H26)*MAX(0,(C3880)-N(I26))^2/2+N(J26)*MAX(0,(C3880)-N(K26))^2/2+N(L26)*MAX(0,(C3880)-N(M26))^2/2)+$B$3507</f>
        <v>-57.9427083333333</v>
      </c>
    </row>
    <row r="3881" spans="1:5" hidden="1">
      <c r="A3881" s="3">
        <f t="shared" si="26"/>
        <v>0</v>
      </c>
      <c r="B3881" s="3">
        <f t="shared" si="27"/>
        <v>0</v>
      </c>
      <c r="C3881" s="3">
        <f t="shared" si="25"/>
        <v>0</v>
      </c>
      <c r="D3881" s="3">
        <f>$B$3505*(A3881)+$B$3506*(A3881)^2/2-$B$3504*(A3881)^3/6-(N(D26)*MAX(0,(A3881)-N(E26))^2/2+N(F26)*MAX(0,(A3881)-N(G26))^2/2+N(H26)*MAX(0,(A3881)-N(I26))^2/2+N(J26)*MAX(0,(A3881)-N(K26))^2/2+N(L26)*MAX(0,(A3881)-N(M26))^2/2)+$B$3507</f>
        <v>-57.9427083333333</v>
      </c>
      <c r="E3881" s="3">
        <f>$B$3505*(C3881)+$B$3506*(C3881)^2/2-$B$3504*(C3881)^3/6-(N(D26)*MAX(0,(C3881)-N(E26))^2/2+N(F26)*MAX(0,(C3881)-N(G26))^2/2+N(H26)*MAX(0,(C3881)-N(I26))^2/2+N(J26)*MAX(0,(C3881)-N(K26))^2/2+N(L26)*MAX(0,(C3881)-N(M26))^2/2)+$B$3507</f>
        <v>-57.9427083333333</v>
      </c>
    </row>
    <row r="3882" spans="1:5" hidden="1">
      <c r="A3882" s="3">
        <f t="shared" si="26"/>
        <v>0</v>
      </c>
      <c r="B3882" s="3">
        <f t="shared" si="27"/>
        <v>0</v>
      </c>
      <c r="C3882" s="3">
        <f t="shared" si="25"/>
        <v>0</v>
      </c>
      <c r="D3882" s="3">
        <f>$B$3505*(A3882)+$B$3506*(A3882)^2/2-$B$3504*(A3882)^3/6-(N(D26)*MAX(0,(A3882)-N(E26))^2/2+N(F26)*MAX(0,(A3882)-N(G26))^2/2+N(H26)*MAX(0,(A3882)-N(I26))^2/2+N(J26)*MAX(0,(A3882)-N(K26))^2/2+N(L26)*MAX(0,(A3882)-N(M26))^2/2)+$B$3507</f>
        <v>-57.9427083333333</v>
      </c>
      <c r="E3882" s="3">
        <f>$B$3505*(C3882)+$B$3506*(C3882)^2/2-$B$3504*(C3882)^3/6-(N(D26)*MAX(0,(C3882)-N(E26))^2/2+N(F26)*MAX(0,(C3882)-N(G26))^2/2+N(H26)*MAX(0,(C3882)-N(I26))^2/2+N(J26)*MAX(0,(C3882)-N(K26))^2/2+N(L26)*MAX(0,(C3882)-N(M26))^2/2)+$B$3507</f>
        <v>-57.9427083333333</v>
      </c>
    </row>
    <row r="3883" spans="1:5" hidden="1">
      <c r="A3883" s="3">
        <f t="shared" si="26"/>
        <v>0</v>
      </c>
      <c r="B3883" s="3">
        <f t="shared" si="27"/>
        <v>0</v>
      </c>
      <c r="C3883" s="3">
        <f t="shared" si="25"/>
        <v>0</v>
      </c>
      <c r="D3883" s="3">
        <f>$B$3505*(A3883)+$B$3506*(A3883)^2/2-$B$3504*(A3883)^3/6-(N(D26)*MAX(0,(A3883)-N(E26))^2/2+N(F26)*MAX(0,(A3883)-N(G26))^2/2+N(H26)*MAX(0,(A3883)-N(I26))^2/2+N(J26)*MAX(0,(A3883)-N(K26))^2/2+N(L26)*MAX(0,(A3883)-N(M26))^2/2)+$B$3507</f>
        <v>-57.9427083333333</v>
      </c>
      <c r="E3883" s="3">
        <f>$B$3505*(C3883)+$B$3506*(C3883)^2/2-$B$3504*(C3883)^3/6-(N(D26)*MAX(0,(C3883)-N(E26))^2/2+N(F26)*MAX(0,(C3883)-N(G26))^2/2+N(H26)*MAX(0,(C3883)-N(I26))^2/2+N(J26)*MAX(0,(C3883)-N(K26))^2/2+N(L26)*MAX(0,(C3883)-N(M26))^2/2)+$B$3507</f>
        <v>-57.9427083333333</v>
      </c>
    </row>
    <row r="3884" spans="1:5" hidden="1">
      <c r="A3884" s="3">
        <f t="shared" si="26"/>
        <v>0</v>
      </c>
      <c r="B3884" s="3">
        <f t="shared" si="27"/>
        <v>0</v>
      </c>
      <c r="C3884" s="3">
        <f t="shared" si="25"/>
        <v>0</v>
      </c>
      <c r="D3884" s="3">
        <f>$B$3505*(A3884)+$B$3506*(A3884)^2/2-$B$3504*(A3884)^3/6-(N(D26)*MAX(0,(A3884)-N(E26))^2/2+N(F26)*MAX(0,(A3884)-N(G26))^2/2+N(H26)*MAX(0,(A3884)-N(I26))^2/2+N(J26)*MAX(0,(A3884)-N(K26))^2/2+N(L26)*MAX(0,(A3884)-N(M26))^2/2)+$B$3507</f>
        <v>-57.9427083333333</v>
      </c>
      <c r="E3884" s="3">
        <f>$B$3505*(C3884)+$B$3506*(C3884)^2/2-$B$3504*(C3884)^3/6-(N(D26)*MAX(0,(C3884)-N(E26))^2/2+N(F26)*MAX(0,(C3884)-N(G26))^2/2+N(H26)*MAX(0,(C3884)-N(I26))^2/2+N(J26)*MAX(0,(C3884)-N(K26))^2/2+N(L26)*MAX(0,(C3884)-N(M26))^2/2)+$B$3507</f>
        <v>-57.9427083333333</v>
      </c>
    </row>
    <row r="3885" spans="1:5" hidden="1">
      <c r="A3885" s="3">
        <f t="shared" si="26"/>
        <v>0</v>
      </c>
      <c r="B3885" s="3">
        <f t="shared" si="27"/>
        <v>0</v>
      </c>
      <c r="C3885" s="3">
        <f t="shared" si="25"/>
        <v>0</v>
      </c>
      <c r="D3885" s="3">
        <f>$B$3505*(A3885)+$B$3506*(A3885)^2/2-$B$3504*(A3885)^3/6-(N(D26)*MAX(0,(A3885)-N(E26))^2/2+N(F26)*MAX(0,(A3885)-N(G26))^2/2+N(H26)*MAX(0,(A3885)-N(I26))^2/2+N(J26)*MAX(0,(A3885)-N(K26))^2/2+N(L26)*MAX(0,(A3885)-N(M26))^2/2)+$B$3507</f>
        <v>-57.9427083333333</v>
      </c>
      <c r="E3885" s="3">
        <f>$B$3505*(C3885)+$B$3506*(C3885)^2/2-$B$3504*(C3885)^3/6-(N(D26)*MAX(0,(C3885)-N(E26))^2/2+N(F26)*MAX(0,(C3885)-N(G26))^2/2+N(H26)*MAX(0,(C3885)-N(I26))^2/2+N(J26)*MAX(0,(C3885)-N(K26))^2/2+N(L26)*MAX(0,(C3885)-N(M26))^2/2)+$B$3507</f>
        <v>-57.9427083333333</v>
      </c>
    </row>
    <row r="3886" spans="1:5" hidden="1">
      <c r="A3886" s="3">
        <f t="shared" si="26"/>
        <v>0</v>
      </c>
      <c r="B3886" s="3">
        <f t="shared" si="27"/>
        <v>0</v>
      </c>
      <c r="C3886" s="3">
        <f t="shared" si="25"/>
        <v>0</v>
      </c>
      <c r="D3886" s="3">
        <f>$B$3505*(A3886)+$B$3506*(A3886)^2/2-$B$3504*(A3886)^3/6-(N(D26)*MAX(0,(A3886)-N(E26))^2/2+N(F26)*MAX(0,(A3886)-N(G26))^2/2+N(H26)*MAX(0,(A3886)-N(I26))^2/2+N(J26)*MAX(0,(A3886)-N(K26))^2/2+N(L26)*MAX(0,(A3886)-N(M26))^2/2)+$B$3507</f>
        <v>-57.9427083333333</v>
      </c>
      <c r="E3886" s="3">
        <f>$B$3505*(C3886)+$B$3506*(C3886)^2/2-$B$3504*(C3886)^3/6-(N(D26)*MAX(0,(C3886)-N(E26))^2/2+N(F26)*MAX(0,(C3886)-N(G26))^2/2+N(H26)*MAX(0,(C3886)-N(I26))^2/2+N(J26)*MAX(0,(C3886)-N(K26))^2/2+N(L26)*MAX(0,(C3886)-N(M26))^2/2)+$B$3507</f>
        <v>-57.9427083333333</v>
      </c>
    </row>
    <row r="3887" spans="1:5" hidden="1">
      <c r="A3887" s="3">
        <f t="shared" si="26"/>
        <v>0</v>
      </c>
      <c r="B3887" s="3">
        <f t="shared" si="27"/>
        <v>0</v>
      </c>
      <c r="C3887" s="3">
        <f t="shared" si="25"/>
        <v>0</v>
      </c>
      <c r="D3887" s="3">
        <f>$B$3505*(A3887)+$B$3506*(A3887)^2/2-$B$3504*(A3887)^3/6-(N(D26)*MAX(0,(A3887)-N(E26))^2/2+N(F26)*MAX(0,(A3887)-N(G26))^2/2+N(H26)*MAX(0,(A3887)-N(I26))^2/2+N(J26)*MAX(0,(A3887)-N(K26))^2/2+N(L26)*MAX(0,(A3887)-N(M26))^2/2)+$B$3507</f>
        <v>-57.9427083333333</v>
      </c>
      <c r="E3887" s="3">
        <f>$B$3505*(C3887)+$B$3506*(C3887)^2/2-$B$3504*(C3887)^3/6-(N(D26)*MAX(0,(C3887)-N(E26))^2/2+N(F26)*MAX(0,(C3887)-N(G26))^2/2+N(H26)*MAX(0,(C3887)-N(I26))^2/2+N(J26)*MAX(0,(C3887)-N(K26))^2/2+N(L26)*MAX(0,(C3887)-N(M26))^2/2)+$B$3507</f>
        <v>-57.9427083333333</v>
      </c>
    </row>
    <row r="3888" spans="1:5" hidden="1">
      <c r="A3888" s="3">
        <f t="shared" si="26"/>
        <v>0</v>
      </c>
      <c r="B3888" s="3">
        <f t="shared" si="27"/>
        <v>0</v>
      </c>
      <c r="C3888" s="3">
        <f t="shared" si="25"/>
        <v>0</v>
      </c>
      <c r="D3888" s="3">
        <f>$B$3505*(A3888)+$B$3506*(A3888)^2/2-$B$3504*(A3888)^3/6-(N(D26)*MAX(0,(A3888)-N(E26))^2/2+N(F26)*MAX(0,(A3888)-N(G26))^2/2+N(H26)*MAX(0,(A3888)-N(I26))^2/2+N(J26)*MAX(0,(A3888)-N(K26))^2/2+N(L26)*MAX(0,(A3888)-N(M26))^2/2)+$B$3507</f>
        <v>-57.9427083333333</v>
      </c>
      <c r="E3888" s="3">
        <f>$B$3505*(C3888)+$B$3506*(C3888)^2/2-$B$3504*(C3888)^3/6-(N(D26)*MAX(0,(C3888)-N(E26))^2/2+N(F26)*MAX(0,(C3888)-N(G26))^2/2+N(H26)*MAX(0,(C3888)-N(I26))^2/2+N(J26)*MAX(0,(C3888)-N(K26))^2/2+N(L26)*MAX(0,(C3888)-N(M26))^2/2)+$B$3507</f>
        <v>-57.9427083333333</v>
      </c>
    </row>
    <row r="3889" spans="1:5" hidden="1">
      <c r="A3889" s="3">
        <f t="shared" si="26"/>
        <v>0</v>
      </c>
      <c r="B3889" s="3">
        <f t="shared" si="27"/>
        <v>0</v>
      </c>
      <c r="C3889" s="3">
        <f t="shared" si="25"/>
        <v>0</v>
      </c>
      <c r="D3889" s="3">
        <f>$B$3505*(A3889)+$B$3506*(A3889)^2/2-$B$3504*(A3889)^3/6-(N(D26)*MAX(0,(A3889)-N(E26))^2/2+N(F26)*MAX(0,(A3889)-N(G26))^2/2+N(H26)*MAX(0,(A3889)-N(I26))^2/2+N(J26)*MAX(0,(A3889)-N(K26))^2/2+N(L26)*MAX(0,(A3889)-N(M26))^2/2)+$B$3507</f>
        <v>-57.9427083333333</v>
      </c>
      <c r="E3889" s="3">
        <f>$B$3505*(C3889)+$B$3506*(C3889)^2/2-$B$3504*(C3889)^3/6-(N(D26)*MAX(0,(C3889)-N(E26))^2/2+N(F26)*MAX(0,(C3889)-N(G26))^2/2+N(H26)*MAX(0,(C3889)-N(I26))^2/2+N(J26)*MAX(0,(C3889)-N(K26))^2/2+N(L26)*MAX(0,(C3889)-N(M26))^2/2)+$B$3507</f>
        <v>-57.9427083333333</v>
      </c>
    </row>
    <row r="3890" spans="1:5" hidden="1">
      <c r="A3890" s="3">
        <f t="shared" si="26"/>
        <v>0</v>
      </c>
      <c r="B3890" s="3">
        <f t="shared" si="27"/>
        <v>0</v>
      </c>
      <c r="C3890" s="3">
        <f t="shared" si="25"/>
        <v>0</v>
      </c>
      <c r="D3890" s="3">
        <f>$B$3505*(A3890)+$B$3506*(A3890)^2/2-$B$3504*(A3890)^3/6-(N(D26)*MAX(0,(A3890)-N(E26))^2/2+N(F26)*MAX(0,(A3890)-N(G26))^2/2+N(H26)*MAX(0,(A3890)-N(I26))^2/2+N(J26)*MAX(0,(A3890)-N(K26))^2/2+N(L26)*MAX(0,(A3890)-N(M26))^2/2)+$B$3507</f>
        <v>-57.9427083333333</v>
      </c>
      <c r="E3890" s="3">
        <f>$B$3505*(C3890)+$B$3506*(C3890)^2/2-$B$3504*(C3890)^3/6-(N(D26)*MAX(0,(C3890)-N(E26))^2/2+N(F26)*MAX(0,(C3890)-N(G26))^2/2+N(H26)*MAX(0,(C3890)-N(I26))^2/2+N(J26)*MAX(0,(C3890)-N(K26))^2/2+N(L26)*MAX(0,(C3890)-N(M26))^2/2)+$B$3507</f>
        <v>-57.9427083333333</v>
      </c>
    </row>
    <row r="3891" spans="1:5" hidden="1">
      <c r="A3891" s="3">
        <f t="shared" si="26"/>
        <v>0</v>
      </c>
      <c r="B3891" s="3">
        <f t="shared" si="27"/>
        <v>0</v>
      </c>
      <c r="C3891" s="3">
        <f t="shared" si="25"/>
        <v>0</v>
      </c>
      <c r="D3891" s="3">
        <f>$B$3505*(A3891)+$B$3506*(A3891)^2/2-$B$3504*(A3891)^3/6-(N(D26)*MAX(0,(A3891)-N(E26))^2/2+N(F26)*MAX(0,(A3891)-N(G26))^2/2+N(H26)*MAX(0,(A3891)-N(I26))^2/2+N(J26)*MAX(0,(A3891)-N(K26))^2/2+N(L26)*MAX(0,(A3891)-N(M26))^2/2)+$B$3507</f>
        <v>-57.9427083333333</v>
      </c>
      <c r="E3891" s="3">
        <f>$B$3505*(C3891)+$B$3506*(C3891)^2/2-$B$3504*(C3891)^3/6-(N(D26)*MAX(0,(C3891)-N(E26))^2/2+N(F26)*MAX(0,(C3891)-N(G26))^2/2+N(H26)*MAX(0,(C3891)-N(I26))^2/2+N(J26)*MAX(0,(C3891)-N(K26))^2/2+N(L26)*MAX(0,(C3891)-N(M26))^2/2)+$B$3507</f>
        <v>-57.9427083333333</v>
      </c>
    </row>
    <row r="3892" spans="1:5" hidden="1">
      <c r="A3892" s="3">
        <f t="shared" si="26"/>
        <v>0</v>
      </c>
      <c r="B3892" s="3">
        <f t="shared" si="27"/>
        <v>0</v>
      </c>
      <c r="C3892" s="3">
        <f t="shared" si="25"/>
        <v>0</v>
      </c>
      <c r="D3892" s="3">
        <f>$B$3505*(A3892)+$B$3506*(A3892)^2/2-$B$3504*(A3892)^3/6-(N(D26)*MAX(0,(A3892)-N(E26))^2/2+N(F26)*MAX(0,(A3892)-N(G26))^2/2+N(H26)*MAX(0,(A3892)-N(I26))^2/2+N(J26)*MAX(0,(A3892)-N(K26))^2/2+N(L26)*MAX(0,(A3892)-N(M26))^2/2)+$B$3507</f>
        <v>-57.9427083333333</v>
      </c>
      <c r="E3892" s="3">
        <f>$B$3505*(C3892)+$B$3506*(C3892)^2/2-$B$3504*(C3892)^3/6-(N(D26)*MAX(0,(C3892)-N(E26))^2/2+N(F26)*MAX(0,(C3892)-N(G26))^2/2+N(H26)*MAX(0,(C3892)-N(I26))^2/2+N(J26)*MAX(0,(C3892)-N(K26))^2/2+N(L26)*MAX(0,(C3892)-N(M26))^2/2)+$B$3507</f>
        <v>-57.9427083333333</v>
      </c>
    </row>
    <row r="3893" spans="1:5" hidden="1">
      <c r="A3893" s="3">
        <f t="shared" si="26"/>
        <v>0</v>
      </c>
      <c r="B3893" s="3">
        <f t="shared" si="27"/>
        <v>0</v>
      </c>
      <c r="C3893" s="3">
        <f t="shared" si="25"/>
        <v>0</v>
      </c>
      <c r="D3893" s="3">
        <f>$B$3505*(A3893)+$B$3506*(A3893)^2/2-$B$3504*(A3893)^3/6-(N(D26)*MAX(0,(A3893)-N(E26))^2/2+N(F26)*MAX(0,(A3893)-N(G26))^2/2+N(H26)*MAX(0,(A3893)-N(I26))^2/2+N(J26)*MAX(0,(A3893)-N(K26))^2/2+N(L26)*MAX(0,(A3893)-N(M26))^2/2)+$B$3507</f>
        <v>-57.9427083333333</v>
      </c>
      <c r="E3893" s="3">
        <f>$B$3505*(C3893)+$B$3506*(C3893)^2/2-$B$3504*(C3893)^3/6-(N(D26)*MAX(0,(C3893)-N(E26))^2/2+N(F26)*MAX(0,(C3893)-N(G26))^2/2+N(H26)*MAX(0,(C3893)-N(I26))^2/2+N(J26)*MAX(0,(C3893)-N(K26))^2/2+N(L26)*MAX(0,(C3893)-N(M26))^2/2)+$B$3507</f>
        <v>-57.9427083333333</v>
      </c>
    </row>
    <row r="3894" spans="1:5" hidden="1">
      <c r="A3894" s="3">
        <f t="shared" si="26"/>
        <v>0</v>
      </c>
      <c r="B3894" s="3">
        <f t="shared" si="27"/>
        <v>0</v>
      </c>
      <c r="C3894" s="3">
        <f t="shared" si="25"/>
        <v>0</v>
      </c>
      <c r="D3894" s="3">
        <f>$B$3505*(A3894)+$B$3506*(A3894)^2/2-$B$3504*(A3894)^3/6-(N(D26)*MAX(0,(A3894)-N(E26))^2/2+N(F26)*MAX(0,(A3894)-N(G26))^2/2+N(H26)*MAX(0,(A3894)-N(I26))^2/2+N(J26)*MAX(0,(A3894)-N(K26))^2/2+N(L26)*MAX(0,(A3894)-N(M26))^2/2)+$B$3507</f>
        <v>-57.9427083333333</v>
      </c>
      <c r="E3894" s="3">
        <f>$B$3505*(C3894)+$B$3506*(C3894)^2/2-$B$3504*(C3894)^3/6-(N(D26)*MAX(0,(C3894)-N(E26))^2/2+N(F26)*MAX(0,(C3894)-N(G26))^2/2+N(H26)*MAX(0,(C3894)-N(I26))^2/2+N(J26)*MAX(0,(C3894)-N(K26))^2/2+N(L26)*MAX(0,(C3894)-N(M26))^2/2)+$B$3507</f>
        <v>-57.9427083333333</v>
      </c>
    </row>
    <row r="3895" spans="1:5" hidden="1">
      <c r="A3895" s="3">
        <f t="shared" si="26"/>
        <v>0</v>
      </c>
      <c r="B3895" s="3">
        <f t="shared" si="27"/>
        <v>0</v>
      </c>
      <c r="C3895" s="3">
        <f t="shared" si="25"/>
        <v>0</v>
      </c>
      <c r="D3895" s="3">
        <f>$B$3505*(A3895)+$B$3506*(A3895)^2/2-$B$3504*(A3895)^3/6-(N(D26)*MAX(0,(A3895)-N(E26))^2/2+N(F26)*MAX(0,(A3895)-N(G26))^2/2+N(H26)*MAX(0,(A3895)-N(I26))^2/2+N(J26)*MAX(0,(A3895)-N(K26))^2/2+N(L26)*MAX(0,(A3895)-N(M26))^2/2)+$B$3507</f>
        <v>-57.9427083333333</v>
      </c>
      <c r="E3895" s="3">
        <f>$B$3505*(C3895)+$B$3506*(C3895)^2/2-$B$3504*(C3895)^3/6-(N(D26)*MAX(0,(C3895)-N(E26))^2/2+N(F26)*MAX(0,(C3895)-N(G26))^2/2+N(H26)*MAX(0,(C3895)-N(I26))^2/2+N(J26)*MAX(0,(C3895)-N(K26))^2/2+N(L26)*MAX(0,(C3895)-N(M26))^2/2)+$B$3507</f>
        <v>-57.9427083333333</v>
      </c>
    </row>
    <row r="3896" spans="1:5" hidden="1">
      <c r="A3896" s="3">
        <f t="shared" si="26"/>
        <v>0</v>
      </c>
      <c r="B3896" s="3">
        <f t="shared" si="27"/>
        <v>0</v>
      </c>
      <c r="C3896" s="3">
        <f t="shared" si="25"/>
        <v>0</v>
      </c>
      <c r="D3896" s="3">
        <f>$B$3505*(A3896)+$B$3506*(A3896)^2/2-$B$3504*(A3896)^3/6-(N(D26)*MAX(0,(A3896)-N(E26))^2/2+N(F26)*MAX(0,(A3896)-N(G26))^2/2+N(H26)*MAX(0,(A3896)-N(I26))^2/2+N(J26)*MAX(0,(A3896)-N(K26))^2/2+N(L26)*MAX(0,(A3896)-N(M26))^2/2)+$B$3507</f>
        <v>-57.9427083333333</v>
      </c>
      <c r="E3896" s="3">
        <f>$B$3505*(C3896)+$B$3506*(C3896)^2/2-$B$3504*(C3896)^3/6-(N(D26)*MAX(0,(C3896)-N(E26))^2/2+N(F26)*MAX(0,(C3896)-N(G26))^2/2+N(H26)*MAX(0,(C3896)-N(I26))^2/2+N(J26)*MAX(0,(C3896)-N(K26))^2/2+N(L26)*MAX(0,(C3896)-N(M26))^2/2)+$B$3507</f>
        <v>-57.9427083333333</v>
      </c>
    </row>
    <row r="3897" spans="1:5" hidden="1">
      <c r="A3897" s="3">
        <f t="shared" si="26"/>
        <v>0</v>
      </c>
      <c r="B3897" s="3">
        <f t="shared" si="27"/>
        <v>0</v>
      </c>
      <c r="C3897" s="3">
        <f t="shared" si="25"/>
        <v>0</v>
      </c>
      <c r="D3897" s="3">
        <f>$B$3505*(A3897)+$B$3506*(A3897)^2/2-$B$3504*(A3897)^3/6-(N(D26)*MAX(0,(A3897)-N(E26))^2/2+N(F26)*MAX(0,(A3897)-N(G26))^2/2+N(H26)*MAX(0,(A3897)-N(I26))^2/2+N(J26)*MAX(0,(A3897)-N(K26))^2/2+N(L26)*MAX(0,(A3897)-N(M26))^2/2)+$B$3507</f>
        <v>-57.9427083333333</v>
      </c>
      <c r="E3897" s="3">
        <f>$B$3505*(C3897)+$B$3506*(C3897)^2/2-$B$3504*(C3897)^3/6-(N(D26)*MAX(0,(C3897)-N(E26))^2/2+N(F26)*MAX(0,(C3897)-N(G26))^2/2+N(H26)*MAX(0,(C3897)-N(I26))^2/2+N(J26)*MAX(0,(C3897)-N(K26))^2/2+N(L26)*MAX(0,(C3897)-N(M26))^2/2)+$B$3507</f>
        <v>-57.9427083333333</v>
      </c>
    </row>
    <row r="3898" spans="1:5" hidden="1">
      <c r="A3898" s="3">
        <f t="shared" si="26"/>
        <v>0</v>
      </c>
      <c r="B3898" s="3">
        <f t="shared" si="27"/>
        <v>0</v>
      </c>
      <c r="C3898" s="3">
        <f t="shared" si="25"/>
        <v>0</v>
      </c>
      <c r="D3898" s="3">
        <f>$B$3505*(A3898)+$B$3506*(A3898)^2/2-$B$3504*(A3898)^3/6-(N(D26)*MAX(0,(A3898)-N(E26))^2/2+N(F26)*MAX(0,(A3898)-N(G26))^2/2+N(H26)*MAX(0,(A3898)-N(I26))^2/2+N(J26)*MAX(0,(A3898)-N(K26))^2/2+N(L26)*MAX(0,(A3898)-N(M26))^2/2)+$B$3507</f>
        <v>-57.9427083333333</v>
      </c>
      <c r="E3898" s="3">
        <f>$B$3505*(C3898)+$B$3506*(C3898)^2/2-$B$3504*(C3898)^3/6-(N(D26)*MAX(0,(C3898)-N(E26))^2/2+N(F26)*MAX(0,(C3898)-N(G26))^2/2+N(H26)*MAX(0,(C3898)-N(I26))^2/2+N(J26)*MAX(0,(C3898)-N(K26))^2/2+N(L26)*MAX(0,(C3898)-N(M26))^2/2)+$B$3507</f>
        <v>-57.9427083333333</v>
      </c>
    </row>
    <row r="3899" spans="1:5" hidden="1">
      <c r="A3899" s="3">
        <f t="shared" si="26"/>
        <v>0</v>
      </c>
      <c r="B3899" s="3">
        <f t="shared" si="27"/>
        <v>0</v>
      </c>
      <c r="C3899" s="3">
        <f t="shared" si="25"/>
        <v>0</v>
      </c>
      <c r="D3899" s="3">
        <f>$B$3505*(A3899)+$B$3506*(A3899)^2/2-$B$3504*(A3899)^3/6-(N(D26)*MAX(0,(A3899)-N(E26))^2/2+N(F26)*MAX(0,(A3899)-N(G26))^2/2+N(H26)*MAX(0,(A3899)-N(I26))^2/2+N(J26)*MAX(0,(A3899)-N(K26))^2/2+N(L26)*MAX(0,(A3899)-N(M26))^2/2)+$B$3507</f>
        <v>-57.9427083333333</v>
      </c>
      <c r="E3899" s="3">
        <f>$B$3505*(C3899)+$B$3506*(C3899)^2/2-$B$3504*(C3899)^3/6-(N(D26)*MAX(0,(C3899)-N(E26))^2/2+N(F26)*MAX(0,(C3899)-N(G26))^2/2+N(H26)*MAX(0,(C3899)-N(I26))^2/2+N(J26)*MAX(0,(C3899)-N(K26))^2/2+N(L26)*MAX(0,(C3899)-N(M26))^2/2)+$B$3507</f>
        <v>-57.9427083333333</v>
      </c>
    </row>
    <row r="3900" spans="1:5" hidden="1">
      <c r="A3900" s="3">
        <f t="shared" si="26"/>
        <v>0</v>
      </c>
      <c r="B3900" s="3">
        <f t="shared" si="27"/>
        <v>0</v>
      </c>
      <c r="C3900" s="3">
        <f t="shared" si="25"/>
        <v>0</v>
      </c>
      <c r="D3900" s="3">
        <f>$B$3505*(A3900)+$B$3506*(A3900)^2/2-$B$3504*(A3900)^3/6-(N(D26)*MAX(0,(A3900)-N(E26))^2/2+N(F26)*MAX(0,(A3900)-N(G26))^2/2+N(H26)*MAX(0,(A3900)-N(I26))^2/2+N(J26)*MAX(0,(A3900)-N(K26))^2/2+N(L26)*MAX(0,(A3900)-N(M26))^2/2)+$B$3507</f>
        <v>-57.9427083333333</v>
      </c>
      <c r="E3900" s="3">
        <f>$B$3505*(C3900)+$B$3506*(C3900)^2/2-$B$3504*(C3900)^3/6-(N(D26)*MAX(0,(C3900)-N(E26))^2/2+N(F26)*MAX(0,(C3900)-N(G26))^2/2+N(H26)*MAX(0,(C3900)-N(I26))^2/2+N(J26)*MAX(0,(C3900)-N(K26))^2/2+N(L26)*MAX(0,(C3900)-N(M26))^2/2)+$B$3507</f>
        <v>-57.9427083333333</v>
      </c>
    </row>
    <row r="3901" spans="1:5" hidden="1">
      <c r="A3901" s="3">
        <f t="shared" si="26"/>
        <v>0</v>
      </c>
      <c r="B3901" s="3">
        <f t="shared" si="27"/>
        <v>0</v>
      </c>
      <c r="C3901" s="3">
        <f t="shared" si="25"/>
        <v>0</v>
      </c>
      <c r="D3901" s="3">
        <f>$B$3505*(A3901)+$B$3506*(A3901)^2/2-$B$3504*(A3901)^3/6-(N(D26)*MAX(0,(A3901)-N(E26))^2/2+N(F26)*MAX(0,(A3901)-N(G26))^2/2+N(H26)*MAX(0,(A3901)-N(I26))^2/2+N(J26)*MAX(0,(A3901)-N(K26))^2/2+N(L26)*MAX(0,(A3901)-N(M26))^2/2)+$B$3507</f>
        <v>-57.9427083333333</v>
      </c>
      <c r="E3901" s="3">
        <f>$B$3505*(C3901)+$B$3506*(C3901)^2/2-$B$3504*(C3901)^3/6-(N(D26)*MAX(0,(C3901)-N(E26))^2/2+N(F26)*MAX(0,(C3901)-N(G26))^2/2+N(H26)*MAX(0,(C3901)-N(I26))^2/2+N(J26)*MAX(0,(C3901)-N(K26))^2/2+N(L26)*MAX(0,(C3901)-N(M26))^2/2)+$B$3507</f>
        <v>-57.9427083333333</v>
      </c>
    </row>
    <row r="3902" spans="1:5" hidden="1">
      <c r="A3902" s="3">
        <f t="shared" si="26"/>
        <v>0</v>
      </c>
      <c r="B3902" s="3">
        <f t="shared" si="27"/>
        <v>0</v>
      </c>
      <c r="C3902" s="3">
        <f t="shared" si="25"/>
        <v>0</v>
      </c>
      <c r="D3902" s="3">
        <f>$B$3505*(A3902)+$B$3506*(A3902)^2/2-$B$3504*(A3902)^3/6-(N(D26)*MAX(0,(A3902)-N(E26))^2/2+N(F26)*MAX(0,(A3902)-N(G26))^2/2+N(H26)*MAX(0,(A3902)-N(I26))^2/2+N(J26)*MAX(0,(A3902)-N(K26))^2/2+N(L26)*MAX(0,(A3902)-N(M26))^2/2)+$B$3507</f>
        <v>-57.9427083333333</v>
      </c>
      <c r="E3902" s="3">
        <f>$B$3505*(C3902)+$B$3506*(C3902)^2/2-$B$3504*(C3902)^3/6-(N(D26)*MAX(0,(C3902)-N(E26))^2/2+N(F26)*MAX(0,(C3902)-N(G26))^2/2+N(H26)*MAX(0,(C3902)-N(I26))^2/2+N(J26)*MAX(0,(C3902)-N(K26))^2/2+N(L26)*MAX(0,(C3902)-N(M26))^2/2)+$B$3507</f>
        <v>-57.9427083333333</v>
      </c>
    </row>
    <row r="3903" spans="1:5" hidden="1">
      <c r="A3903" s="3">
        <f t="shared" si="26"/>
        <v>0</v>
      </c>
      <c r="B3903" s="3">
        <f t="shared" si="27"/>
        <v>0</v>
      </c>
      <c r="C3903" s="3">
        <f t="shared" si="25"/>
        <v>0</v>
      </c>
      <c r="D3903" s="3">
        <f>$B$3505*(A3903)+$B$3506*(A3903)^2/2-$B$3504*(A3903)^3/6-(N(D26)*MAX(0,(A3903)-N(E26))^2/2+N(F26)*MAX(0,(A3903)-N(G26))^2/2+N(H26)*MAX(0,(A3903)-N(I26))^2/2+N(J26)*MAX(0,(A3903)-N(K26))^2/2+N(L26)*MAX(0,(A3903)-N(M26))^2/2)+$B$3507</f>
        <v>-57.9427083333333</v>
      </c>
      <c r="E3903" s="3">
        <f>$B$3505*(C3903)+$B$3506*(C3903)^2/2-$B$3504*(C3903)^3/6-(N(D26)*MAX(0,(C3903)-N(E26))^2/2+N(F26)*MAX(0,(C3903)-N(G26))^2/2+N(H26)*MAX(0,(C3903)-N(I26))^2/2+N(J26)*MAX(0,(C3903)-N(K26))^2/2+N(L26)*MAX(0,(C3903)-N(M26))^2/2)+$B$3507</f>
        <v>-57.9427083333333</v>
      </c>
    </row>
    <row r="3904" spans="1:5" hidden="1">
      <c r="A3904" s="3">
        <f t="shared" si="26"/>
        <v>0</v>
      </c>
      <c r="B3904" s="3">
        <f t="shared" si="27"/>
        <v>0</v>
      </c>
      <c r="C3904" s="3">
        <f t="shared" si="25"/>
        <v>0</v>
      </c>
      <c r="D3904" s="3">
        <f>$B$3505*(A3904)+$B$3506*(A3904)^2/2-$B$3504*(A3904)^3/6-(N(D26)*MAX(0,(A3904)-N(E26))^2/2+N(F26)*MAX(0,(A3904)-N(G26))^2/2+N(H26)*MAX(0,(A3904)-N(I26))^2/2+N(J26)*MAX(0,(A3904)-N(K26))^2/2+N(L26)*MAX(0,(A3904)-N(M26))^2/2)+$B$3507</f>
        <v>-57.9427083333333</v>
      </c>
      <c r="E3904" s="3">
        <f>$B$3505*(C3904)+$B$3506*(C3904)^2/2-$B$3504*(C3904)^3/6-(N(D26)*MAX(0,(C3904)-N(E26))^2/2+N(F26)*MAX(0,(C3904)-N(G26))^2/2+N(H26)*MAX(0,(C3904)-N(I26))^2/2+N(J26)*MAX(0,(C3904)-N(K26))^2/2+N(L26)*MAX(0,(C3904)-N(M26))^2/2)+$B$3507</f>
        <v>-57.9427083333333</v>
      </c>
    </row>
    <row r="3905" spans="1:5" hidden="1">
      <c r="A3905" s="3">
        <f t="shared" si="26"/>
        <v>0</v>
      </c>
      <c r="B3905" s="3">
        <f t="shared" si="27"/>
        <v>0</v>
      </c>
      <c r="C3905" s="3">
        <f t="shared" si="25"/>
        <v>0</v>
      </c>
      <c r="D3905" s="3">
        <f>$B$3505*(A3905)+$B$3506*(A3905)^2/2-$B$3504*(A3905)^3/6-(N(D26)*MAX(0,(A3905)-N(E26))^2/2+N(F26)*MAX(0,(A3905)-N(G26))^2/2+N(H26)*MAX(0,(A3905)-N(I26))^2/2+N(J26)*MAX(0,(A3905)-N(K26))^2/2+N(L26)*MAX(0,(A3905)-N(M26))^2/2)+$B$3507</f>
        <v>-57.9427083333333</v>
      </c>
      <c r="E3905" s="3">
        <f>$B$3505*(C3905)+$B$3506*(C3905)^2/2-$B$3504*(C3905)^3/6-(N(D26)*MAX(0,(C3905)-N(E26))^2/2+N(F26)*MAX(0,(C3905)-N(G26))^2/2+N(H26)*MAX(0,(C3905)-N(I26))^2/2+N(J26)*MAX(0,(C3905)-N(K26))^2/2+N(L26)*MAX(0,(C3905)-N(M26))^2/2)+$B$3507</f>
        <v>-57.9427083333333</v>
      </c>
    </row>
    <row r="3906" spans="1:5" hidden="1">
      <c r="A3906" s="3">
        <f t="shared" si="26"/>
        <v>0</v>
      </c>
      <c r="B3906" s="3">
        <f t="shared" si="27"/>
        <v>0</v>
      </c>
      <c r="C3906" s="3">
        <f t="shared" si="25"/>
        <v>0</v>
      </c>
      <c r="D3906" s="3">
        <f>$B$3505*(A3906)+$B$3506*(A3906)^2/2-$B$3504*(A3906)^3/6-(N(D26)*MAX(0,(A3906)-N(E26))^2/2+N(F26)*MAX(0,(A3906)-N(G26))^2/2+N(H26)*MAX(0,(A3906)-N(I26))^2/2+N(J26)*MAX(0,(A3906)-N(K26))^2/2+N(L26)*MAX(0,(A3906)-N(M26))^2/2)+$B$3507</f>
        <v>-57.9427083333333</v>
      </c>
      <c r="E3906" s="3">
        <f>$B$3505*(C3906)+$B$3506*(C3906)^2/2-$B$3504*(C3906)^3/6-(N(D26)*MAX(0,(C3906)-N(E26))^2/2+N(F26)*MAX(0,(C3906)-N(G26))^2/2+N(H26)*MAX(0,(C3906)-N(I26))^2/2+N(J26)*MAX(0,(C3906)-N(K26))^2/2+N(L26)*MAX(0,(C3906)-N(M26))^2/2)+$B$3507</f>
        <v>-57.9427083333333</v>
      </c>
    </row>
    <row r="3907" spans="1:5" hidden="1">
      <c r="A3907" s="3">
        <f t="shared" si="26"/>
        <v>0</v>
      </c>
      <c r="B3907" s="3">
        <f t="shared" si="27"/>
        <v>0</v>
      </c>
      <c r="C3907" s="3">
        <f t="shared" si="25"/>
        <v>0</v>
      </c>
      <c r="D3907" s="3">
        <f>$B$3505*(A3907)+$B$3506*(A3907)^2/2-$B$3504*(A3907)^3/6-(N(D26)*MAX(0,(A3907)-N(E26))^2/2+N(F26)*MAX(0,(A3907)-N(G26))^2/2+N(H26)*MAX(0,(A3907)-N(I26))^2/2+N(J26)*MAX(0,(A3907)-N(K26))^2/2+N(L26)*MAX(0,(A3907)-N(M26))^2/2)+$B$3507</f>
        <v>-57.9427083333333</v>
      </c>
      <c r="E3907" s="3">
        <f>$B$3505*(C3907)+$B$3506*(C3907)^2/2-$B$3504*(C3907)^3/6-(N(D26)*MAX(0,(C3907)-N(E26))^2/2+N(F26)*MAX(0,(C3907)-N(G26))^2/2+N(H26)*MAX(0,(C3907)-N(I26))^2/2+N(J26)*MAX(0,(C3907)-N(K26))^2/2+N(L26)*MAX(0,(C3907)-N(M26))^2/2)+$B$3507</f>
        <v>-57.9427083333333</v>
      </c>
    </row>
    <row r="3908" spans="1:5" hidden="1">
      <c r="A3908" s="3">
        <f t="shared" si="26"/>
        <v>0</v>
      </c>
      <c r="B3908" s="3">
        <f t="shared" si="27"/>
        <v>0</v>
      </c>
      <c r="C3908" s="3">
        <f t="shared" si="25"/>
        <v>0</v>
      </c>
      <c r="D3908" s="3">
        <f>$B$3505*(A3908)+$B$3506*(A3908)^2/2-$B$3504*(A3908)^3/6-(N(D26)*MAX(0,(A3908)-N(E26))^2/2+N(F26)*MAX(0,(A3908)-N(G26))^2/2+N(H26)*MAX(0,(A3908)-N(I26))^2/2+N(J26)*MAX(0,(A3908)-N(K26))^2/2+N(L26)*MAX(0,(A3908)-N(M26))^2/2)+$B$3507</f>
        <v>-57.9427083333333</v>
      </c>
      <c r="E3908" s="3">
        <f>$B$3505*(C3908)+$B$3506*(C3908)^2/2-$B$3504*(C3908)^3/6-(N(D26)*MAX(0,(C3908)-N(E26))^2/2+N(F26)*MAX(0,(C3908)-N(G26))^2/2+N(H26)*MAX(0,(C3908)-N(I26))^2/2+N(J26)*MAX(0,(C3908)-N(K26))^2/2+N(L26)*MAX(0,(C3908)-N(M26))^2/2)+$B$3507</f>
        <v>-57.9427083333333</v>
      </c>
    </row>
    <row r="3909" spans="1:5" hidden="1">
      <c r="A3909" s="3">
        <f t="shared" si="26"/>
        <v>0</v>
      </c>
      <c r="B3909" s="3">
        <f t="shared" si="27"/>
        <v>0</v>
      </c>
      <c r="C3909" s="3">
        <f t="shared" si="25"/>
        <v>0</v>
      </c>
      <c r="D3909" s="3">
        <f>$B$3505*(A3909)+$B$3506*(A3909)^2/2-$B$3504*(A3909)^3/6-(N(D26)*MAX(0,(A3909)-N(E26))^2/2+N(F26)*MAX(0,(A3909)-N(G26))^2/2+N(H26)*MAX(0,(A3909)-N(I26))^2/2+N(J26)*MAX(0,(A3909)-N(K26))^2/2+N(L26)*MAX(0,(A3909)-N(M26))^2/2)+$B$3507</f>
        <v>-57.9427083333333</v>
      </c>
      <c r="E3909" s="3">
        <f>$B$3505*(C3909)+$B$3506*(C3909)^2/2-$B$3504*(C3909)^3/6-(N(D26)*MAX(0,(C3909)-N(E26))^2/2+N(F26)*MAX(0,(C3909)-N(G26))^2/2+N(H26)*MAX(0,(C3909)-N(I26))^2/2+N(J26)*MAX(0,(C3909)-N(K26))^2/2+N(L26)*MAX(0,(C3909)-N(M26))^2/2)+$B$3507</f>
        <v>-57.9427083333333</v>
      </c>
    </row>
    <row r="3910" spans="1:5" hidden="1">
      <c r="A3910" s="3">
        <f t="shared" si="26"/>
        <v>0</v>
      </c>
      <c r="B3910" s="3">
        <f t="shared" si="27"/>
        <v>0</v>
      </c>
      <c r="C3910" s="3">
        <f t="shared" si="25"/>
        <v>0</v>
      </c>
      <c r="D3910" s="3">
        <f>$B$3505*(A3910)+$B$3506*(A3910)^2/2-$B$3504*(A3910)^3/6-(N(D26)*MAX(0,(A3910)-N(E26))^2/2+N(F26)*MAX(0,(A3910)-N(G26))^2/2+N(H26)*MAX(0,(A3910)-N(I26))^2/2+N(J26)*MAX(0,(A3910)-N(K26))^2/2+N(L26)*MAX(0,(A3910)-N(M26))^2/2)+$B$3507</f>
        <v>-57.9427083333333</v>
      </c>
      <c r="E3910" s="3">
        <f>$B$3505*(C3910)+$B$3506*(C3910)^2/2-$B$3504*(C3910)^3/6-(N(D26)*MAX(0,(C3910)-N(E26))^2/2+N(F26)*MAX(0,(C3910)-N(G26))^2/2+N(H26)*MAX(0,(C3910)-N(I26))^2/2+N(J26)*MAX(0,(C3910)-N(K26))^2/2+N(L26)*MAX(0,(C3910)-N(M26))^2/2)+$B$3507</f>
        <v>-57.9427083333333</v>
      </c>
    </row>
    <row r="3911" spans="1:5" hidden="1">
      <c r="A3911" s="3">
        <f t="shared" si="26"/>
        <v>0</v>
      </c>
      <c r="B3911" s="3">
        <f t="shared" si="27"/>
        <v>0</v>
      </c>
      <c r="C3911" s="3">
        <f t="shared" si="25"/>
        <v>0</v>
      </c>
      <c r="D3911" s="3">
        <f>$B$3505*(A3911)+$B$3506*(A3911)^2/2-$B$3504*(A3911)^3/6-(N(D26)*MAX(0,(A3911)-N(E26))^2/2+N(F26)*MAX(0,(A3911)-N(G26))^2/2+N(H26)*MAX(0,(A3911)-N(I26))^2/2+N(J26)*MAX(0,(A3911)-N(K26))^2/2+N(L26)*MAX(0,(A3911)-N(M26))^2/2)+$B$3507</f>
        <v>-57.9427083333333</v>
      </c>
      <c r="E3911" s="3">
        <f>$B$3505*(C3911)+$B$3506*(C3911)^2/2-$B$3504*(C3911)^3/6-(N(D26)*MAX(0,(C3911)-N(E26))^2/2+N(F26)*MAX(0,(C3911)-N(G26))^2/2+N(H26)*MAX(0,(C3911)-N(I26))^2/2+N(J26)*MAX(0,(C3911)-N(K26))^2/2+N(L26)*MAX(0,(C3911)-N(M26))^2/2)+$B$3507</f>
        <v>-57.9427083333333</v>
      </c>
    </row>
    <row r="3912" spans="1:5" hidden="1">
      <c r="A3912" s="3">
        <f t="shared" si="26"/>
        <v>0</v>
      </c>
      <c r="B3912" s="3">
        <f t="shared" si="27"/>
        <v>0</v>
      </c>
      <c r="C3912" s="3">
        <f t="shared" si="25"/>
        <v>0</v>
      </c>
      <c r="D3912" s="3">
        <f>$B$3505*(A3912)+$B$3506*(A3912)^2/2-$B$3504*(A3912)^3/6-(N(D26)*MAX(0,(A3912)-N(E26))^2/2+N(F26)*MAX(0,(A3912)-N(G26))^2/2+N(H26)*MAX(0,(A3912)-N(I26))^2/2+N(J26)*MAX(0,(A3912)-N(K26))^2/2+N(L26)*MAX(0,(A3912)-N(M26))^2/2)+$B$3507</f>
        <v>-57.9427083333333</v>
      </c>
      <c r="E3912" s="3">
        <f>$B$3505*(C3912)+$B$3506*(C3912)^2/2-$B$3504*(C3912)^3/6-(N(D26)*MAX(0,(C3912)-N(E26))^2/2+N(F26)*MAX(0,(C3912)-N(G26))^2/2+N(H26)*MAX(0,(C3912)-N(I26))^2/2+N(J26)*MAX(0,(C3912)-N(K26))^2/2+N(L26)*MAX(0,(C3912)-N(M26))^2/2)+$B$3507</f>
        <v>-57.9427083333333</v>
      </c>
    </row>
    <row r="3913" spans="1:5" hidden="1">
      <c r="A3913" s="3">
        <f t="shared" si="26"/>
        <v>0</v>
      </c>
      <c r="B3913" s="3">
        <f t="shared" si="27"/>
        <v>0</v>
      </c>
      <c r="C3913" s="3">
        <f t="shared" si="25"/>
        <v>0</v>
      </c>
      <c r="D3913" s="3">
        <f>$B$3505*(A3913)+$B$3506*(A3913)^2/2-$B$3504*(A3913)^3/6-(N(D26)*MAX(0,(A3913)-N(E26))^2/2+N(F26)*MAX(0,(A3913)-N(G26))^2/2+N(H26)*MAX(0,(A3913)-N(I26))^2/2+N(J26)*MAX(0,(A3913)-N(K26))^2/2+N(L26)*MAX(0,(A3913)-N(M26))^2/2)+$B$3507</f>
        <v>-57.9427083333333</v>
      </c>
      <c r="E3913" s="3">
        <f>$B$3505*(C3913)+$B$3506*(C3913)^2/2-$B$3504*(C3913)^3/6-(N(D26)*MAX(0,(C3913)-N(E26))^2/2+N(F26)*MAX(0,(C3913)-N(G26))^2/2+N(H26)*MAX(0,(C3913)-N(I26))^2/2+N(J26)*MAX(0,(C3913)-N(K26))^2/2+N(L26)*MAX(0,(C3913)-N(M26))^2/2)+$B$3507</f>
        <v>-57.9427083333333</v>
      </c>
    </row>
    <row r="3914" spans="1:5" hidden="1">
      <c r="A3914" s="3">
        <f t="shared" si="26"/>
        <v>0</v>
      </c>
      <c r="B3914" s="3">
        <f t="shared" si="27"/>
        <v>0</v>
      </c>
      <c r="C3914" s="3">
        <f t="shared" si="25"/>
        <v>0</v>
      </c>
      <c r="D3914" s="3">
        <f>$B$3505*(A3914)+$B$3506*(A3914)^2/2-$B$3504*(A3914)^3/6-(N(D26)*MAX(0,(A3914)-N(E26))^2/2+N(F26)*MAX(0,(A3914)-N(G26))^2/2+N(H26)*MAX(0,(A3914)-N(I26))^2/2+N(J26)*MAX(0,(A3914)-N(K26))^2/2+N(L26)*MAX(0,(A3914)-N(M26))^2/2)+$B$3507</f>
        <v>-57.9427083333333</v>
      </c>
      <c r="E3914" s="3">
        <f>$B$3505*(C3914)+$B$3506*(C3914)^2/2-$B$3504*(C3914)^3/6-(N(D26)*MAX(0,(C3914)-N(E26))^2/2+N(F26)*MAX(0,(C3914)-N(G26))^2/2+N(H26)*MAX(0,(C3914)-N(I26))^2/2+N(J26)*MAX(0,(C3914)-N(K26))^2/2+N(L26)*MAX(0,(C3914)-N(M26))^2/2)+$B$3507</f>
        <v>-57.9427083333333</v>
      </c>
    </row>
    <row r="3915" spans="1:5" hidden="1">
      <c r="A3915" s="3">
        <f t="shared" si="26"/>
        <v>0</v>
      </c>
      <c r="B3915" s="3">
        <f t="shared" si="27"/>
        <v>0</v>
      </c>
      <c r="C3915" s="3">
        <f t="shared" si="25"/>
        <v>0</v>
      </c>
      <c r="D3915" s="3">
        <f>$B$3505*(A3915)+$B$3506*(A3915)^2/2-$B$3504*(A3915)^3/6-(N(D26)*MAX(0,(A3915)-N(E26))^2/2+N(F26)*MAX(0,(A3915)-N(G26))^2/2+N(H26)*MAX(0,(A3915)-N(I26))^2/2+N(J26)*MAX(0,(A3915)-N(K26))^2/2+N(L26)*MAX(0,(A3915)-N(M26))^2/2)+$B$3507</f>
        <v>-57.9427083333333</v>
      </c>
      <c r="E3915" s="3">
        <f>$B$3505*(C3915)+$B$3506*(C3915)^2/2-$B$3504*(C3915)^3/6-(N(D26)*MAX(0,(C3915)-N(E26))^2/2+N(F26)*MAX(0,(C3915)-N(G26))^2/2+N(H26)*MAX(0,(C3915)-N(I26))^2/2+N(J26)*MAX(0,(C3915)-N(K26))^2/2+N(L26)*MAX(0,(C3915)-N(M26))^2/2)+$B$3507</f>
        <v>-57.9427083333333</v>
      </c>
    </row>
    <row r="3916" spans="1:5" hidden="1">
      <c r="A3916" s="3">
        <f t="shared" si="26"/>
        <v>0</v>
      </c>
      <c r="B3916" s="3">
        <f t="shared" si="27"/>
        <v>0</v>
      </c>
      <c r="C3916" s="3">
        <f t="shared" si="25"/>
        <v>0</v>
      </c>
      <c r="D3916" s="3">
        <f>$B$3505*(A3916)+$B$3506*(A3916)^2/2-$B$3504*(A3916)^3/6-(N(D26)*MAX(0,(A3916)-N(E26))^2/2+N(F26)*MAX(0,(A3916)-N(G26))^2/2+N(H26)*MAX(0,(A3916)-N(I26))^2/2+N(J26)*MAX(0,(A3916)-N(K26))^2/2+N(L26)*MAX(0,(A3916)-N(M26))^2/2)+$B$3507</f>
        <v>-57.9427083333333</v>
      </c>
      <c r="E3916" s="3">
        <f>$B$3505*(C3916)+$B$3506*(C3916)^2/2-$B$3504*(C3916)^3/6-(N(D26)*MAX(0,(C3916)-N(E26))^2/2+N(F26)*MAX(0,(C3916)-N(G26))^2/2+N(H26)*MAX(0,(C3916)-N(I26))^2/2+N(J26)*MAX(0,(C3916)-N(K26))^2/2+N(L26)*MAX(0,(C3916)-N(M26))^2/2)+$B$3507</f>
        <v>-57.9427083333333</v>
      </c>
    </row>
    <row r="3917" spans="1:5" hidden="1">
      <c r="A3917" s="3">
        <f t="shared" si="26"/>
        <v>0</v>
      </c>
      <c r="B3917" s="3">
        <f t="shared" si="27"/>
        <v>0</v>
      </c>
      <c r="C3917" s="3">
        <f t="shared" si="25"/>
        <v>0</v>
      </c>
      <c r="D3917" s="3">
        <f>$B$3505*(A3917)+$B$3506*(A3917)^2/2-$B$3504*(A3917)^3/6-(N(D26)*MAX(0,(A3917)-N(E26))^2/2+N(F26)*MAX(0,(A3917)-N(G26))^2/2+N(H26)*MAX(0,(A3917)-N(I26))^2/2+N(J26)*MAX(0,(A3917)-N(K26))^2/2+N(L26)*MAX(0,(A3917)-N(M26))^2/2)+$B$3507</f>
        <v>-57.9427083333333</v>
      </c>
      <c r="E3917" s="3">
        <f>$B$3505*(C3917)+$B$3506*(C3917)^2/2-$B$3504*(C3917)^3/6-(N(D26)*MAX(0,(C3917)-N(E26))^2/2+N(F26)*MAX(0,(C3917)-N(G26))^2/2+N(H26)*MAX(0,(C3917)-N(I26))^2/2+N(J26)*MAX(0,(C3917)-N(K26))^2/2+N(L26)*MAX(0,(C3917)-N(M26))^2/2)+$B$3507</f>
        <v>-57.9427083333333</v>
      </c>
    </row>
    <row r="3918" spans="1:5" hidden="1">
      <c r="A3918" s="3">
        <f t="shared" si="26"/>
        <v>0</v>
      </c>
      <c r="B3918" s="3">
        <f t="shared" si="27"/>
        <v>0</v>
      </c>
      <c r="C3918" s="3">
        <f t="shared" si="25"/>
        <v>0</v>
      </c>
      <c r="D3918" s="3">
        <f>$B$3505*(A3918)+$B$3506*(A3918)^2/2-$B$3504*(A3918)^3/6-(N(D26)*MAX(0,(A3918)-N(E26))^2/2+N(F26)*MAX(0,(A3918)-N(G26))^2/2+N(H26)*MAX(0,(A3918)-N(I26))^2/2+N(J26)*MAX(0,(A3918)-N(K26))^2/2+N(L26)*MAX(0,(A3918)-N(M26))^2/2)+$B$3507</f>
        <v>-57.9427083333333</v>
      </c>
      <c r="E3918" s="3">
        <f>$B$3505*(C3918)+$B$3506*(C3918)^2/2-$B$3504*(C3918)^3/6-(N(D26)*MAX(0,(C3918)-N(E26))^2/2+N(F26)*MAX(0,(C3918)-N(G26))^2/2+N(H26)*MAX(0,(C3918)-N(I26))^2/2+N(J26)*MAX(0,(C3918)-N(K26))^2/2+N(L26)*MAX(0,(C3918)-N(M26))^2/2)+$B$3507</f>
        <v>-57.9427083333333</v>
      </c>
    </row>
    <row r="3919" spans="1:5" hidden="1">
      <c r="A3919" s="3">
        <f t="shared" si="26"/>
        <v>0</v>
      </c>
      <c r="B3919" s="3">
        <f t="shared" si="27"/>
        <v>0</v>
      </c>
      <c r="C3919" s="3">
        <f t="shared" si="25"/>
        <v>0</v>
      </c>
      <c r="D3919" s="3">
        <f>$B$3505*(A3919)+$B$3506*(A3919)^2/2-$B$3504*(A3919)^3/6-(N(D26)*MAX(0,(A3919)-N(E26))^2/2+N(F26)*MAX(0,(A3919)-N(G26))^2/2+N(H26)*MAX(0,(A3919)-N(I26))^2/2+N(J26)*MAX(0,(A3919)-N(K26))^2/2+N(L26)*MAX(0,(A3919)-N(M26))^2/2)+$B$3507</f>
        <v>-57.9427083333333</v>
      </c>
      <c r="E3919" s="3">
        <f>$B$3505*(C3919)+$B$3506*(C3919)^2/2-$B$3504*(C3919)^3/6-(N(D26)*MAX(0,(C3919)-N(E26))^2/2+N(F26)*MAX(0,(C3919)-N(G26))^2/2+N(H26)*MAX(0,(C3919)-N(I26))^2/2+N(J26)*MAX(0,(C3919)-N(K26))^2/2+N(L26)*MAX(0,(C3919)-N(M26))^2/2)+$B$3507</f>
        <v>-57.9427083333333</v>
      </c>
    </row>
    <row r="3920" spans="1:5" hidden="1">
      <c r="A3920" s="3">
        <f t="shared" si="26"/>
        <v>0</v>
      </c>
      <c r="B3920" s="3">
        <f t="shared" si="27"/>
        <v>0</v>
      </c>
      <c r="C3920" s="3">
        <f t="shared" si="25"/>
        <v>0</v>
      </c>
      <c r="D3920" s="3">
        <f>$B$3505*(A3920)+$B$3506*(A3920)^2/2-$B$3504*(A3920)^3/6-(N(D26)*MAX(0,(A3920)-N(E26))^2/2+N(F26)*MAX(0,(A3920)-N(G26))^2/2+N(H26)*MAX(0,(A3920)-N(I26))^2/2+N(J26)*MAX(0,(A3920)-N(K26))^2/2+N(L26)*MAX(0,(A3920)-N(M26))^2/2)+$B$3507</f>
        <v>-57.9427083333333</v>
      </c>
      <c r="E3920" s="3">
        <f>$B$3505*(C3920)+$B$3506*(C3920)^2/2-$B$3504*(C3920)^3/6-(N(D26)*MAX(0,(C3920)-N(E26))^2/2+N(F26)*MAX(0,(C3920)-N(G26))^2/2+N(H26)*MAX(0,(C3920)-N(I26))^2/2+N(J26)*MAX(0,(C3920)-N(K26))^2/2+N(L26)*MAX(0,(C3920)-N(M26))^2/2)+$B$3507</f>
        <v>-57.9427083333333</v>
      </c>
    </row>
    <row r="3921" spans="1:5" hidden="1">
      <c r="A3921" s="3">
        <f t="shared" si="26"/>
        <v>0</v>
      </c>
      <c r="B3921" s="3">
        <f t="shared" si="27"/>
        <v>0</v>
      </c>
      <c r="C3921" s="3">
        <f t="shared" si="25"/>
        <v>0</v>
      </c>
      <c r="D3921" s="3">
        <f>$B$3505*(A3921)+$B$3506*(A3921)^2/2-$B$3504*(A3921)^3/6-(N(D26)*MAX(0,(A3921)-N(E26))^2/2+N(F26)*MAX(0,(A3921)-N(G26))^2/2+N(H26)*MAX(0,(A3921)-N(I26))^2/2+N(J26)*MAX(0,(A3921)-N(K26))^2/2+N(L26)*MAX(0,(A3921)-N(M26))^2/2)+$B$3507</f>
        <v>-57.9427083333333</v>
      </c>
      <c r="E3921" s="3">
        <f>$B$3505*(C3921)+$B$3506*(C3921)^2/2-$B$3504*(C3921)^3/6-(N(D26)*MAX(0,(C3921)-N(E26))^2/2+N(F26)*MAX(0,(C3921)-N(G26))^2/2+N(H26)*MAX(0,(C3921)-N(I26))^2/2+N(J26)*MAX(0,(C3921)-N(K26))^2/2+N(L26)*MAX(0,(C3921)-N(M26))^2/2)+$B$3507</f>
        <v>-57.9427083333333</v>
      </c>
    </row>
    <row r="3922" spans="1:5" hidden="1"/>
    <row r="3923" spans="1:5" hidden="1">
      <c r="A3923" s="3">
        <f>B3548</f>
        <v>0</v>
      </c>
      <c r="B3923" s="3">
        <f>IF(($B$3505*(B3548)+$B$3506*(B3548)^2/2-$B$3504*(B3548)^3/6-(N(D26)*MAX(0,(B3548)-N(E26))^2/2+N(F26)*MAX(0,(B3548)-N(G26))^2/2+N(H26)*MAX(0,(B3548)-N(I26))^2/2+N(J26)*MAX(0,(B3548)-N(K26))^2/2+N(L26)*MAX(0,(B3548)-N(M26))^2/2)+$B$3507)*($B$3505*(B3549)+$B$3506*(B3549)^2/2-$B$3504*(B3549)^3/6-(N(D26)*MAX(0,(B3549)-N(E26))^2/2+N(F26)*MAX(0,(B3549)-N(G26))^2/2+N(H26)*MAX(0,(B3549)-N(I26))^2/2+N(J26)*MAX(0,(B3549)-N(K26))^2/2+N(L26)*MAX(0,(B3549)-N(M26))^2/2)+$B$3507)&lt;=0,B3549,B3548)</f>
        <v>0</v>
      </c>
      <c r="C3923" s="3">
        <f t="shared" ref="C3923:C3967" si="28">(A3923+B3923)/2</f>
        <v>0</v>
      </c>
      <c r="D3923" s="3">
        <f>$B$3505*(A3923)+$B$3506*(A3923)^2/2-$B$3504*(A3923)^3/6-(N(D26)*MAX(0,(A3923)-N(E26))^2/2+N(F26)*MAX(0,(A3923)-N(G26))^2/2+N(H26)*MAX(0,(A3923)-N(I26))^2/2+N(J26)*MAX(0,(A3923)-N(K26))^2/2+N(L26)*MAX(0,(A3923)-N(M26))^2/2)+$B$3507</f>
        <v>-57.9427083333333</v>
      </c>
      <c r="E3923" s="3">
        <f>$B$3505*(C3923)+$B$3506*(C3923)^2/2-$B$3504*(C3923)^3/6-(N(D26)*MAX(0,(C3923)-N(E26))^2/2+N(F26)*MAX(0,(C3923)-N(G26))^2/2+N(H26)*MAX(0,(C3923)-N(I26))^2/2+N(J26)*MAX(0,(C3923)-N(K26))^2/2+N(L26)*MAX(0,(C3923)-N(M26))^2/2)+$B$3507</f>
        <v>-57.9427083333333</v>
      </c>
    </row>
    <row r="3924" spans="1:5" hidden="1">
      <c r="A3924" s="3">
        <f t="shared" ref="A3924:A3967" si="29">IF(D3923*E3923&lt;=0,A3923,C3923)</f>
        <v>0</v>
      </c>
      <c r="B3924" s="3">
        <f t="shared" ref="B3924:B3967" si="30">IF(D3923*E3923&lt;=0,C3923,B3923)</f>
        <v>0</v>
      </c>
      <c r="C3924" s="3">
        <f t="shared" si="28"/>
        <v>0</v>
      </c>
      <c r="D3924" s="3">
        <f>$B$3505*(A3924)+$B$3506*(A3924)^2/2-$B$3504*(A3924)^3/6-(N(D26)*MAX(0,(A3924)-N(E26))^2/2+N(F26)*MAX(0,(A3924)-N(G26))^2/2+N(H26)*MAX(0,(A3924)-N(I26))^2/2+N(J26)*MAX(0,(A3924)-N(K26))^2/2+N(L26)*MAX(0,(A3924)-N(M26))^2/2)+$B$3507</f>
        <v>-57.9427083333333</v>
      </c>
      <c r="E3924" s="3">
        <f>$B$3505*(C3924)+$B$3506*(C3924)^2/2-$B$3504*(C3924)^3/6-(N(D26)*MAX(0,(C3924)-N(E26))^2/2+N(F26)*MAX(0,(C3924)-N(G26))^2/2+N(H26)*MAX(0,(C3924)-N(I26))^2/2+N(J26)*MAX(0,(C3924)-N(K26))^2/2+N(L26)*MAX(0,(C3924)-N(M26))^2/2)+$B$3507</f>
        <v>-57.9427083333333</v>
      </c>
    </row>
    <row r="3925" spans="1:5" hidden="1">
      <c r="A3925" s="3">
        <f t="shared" si="29"/>
        <v>0</v>
      </c>
      <c r="B3925" s="3">
        <f t="shared" si="30"/>
        <v>0</v>
      </c>
      <c r="C3925" s="3">
        <f t="shared" si="28"/>
        <v>0</v>
      </c>
      <c r="D3925" s="3">
        <f>$B$3505*(A3925)+$B$3506*(A3925)^2/2-$B$3504*(A3925)^3/6-(N(D26)*MAX(0,(A3925)-N(E26))^2/2+N(F26)*MAX(0,(A3925)-N(G26))^2/2+N(H26)*MAX(0,(A3925)-N(I26))^2/2+N(J26)*MAX(0,(A3925)-N(K26))^2/2+N(L26)*MAX(0,(A3925)-N(M26))^2/2)+$B$3507</f>
        <v>-57.9427083333333</v>
      </c>
      <c r="E3925" s="3">
        <f>$B$3505*(C3925)+$B$3506*(C3925)^2/2-$B$3504*(C3925)^3/6-(N(D26)*MAX(0,(C3925)-N(E26))^2/2+N(F26)*MAX(0,(C3925)-N(G26))^2/2+N(H26)*MAX(0,(C3925)-N(I26))^2/2+N(J26)*MAX(0,(C3925)-N(K26))^2/2+N(L26)*MAX(0,(C3925)-N(M26))^2/2)+$B$3507</f>
        <v>-57.9427083333333</v>
      </c>
    </row>
    <row r="3926" spans="1:5" hidden="1">
      <c r="A3926" s="3">
        <f t="shared" si="29"/>
        <v>0</v>
      </c>
      <c r="B3926" s="3">
        <f t="shared" si="30"/>
        <v>0</v>
      </c>
      <c r="C3926" s="3">
        <f t="shared" si="28"/>
        <v>0</v>
      </c>
      <c r="D3926" s="3">
        <f>$B$3505*(A3926)+$B$3506*(A3926)^2/2-$B$3504*(A3926)^3/6-(N(D26)*MAX(0,(A3926)-N(E26))^2/2+N(F26)*MAX(0,(A3926)-N(G26))^2/2+N(H26)*MAX(0,(A3926)-N(I26))^2/2+N(J26)*MAX(0,(A3926)-N(K26))^2/2+N(L26)*MAX(0,(A3926)-N(M26))^2/2)+$B$3507</f>
        <v>-57.9427083333333</v>
      </c>
      <c r="E3926" s="3">
        <f>$B$3505*(C3926)+$B$3506*(C3926)^2/2-$B$3504*(C3926)^3/6-(N(D26)*MAX(0,(C3926)-N(E26))^2/2+N(F26)*MAX(0,(C3926)-N(G26))^2/2+N(H26)*MAX(0,(C3926)-N(I26))^2/2+N(J26)*MAX(0,(C3926)-N(K26))^2/2+N(L26)*MAX(0,(C3926)-N(M26))^2/2)+$B$3507</f>
        <v>-57.9427083333333</v>
      </c>
    </row>
    <row r="3927" spans="1:5" hidden="1">
      <c r="A3927" s="3">
        <f t="shared" si="29"/>
        <v>0</v>
      </c>
      <c r="B3927" s="3">
        <f t="shared" si="30"/>
        <v>0</v>
      </c>
      <c r="C3927" s="3">
        <f t="shared" si="28"/>
        <v>0</v>
      </c>
      <c r="D3927" s="3">
        <f>$B$3505*(A3927)+$B$3506*(A3927)^2/2-$B$3504*(A3927)^3/6-(N(D26)*MAX(0,(A3927)-N(E26))^2/2+N(F26)*MAX(0,(A3927)-N(G26))^2/2+N(H26)*MAX(0,(A3927)-N(I26))^2/2+N(J26)*MAX(0,(A3927)-N(K26))^2/2+N(L26)*MAX(0,(A3927)-N(M26))^2/2)+$B$3507</f>
        <v>-57.9427083333333</v>
      </c>
      <c r="E3927" s="3">
        <f>$B$3505*(C3927)+$B$3506*(C3927)^2/2-$B$3504*(C3927)^3/6-(N(D26)*MAX(0,(C3927)-N(E26))^2/2+N(F26)*MAX(0,(C3927)-N(G26))^2/2+N(H26)*MAX(0,(C3927)-N(I26))^2/2+N(J26)*MAX(0,(C3927)-N(K26))^2/2+N(L26)*MAX(0,(C3927)-N(M26))^2/2)+$B$3507</f>
        <v>-57.9427083333333</v>
      </c>
    </row>
    <row r="3928" spans="1:5" hidden="1">
      <c r="A3928" s="3">
        <f t="shared" si="29"/>
        <v>0</v>
      </c>
      <c r="B3928" s="3">
        <f t="shared" si="30"/>
        <v>0</v>
      </c>
      <c r="C3928" s="3">
        <f t="shared" si="28"/>
        <v>0</v>
      </c>
      <c r="D3928" s="3">
        <f>$B$3505*(A3928)+$B$3506*(A3928)^2/2-$B$3504*(A3928)^3/6-(N(D26)*MAX(0,(A3928)-N(E26))^2/2+N(F26)*MAX(0,(A3928)-N(G26))^2/2+N(H26)*MAX(0,(A3928)-N(I26))^2/2+N(J26)*MAX(0,(A3928)-N(K26))^2/2+N(L26)*MAX(0,(A3928)-N(M26))^2/2)+$B$3507</f>
        <v>-57.9427083333333</v>
      </c>
      <c r="E3928" s="3">
        <f>$B$3505*(C3928)+$B$3506*(C3928)^2/2-$B$3504*(C3928)^3/6-(N(D26)*MAX(0,(C3928)-N(E26))^2/2+N(F26)*MAX(0,(C3928)-N(G26))^2/2+N(H26)*MAX(0,(C3928)-N(I26))^2/2+N(J26)*MAX(0,(C3928)-N(K26))^2/2+N(L26)*MAX(0,(C3928)-N(M26))^2/2)+$B$3507</f>
        <v>-57.9427083333333</v>
      </c>
    </row>
    <row r="3929" spans="1:5" hidden="1">
      <c r="A3929" s="3">
        <f t="shared" si="29"/>
        <v>0</v>
      </c>
      <c r="B3929" s="3">
        <f t="shared" si="30"/>
        <v>0</v>
      </c>
      <c r="C3929" s="3">
        <f t="shared" si="28"/>
        <v>0</v>
      </c>
      <c r="D3929" s="3">
        <f>$B$3505*(A3929)+$B$3506*(A3929)^2/2-$B$3504*(A3929)^3/6-(N(D26)*MAX(0,(A3929)-N(E26))^2/2+N(F26)*MAX(0,(A3929)-N(G26))^2/2+N(H26)*MAX(0,(A3929)-N(I26))^2/2+N(J26)*MAX(0,(A3929)-N(K26))^2/2+N(L26)*MAX(0,(A3929)-N(M26))^2/2)+$B$3507</f>
        <v>-57.9427083333333</v>
      </c>
      <c r="E3929" s="3">
        <f>$B$3505*(C3929)+$B$3506*(C3929)^2/2-$B$3504*(C3929)^3/6-(N(D26)*MAX(0,(C3929)-N(E26))^2/2+N(F26)*MAX(0,(C3929)-N(G26))^2/2+N(H26)*MAX(0,(C3929)-N(I26))^2/2+N(J26)*MAX(0,(C3929)-N(K26))^2/2+N(L26)*MAX(0,(C3929)-N(M26))^2/2)+$B$3507</f>
        <v>-57.9427083333333</v>
      </c>
    </row>
    <row r="3930" spans="1:5" hidden="1">
      <c r="A3930" s="3">
        <f t="shared" si="29"/>
        <v>0</v>
      </c>
      <c r="B3930" s="3">
        <f t="shared" si="30"/>
        <v>0</v>
      </c>
      <c r="C3930" s="3">
        <f t="shared" si="28"/>
        <v>0</v>
      </c>
      <c r="D3930" s="3">
        <f>$B$3505*(A3930)+$B$3506*(A3930)^2/2-$B$3504*(A3930)^3/6-(N(D26)*MAX(0,(A3930)-N(E26))^2/2+N(F26)*MAX(0,(A3930)-N(G26))^2/2+N(H26)*MAX(0,(A3930)-N(I26))^2/2+N(J26)*MAX(0,(A3930)-N(K26))^2/2+N(L26)*MAX(0,(A3930)-N(M26))^2/2)+$B$3507</f>
        <v>-57.9427083333333</v>
      </c>
      <c r="E3930" s="3">
        <f>$B$3505*(C3930)+$B$3506*(C3930)^2/2-$B$3504*(C3930)^3/6-(N(D26)*MAX(0,(C3930)-N(E26))^2/2+N(F26)*MAX(0,(C3930)-N(G26))^2/2+N(H26)*MAX(0,(C3930)-N(I26))^2/2+N(J26)*MAX(0,(C3930)-N(K26))^2/2+N(L26)*MAX(0,(C3930)-N(M26))^2/2)+$B$3507</f>
        <v>-57.9427083333333</v>
      </c>
    </row>
    <row r="3931" spans="1:5" hidden="1">
      <c r="A3931" s="3">
        <f t="shared" si="29"/>
        <v>0</v>
      </c>
      <c r="B3931" s="3">
        <f t="shared" si="30"/>
        <v>0</v>
      </c>
      <c r="C3931" s="3">
        <f t="shared" si="28"/>
        <v>0</v>
      </c>
      <c r="D3931" s="3">
        <f>$B$3505*(A3931)+$B$3506*(A3931)^2/2-$B$3504*(A3931)^3/6-(N(D26)*MAX(0,(A3931)-N(E26))^2/2+N(F26)*MAX(0,(A3931)-N(G26))^2/2+N(H26)*MAX(0,(A3931)-N(I26))^2/2+N(J26)*MAX(0,(A3931)-N(K26))^2/2+N(L26)*MAX(0,(A3931)-N(M26))^2/2)+$B$3507</f>
        <v>-57.9427083333333</v>
      </c>
      <c r="E3931" s="3">
        <f>$B$3505*(C3931)+$B$3506*(C3931)^2/2-$B$3504*(C3931)^3/6-(N(D26)*MAX(0,(C3931)-N(E26))^2/2+N(F26)*MAX(0,(C3931)-N(G26))^2/2+N(H26)*MAX(0,(C3931)-N(I26))^2/2+N(J26)*MAX(0,(C3931)-N(K26))^2/2+N(L26)*MAX(0,(C3931)-N(M26))^2/2)+$B$3507</f>
        <v>-57.9427083333333</v>
      </c>
    </row>
    <row r="3932" spans="1:5" hidden="1">
      <c r="A3932" s="3">
        <f t="shared" si="29"/>
        <v>0</v>
      </c>
      <c r="B3932" s="3">
        <f t="shared" si="30"/>
        <v>0</v>
      </c>
      <c r="C3932" s="3">
        <f t="shared" si="28"/>
        <v>0</v>
      </c>
      <c r="D3932" s="3">
        <f>$B$3505*(A3932)+$B$3506*(A3932)^2/2-$B$3504*(A3932)^3/6-(N(D26)*MAX(0,(A3932)-N(E26))^2/2+N(F26)*MAX(0,(A3932)-N(G26))^2/2+N(H26)*MAX(0,(A3932)-N(I26))^2/2+N(J26)*MAX(0,(A3932)-N(K26))^2/2+N(L26)*MAX(0,(A3932)-N(M26))^2/2)+$B$3507</f>
        <v>-57.9427083333333</v>
      </c>
      <c r="E3932" s="3">
        <f>$B$3505*(C3932)+$B$3506*(C3932)^2/2-$B$3504*(C3932)^3/6-(N(D26)*MAX(0,(C3932)-N(E26))^2/2+N(F26)*MAX(0,(C3932)-N(G26))^2/2+N(H26)*MAX(0,(C3932)-N(I26))^2/2+N(J26)*MAX(0,(C3932)-N(K26))^2/2+N(L26)*MAX(0,(C3932)-N(M26))^2/2)+$B$3507</f>
        <v>-57.9427083333333</v>
      </c>
    </row>
    <row r="3933" spans="1:5" hidden="1">
      <c r="A3933" s="3">
        <f t="shared" si="29"/>
        <v>0</v>
      </c>
      <c r="B3933" s="3">
        <f t="shared" si="30"/>
        <v>0</v>
      </c>
      <c r="C3933" s="3">
        <f t="shared" si="28"/>
        <v>0</v>
      </c>
      <c r="D3933" s="3">
        <f>$B$3505*(A3933)+$B$3506*(A3933)^2/2-$B$3504*(A3933)^3/6-(N(D26)*MAX(0,(A3933)-N(E26))^2/2+N(F26)*MAX(0,(A3933)-N(G26))^2/2+N(H26)*MAX(0,(A3933)-N(I26))^2/2+N(J26)*MAX(0,(A3933)-N(K26))^2/2+N(L26)*MAX(0,(A3933)-N(M26))^2/2)+$B$3507</f>
        <v>-57.9427083333333</v>
      </c>
      <c r="E3933" s="3">
        <f>$B$3505*(C3933)+$B$3506*(C3933)^2/2-$B$3504*(C3933)^3/6-(N(D26)*MAX(0,(C3933)-N(E26))^2/2+N(F26)*MAX(0,(C3933)-N(G26))^2/2+N(H26)*MAX(0,(C3933)-N(I26))^2/2+N(J26)*MAX(0,(C3933)-N(K26))^2/2+N(L26)*MAX(0,(C3933)-N(M26))^2/2)+$B$3507</f>
        <v>-57.9427083333333</v>
      </c>
    </row>
    <row r="3934" spans="1:5" hidden="1">
      <c r="A3934" s="3">
        <f t="shared" si="29"/>
        <v>0</v>
      </c>
      <c r="B3934" s="3">
        <f t="shared" si="30"/>
        <v>0</v>
      </c>
      <c r="C3934" s="3">
        <f t="shared" si="28"/>
        <v>0</v>
      </c>
      <c r="D3934" s="3">
        <f>$B$3505*(A3934)+$B$3506*(A3934)^2/2-$B$3504*(A3934)^3/6-(N(D26)*MAX(0,(A3934)-N(E26))^2/2+N(F26)*MAX(0,(A3934)-N(G26))^2/2+N(H26)*MAX(0,(A3934)-N(I26))^2/2+N(J26)*MAX(0,(A3934)-N(K26))^2/2+N(L26)*MAX(0,(A3934)-N(M26))^2/2)+$B$3507</f>
        <v>-57.9427083333333</v>
      </c>
      <c r="E3934" s="3">
        <f>$B$3505*(C3934)+$B$3506*(C3934)^2/2-$B$3504*(C3934)^3/6-(N(D26)*MAX(0,(C3934)-N(E26))^2/2+N(F26)*MAX(0,(C3934)-N(G26))^2/2+N(H26)*MAX(0,(C3934)-N(I26))^2/2+N(J26)*MAX(0,(C3934)-N(K26))^2/2+N(L26)*MAX(0,(C3934)-N(M26))^2/2)+$B$3507</f>
        <v>-57.9427083333333</v>
      </c>
    </row>
    <row r="3935" spans="1:5" hidden="1">
      <c r="A3935" s="3">
        <f t="shared" si="29"/>
        <v>0</v>
      </c>
      <c r="B3935" s="3">
        <f t="shared" si="30"/>
        <v>0</v>
      </c>
      <c r="C3935" s="3">
        <f t="shared" si="28"/>
        <v>0</v>
      </c>
      <c r="D3935" s="3">
        <f>$B$3505*(A3935)+$B$3506*(A3935)^2/2-$B$3504*(A3935)^3/6-(N(D26)*MAX(0,(A3935)-N(E26))^2/2+N(F26)*MAX(0,(A3935)-N(G26))^2/2+N(H26)*MAX(0,(A3935)-N(I26))^2/2+N(J26)*MAX(0,(A3935)-N(K26))^2/2+N(L26)*MAX(0,(A3935)-N(M26))^2/2)+$B$3507</f>
        <v>-57.9427083333333</v>
      </c>
      <c r="E3935" s="3">
        <f>$B$3505*(C3935)+$B$3506*(C3935)^2/2-$B$3504*(C3935)^3/6-(N(D26)*MAX(0,(C3935)-N(E26))^2/2+N(F26)*MAX(0,(C3935)-N(G26))^2/2+N(H26)*MAX(0,(C3935)-N(I26))^2/2+N(J26)*MAX(0,(C3935)-N(K26))^2/2+N(L26)*MAX(0,(C3935)-N(M26))^2/2)+$B$3507</f>
        <v>-57.9427083333333</v>
      </c>
    </row>
    <row r="3936" spans="1:5" hidden="1">
      <c r="A3936" s="3">
        <f t="shared" si="29"/>
        <v>0</v>
      </c>
      <c r="B3936" s="3">
        <f t="shared" si="30"/>
        <v>0</v>
      </c>
      <c r="C3936" s="3">
        <f t="shared" si="28"/>
        <v>0</v>
      </c>
      <c r="D3936" s="3">
        <f>$B$3505*(A3936)+$B$3506*(A3936)^2/2-$B$3504*(A3936)^3/6-(N(D26)*MAX(0,(A3936)-N(E26))^2/2+N(F26)*MAX(0,(A3936)-N(G26))^2/2+N(H26)*MAX(0,(A3936)-N(I26))^2/2+N(J26)*MAX(0,(A3936)-N(K26))^2/2+N(L26)*MAX(0,(A3936)-N(M26))^2/2)+$B$3507</f>
        <v>-57.9427083333333</v>
      </c>
      <c r="E3936" s="3">
        <f>$B$3505*(C3936)+$B$3506*(C3936)^2/2-$B$3504*(C3936)^3/6-(N(D26)*MAX(0,(C3936)-N(E26))^2/2+N(F26)*MAX(0,(C3936)-N(G26))^2/2+N(H26)*MAX(0,(C3936)-N(I26))^2/2+N(J26)*MAX(0,(C3936)-N(K26))^2/2+N(L26)*MAX(0,(C3936)-N(M26))^2/2)+$B$3507</f>
        <v>-57.9427083333333</v>
      </c>
    </row>
    <row r="3937" spans="1:5" hidden="1">
      <c r="A3937" s="3">
        <f t="shared" si="29"/>
        <v>0</v>
      </c>
      <c r="B3937" s="3">
        <f t="shared" si="30"/>
        <v>0</v>
      </c>
      <c r="C3937" s="3">
        <f t="shared" si="28"/>
        <v>0</v>
      </c>
      <c r="D3937" s="3">
        <f>$B$3505*(A3937)+$B$3506*(A3937)^2/2-$B$3504*(A3937)^3/6-(N(D26)*MAX(0,(A3937)-N(E26))^2/2+N(F26)*MAX(0,(A3937)-N(G26))^2/2+N(H26)*MAX(0,(A3937)-N(I26))^2/2+N(J26)*MAX(0,(A3937)-N(K26))^2/2+N(L26)*MAX(0,(A3937)-N(M26))^2/2)+$B$3507</f>
        <v>-57.9427083333333</v>
      </c>
      <c r="E3937" s="3">
        <f>$B$3505*(C3937)+$B$3506*(C3937)^2/2-$B$3504*(C3937)^3/6-(N(D26)*MAX(0,(C3937)-N(E26))^2/2+N(F26)*MAX(0,(C3937)-N(G26))^2/2+N(H26)*MAX(0,(C3937)-N(I26))^2/2+N(J26)*MAX(0,(C3937)-N(K26))^2/2+N(L26)*MAX(0,(C3937)-N(M26))^2/2)+$B$3507</f>
        <v>-57.9427083333333</v>
      </c>
    </row>
    <row r="3938" spans="1:5" hidden="1">
      <c r="A3938" s="3">
        <f t="shared" si="29"/>
        <v>0</v>
      </c>
      <c r="B3938" s="3">
        <f t="shared" si="30"/>
        <v>0</v>
      </c>
      <c r="C3938" s="3">
        <f t="shared" si="28"/>
        <v>0</v>
      </c>
      <c r="D3938" s="3">
        <f>$B$3505*(A3938)+$B$3506*(A3938)^2/2-$B$3504*(A3938)^3/6-(N(D26)*MAX(0,(A3938)-N(E26))^2/2+N(F26)*MAX(0,(A3938)-N(G26))^2/2+N(H26)*MAX(0,(A3938)-N(I26))^2/2+N(J26)*MAX(0,(A3938)-N(K26))^2/2+N(L26)*MAX(0,(A3938)-N(M26))^2/2)+$B$3507</f>
        <v>-57.9427083333333</v>
      </c>
      <c r="E3938" s="3">
        <f>$B$3505*(C3938)+$B$3506*(C3938)^2/2-$B$3504*(C3938)^3/6-(N(D26)*MAX(0,(C3938)-N(E26))^2/2+N(F26)*MAX(0,(C3938)-N(G26))^2/2+N(H26)*MAX(0,(C3938)-N(I26))^2/2+N(J26)*MAX(0,(C3938)-N(K26))^2/2+N(L26)*MAX(0,(C3938)-N(M26))^2/2)+$B$3507</f>
        <v>-57.9427083333333</v>
      </c>
    </row>
    <row r="3939" spans="1:5" hidden="1">
      <c r="A3939" s="3">
        <f t="shared" si="29"/>
        <v>0</v>
      </c>
      <c r="B3939" s="3">
        <f t="shared" si="30"/>
        <v>0</v>
      </c>
      <c r="C3939" s="3">
        <f t="shared" si="28"/>
        <v>0</v>
      </c>
      <c r="D3939" s="3">
        <f>$B$3505*(A3939)+$B$3506*(A3939)^2/2-$B$3504*(A3939)^3/6-(N(D26)*MAX(0,(A3939)-N(E26))^2/2+N(F26)*MAX(0,(A3939)-N(G26))^2/2+N(H26)*MAX(0,(A3939)-N(I26))^2/2+N(J26)*MAX(0,(A3939)-N(K26))^2/2+N(L26)*MAX(0,(A3939)-N(M26))^2/2)+$B$3507</f>
        <v>-57.9427083333333</v>
      </c>
      <c r="E3939" s="3">
        <f>$B$3505*(C3939)+$B$3506*(C3939)^2/2-$B$3504*(C3939)^3/6-(N(D26)*MAX(0,(C3939)-N(E26))^2/2+N(F26)*MAX(0,(C3939)-N(G26))^2/2+N(H26)*MAX(0,(C3939)-N(I26))^2/2+N(J26)*MAX(0,(C3939)-N(K26))^2/2+N(L26)*MAX(0,(C3939)-N(M26))^2/2)+$B$3507</f>
        <v>-57.9427083333333</v>
      </c>
    </row>
    <row r="3940" spans="1:5" hidden="1">
      <c r="A3940" s="3">
        <f t="shared" si="29"/>
        <v>0</v>
      </c>
      <c r="B3940" s="3">
        <f t="shared" si="30"/>
        <v>0</v>
      </c>
      <c r="C3940" s="3">
        <f t="shared" si="28"/>
        <v>0</v>
      </c>
      <c r="D3940" s="3">
        <f>$B$3505*(A3940)+$B$3506*(A3940)^2/2-$B$3504*(A3940)^3/6-(N(D26)*MAX(0,(A3940)-N(E26))^2/2+N(F26)*MAX(0,(A3940)-N(G26))^2/2+N(H26)*MAX(0,(A3940)-N(I26))^2/2+N(J26)*MAX(0,(A3940)-N(K26))^2/2+N(L26)*MAX(0,(A3940)-N(M26))^2/2)+$B$3507</f>
        <v>-57.9427083333333</v>
      </c>
      <c r="E3940" s="3">
        <f>$B$3505*(C3940)+$B$3506*(C3940)^2/2-$B$3504*(C3940)^3/6-(N(D26)*MAX(0,(C3940)-N(E26))^2/2+N(F26)*MAX(0,(C3940)-N(G26))^2/2+N(H26)*MAX(0,(C3940)-N(I26))^2/2+N(J26)*MAX(0,(C3940)-N(K26))^2/2+N(L26)*MAX(0,(C3940)-N(M26))^2/2)+$B$3507</f>
        <v>-57.9427083333333</v>
      </c>
    </row>
    <row r="3941" spans="1:5" hidden="1">
      <c r="A3941" s="3">
        <f t="shared" si="29"/>
        <v>0</v>
      </c>
      <c r="B3941" s="3">
        <f t="shared" si="30"/>
        <v>0</v>
      </c>
      <c r="C3941" s="3">
        <f t="shared" si="28"/>
        <v>0</v>
      </c>
      <c r="D3941" s="3">
        <f>$B$3505*(A3941)+$B$3506*(A3941)^2/2-$B$3504*(A3941)^3/6-(N(D26)*MAX(0,(A3941)-N(E26))^2/2+N(F26)*MAX(0,(A3941)-N(G26))^2/2+N(H26)*MAX(0,(A3941)-N(I26))^2/2+N(J26)*MAX(0,(A3941)-N(K26))^2/2+N(L26)*MAX(0,(A3941)-N(M26))^2/2)+$B$3507</f>
        <v>-57.9427083333333</v>
      </c>
      <c r="E3941" s="3">
        <f>$B$3505*(C3941)+$B$3506*(C3941)^2/2-$B$3504*(C3941)^3/6-(N(D26)*MAX(0,(C3941)-N(E26))^2/2+N(F26)*MAX(0,(C3941)-N(G26))^2/2+N(H26)*MAX(0,(C3941)-N(I26))^2/2+N(J26)*MAX(0,(C3941)-N(K26))^2/2+N(L26)*MAX(0,(C3941)-N(M26))^2/2)+$B$3507</f>
        <v>-57.9427083333333</v>
      </c>
    </row>
    <row r="3942" spans="1:5" hidden="1">
      <c r="A3942" s="3">
        <f t="shared" si="29"/>
        <v>0</v>
      </c>
      <c r="B3942" s="3">
        <f t="shared" si="30"/>
        <v>0</v>
      </c>
      <c r="C3942" s="3">
        <f t="shared" si="28"/>
        <v>0</v>
      </c>
      <c r="D3942" s="3">
        <f>$B$3505*(A3942)+$B$3506*(A3942)^2/2-$B$3504*(A3942)^3/6-(N(D26)*MAX(0,(A3942)-N(E26))^2/2+N(F26)*MAX(0,(A3942)-N(G26))^2/2+N(H26)*MAX(0,(A3942)-N(I26))^2/2+N(J26)*MAX(0,(A3942)-N(K26))^2/2+N(L26)*MAX(0,(A3942)-N(M26))^2/2)+$B$3507</f>
        <v>-57.9427083333333</v>
      </c>
      <c r="E3942" s="3">
        <f>$B$3505*(C3942)+$B$3506*(C3942)^2/2-$B$3504*(C3942)^3/6-(N(D26)*MAX(0,(C3942)-N(E26))^2/2+N(F26)*MAX(0,(C3942)-N(G26))^2/2+N(H26)*MAX(0,(C3942)-N(I26))^2/2+N(J26)*MAX(0,(C3942)-N(K26))^2/2+N(L26)*MAX(0,(C3942)-N(M26))^2/2)+$B$3507</f>
        <v>-57.9427083333333</v>
      </c>
    </row>
    <row r="3943" spans="1:5" hidden="1">
      <c r="A3943" s="3">
        <f t="shared" si="29"/>
        <v>0</v>
      </c>
      <c r="B3943" s="3">
        <f t="shared" si="30"/>
        <v>0</v>
      </c>
      <c r="C3943" s="3">
        <f t="shared" si="28"/>
        <v>0</v>
      </c>
      <c r="D3943" s="3">
        <f>$B$3505*(A3943)+$B$3506*(A3943)^2/2-$B$3504*(A3943)^3/6-(N(D26)*MAX(0,(A3943)-N(E26))^2/2+N(F26)*MAX(0,(A3943)-N(G26))^2/2+N(H26)*MAX(0,(A3943)-N(I26))^2/2+N(J26)*MAX(0,(A3943)-N(K26))^2/2+N(L26)*MAX(0,(A3943)-N(M26))^2/2)+$B$3507</f>
        <v>-57.9427083333333</v>
      </c>
      <c r="E3943" s="3">
        <f>$B$3505*(C3943)+$B$3506*(C3943)^2/2-$B$3504*(C3943)^3/6-(N(D26)*MAX(0,(C3943)-N(E26))^2/2+N(F26)*MAX(0,(C3943)-N(G26))^2/2+N(H26)*MAX(0,(C3943)-N(I26))^2/2+N(J26)*MAX(0,(C3943)-N(K26))^2/2+N(L26)*MAX(0,(C3943)-N(M26))^2/2)+$B$3507</f>
        <v>-57.9427083333333</v>
      </c>
    </row>
    <row r="3944" spans="1:5" hidden="1">
      <c r="A3944" s="3">
        <f t="shared" si="29"/>
        <v>0</v>
      </c>
      <c r="B3944" s="3">
        <f t="shared" si="30"/>
        <v>0</v>
      </c>
      <c r="C3944" s="3">
        <f t="shared" si="28"/>
        <v>0</v>
      </c>
      <c r="D3944" s="3">
        <f>$B$3505*(A3944)+$B$3506*(A3944)^2/2-$B$3504*(A3944)^3/6-(N(D26)*MAX(0,(A3944)-N(E26))^2/2+N(F26)*MAX(0,(A3944)-N(G26))^2/2+N(H26)*MAX(0,(A3944)-N(I26))^2/2+N(J26)*MAX(0,(A3944)-N(K26))^2/2+N(L26)*MAX(0,(A3944)-N(M26))^2/2)+$B$3507</f>
        <v>-57.9427083333333</v>
      </c>
      <c r="E3944" s="3">
        <f>$B$3505*(C3944)+$B$3506*(C3944)^2/2-$B$3504*(C3944)^3/6-(N(D26)*MAX(0,(C3944)-N(E26))^2/2+N(F26)*MAX(0,(C3944)-N(G26))^2/2+N(H26)*MAX(0,(C3944)-N(I26))^2/2+N(J26)*MAX(0,(C3944)-N(K26))^2/2+N(L26)*MAX(0,(C3944)-N(M26))^2/2)+$B$3507</f>
        <v>-57.9427083333333</v>
      </c>
    </row>
    <row r="3945" spans="1:5" hidden="1">
      <c r="A3945" s="3">
        <f t="shared" si="29"/>
        <v>0</v>
      </c>
      <c r="B3945" s="3">
        <f t="shared" si="30"/>
        <v>0</v>
      </c>
      <c r="C3945" s="3">
        <f t="shared" si="28"/>
        <v>0</v>
      </c>
      <c r="D3945" s="3">
        <f>$B$3505*(A3945)+$B$3506*(A3945)^2/2-$B$3504*(A3945)^3/6-(N(D26)*MAX(0,(A3945)-N(E26))^2/2+N(F26)*MAX(0,(A3945)-N(G26))^2/2+N(H26)*MAX(0,(A3945)-N(I26))^2/2+N(J26)*MAX(0,(A3945)-N(K26))^2/2+N(L26)*MAX(0,(A3945)-N(M26))^2/2)+$B$3507</f>
        <v>-57.9427083333333</v>
      </c>
      <c r="E3945" s="3">
        <f>$B$3505*(C3945)+$B$3506*(C3945)^2/2-$B$3504*(C3945)^3/6-(N(D26)*MAX(0,(C3945)-N(E26))^2/2+N(F26)*MAX(0,(C3945)-N(G26))^2/2+N(H26)*MAX(0,(C3945)-N(I26))^2/2+N(J26)*MAX(0,(C3945)-N(K26))^2/2+N(L26)*MAX(0,(C3945)-N(M26))^2/2)+$B$3507</f>
        <v>-57.9427083333333</v>
      </c>
    </row>
    <row r="3946" spans="1:5" hidden="1">
      <c r="A3946" s="3">
        <f t="shared" si="29"/>
        <v>0</v>
      </c>
      <c r="B3946" s="3">
        <f t="shared" si="30"/>
        <v>0</v>
      </c>
      <c r="C3946" s="3">
        <f t="shared" si="28"/>
        <v>0</v>
      </c>
      <c r="D3946" s="3">
        <f>$B$3505*(A3946)+$B$3506*(A3946)^2/2-$B$3504*(A3946)^3/6-(N(D26)*MAX(0,(A3946)-N(E26))^2/2+N(F26)*MAX(0,(A3946)-N(G26))^2/2+N(H26)*MAX(0,(A3946)-N(I26))^2/2+N(J26)*MAX(0,(A3946)-N(K26))^2/2+N(L26)*MAX(0,(A3946)-N(M26))^2/2)+$B$3507</f>
        <v>-57.9427083333333</v>
      </c>
      <c r="E3946" s="3">
        <f>$B$3505*(C3946)+$B$3506*(C3946)^2/2-$B$3504*(C3946)^3/6-(N(D26)*MAX(0,(C3946)-N(E26))^2/2+N(F26)*MAX(0,(C3946)-N(G26))^2/2+N(H26)*MAX(0,(C3946)-N(I26))^2/2+N(J26)*MAX(0,(C3946)-N(K26))^2/2+N(L26)*MAX(0,(C3946)-N(M26))^2/2)+$B$3507</f>
        <v>-57.9427083333333</v>
      </c>
    </row>
    <row r="3947" spans="1:5" hidden="1">
      <c r="A3947" s="3">
        <f t="shared" si="29"/>
        <v>0</v>
      </c>
      <c r="B3947" s="3">
        <f t="shared" si="30"/>
        <v>0</v>
      </c>
      <c r="C3947" s="3">
        <f t="shared" si="28"/>
        <v>0</v>
      </c>
      <c r="D3947" s="3">
        <f>$B$3505*(A3947)+$B$3506*(A3947)^2/2-$B$3504*(A3947)^3/6-(N(D26)*MAX(0,(A3947)-N(E26))^2/2+N(F26)*MAX(0,(A3947)-N(G26))^2/2+N(H26)*MAX(0,(A3947)-N(I26))^2/2+N(J26)*MAX(0,(A3947)-N(K26))^2/2+N(L26)*MAX(0,(A3947)-N(M26))^2/2)+$B$3507</f>
        <v>-57.9427083333333</v>
      </c>
      <c r="E3947" s="3">
        <f>$B$3505*(C3947)+$B$3506*(C3947)^2/2-$B$3504*(C3947)^3/6-(N(D26)*MAX(0,(C3947)-N(E26))^2/2+N(F26)*MAX(0,(C3947)-N(G26))^2/2+N(H26)*MAX(0,(C3947)-N(I26))^2/2+N(J26)*MAX(0,(C3947)-N(K26))^2/2+N(L26)*MAX(0,(C3947)-N(M26))^2/2)+$B$3507</f>
        <v>-57.9427083333333</v>
      </c>
    </row>
    <row r="3948" spans="1:5" hidden="1">
      <c r="A3948" s="3">
        <f t="shared" si="29"/>
        <v>0</v>
      </c>
      <c r="B3948" s="3">
        <f t="shared" si="30"/>
        <v>0</v>
      </c>
      <c r="C3948" s="3">
        <f t="shared" si="28"/>
        <v>0</v>
      </c>
      <c r="D3948" s="3">
        <f>$B$3505*(A3948)+$B$3506*(A3948)^2/2-$B$3504*(A3948)^3/6-(N(D26)*MAX(0,(A3948)-N(E26))^2/2+N(F26)*MAX(0,(A3948)-N(G26))^2/2+N(H26)*MAX(0,(A3948)-N(I26))^2/2+N(J26)*MAX(0,(A3948)-N(K26))^2/2+N(L26)*MAX(0,(A3948)-N(M26))^2/2)+$B$3507</f>
        <v>-57.9427083333333</v>
      </c>
      <c r="E3948" s="3">
        <f>$B$3505*(C3948)+$B$3506*(C3948)^2/2-$B$3504*(C3948)^3/6-(N(D26)*MAX(0,(C3948)-N(E26))^2/2+N(F26)*MAX(0,(C3948)-N(G26))^2/2+N(H26)*MAX(0,(C3948)-N(I26))^2/2+N(J26)*MAX(0,(C3948)-N(K26))^2/2+N(L26)*MAX(0,(C3948)-N(M26))^2/2)+$B$3507</f>
        <v>-57.9427083333333</v>
      </c>
    </row>
    <row r="3949" spans="1:5" hidden="1">
      <c r="A3949" s="3">
        <f t="shared" si="29"/>
        <v>0</v>
      </c>
      <c r="B3949" s="3">
        <f t="shared" si="30"/>
        <v>0</v>
      </c>
      <c r="C3949" s="3">
        <f t="shared" si="28"/>
        <v>0</v>
      </c>
      <c r="D3949" s="3">
        <f>$B$3505*(A3949)+$B$3506*(A3949)^2/2-$B$3504*(A3949)^3/6-(N(D26)*MAX(0,(A3949)-N(E26))^2/2+N(F26)*MAX(0,(A3949)-N(G26))^2/2+N(H26)*MAX(0,(A3949)-N(I26))^2/2+N(J26)*MAX(0,(A3949)-N(K26))^2/2+N(L26)*MAX(0,(A3949)-N(M26))^2/2)+$B$3507</f>
        <v>-57.9427083333333</v>
      </c>
      <c r="E3949" s="3">
        <f>$B$3505*(C3949)+$B$3506*(C3949)^2/2-$B$3504*(C3949)^3/6-(N(D26)*MAX(0,(C3949)-N(E26))^2/2+N(F26)*MAX(0,(C3949)-N(G26))^2/2+N(H26)*MAX(0,(C3949)-N(I26))^2/2+N(J26)*MAX(0,(C3949)-N(K26))^2/2+N(L26)*MAX(0,(C3949)-N(M26))^2/2)+$B$3507</f>
        <v>-57.9427083333333</v>
      </c>
    </row>
    <row r="3950" spans="1:5" hidden="1">
      <c r="A3950" s="3">
        <f t="shared" si="29"/>
        <v>0</v>
      </c>
      <c r="B3950" s="3">
        <f t="shared" si="30"/>
        <v>0</v>
      </c>
      <c r="C3950" s="3">
        <f t="shared" si="28"/>
        <v>0</v>
      </c>
      <c r="D3950" s="3">
        <f>$B$3505*(A3950)+$B$3506*(A3950)^2/2-$B$3504*(A3950)^3/6-(N(D26)*MAX(0,(A3950)-N(E26))^2/2+N(F26)*MAX(0,(A3950)-N(G26))^2/2+N(H26)*MAX(0,(A3950)-N(I26))^2/2+N(J26)*MAX(0,(A3950)-N(K26))^2/2+N(L26)*MAX(0,(A3950)-N(M26))^2/2)+$B$3507</f>
        <v>-57.9427083333333</v>
      </c>
      <c r="E3950" s="3">
        <f>$B$3505*(C3950)+$B$3506*(C3950)^2/2-$B$3504*(C3950)^3/6-(N(D26)*MAX(0,(C3950)-N(E26))^2/2+N(F26)*MAX(0,(C3950)-N(G26))^2/2+N(H26)*MAX(0,(C3950)-N(I26))^2/2+N(J26)*MAX(0,(C3950)-N(K26))^2/2+N(L26)*MAX(0,(C3950)-N(M26))^2/2)+$B$3507</f>
        <v>-57.9427083333333</v>
      </c>
    </row>
    <row r="3951" spans="1:5" hidden="1">
      <c r="A3951" s="3">
        <f t="shared" si="29"/>
        <v>0</v>
      </c>
      <c r="B3951" s="3">
        <f t="shared" si="30"/>
        <v>0</v>
      </c>
      <c r="C3951" s="3">
        <f t="shared" si="28"/>
        <v>0</v>
      </c>
      <c r="D3951" s="3">
        <f>$B$3505*(A3951)+$B$3506*(A3951)^2/2-$B$3504*(A3951)^3/6-(N(D26)*MAX(0,(A3951)-N(E26))^2/2+N(F26)*MAX(0,(A3951)-N(G26))^2/2+N(H26)*MAX(0,(A3951)-N(I26))^2/2+N(J26)*MAX(0,(A3951)-N(K26))^2/2+N(L26)*MAX(0,(A3951)-N(M26))^2/2)+$B$3507</f>
        <v>-57.9427083333333</v>
      </c>
      <c r="E3951" s="3">
        <f>$B$3505*(C3951)+$B$3506*(C3951)^2/2-$B$3504*(C3951)^3/6-(N(D26)*MAX(0,(C3951)-N(E26))^2/2+N(F26)*MAX(0,(C3951)-N(G26))^2/2+N(H26)*MAX(0,(C3951)-N(I26))^2/2+N(J26)*MAX(0,(C3951)-N(K26))^2/2+N(L26)*MAX(0,(C3951)-N(M26))^2/2)+$B$3507</f>
        <v>-57.9427083333333</v>
      </c>
    </row>
    <row r="3952" spans="1:5" hidden="1">
      <c r="A3952" s="3">
        <f t="shared" si="29"/>
        <v>0</v>
      </c>
      <c r="B3952" s="3">
        <f t="shared" si="30"/>
        <v>0</v>
      </c>
      <c r="C3952" s="3">
        <f t="shared" si="28"/>
        <v>0</v>
      </c>
      <c r="D3952" s="3">
        <f>$B$3505*(A3952)+$B$3506*(A3952)^2/2-$B$3504*(A3952)^3/6-(N(D26)*MAX(0,(A3952)-N(E26))^2/2+N(F26)*MAX(0,(A3952)-N(G26))^2/2+N(H26)*MAX(0,(A3952)-N(I26))^2/2+N(J26)*MAX(0,(A3952)-N(K26))^2/2+N(L26)*MAX(0,(A3952)-N(M26))^2/2)+$B$3507</f>
        <v>-57.9427083333333</v>
      </c>
      <c r="E3952" s="3">
        <f>$B$3505*(C3952)+$B$3506*(C3952)^2/2-$B$3504*(C3952)^3/6-(N(D26)*MAX(0,(C3952)-N(E26))^2/2+N(F26)*MAX(0,(C3952)-N(G26))^2/2+N(H26)*MAX(0,(C3952)-N(I26))^2/2+N(J26)*MAX(0,(C3952)-N(K26))^2/2+N(L26)*MAX(0,(C3952)-N(M26))^2/2)+$B$3507</f>
        <v>-57.9427083333333</v>
      </c>
    </row>
    <row r="3953" spans="1:5" hidden="1">
      <c r="A3953" s="3">
        <f t="shared" si="29"/>
        <v>0</v>
      </c>
      <c r="B3953" s="3">
        <f t="shared" si="30"/>
        <v>0</v>
      </c>
      <c r="C3953" s="3">
        <f t="shared" si="28"/>
        <v>0</v>
      </c>
      <c r="D3953" s="3">
        <f>$B$3505*(A3953)+$B$3506*(A3953)^2/2-$B$3504*(A3953)^3/6-(N(D26)*MAX(0,(A3953)-N(E26))^2/2+N(F26)*MAX(0,(A3953)-N(G26))^2/2+N(H26)*MAX(0,(A3953)-N(I26))^2/2+N(J26)*MAX(0,(A3953)-N(K26))^2/2+N(L26)*MAX(0,(A3953)-N(M26))^2/2)+$B$3507</f>
        <v>-57.9427083333333</v>
      </c>
      <c r="E3953" s="3">
        <f>$B$3505*(C3953)+$B$3506*(C3953)^2/2-$B$3504*(C3953)^3/6-(N(D26)*MAX(0,(C3953)-N(E26))^2/2+N(F26)*MAX(0,(C3953)-N(G26))^2/2+N(H26)*MAX(0,(C3953)-N(I26))^2/2+N(J26)*MAX(0,(C3953)-N(K26))^2/2+N(L26)*MAX(0,(C3953)-N(M26))^2/2)+$B$3507</f>
        <v>-57.9427083333333</v>
      </c>
    </row>
    <row r="3954" spans="1:5" hidden="1">
      <c r="A3954" s="3">
        <f t="shared" si="29"/>
        <v>0</v>
      </c>
      <c r="B3954" s="3">
        <f t="shared" si="30"/>
        <v>0</v>
      </c>
      <c r="C3954" s="3">
        <f t="shared" si="28"/>
        <v>0</v>
      </c>
      <c r="D3954" s="3">
        <f>$B$3505*(A3954)+$B$3506*(A3954)^2/2-$B$3504*(A3954)^3/6-(N(D26)*MAX(0,(A3954)-N(E26))^2/2+N(F26)*MAX(0,(A3954)-N(G26))^2/2+N(H26)*MAX(0,(A3954)-N(I26))^2/2+N(J26)*MAX(0,(A3954)-N(K26))^2/2+N(L26)*MAX(0,(A3954)-N(M26))^2/2)+$B$3507</f>
        <v>-57.9427083333333</v>
      </c>
      <c r="E3954" s="3">
        <f>$B$3505*(C3954)+$B$3506*(C3954)^2/2-$B$3504*(C3954)^3/6-(N(D26)*MAX(0,(C3954)-N(E26))^2/2+N(F26)*MAX(0,(C3954)-N(G26))^2/2+N(H26)*MAX(0,(C3954)-N(I26))^2/2+N(J26)*MAX(0,(C3954)-N(K26))^2/2+N(L26)*MAX(0,(C3954)-N(M26))^2/2)+$B$3507</f>
        <v>-57.9427083333333</v>
      </c>
    </row>
    <row r="3955" spans="1:5" hidden="1">
      <c r="A3955" s="3">
        <f t="shared" si="29"/>
        <v>0</v>
      </c>
      <c r="B3955" s="3">
        <f t="shared" si="30"/>
        <v>0</v>
      </c>
      <c r="C3955" s="3">
        <f t="shared" si="28"/>
        <v>0</v>
      </c>
      <c r="D3955" s="3">
        <f>$B$3505*(A3955)+$B$3506*(A3955)^2/2-$B$3504*(A3955)^3/6-(N(D26)*MAX(0,(A3955)-N(E26))^2/2+N(F26)*MAX(0,(A3955)-N(G26))^2/2+N(H26)*MAX(0,(A3955)-N(I26))^2/2+N(J26)*MAX(0,(A3955)-N(K26))^2/2+N(L26)*MAX(0,(A3955)-N(M26))^2/2)+$B$3507</f>
        <v>-57.9427083333333</v>
      </c>
      <c r="E3955" s="3">
        <f>$B$3505*(C3955)+$B$3506*(C3955)^2/2-$B$3504*(C3955)^3/6-(N(D26)*MAX(0,(C3955)-N(E26))^2/2+N(F26)*MAX(0,(C3955)-N(G26))^2/2+N(H26)*MAX(0,(C3955)-N(I26))^2/2+N(J26)*MAX(0,(C3955)-N(K26))^2/2+N(L26)*MAX(0,(C3955)-N(M26))^2/2)+$B$3507</f>
        <v>-57.9427083333333</v>
      </c>
    </row>
    <row r="3956" spans="1:5" hidden="1">
      <c r="A3956" s="3">
        <f t="shared" si="29"/>
        <v>0</v>
      </c>
      <c r="B3956" s="3">
        <f t="shared" si="30"/>
        <v>0</v>
      </c>
      <c r="C3956" s="3">
        <f t="shared" si="28"/>
        <v>0</v>
      </c>
      <c r="D3956" s="3">
        <f>$B$3505*(A3956)+$B$3506*(A3956)^2/2-$B$3504*(A3956)^3/6-(N(D26)*MAX(0,(A3956)-N(E26))^2/2+N(F26)*MAX(0,(A3956)-N(G26))^2/2+N(H26)*MAX(0,(A3956)-N(I26))^2/2+N(J26)*MAX(0,(A3956)-N(K26))^2/2+N(L26)*MAX(0,(A3956)-N(M26))^2/2)+$B$3507</f>
        <v>-57.9427083333333</v>
      </c>
      <c r="E3956" s="3">
        <f>$B$3505*(C3956)+$B$3506*(C3956)^2/2-$B$3504*(C3956)^3/6-(N(D26)*MAX(0,(C3956)-N(E26))^2/2+N(F26)*MAX(0,(C3956)-N(G26))^2/2+N(H26)*MAX(0,(C3956)-N(I26))^2/2+N(J26)*MAX(0,(C3956)-N(K26))^2/2+N(L26)*MAX(0,(C3956)-N(M26))^2/2)+$B$3507</f>
        <v>-57.9427083333333</v>
      </c>
    </row>
    <row r="3957" spans="1:5" hidden="1">
      <c r="A3957" s="3">
        <f t="shared" si="29"/>
        <v>0</v>
      </c>
      <c r="B3957" s="3">
        <f t="shared" si="30"/>
        <v>0</v>
      </c>
      <c r="C3957" s="3">
        <f t="shared" si="28"/>
        <v>0</v>
      </c>
      <c r="D3957" s="3">
        <f>$B$3505*(A3957)+$B$3506*(A3957)^2/2-$B$3504*(A3957)^3/6-(N(D26)*MAX(0,(A3957)-N(E26))^2/2+N(F26)*MAX(0,(A3957)-N(G26))^2/2+N(H26)*MAX(0,(A3957)-N(I26))^2/2+N(J26)*MAX(0,(A3957)-N(K26))^2/2+N(L26)*MAX(0,(A3957)-N(M26))^2/2)+$B$3507</f>
        <v>-57.9427083333333</v>
      </c>
      <c r="E3957" s="3">
        <f>$B$3505*(C3957)+$B$3506*(C3957)^2/2-$B$3504*(C3957)^3/6-(N(D26)*MAX(0,(C3957)-N(E26))^2/2+N(F26)*MAX(0,(C3957)-N(G26))^2/2+N(H26)*MAX(0,(C3957)-N(I26))^2/2+N(J26)*MAX(0,(C3957)-N(K26))^2/2+N(L26)*MAX(0,(C3957)-N(M26))^2/2)+$B$3507</f>
        <v>-57.9427083333333</v>
      </c>
    </row>
    <row r="3958" spans="1:5" hidden="1">
      <c r="A3958" s="3">
        <f t="shared" si="29"/>
        <v>0</v>
      </c>
      <c r="B3958" s="3">
        <f t="shared" si="30"/>
        <v>0</v>
      </c>
      <c r="C3958" s="3">
        <f t="shared" si="28"/>
        <v>0</v>
      </c>
      <c r="D3958" s="3">
        <f>$B$3505*(A3958)+$B$3506*(A3958)^2/2-$B$3504*(A3958)^3/6-(N(D26)*MAX(0,(A3958)-N(E26))^2/2+N(F26)*MAX(0,(A3958)-N(G26))^2/2+N(H26)*MAX(0,(A3958)-N(I26))^2/2+N(J26)*MAX(0,(A3958)-N(K26))^2/2+N(L26)*MAX(0,(A3958)-N(M26))^2/2)+$B$3507</f>
        <v>-57.9427083333333</v>
      </c>
      <c r="E3958" s="3">
        <f>$B$3505*(C3958)+$B$3506*(C3958)^2/2-$B$3504*(C3958)^3/6-(N(D26)*MAX(0,(C3958)-N(E26))^2/2+N(F26)*MAX(0,(C3958)-N(G26))^2/2+N(H26)*MAX(0,(C3958)-N(I26))^2/2+N(J26)*MAX(0,(C3958)-N(K26))^2/2+N(L26)*MAX(0,(C3958)-N(M26))^2/2)+$B$3507</f>
        <v>-57.9427083333333</v>
      </c>
    </row>
    <row r="3959" spans="1:5" hidden="1">
      <c r="A3959" s="3">
        <f t="shared" si="29"/>
        <v>0</v>
      </c>
      <c r="B3959" s="3">
        <f t="shared" si="30"/>
        <v>0</v>
      </c>
      <c r="C3959" s="3">
        <f t="shared" si="28"/>
        <v>0</v>
      </c>
      <c r="D3959" s="3">
        <f>$B$3505*(A3959)+$B$3506*(A3959)^2/2-$B$3504*(A3959)^3/6-(N(D26)*MAX(0,(A3959)-N(E26))^2/2+N(F26)*MAX(0,(A3959)-N(G26))^2/2+N(H26)*MAX(0,(A3959)-N(I26))^2/2+N(J26)*MAX(0,(A3959)-N(K26))^2/2+N(L26)*MAX(0,(A3959)-N(M26))^2/2)+$B$3507</f>
        <v>-57.9427083333333</v>
      </c>
      <c r="E3959" s="3">
        <f>$B$3505*(C3959)+$B$3506*(C3959)^2/2-$B$3504*(C3959)^3/6-(N(D26)*MAX(0,(C3959)-N(E26))^2/2+N(F26)*MAX(0,(C3959)-N(G26))^2/2+N(H26)*MAX(0,(C3959)-N(I26))^2/2+N(J26)*MAX(0,(C3959)-N(K26))^2/2+N(L26)*MAX(0,(C3959)-N(M26))^2/2)+$B$3507</f>
        <v>-57.9427083333333</v>
      </c>
    </row>
    <row r="3960" spans="1:5" hidden="1">
      <c r="A3960" s="3">
        <f t="shared" si="29"/>
        <v>0</v>
      </c>
      <c r="B3960" s="3">
        <f t="shared" si="30"/>
        <v>0</v>
      </c>
      <c r="C3960" s="3">
        <f t="shared" si="28"/>
        <v>0</v>
      </c>
      <c r="D3960" s="3">
        <f>$B$3505*(A3960)+$B$3506*(A3960)^2/2-$B$3504*(A3960)^3/6-(N(D26)*MAX(0,(A3960)-N(E26))^2/2+N(F26)*MAX(0,(A3960)-N(G26))^2/2+N(H26)*MAX(0,(A3960)-N(I26))^2/2+N(J26)*MAX(0,(A3960)-N(K26))^2/2+N(L26)*MAX(0,(A3960)-N(M26))^2/2)+$B$3507</f>
        <v>-57.9427083333333</v>
      </c>
      <c r="E3960" s="3">
        <f>$B$3505*(C3960)+$B$3506*(C3960)^2/2-$B$3504*(C3960)^3/6-(N(D26)*MAX(0,(C3960)-N(E26))^2/2+N(F26)*MAX(0,(C3960)-N(G26))^2/2+N(H26)*MAX(0,(C3960)-N(I26))^2/2+N(J26)*MAX(0,(C3960)-N(K26))^2/2+N(L26)*MAX(0,(C3960)-N(M26))^2/2)+$B$3507</f>
        <v>-57.9427083333333</v>
      </c>
    </row>
    <row r="3961" spans="1:5" hidden="1">
      <c r="A3961" s="3">
        <f t="shared" si="29"/>
        <v>0</v>
      </c>
      <c r="B3961" s="3">
        <f t="shared" si="30"/>
        <v>0</v>
      </c>
      <c r="C3961" s="3">
        <f t="shared" si="28"/>
        <v>0</v>
      </c>
      <c r="D3961" s="3">
        <f>$B$3505*(A3961)+$B$3506*(A3961)^2/2-$B$3504*(A3961)^3/6-(N(D26)*MAX(0,(A3961)-N(E26))^2/2+N(F26)*MAX(0,(A3961)-N(G26))^2/2+N(H26)*MAX(0,(A3961)-N(I26))^2/2+N(J26)*MAX(0,(A3961)-N(K26))^2/2+N(L26)*MAX(0,(A3961)-N(M26))^2/2)+$B$3507</f>
        <v>-57.9427083333333</v>
      </c>
      <c r="E3961" s="3">
        <f>$B$3505*(C3961)+$B$3506*(C3961)^2/2-$B$3504*(C3961)^3/6-(N(D26)*MAX(0,(C3961)-N(E26))^2/2+N(F26)*MAX(0,(C3961)-N(G26))^2/2+N(H26)*MAX(0,(C3961)-N(I26))^2/2+N(J26)*MAX(0,(C3961)-N(K26))^2/2+N(L26)*MAX(0,(C3961)-N(M26))^2/2)+$B$3507</f>
        <v>-57.9427083333333</v>
      </c>
    </row>
    <row r="3962" spans="1:5" hidden="1">
      <c r="A3962" s="3">
        <f t="shared" si="29"/>
        <v>0</v>
      </c>
      <c r="B3962" s="3">
        <f t="shared" si="30"/>
        <v>0</v>
      </c>
      <c r="C3962" s="3">
        <f t="shared" si="28"/>
        <v>0</v>
      </c>
      <c r="D3962" s="3">
        <f>$B$3505*(A3962)+$B$3506*(A3962)^2/2-$B$3504*(A3962)^3/6-(N(D26)*MAX(0,(A3962)-N(E26))^2/2+N(F26)*MAX(0,(A3962)-N(G26))^2/2+N(H26)*MAX(0,(A3962)-N(I26))^2/2+N(J26)*MAX(0,(A3962)-N(K26))^2/2+N(L26)*MAX(0,(A3962)-N(M26))^2/2)+$B$3507</f>
        <v>-57.9427083333333</v>
      </c>
      <c r="E3962" s="3">
        <f>$B$3505*(C3962)+$B$3506*(C3962)^2/2-$B$3504*(C3962)^3/6-(N(D26)*MAX(0,(C3962)-N(E26))^2/2+N(F26)*MAX(0,(C3962)-N(G26))^2/2+N(H26)*MAX(0,(C3962)-N(I26))^2/2+N(J26)*MAX(0,(C3962)-N(K26))^2/2+N(L26)*MAX(0,(C3962)-N(M26))^2/2)+$B$3507</f>
        <v>-57.9427083333333</v>
      </c>
    </row>
    <row r="3963" spans="1:5" hidden="1">
      <c r="A3963" s="3">
        <f t="shared" si="29"/>
        <v>0</v>
      </c>
      <c r="B3963" s="3">
        <f t="shared" si="30"/>
        <v>0</v>
      </c>
      <c r="C3963" s="3">
        <f t="shared" si="28"/>
        <v>0</v>
      </c>
      <c r="D3963" s="3">
        <f>$B$3505*(A3963)+$B$3506*(A3963)^2/2-$B$3504*(A3963)^3/6-(N(D26)*MAX(0,(A3963)-N(E26))^2/2+N(F26)*MAX(0,(A3963)-N(G26))^2/2+N(H26)*MAX(0,(A3963)-N(I26))^2/2+N(J26)*MAX(0,(A3963)-N(K26))^2/2+N(L26)*MAX(0,(A3963)-N(M26))^2/2)+$B$3507</f>
        <v>-57.9427083333333</v>
      </c>
      <c r="E3963" s="3">
        <f>$B$3505*(C3963)+$B$3506*(C3963)^2/2-$B$3504*(C3963)^3/6-(N(D26)*MAX(0,(C3963)-N(E26))^2/2+N(F26)*MAX(0,(C3963)-N(G26))^2/2+N(H26)*MAX(0,(C3963)-N(I26))^2/2+N(J26)*MAX(0,(C3963)-N(K26))^2/2+N(L26)*MAX(0,(C3963)-N(M26))^2/2)+$B$3507</f>
        <v>-57.9427083333333</v>
      </c>
    </row>
    <row r="3964" spans="1:5" hidden="1">
      <c r="A3964" s="3">
        <f t="shared" si="29"/>
        <v>0</v>
      </c>
      <c r="B3964" s="3">
        <f t="shared" si="30"/>
        <v>0</v>
      </c>
      <c r="C3964" s="3">
        <f t="shared" si="28"/>
        <v>0</v>
      </c>
      <c r="D3964" s="3">
        <f>$B$3505*(A3964)+$B$3506*(A3964)^2/2-$B$3504*(A3964)^3/6-(N(D26)*MAX(0,(A3964)-N(E26))^2/2+N(F26)*MAX(0,(A3964)-N(G26))^2/2+N(H26)*MAX(0,(A3964)-N(I26))^2/2+N(J26)*MAX(0,(A3964)-N(K26))^2/2+N(L26)*MAX(0,(A3964)-N(M26))^2/2)+$B$3507</f>
        <v>-57.9427083333333</v>
      </c>
      <c r="E3964" s="3">
        <f>$B$3505*(C3964)+$B$3506*(C3964)^2/2-$B$3504*(C3964)^3/6-(N(D26)*MAX(0,(C3964)-N(E26))^2/2+N(F26)*MAX(0,(C3964)-N(G26))^2/2+N(H26)*MAX(0,(C3964)-N(I26))^2/2+N(J26)*MAX(0,(C3964)-N(K26))^2/2+N(L26)*MAX(0,(C3964)-N(M26))^2/2)+$B$3507</f>
        <v>-57.9427083333333</v>
      </c>
    </row>
    <row r="3965" spans="1:5" hidden="1">
      <c r="A3965" s="3">
        <f t="shared" si="29"/>
        <v>0</v>
      </c>
      <c r="B3965" s="3">
        <f t="shared" si="30"/>
        <v>0</v>
      </c>
      <c r="C3965" s="3">
        <f t="shared" si="28"/>
        <v>0</v>
      </c>
      <c r="D3965" s="3">
        <f>$B$3505*(A3965)+$B$3506*(A3965)^2/2-$B$3504*(A3965)^3/6-(N(D26)*MAX(0,(A3965)-N(E26))^2/2+N(F26)*MAX(0,(A3965)-N(G26))^2/2+N(H26)*MAX(0,(A3965)-N(I26))^2/2+N(J26)*MAX(0,(A3965)-N(K26))^2/2+N(L26)*MAX(0,(A3965)-N(M26))^2/2)+$B$3507</f>
        <v>-57.9427083333333</v>
      </c>
      <c r="E3965" s="3">
        <f>$B$3505*(C3965)+$B$3506*(C3965)^2/2-$B$3504*(C3965)^3/6-(N(D26)*MAX(0,(C3965)-N(E26))^2/2+N(F26)*MAX(0,(C3965)-N(G26))^2/2+N(H26)*MAX(0,(C3965)-N(I26))^2/2+N(J26)*MAX(0,(C3965)-N(K26))^2/2+N(L26)*MAX(0,(C3965)-N(M26))^2/2)+$B$3507</f>
        <v>-57.9427083333333</v>
      </c>
    </row>
    <row r="3966" spans="1:5" hidden="1">
      <c r="A3966" s="3">
        <f t="shared" si="29"/>
        <v>0</v>
      </c>
      <c r="B3966" s="3">
        <f t="shared" si="30"/>
        <v>0</v>
      </c>
      <c r="C3966" s="3">
        <f t="shared" si="28"/>
        <v>0</v>
      </c>
      <c r="D3966" s="3">
        <f>$B$3505*(A3966)+$B$3506*(A3966)^2/2-$B$3504*(A3966)^3/6-(N(D26)*MAX(0,(A3966)-N(E26))^2/2+N(F26)*MAX(0,(A3966)-N(G26))^2/2+N(H26)*MAX(0,(A3966)-N(I26))^2/2+N(J26)*MAX(0,(A3966)-N(K26))^2/2+N(L26)*MAX(0,(A3966)-N(M26))^2/2)+$B$3507</f>
        <v>-57.9427083333333</v>
      </c>
      <c r="E3966" s="3">
        <f>$B$3505*(C3966)+$B$3506*(C3966)^2/2-$B$3504*(C3966)^3/6-(N(D26)*MAX(0,(C3966)-N(E26))^2/2+N(F26)*MAX(0,(C3966)-N(G26))^2/2+N(H26)*MAX(0,(C3966)-N(I26))^2/2+N(J26)*MAX(0,(C3966)-N(K26))^2/2+N(L26)*MAX(0,(C3966)-N(M26))^2/2)+$B$3507</f>
        <v>-57.9427083333333</v>
      </c>
    </row>
    <row r="3967" spans="1:5" hidden="1">
      <c r="A3967" s="3">
        <f t="shared" si="29"/>
        <v>0</v>
      </c>
      <c r="B3967" s="3">
        <f t="shared" si="30"/>
        <v>0</v>
      </c>
      <c r="C3967" s="3">
        <f t="shared" si="28"/>
        <v>0</v>
      </c>
      <c r="D3967" s="3">
        <f>$B$3505*(A3967)+$B$3506*(A3967)^2/2-$B$3504*(A3967)^3/6-(N(D26)*MAX(0,(A3967)-N(E26))^2/2+N(F26)*MAX(0,(A3967)-N(G26))^2/2+N(H26)*MAX(0,(A3967)-N(I26))^2/2+N(J26)*MAX(0,(A3967)-N(K26))^2/2+N(L26)*MAX(0,(A3967)-N(M26))^2/2)+$B$3507</f>
        <v>-57.9427083333333</v>
      </c>
      <c r="E3967" s="3">
        <f>$B$3505*(C3967)+$B$3506*(C3967)^2/2-$B$3504*(C3967)^3/6-(N(D26)*MAX(0,(C3967)-N(E26))^2/2+N(F26)*MAX(0,(C3967)-N(G26))^2/2+N(H26)*MAX(0,(C3967)-N(I26))^2/2+N(J26)*MAX(0,(C3967)-N(K26))^2/2+N(L26)*MAX(0,(C3967)-N(M26))^2/2)+$B$3507</f>
        <v>-57.9427083333333</v>
      </c>
    </row>
    <row r="3968" spans="1:5" hidden="1"/>
    <row r="3969" spans="1:5" hidden="1">
      <c r="A3969" s="3">
        <f>B3549</f>
        <v>0</v>
      </c>
      <c r="B3969" s="3">
        <f>IF(($B$3505*(B3549)+$B$3506*(B3549)^2/2-$B$3504*(B3549)^3/6-(N(D26)*MAX(0,(B3549)-N(E26))^2/2+N(F26)*MAX(0,(B3549)-N(G26))^2/2+N(H26)*MAX(0,(B3549)-N(I26))^2/2+N(J26)*MAX(0,(B3549)-N(K26))^2/2+N(L26)*MAX(0,(B3549)-N(M26))^2/2)+$B$3507)*($B$3505*(B3550)+$B$3506*(B3550)^2/2-$B$3504*(B3550)^3/6-(N(D26)*MAX(0,(B3550)-N(E26))^2/2+N(F26)*MAX(0,(B3550)-N(G26))^2/2+N(H26)*MAX(0,(B3550)-N(I26))^2/2+N(J26)*MAX(0,(B3550)-N(K26))^2/2+N(L26)*MAX(0,(B3550)-N(M26))^2/2)+$B$3507)&lt;=0,B3550,B3549)</f>
        <v>0</v>
      </c>
      <c r="C3969" s="3">
        <f t="shared" ref="C3969:C4013" si="31">(A3969+B3969)/2</f>
        <v>0</v>
      </c>
      <c r="D3969" s="3">
        <f>$B$3505*(A3969)+$B$3506*(A3969)^2/2-$B$3504*(A3969)^3/6-(N(D26)*MAX(0,(A3969)-N(E26))^2/2+N(F26)*MAX(0,(A3969)-N(G26))^2/2+N(H26)*MAX(0,(A3969)-N(I26))^2/2+N(J26)*MAX(0,(A3969)-N(K26))^2/2+N(L26)*MAX(0,(A3969)-N(M26))^2/2)+$B$3507</f>
        <v>-57.9427083333333</v>
      </c>
      <c r="E3969" s="3">
        <f>$B$3505*(C3969)+$B$3506*(C3969)^2/2-$B$3504*(C3969)^3/6-(N(D26)*MAX(0,(C3969)-N(E26))^2/2+N(F26)*MAX(0,(C3969)-N(G26))^2/2+N(H26)*MAX(0,(C3969)-N(I26))^2/2+N(J26)*MAX(0,(C3969)-N(K26))^2/2+N(L26)*MAX(0,(C3969)-N(M26))^2/2)+$B$3507</f>
        <v>-57.9427083333333</v>
      </c>
    </row>
    <row r="3970" spans="1:5" hidden="1">
      <c r="A3970" s="3">
        <f t="shared" ref="A3970:A4013" si="32">IF(D3969*E3969&lt;=0,A3969,C3969)</f>
        <v>0</v>
      </c>
      <c r="B3970" s="3">
        <f t="shared" ref="B3970:B4013" si="33">IF(D3969*E3969&lt;=0,C3969,B3969)</f>
        <v>0</v>
      </c>
      <c r="C3970" s="3">
        <f t="shared" si="31"/>
        <v>0</v>
      </c>
      <c r="D3970" s="3">
        <f>$B$3505*(A3970)+$B$3506*(A3970)^2/2-$B$3504*(A3970)^3/6-(N(D26)*MAX(0,(A3970)-N(E26))^2/2+N(F26)*MAX(0,(A3970)-N(G26))^2/2+N(H26)*MAX(0,(A3970)-N(I26))^2/2+N(J26)*MAX(0,(A3970)-N(K26))^2/2+N(L26)*MAX(0,(A3970)-N(M26))^2/2)+$B$3507</f>
        <v>-57.9427083333333</v>
      </c>
      <c r="E3970" s="3">
        <f>$B$3505*(C3970)+$B$3506*(C3970)^2/2-$B$3504*(C3970)^3/6-(N(D26)*MAX(0,(C3970)-N(E26))^2/2+N(F26)*MAX(0,(C3970)-N(G26))^2/2+N(H26)*MAX(0,(C3970)-N(I26))^2/2+N(J26)*MAX(0,(C3970)-N(K26))^2/2+N(L26)*MAX(0,(C3970)-N(M26))^2/2)+$B$3507</f>
        <v>-57.9427083333333</v>
      </c>
    </row>
    <row r="3971" spans="1:5" hidden="1">
      <c r="A3971" s="3">
        <f t="shared" si="32"/>
        <v>0</v>
      </c>
      <c r="B3971" s="3">
        <f t="shared" si="33"/>
        <v>0</v>
      </c>
      <c r="C3971" s="3">
        <f t="shared" si="31"/>
        <v>0</v>
      </c>
      <c r="D3971" s="3">
        <f>$B$3505*(A3971)+$B$3506*(A3971)^2/2-$B$3504*(A3971)^3/6-(N(D26)*MAX(0,(A3971)-N(E26))^2/2+N(F26)*MAX(0,(A3971)-N(G26))^2/2+N(H26)*MAX(0,(A3971)-N(I26))^2/2+N(J26)*MAX(0,(A3971)-N(K26))^2/2+N(L26)*MAX(0,(A3971)-N(M26))^2/2)+$B$3507</f>
        <v>-57.9427083333333</v>
      </c>
      <c r="E3971" s="3">
        <f>$B$3505*(C3971)+$B$3506*(C3971)^2/2-$B$3504*(C3971)^3/6-(N(D26)*MAX(0,(C3971)-N(E26))^2/2+N(F26)*MAX(0,(C3971)-N(G26))^2/2+N(H26)*MAX(0,(C3971)-N(I26))^2/2+N(J26)*MAX(0,(C3971)-N(K26))^2/2+N(L26)*MAX(0,(C3971)-N(M26))^2/2)+$B$3507</f>
        <v>-57.9427083333333</v>
      </c>
    </row>
    <row r="3972" spans="1:5" hidden="1">
      <c r="A3972" s="3">
        <f t="shared" si="32"/>
        <v>0</v>
      </c>
      <c r="B3972" s="3">
        <f t="shared" si="33"/>
        <v>0</v>
      </c>
      <c r="C3972" s="3">
        <f t="shared" si="31"/>
        <v>0</v>
      </c>
      <c r="D3972" s="3">
        <f>$B$3505*(A3972)+$B$3506*(A3972)^2/2-$B$3504*(A3972)^3/6-(N(D26)*MAX(0,(A3972)-N(E26))^2/2+N(F26)*MAX(0,(A3972)-N(G26))^2/2+N(H26)*MAX(0,(A3972)-N(I26))^2/2+N(J26)*MAX(0,(A3972)-N(K26))^2/2+N(L26)*MAX(0,(A3972)-N(M26))^2/2)+$B$3507</f>
        <v>-57.9427083333333</v>
      </c>
      <c r="E3972" s="3">
        <f>$B$3505*(C3972)+$B$3506*(C3972)^2/2-$B$3504*(C3972)^3/6-(N(D26)*MAX(0,(C3972)-N(E26))^2/2+N(F26)*MAX(0,(C3972)-N(G26))^2/2+N(H26)*MAX(0,(C3972)-N(I26))^2/2+N(J26)*MAX(0,(C3972)-N(K26))^2/2+N(L26)*MAX(0,(C3972)-N(M26))^2/2)+$B$3507</f>
        <v>-57.9427083333333</v>
      </c>
    </row>
    <row r="3973" spans="1:5" hidden="1">
      <c r="A3973" s="3">
        <f t="shared" si="32"/>
        <v>0</v>
      </c>
      <c r="B3973" s="3">
        <f t="shared" si="33"/>
        <v>0</v>
      </c>
      <c r="C3973" s="3">
        <f t="shared" si="31"/>
        <v>0</v>
      </c>
      <c r="D3973" s="3">
        <f>$B$3505*(A3973)+$B$3506*(A3973)^2/2-$B$3504*(A3973)^3/6-(N(D26)*MAX(0,(A3973)-N(E26))^2/2+N(F26)*MAX(0,(A3973)-N(G26))^2/2+N(H26)*MAX(0,(A3973)-N(I26))^2/2+N(J26)*MAX(0,(A3973)-N(K26))^2/2+N(L26)*MAX(0,(A3973)-N(M26))^2/2)+$B$3507</f>
        <v>-57.9427083333333</v>
      </c>
      <c r="E3973" s="3">
        <f>$B$3505*(C3973)+$B$3506*(C3973)^2/2-$B$3504*(C3973)^3/6-(N(D26)*MAX(0,(C3973)-N(E26))^2/2+N(F26)*MAX(0,(C3973)-N(G26))^2/2+N(H26)*MAX(0,(C3973)-N(I26))^2/2+N(J26)*MAX(0,(C3973)-N(K26))^2/2+N(L26)*MAX(0,(C3973)-N(M26))^2/2)+$B$3507</f>
        <v>-57.9427083333333</v>
      </c>
    </row>
    <row r="3974" spans="1:5" hidden="1">
      <c r="A3974" s="3">
        <f t="shared" si="32"/>
        <v>0</v>
      </c>
      <c r="B3974" s="3">
        <f t="shared" si="33"/>
        <v>0</v>
      </c>
      <c r="C3974" s="3">
        <f t="shared" si="31"/>
        <v>0</v>
      </c>
      <c r="D3974" s="3">
        <f>$B$3505*(A3974)+$B$3506*(A3974)^2/2-$B$3504*(A3974)^3/6-(N(D26)*MAX(0,(A3974)-N(E26))^2/2+N(F26)*MAX(0,(A3974)-N(G26))^2/2+N(H26)*MAX(0,(A3974)-N(I26))^2/2+N(J26)*MAX(0,(A3974)-N(K26))^2/2+N(L26)*MAX(0,(A3974)-N(M26))^2/2)+$B$3507</f>
        <v>-57.9427083333333</v>
      </c>
      <c r="E3974" s="3">
        <f>$B$3505*(C3974)+$B$3506*(C3974)^2/2-$B$3504*(C3974)^3/6-(N(D26)*MAX(0,(C3974)-N(E26))^2/2+N(F26)*MAX(0,(C3974)-N(G26))^2/2+N(H26)*MAX(0,(C3974)-N(I26))^2/2+N(J26)*MAX(0,(C3974)-N(K26))^2/2+N(L26)*MAX(0,(C3974)-N(M26))^2/2)+$B$3507</f>
        <v>-57.9427083333333</v>
      </c>
    </row>
    <row r="3975" spans="1:5" hidden="1">
      <c r="A3975" s="3">
        <f t="shared" si="32"/>
        <v>0</v>
      </c>
      <c r="B3975" s="3">
        <f t="shared" si="33"/>
        <v>0</v>
      </c>
      <c r="C3975" s="3">
        <f t="shared" si="31"/>
        <v>0</v>
      </c>
      <c r="D3975" s="3">
        <f>$B$3505*(A3975)+$B$3506*(A3975)^2/2-$B$3504*(A3975)^3/6-(N(D26)*MAX(0,(A3975)-N(E26))^2/2+N(F26)*MAX(0,(A3975)-N(G26))^2/2+N(H26)*MAX(0,(A3975)-N(I26))^2/2+N(J26)*MAX(0,(A3975)-N(K26))^2/2+N(L26)*MAX(0,(A3975)-N(M26))^2/2)+$B$3507</f>
        <v>-57.9427083333333</v>
      </c>
      <c r="E3975" s="3">
        <f>$B$3505*(C3975)+$B$3506*(C3975)^2/2-$B$3504*(C3975)^3/6-(N(D26)*MAX(0,(C3975)-N(E26))^2/2+N(F26)*MAX(0,(C3975)-N(G26))^2/2+N(H26)*MAX(0,(C3975)-N(I26))^2/2+N(J26)*MAX(0,(C3975)-N(K26))^2/2+N(L26)*MAX(0,(C3975)-N(M26))^2/2)+$B$3507</f>
        <v>-57.9427083333333</v>
      </c>
    </row>
    <row r="3976" spans="1:5" hidden="1">
      <c r="A3976" s="3">
        <f t="shared" si="32"/>
        <v>0</v>
      </c>
      <c r="B3976" s="3">
        <f t="shared" si="33"/>
        <v>0</v>
      </c>
      <c r="C3976" s="3">
        <f t="shared" si="31"/>
        <v>0</v>
      </c>
      <c r="D3976" s="3">
        <f>$B$3505*(A3976)+$B$3506*(A3976)^2/2-$B$3504*(A3976)^3/6-(N(D26)*MAX(0,(A3976)-N(E26))^2/2+N(F26)*MAX(0,(A3976)-N(G26))^2/2+N(H26)*MAX(0,(A3976)-N(I26))^2/2+N(J26)*MAX(0,(A3976)-N(K26))^2/2+N(L26)*MAX(0,(A3976)-N(M26))^2/2)+$B$3507</f>
        <v>-57.9427083333333</v>
      </c>
      <c r="E3976" s="3">
        <f>$B$3505*(C3976)+$B$3506*(C3976)^2/2-$B$3504*(C3976)^3/6-(N(D26)*MAX(0,(C3976)-N(E26))^2/2+N(F26)*MAX(0,(C3976)-N(G26))^2/2+N(H26)*MAX(0,(C3976)-N(I26))^2/2+N(J26)*MAX(0,(C3976)-N(K26))^2/2+N(L26)*MAX(0,(C3976)-N(M26))^2/2)+$B$3507</f>
        <v>-57.9427083333333</v>
      </c>
    </row>
    <row r="3977" spans="1:5" hidden="1">
      <c r="A3977" s="3">
        <f t="shared" si="32"/>
        <v>0</v>
      </c>
      <c r="B3977" s="3">
        <f t="shared" si="33"/>
        <v>0</v>
      </c>
      <c r="C3977" s="3">
        <f t="shared" si="31"/>
        <v>0</v>
      </c>
      <c r="D3977" s="3">
        <f>$B$3505*(A3977)+$B$3506*(A3977)^2/2-$B$3504*(A3977)^3/6-(N(D26)*MAX(0,(A3977)-N(E26))^2/2+N(F26)*MAX(0,(A3977)-N(G26))^2/2+N(H26)*MAX(0,(A3977)-N(I26))^2/2+N(J26)*MAX(0,(A3977)-N(K26))^2/2+N(L26)*MAX(0,(A3977)-N(M26))^2/2)+$B$3507</f>
        <v>-57.9427083333333</v>
      </c>
      <c r="E3977" s="3">
        <f>$B$3505*(C3977)+$B$3506*(C3977)^2/2-$B$3504*(C3977)^3/6-(N(D26)*MAX(0,(C3977)-N(E26))^2/2+N(F26)*MAX(0,(C3977)-N(G26))^2/2+N(H26)*MAX(0,(C3977)-N(I26))^2/2+N(J26)*MAX(0,(C3977)-N(K26))^2/2+N(L26)*MAX(0,(C3977)-N(M26))^2/2)+$B$3507</f>
        <v>-57.9427083333333</v>
      </c>
    </row>
    <row r="3978" spans="1:5" hidden="1">
      <c r="A3978" s="3">
        <f t="shared" si="32"/>
        <v>0</v>
      </c>
      <c r="B3978" s="3">
        <f t="shared" si="33"/>
        <v>0</v>
      </c>
      <c r="C3978" s="3">
        <f t="shared" si="31"/>
        <v>0</v>
      </c>
      <c r="D3978" s="3">
        <f>$B$3505*(A3978)+$B$3506*(A3978)^2/2-$B$3504*(A3978)^3/6-(N(D26)*MAX(0,(A3978)-N(E26))^2/2+N(F26)*MAX(0,(A3978)-N(G26))^2/2+N(H26)*MAX(0,(A3978)-N(I26))^2/2+N(J26)*MAX(0,(A3978)-N(K26))^2/2+N(L26)*MAX(0,(A3978)-N(M26))^2/2)+$B$3507</f>
        <v>-57.9427083333333</v>
      </c>
      <c r="E3978" s="3">
        <f>$B$3505*(C3978)+$B$3506*(C3978)^2/2-$B$3504*(C3978)^3/6-(N(D26)*MAX(0,(C3978)-N(E26))^2/2+N(F26)*MAX(0,(C3978)-N(G26))^2/2+N(H26)*MAX(0,(C3978)-N(I26))^2/2+N(J26)*MAX(0,(C3978)-N(K26))^2/2+N(L26)*MAX(0,(C3978)-N(M26))^2/2)+$B$3507</f>
        <v>-57.9427083333333</v>
      </c>
    </row>
    <row r="3979" spans="1:5" hidden="1">
      <c r="A3979" s="3">
        <f t="shared" si="32"/>
        <v>0</v>
      </c>
      <c r="B3979" s="3">
        <f t="shared" si="33"/>
        <v>0</v>
      </c>
      <c r="C3979" s="3">
        <f t="shared" si="31"/>
        <v>0</v>
      </c>
      <c r="D3979" s="3">
        <f>$B$3505*(A3979)+$B$3506*(A3979)^2/2-$B$3504*(A3979)^3/6-(N(D26)*MAX(0,(A3979)-N(E26))^2/2+N(F26)*MAX(0,(A3979)-N(G26))^2/2+N(H26)*MAX(0,(A3979)-N(I26))^2/2+N(J26)*MAX(0,(A3979)-N(K26))^2/2+N(L26)*MAX(0,(A3979)-N(M26))^2/2)+$B$3507</f>
        <v>-57.9427083333333</v>
      </c>
      <c r="E3979" s="3">
        <f>$B$3505*(C3979)+$B$3506*(C3979)^2/2-$B$3504*(C3979)^3/6-(N(D26)*MAX(0,(C3979)-N(E26))^2/2+N(F26)*MAX(0,(C3979)-N(G26))^2/2+N(H26)*MAX(0,(C3979)-N(I26))^2/2+N(J26)*MAX(0,(C3979)-N(K26))^2/2+N(L26)*MAX(0,(C3979)-N(M26))^2/2)+$B$3507</f>
        <v>-57.9427083333333</v>
      </c>
    </row>
    <row r="3980" spans="1:5" hidden="1">
      <c r="A3980" s="3">
        <f t="shared" si="32"/>
        <v>0</v>
      </c>
      <c r="B3980" s="3">
        <f t="shared" si="33"/>
        <v>0</v>
      </c>
      <c r="C3980" s="3">
        <f t="shared" si="31"/>
        <v>0</v>
      </c>
      <c r="D3980" s="3">
        <f>$B$3505*(A3980)+$B$3506*(A3980)^2/2-$B$3504*(A3980)^3/6-(N(D26)*MAX(0,(A3980)-N(E26))^2/2+N(F26)*MAX(0,(A3980)-N(G26))^2/2+N(H26)*MAX(0,(A3980)-N(I26))^2/2+N(J26)*MAX(0,(A3980)-N(K26))^2/2+N(L26)*MAX(0,(A3980)-N(M26))^2/2)+$B$3507</f>
        <v>-57.9427083333333</v>
      </c>
      <c r="E3980" s="3">
        <f>$B$3505*(C3980)+$B$3506*(C3980)^2/2-$B$3504*(C3980)^3/6-(N(D26)*MAX(0,(C3980)-N(E26))^2/2+N(F26)*MAX(0,(C3980)-N(G26))^2/2+N(H26)*MAX(0,(C3980)-N(I26))^2/2+N(J26)*MAX(0,(C3980)-N(K26))^2/2+N(L26)*MAX(0,(C3980)-N(M26))^2/2)+$B$3507</f>
        <v>-57.9427083333333</v>
      </c>
    </row>
    <row r="3981" spans="1:5" hidden="1">
      <c r="A3981" s="3">
        <f t="shared" si="32"/>
        <v>0</v>
      </c>
      <c r="B3981" s="3">
        <f t="shared" si="33"/>
        <v>0</v>
      </c>
      <c r="C3981" s="3">
        <f t="shared" si="31"/>
        <v>0</v>
      </c>
      <c r="D3981" s="3">
        <f>$B$3505*(A3981)+$B$3506*(A3981)^2/2-$B$3504*(A3981)^3/6-(N(D26)*MAX(0,(A3981)-N(E26))^2/2+N(F26)*MAX(0,(A3981)-N(G26))^2/2+N(H26)*MAX(0,(A3981)-N(I26))^2/2+N(J26)*MAX(0,(A3981)-N(K26))^2/2+N(L26)*MAX(0,(A3981)-N(M26))^2/2)+$B$3507</f>
        <v>-57.9427083333333</v>
      </c>
      <c r="E3981" s="3">
        <f>$B$3505*(C3981)+$B$3506*(C3981)^2/2-$B$3504*(C3981)^3/6-(N(D26)*MAX(0,(C3981)-N(E26))^2/2+N(F26)*MAX(0,(C3981)-N(G26))^2/2+N(H26)*MAX(0,(C3981)-N(I26))^2/2+N(J26)*MAX(0,(C3981)-N(K26))^2/2+N(L26)*MAX(0,(C3981)-N(M26))^2/2)+$B$3507</f>
        <v>-57.9427083333333</v>
      </c>
    </row>
    <row r="3982" spans="1:5" hidden="1">
      <c r="A3982" s="3">
        <f t="shared" si="32"/>
        <v>0</v>
      </c>
      <c r="B3982" s="3">
        <f t="shared" si="33"/>
        <v>0</v>
      </c>
      <c r="C3982" s="3">
        <f t="shared" si="31"/>
        <v>0</v>
      </c>
      <c r="D3982" s="3">
        <f>$B$3505*(A3982)+$B$3506*(A3982)^2/2-$B$3504*(A3982)^3/6-(N(D26)*MAX(0,(A3982)-N(E26))^2/2+N(F26)*MAX(0,(A3982)-N(G26))^2/2+N(H26)*MAX(0,(A3982)-N(I26))^2/2+N(J26)*MAX(0,(A3982)-N(K26))^2/2+N(L26)*MAX(0,(A3982)-N(M26))^2/2)+$B$3507</f>
        <v>-57.9427083333333</v>
      </c>
      <c r="E3982" s="3">
        <f>$B$3505*(C3982)+$B$3506*(C3982)^2/2-$B$3504*(C3982)^3/6-(N(D26)*MAX(0,(C3982)-N(E26))^2/2+N(F26)*MAX(0,(C3982)-N(G26))^2/2+N(H26)*MAX(0,(C3982)-N(I26))^2/2+N(J26)*MAX(0,(C3982)-N(K26))^2/2+N(L26)*MAX(0,(C3982)-N(M26))^2/2)+$B$3507</f>
        <v>-57.9427083333333</v>
      </c>
    </row>
    <row r="3983" spans="1:5" hidden="1">
      <c r="A3983" s="3">
        <f t="shared" si="32"/>
        <v>0</v>
      </c>
      <c r="B3983" s="3">
        <f t="shared" si="33"/>
        <v>0</v>
      </c>
      <c r="C3983" s="3">
        <f t="shared" si="31"/>
        <v>0</v>
      </c>
      <c r="D3983" s="3">
        <f>$B$3505*(A3983)+$B$3506*(A3983)^2/2-$B$3504*(A3983)^3/6-(N(D26)*MAX(0,(A3983)-N(E26))^2/2+N(F26)*MAX(0,(A3983)-N(G26))^2/2+N(H26)*MAX(0,(A3983)-N(I26))^2/2+N(J26)*MAX(0,(A3983)-N(K26))^2/2+N(L26)*MAX(0,(A3983)-N(M26))^2/2)+$B$3507</f>
        <v>-57.9427083333333</v>
      </c>
      <c r="E3983" s="3">
        <f>$B$3505*(C3983)+$B$3506*(C3983)^2/2-$B$3504*(C3983)^3/6-(N(D26)*MAX(0,(C3983)-N(E26))^2/2+N(F26)*MAX(0,(C3983)-N(G26))^2/2+N(H26)*MAX(0,(C3983)-N(I26))^2/2+N(J26)*MAX(0,(C3983)-N(K26))^2/2+N(L26)*MAX(0,(C3983)-N(M26))^2/2)+$B$3507</f>
        <v>-57.9427083333333</v>
      </c>
    </row>
    <row r="3984" spans="1:5" hidden="1">
      <c r="A3984" s="3">
        <f t="shared" si="32"/>
        <v>0</v>
      </c>
      <c r="B3984" s="3">
        <f t="shared" si="33"/>
        <v>0</v>
      </c>
      <c r="C3984" s="3">
        <f t="shared" si="31"/>
        <v>0</v>
      </c>
      <c r="D3984" s="3">
        <f>$B$3505*(A3984)+$B$3506*(A3984)^2/2-$B$3504*(A3984)^3/6-(N(D26)*MAX(0,(A3984)-N(E26))^2/2+N(F26)*MAX(0,(A3984)-N(G26))^2/2+N(H26)*MAX(0,(A3984)-N(I26))^2/2+N(J26)*MAX(0,(A3984)-N(K26))^2/2+N(L26)*MAX(0,(A3984)-N(M26))^2/2)+$B$3507</f>
        <v>-57.9427083333333</v>
      </c>
      <c r="E3984" s="3">
        <f>$B$3505*(C3984)+$B$3506*(C3984)^2/2-$B$3504*(C3984)^3/6-(N(D26)*MAX(0,(C3984)-N(E26))^2/2+N(F26)*MAX(0,(C3984)-N(G26))^2/2+N(H26)*MAX(0,(C3984)-N(I26))^2/2+N(J26)*MAX(0,(C3984)-N(K26))^2/2+N(L26)*MAX(0,(C3984)-N(M26))^2/2)+$B$3507</f>
        <v>-57.9427083333333</v>
      </c>
    </row>
    <row r="3985" spans="1:5" hidden="1">
      <c r="A3985" s="3">
        <f t="shared" si="32"/>
        <v>0</v>
      </c>
      <c r="B3985" s="3">
        <f t="shared" si="33"/>
        <v>0</v>
      </c>
      <c r="C3985" s="3">
        <f t="shared" si="31"/>
        <v>0</v>
      </c>
      <c r="D3985" s="3">
        <f>$B$3505*(A3985)+$B$3506*(A3985)^2/2-$B$3504*(A3985)^3/6-(N(D26)*MAX(0,(A3985)-N(E26))^2/2+N(F26)*MAX(0,(A3985)-N(G26))^2/2+N(H26)*MAX(0,(A3985)-N(I26))^2/2+N(J26)*MAX(0,(A3985)-N(K26))^2/2+N(L26)*MAX(0,(A3985)-N(M26))^2/2)+$B$3507</f>
        <v>-57.9427083333333</v>
      </c>
      <c r="E3985" s="3">
        <f>$B$3505*(C3985)+$B$3506*(C3985)^2/2-$B$3504*(C3985)^3/6-(N(D26)*MAX(0,(C3985)-N(E26))^2/2+N(F26)*MAX(0,(C3985)-N(G26))^2/2+N(H26)*MAX(0,(C3985)-N(I26))^2/2+N(J26)*MAX(0,(C3985)-N(K26))^2/2+N(L26)*MAX(0,(C3985)-N(M26))^2/2)+$B$3507</f>
        <v>-57.9427083333333</v>
      </c>
    </row>
    <row r="3986" spans="1:5" hidden="1">
      <c r="A3986" s="3">
        <f t="shared" si="32"/>
        <v>0</v>
      </c>
      <c r="B3986" s="3">
        <f t="shared" si="33"/>
        <v>0</v>
      </c>
      <c r="C3986" s="3">
        <f t="shared" si="31"/>
        <v>0</v>
      </c>
      <c r="D3986" s="3">
        <f>$B$3505*(A3986)+$B$3506*(A3986)^2/2-$B$3504*(A3986)^3/6-(N(D26)*MAX(0,(A3986)-N(E26))^2/2+N(F26)*MAX(0,(A3986)-N(G26))^2/2+N(H26)*MAX(0,(A3986)-N(I26))^2/2+N(J26)*MAX(0,(A3986)-N(K26))^2/2+N(L26)*MAX(0,(A3986)-N(M26))^2/2)+$B$3507</f>
        <v>-57.9427083333333</v>
      </c>
      <c r="E3986" s="3">
        <f>$B$3505*(C3986)+$B$3506*(C3986)^2/2-$B$3504*(C3986)^3/6-(N(D26)*MAX(0,(C3986)-N(E26))^2/2+N(F26)*MAX(0,(C3986)-N(G26))^2/2+N(H26)*MAX(0,(C3986)-N(I26))^2/2+N(J26)*MAX(0,(C3986)-N(K26))^2/2+N(L26)*MAX(0,(C3986)-N(M26))^2/2)+$B$3507</f>
        <v>-57.9427083333333</v>
      </c>
    </row>
    <row r="3987" spans="1:5" hidden="1">
      <c r="A3987" s="3">
        <f t="shared" si="32"/>
        <v>0</v>
      </c>
      <c r="B3987" s="3">
        <f t="shared" si="33"/>
        <v>0</v>
      </c>
      <c r="C3987" s="3">
        <f t="shared" si="31"/>
        <v>0</v>
      </c>
      <c r="D3987" s="3">
        <f>$B$3505*(A3987)+$B$3506*(A3987)^2/2-$B$3504*(A3987)^3/6-(N(D26)*MAX(0,(A3987)-N(E26))^2/2+N(F26)*MAX(0,(A3987)-N(G26))^2/2+N(H26)*MAX(0,(A3987)-N(I26))^2/2+N(J26)*MAX(0,(A3987)-N(K26))^2/2+N(L26)*MAX(0,(A3987)-N(M26))^2/2)+$B$3507</f>
        <v>-57.9427083333333</v>
      </c>
      <c r="E3987" s="3">
        <f>$B$3505*(C3987)+$B$3506*(C3987)^2/2-$B$3504*(C3987)^3/6-(N(D26)*MAX(0,(C3987)-N(E26))^2/2+N(F26)*MAX(0,(C3987)-N(G26))^2/2+N(H26)*MAX(0,(C3987)-N(I26))^2/2+N(J26)*MAX(0,(C3987)-N(K26))^2/2+N(L26)*MAX(0,(C3987)-N(M26))^2/2)+$B$3507</f>
        <v>-57.9427083333333</v>
      </c>
    </row>
    <row r="3988" spans="1:5" hidden="1">
      <c r="A3988" s="3">
        <f t="shared" si="32"/>
        <v>0</v>
      </c>
      <c r="B3988" s="3">
        <f t="shared" si="33"/>
        <v>0</v>
      </c>
      <c r="C3988" s="3">
        <f t="shared" si="31"/>
        <v>0</v>
      </c>
      <c r="D3988" s="3">
        <f>$B$3505*(A3988)+$B$3506*(A3988)^2/2-$B$3504*(A3988)^3/6-(N(D26)*MAX(0,(A3988)-N(E26))^2/2+N(F26)*MAX(0,(A3988)-N(G26))^2/2+N(H26)*MAX(0,(A3988)-N(I26))^2/2+N(J26)*MAX(0,(A3988)-N(K26))^2/2+N(L26)*MAX(0,(A3988)-N(M26))^2/2)+$B$3507</f>
        <v>-57.9427083333333</v>
      </c>
      <c r="E3988" s="3">
        <f>$B$3505*(C3988)+$B$3506*(C3988)^2/2-$B$3504*(C3988)^3/6-(N(D26)*MAX(0,(C3988)-N(E26))^2/2+N(F26)*MAX(0,(C3988)-N(G26))^2/2+N(H26)*MAX(0,(C3988)-N(I26))^2/2+N(J26)*MAX(0,(C3988)-N(K26))^2/2+N(L26)*MAX(0,(C3988)-N(M26))^2/2)+$B$3507</f>
        <v>-57.9427083333333</v>
      </c>
    </row>
    <row r="3989" spans="1:5" hidden="1">
      <c r="A3989" s="3">
        <f t="shared" si="32"/>
        <v>0</v>
      </c>
      <c r="B3989" s="3">
        <f t="shared" si="33"/>
        <v>0</v>
      </c>
      <c r="C3989" s="3">
        <f t="shared" si="31"/>
        <v>0</v>
      </c>
      <c r="D3989" s="3">
        <f>$B$3505*(A3989)+$B$3506*(A3989)^2/2-$B$3504*(A3989)^3/6-(N(D26)*MAX(0,(A3989)-N(E26))^2/2+N(F26)*MAX(0,(A3989)-N(G26))^2/2+N(H26)*MAX(0,(A3989)-N(I26))^2/2+N(J26)*MAX(0,(A3989)-N(K26))^2/2+N(L26)*MAX(0,(A3989)-N(M26))^2/2)+$B$3507</f>
        <v>-57.9427083333333</v>
      </c>
      <c r="E3989" s="3">
        <f>$B$3505*(C3989)+$B$3506*(C3989)^2/2-$B$3504*(C3989)^3/6-(N(D26)*MAX(0,(C3989)-N(E26))^2/2+N(F26)*MAX(0,(C3989)-N(G26))^2/2+N(H26)*MAX(0,(C3989)-N(I26))^2/2+N(J26)*MAX(0,(C3989)-N(K26))^2/2+N(L26)*MAX(0,(C3989)-N(M26))^2/2)+$B$3507</f>
        <v>-57.9427083333333</v>
      </c>
    </row>
    <row r="3990" spans="1:5" hidden="1">
      <c r="A3990" s="3">
        <f t="shared" si="32"/>
        <v>0</v>
      </c>
      <c r="B3990" s="3">
        <f t="shared" si="33"/>
        <v>0</v>
      </c>
      <c r="C3990" s="3">
        <f t="shared" si="31"/>
        <v>0</v>
      </c>
      <c r="D3990" s="3">
        <f>$B$3505*(A3990)+$B$3506*(A3990)^2/2-$B$3504*(A3990)^3/6-(N(D26)*MAX(0,(A3990)-N(E26))^2/2+N(F26)*MAX(0,(A3990)-N(G26))^2/2+N(H26)*MAX(0,(A3990)-N(I26))^2/2+N(J26)*MAX(0,(A3990)-N(K26))^2/2+N(L26)*MAX(0,(A3990)-N(M26))^2/2)+$B$3507</f>
        <v>-57.9427083333333</v>
      </c>
      <c r="E3990" s="3">
        <f>$B$3505*(C3990)+$B$3506*(C3990)^2/2-$B$3504*(C3990)^3/6-(N(D26)*MAX(0,(C3990)-N(E26))^2/2+N(F26)*MAX(0,(C3990)-N(G26))^2/2+N(H26)*MAX(0,(C3990)-N(I26))^2/2+N(J26)*MAX(0,(C3990)-N(K26))^2/2+N(L26)*MAX(0,(C3990)-N(M26))^2/2)+$B$3507</f>
        <v>-57.9427083333333</v>
      </c>
    </row>
    <row r="3991" spans="1:5" hidden="1">
      <c r="A3991" s="3">
        <f t="shared" si="32"/>
        <v>0</v>
      </c>
      <c r="B3991" s="3">
        <f t="shared" si="33"/>
        <v>0</v>
      </c>
      <c r="C3991" s="3">
        <f t="shared" si="31"/>
        <v>0</v>
      </c>
      <c r="D3991" s="3">
        <f>$B$3505*(A3991)+$B$3506*(A3991)^2/2-$B$3504*(A3991)^3/6-(N(D26)*MAX(0,(A3991)-N(E26))^2/2+N(F26)*MAX(0,(A3991)-N(G26))^2/2+N(H26)*MAX(0,(A3991)-N(I26))^2/2+N(J26)*MAX(0,(A3991)-N(K26))^2/2+N(L26)*MAX(0,(A3991)-N(M26))^2/2)+$B$3507</f>
        <v>-57.9427083333333</v>
      </c>
      <c r="E3991" s="3">
        <f>$B$3505*(C3991)+$B$3506*(C3991)^2/2-$B$3504*(C3991)^3/6-(N(D26)*MAX(0,(C3991)-N(E26))^2/2+N(F26)*MAX(0,(C3991)-N(G26))^2/2+N(H26)*MAX(0,(C3991)-N(I26))^2/2+N(J26)*MAX(0,(C3991)-N(K26))^2/2+N(L26)*MAX(0,(C3991)-N(M26))^2/2)+$B$3507</f>
        <v>-57.9427083333333</v>
      </c>
    </row>
    <row r="3992" spans="1:5" hidden="1">
      <c r="A3992" s="3">
        <f t="shared" si="32"/>
        <v>0</v>
      </c>
      <c r="B3992" s="3">
        <f t="shared" si="33"/>
        <v>0</v>
      </c>
      <c r="C3992" s="3">
        <f t="shared" si="31"/>
        <v>0</v>
      </c>
      <c r="D3992" s="3">
        <f>$B$3505*(A3992)+$B$3506*(A3992)^2/2-$B$3504*(A3992)^3/6-(N(D26)*MAX(0,(A3992)-N(E26))^2/2+N(F26)*MAX(0,(A3992)-N(G26))^2/2+N(H26)*MAX(0,(A3992)-N(I26))^2/2+N(J26)*MAX(0,(A3992)-N(K26))^2/2+N(L26)*MAX(0,(A3992)-N(M26))^2/2)+$B$3507</f>
        <v>-57.9427083333333</v>
      </c>
      <c r="E3992" s="3">
        <f>$B$3505*(C3992)+$B$3506*(C3992)^2/2-$B$3504*(C3992)^3/6-(N(D26)*MAX(0,(C3992)-N(E26))^2/2+N(F26)*MAX(0,(C3992)-N(G26))^2/2+N(H26)*MAX(0,(C3992)-N(I26))^2/2+N(J26)*MAX(0,(C3992)-N(K26))^2/2+N(L26)*MAX(0,(C3992)-N(M26))^2/2)+$B$3507</f>
        <v>-57.9427083333333</v>
      </c>
    </row>
    <row r="3993" spans="1:5" hidden="1">
      <c r="A3993" s="3">
        <f t="shared" si="32"/>
        <v>0</v>
      </c>
      <c r="B3993" s="3">
        <f t="shared" si="33"/>
        <v>0</v>
      </c>
      <c r="C3993" s="3">
        <f t="shared" si="31"/>
        <v>0</v>
      </c>
      <c r="D3993" s="3">
        <f>$B$3505*(A3993)+$B$3506*(A3993)^2/2-$B$3504*(A3993)^3/6-(N(D26)*MAX(0,(A3993)-N(E26))^2/2+N(F26)*MAX(0,(A3993)-N(G26))^2/2+N(H26)*MAX(0,(A3993)-N(I26))^2/2+N(J26)*MAX(0,(A3993)-N(K26))^2/2+N(L26)*MAX(0,(A3993)-N(M26))^2/2)+$B$3507</f>
        <v>-57.9427083333333</v>
      </c>
      <c r="E3993" s="3">
        <f>$B$3505*(C3993)+$B$3506*(C3993)^2/2-$B$3504*(C3993)^3/6-(N(D26)*MAX(0,(C3993)-N(E26))^2/2+N(F26)*MAX(0,(C3993)-N(G26))^2/2+N(H26)*MAX(0,(C3993)-N(I26))^2/2+N(J26)*MAX(0,(C3993)-N(K26))^2/2+N(L26)*MAX(0,(C3993)-N(M26))^2/2)+$B$3507</f>
        <v>-57.9427083333333</v>
      </c>
    </row>
    <row r="3994" spans="1:5" hidden="1">
      <c r="A3994" s="3">
        <f t="shared" si="32"/>
        <v>0</v>
      </c>
      <c r="B3994" s="3">
        <f t="shared" si="33"/>
        <v>0</v>
      </c>
      <c r="C3994" s="3">
        <f t="shared" si="31"/>
        <v>0</v>
      </c>
      <c r="D3994" s="3">
        <f>$B$3505*(A3994)+$B$3506*(A3994)^2/2-$B$3504*(A3994)^3/6-(N(D26)*MAX(0,(A3994)-N(E26))^2/2+N(F26)*MAX(0,(A3994)-N(G26))^2/2+N(H26)*MAX(0,(A3994)-N(I26))^2/2+N(J26)*MAX(0,(A3994)-N(K26))^2/2+N(L26)*MAX(0,(A3994)-N(M26))^2/2)+$B$3507</f>
        <v>-57.9427083333333</v>
      </c>
      <c r="E3994" s="3">
        <f>$B$3505*(C3994)+$B$3506*(C3994)^2/2-$B$3504*(C3994)^3/6-(N(D26)*MAX(0,(C3994)-N(E26))^2/2+N(F26)*MAX(0,(C3994)-N(G26))^2/2+N(H26)*MAX(0,(C3994)-N(I26))^2/2+N(J26)*MAX(0,(C3994)-N(K26))^2/2+N(L26)*MAX(0,(C3994)-N(M26))^2/2)+$B$3507</f>
        <v>-57.9427083333333</v>
      </c>
    </row>
    <row r="3995" spans="1:5" hidden="1">
      <c r="A3995" s="3">
        <f t="shared" si="32"/>
        <v>0</v>
      </c>
      <c r="B3995" s="3">
        <f t="shared" si="33"/>
        <v>0</v>
      </c>
      <c r="C3995" s="3">
        <f t="shared" si="31"/>
        <v>0</v>
      </c>
      <c r="D3995" s="3">
        <f>$B$3505*(A3995)+$B$3506*(A3995)^2/2-$B$3504*(A3995)^3/6-(N(D26)*MAX(0,(A3995)-N(E26))^2/2+N(F26)*MAX(0,(A3995)-N(G26))^2/2+N(H26)*MAX(0,(A3995)-N(I26))^2/2+N(J26)*MAX(0,(A3995)-N(K26))^2/2+N(L26)*MAX(0,(A3995)-N(M26))^2/2)+$B$3507</f>
        <v>-57.9427083333333</v>
      </c>
      <c r="E3995" s="3">
        <f>$B$3505*(C3995)+$B$3506*(C3995)^2/2-$B$3504*(C3995)^3/6-(N(D26)*MAX(0,(C3995)-N(E26))^2/2+N(F26)*MAX(0,(C3995)-N(G26))^2/2+N(H26)*MAX(0,(C3995)-N(I26))^2/2+N(J26)*MAX(0,(C3995)-N(K26))^2/2+N(L26)*MAX(0,(C3995)-N(M26))^2/2)+$B$3507</f>
        <v>-57.9427083333333</v>
      </c>
    </row>
    <row r="3996" spans="1:5" hidden="1">
      <c r="A3996" s="3">
        <f t="shared" si="32"/>
        <v>0</v>
      </c>
      <c r="B3996" s="3">
        <f t="shared" si="33"/>
        <v>0</v>
      </c>
      <c r="C3996" s="3">
        <f t="shared" si="31"/>
        <v>0</v>
      </c>
      <c r="D3996" s="3">
        <f>$B$3505*(A3996)+$B$3506*(A3996)^2/2-$B$3504*(A3996)^3/6-(N(D26)*MAX(0,(A3996)-N(E26))^2/2+N(F26)*MAX(0,(A3996)-N(G26))^2/2+N(H26)*MAX(0,(A3996)-N(I26))^2/2+N(J26)*MAX(0,(A3996)-N(K26))^2/2+N(L26)*MAX(0,(A3996)-N(M26))^2/2)+$B$3507</f>
        <v>-57.9427083333333</v>
      </c>
      <c r="E3996" s="3">
        <f>$B$3505*(C3996)+$B$3506*(C3996)^2/2-$B$3504*(C3996)^3/6-(N(D26)*MAX(0,(C3996)-N(E26))^2/2+N(F26)*MAX(0,(C3996)-N(G26))^2/2+N(H26)*MAX(0,(C3996)-N(I26))^2/2+N(J26)*MAX(0,(C3996)-N(K26))^2/2+N(L26)*MAX(0,(C3996)-N(M26))^2/2)+$B$3507</f>
        <v>-57.9427083333333</v>
      </c>
    </row>
    <row r="3997" spans="1:5" hidden="1">
      <c r="A3997" s="3">
        <f t="shared" si="32"/>
        <v>0</v>
      </c>
      <c r="B3997" s="3">
        <f t="shared" si="33"/>
        <v>0</v>
      </c>
      <c r="C3997" s="3">
        <f t="shared" si="31"/>
        <v>0</v>
      </c>
      <c r="D3997" s="3">
        <f>$B$3505*(A3997)+$B$3506*(A3997)^2/2-$B$3504*(A3997)^3/6-(N(D26)*MAX(0,(A3997)-N(E26))^2/2+N(F26)*MAX(0,(A3997)-N(G26))^2/2+N(H26)*MAX(0,(A3997)-N(I26))^2/2+N(J26)*MAX(0,(A3997)-N(K26))^2/2+N(L26)*MAX(0,(A3997)-N(M26))^2/2)+$B$3507</f>
        <v>-57.9427083333333</v>
      </c>
      <c r="E3997" s="3">
        <f>$B$3505*(C3997)+$B$3506*(C3997)^2/2-$B$3504*(C3997)^3/6-(N(D26)*MAX(0,(C3997)-N(E26))^2/2+N(F26)*MAX(0,(C3997)-N(G26))^2/2+N(H26)*MAX(0,(C3997)-N(I26))^2/2+N(J26)*MAX(0,(C3997)-N(K26))^2/2+N(L26)*MAX(0,(C3997)-N(M26))^2/2)+$B$3507</f>
        <v>-57.9427083333333</v>
      </c>
    </row>
    <row r="3998" spans="1:5" hidden="1">
      <c r="A3998" s="3">
        <f t="shared" si="32"/>
        <v>0</v>
      </c>
      <c r="B3998" s="3">
        <f t="shared" si="33"/>
        <v>0</v>
      </c>
      <c r="C3998" s="3">
        <f t="shared" si="31"/>
        <v>0</v>
      </c>
      <c r="D3998" s="3">
        <f>$B$3505*(A3998)+$B$3506*(A3998)^2/2-$B$3504*(A3998)^3/6-(N(D26)*MAX(0,(A3998)-N(E26))^2/2+N(F26)*MAX(0,(A3998)-N(G26))^2/2+N(H26)*MAX(0,(A3998)-N(I26))^2/2+N(J26)*MAX(0,(A3998)-N(K26))^2/2+N(L26)*MAX(0,(A3998)-N(M26))^2/2)+$B$3507</f>
        <v>-57.9427083333333</v>
      </c>
      <c r="E3998" s="3">
        <f>$B$3505*(C3998)+$B$3506*(C3998)^2/2-$B$3504*(C3998)^3/6-(N(D26)*MAX(0,(C3998)-N(E26))^2/2+N(F26)*MAX(0,(C3998)-N(G26))^2/2+N(H26)*MAX(0,(C3998)-N(I26))^2/2+N(J26)*MAX(0,(C3998)-N(K26))^2/2+N(L26)*MAX(0,(C3998)-N(M26))^2/2)+$B$3507</f>
        <v>-57.9427083333333</v>
      </c>
    </row>
    <row r="3999" spans="1:5" hidden="1">
      <c r="A3999" s="3">
        <f t="shared" si="32"/>
        <v>0</v>
      </c>
      <c r="B3999" s="3">
        <f t="shared" si="33"/>
        <v>0</v>
      </c>
      <c r="C3999" s="3">
        <f t="shared" si="31"/>
        <v>0</v>
      </c>
      <c r="D3999" s="3">
        <f>$B$3505*(A3999)+$B$3506*(A3999)^2/2-$B$3504*(A3999)^3/6-(N(D26)*MAX(0,(A3999)-N(E26))^2/2+N(F26)*MAX(0,(A3999)-N(G26))^2/2+N(H26)*MAX(0,(A3999)-N(I26))^2/2+N(J26)*MAX(0,(A3999)-N(K26))^2/2+N(L26)*MAX(0,(A3999)-N(M26))^2/2)+$B$3507</f>
        <v>-57.9427083333333</v>
      </c>
      <c r="E3999" s="3">
        <f>$B$3505*(C3999)+$B$3506*(C3999)^2/2-$B$3504*(C3999)^3/6-(N(D26)*MAX(0,(C3999)-N(E26))^2/2+N(F26)*MAX(0,(C3999)-N(G26))^2/2+N(H26)*MAX(0,(C3999)-N(I26))^2/2+N(J26)*MAX(0,(C3999)-N(K26))^2/2+N(L26)*MAX(0,(C3999)-N(M26))^2/2)+$B$3507</f>
        <v>-57.9427083333333</v>
      </c>
    </row>
    <row r="4000" spans="1:5" hidden="1">
      <c r="A4000" s="3">
        <f t="shared" si="32"/>
        <v>0</v>
      </c>
      <c r="B4000" s="3">
        <f t="shared" si="33"/>
        <v>0</v>
      </c>
      <c r="C4000" s="3">
        <f t="shared" si="31"/>
        <v>0</v>
      </c>
      <c r="D4000" s="3">
        <f>$B$3505*(A4000)+$B$3506*(A4000)^2/2-$B$3504*(A4000)^3/6-(N(D26)*MAX(0,(A4000)-N(E26))^2/2+N(F26)*MAX(0,(A4000)-N(G26))^2/2+N(H26)*MAX(0,(A4000)-N(I26))^2/2+N(J26)*MAX(0,(A4000)-N(K26))^2/2+N(L26)*MAX(0,(A4000)-N(M26))^2/2)+$B$3507</f>
        <v>-57.9427083333333</v>
      </c>
      <c r="E4000" s="3">
        <f>$B$3505*(C4000)+$B$3506*(C4000)^2/2-$B$3504*(C4000)^3/6-(N(D26)*MAX(0,(C4000)-N(E26))^2/2+N(F26)*MAX(0,(C4000)-N(G26))^2/2+N(H26)*MAX(0,(C4000)-N(I26))^2/2+N(J26)*MAX(0,(C4000)-N(K26))^2/2+N(L26)*MAX(0,(C4000)-N(M26))^2/2)+$B$3507</f>
        <v>-57.9427083333333</v>
      </c>
    </row>
    <row r="4001" spans="1:5" hidden="1">
      <c r="A4001" s="3">
        <f t="shared" si="32"/>
        <v>0</v>
      </c>
      <c r="B4001" s="3">
        <f t="shared" si="33"/>
        <v>0</v>
      </c>
      <c r="C4001" s="3">
        <f t="shared" si="31"/>
        <v>0</v>
      </c>
      <c r="D4001" s="3">
        <f>$B$3505*(A4001)+$B$3506*(A4001)^2/2-$B$3504*(A4001)^3/6-(N(D26)*MAX(0,(A4001)-N(E26))^2/2+N(F26)*MAX(0,(A4001)-N(G26))^2/2+N(H26)*MAX(0,(A4001)-N(I26))^2/2+N(J26)*MAX(0,(A4001)-N(K26))^2/2+N(L26)*MAX(0,(A4001)-N(M26))^2/2)+$B$3507</f>
        <v>-57.9427083333333</v>
      </c>
      <c r="E4001" s="3">
        <f>$B$3505*(C4001)+$B$3506*(C4001)^2/2-$B$3504*(C4001)^3/6-(N(D26)*MAX(0,(C4001)-N(E26))^2/2+N(F26)*MAX(0,(C4001)-N(G26))^2/2+N(H26)*MAX(0,(C4001)-N(I26))^2/2+N(J26)*MAX(0,(C4001)-N(K26))^2/2+N(L26)*MAX(0,(C4001)-N(M26))^2/2)+$B$3507</f>
        <v>-57.9427083333333</v>
      </c>
    </row>
    <row r="4002" spans="1:5" hidden="1">
      <c r="A4002" s="3">
        <f t="shared" si="32"/>
        <v>0</v>
      </c>
      <c r="B4002" s="3">
        <f t="shared" si="33"/>
        <v>0</v>
      </c>
      <c r="C4002" s="3">
        <f t="shared" si="31"/>
        <v>0</v>
      </c>
      <c r="D4002" s="3">
        <f>$B$3505*(A4002)+$B$3506*(A4002)^2/2-$B$3504*(A4002)^3/6-(N(D26)*MAX(0,(A4002)-N(E26))^2/2+N(F26)*MAX(0,(A4002)-N(G26))^2/2+N(H26)*MAX(0,(A4002)-N(I26))^2/2+N(J26)*MAX(0,(A4002)-N(K26))^2/2+N(L26)*MAX(0,(A4002)-N(M26))^2/2)+$B$3507</f>
        <v>-57.9427083333333</v>
      </c>
      <c r="E4002" s="3">
        <f>$B$3505*(C4002)+$B$3506*(C4002)^2/2-$B$3504*(C4002)^3/6-(N(D26)*MAX(0,(C4002)-N(E26))^2/2+N(F26)*MAX(0,(C4002)-N(G26))^2/2+N(H26)*MAX(0,(C4002)-N(I26))^2/2+N(J26)*MAX(0,(C4002)-N(K26))^2/2+N(L26)*MAX(0,(C4002)-N(M26))^2/2)+$B$3507</f>
        <v>-57.9427083333333</v>
      </c>
    </row>
    <row r="4003" spans="1:5" hidden="1">
      <c r="A4003" s="3">
        <f t="shared" si="32"/>
        <v>0</v>
      </c>
      <c r="B4003" s="3">
        <f t="shared" si="33"/>
        <v>0</v>
      </c>
      <c r="C4003" s="3">
        <f t="shared" si="31"/>
        <v>0</v>
      </c>
      <c r="D4003" s="3">
        <f>$B$3505*(A4003)+$B$3506*(A4003)^2/2-$B$3504*(A4003)^3/6-(N(D26)*MAX(0,(A4003)-N(E26))^2/2+N(F26)*MAX(0,(A4003)-N(G26))^2/2+N(H26)*MAX(0,(A4003)-N(I26))^2/2+N(J26)*MAX(0,(A4003)-N(K26))^2/2+N(L26)*MAX(0,(A4003)-N(M26))^2/2)+$B$3507</f>
        <v>-57.9427083333333</v>
      </c>
      <c r="E4003" s="3">
        <f>$B$3505*(C4003)+$B$3506*(C4003)^2/2-$B$3504*(C4003)^3/6-(N(D26)*MAX(0,(C4003)-N(E26))^2/2+N(F26)*MAX(0,(C4003)-N(G26))^2/2+N(H26)*MAX(0,(C4003)-N(I26))^2/2+N(J26)*MAX(0,(C4003)-N(K26))^2/2+N(L26)*MAX(0,(C4003)-N(M26))^2/2)+$B$3507</f>
        <v>-57.9427083333333</v>
      </c>
    </row>
    <row r="4004" spans="1:5" hidden="1">
      <c r="A4004" s="3">
        <f t="shared" si="32"/>
        <v>0</v>
      </c>
      <c r="B4004" s="3">
        <f t="shared" si="33"/>
        <v>0</v>
      </c>
      <c r="C4004" s="3">
        <f t="shared" si="31"/>
        <v>0</v>
      </c>
      <c r="D4004" s="3">
        <f>$B$3505*(A4004)+$B$3506*(A4004)^2/2-$B$3504*(A4004)^3/6-(N(D26)*MAX(0,(A4004)-N(E26))^2/2+N(F26)*MAX(0,(A4004)-N(G26))^2/2+N(H26)*MAX(0,(A4004)-N(I26))^2/2+N(J26)*MAX(0,(A4004)-N(K26))^2/2+N(L26)*MAX(0,(A4004)-N(M26))^2/2)+$B$3507</f>
        <v>-57.9427083333333</v>
      </c>
      <c r="E4004" s="3">
        <f>$B$3505*(C4004)+$B$3506*(C4004)^2/2-$B$3504*(C4004)^3/6-(N(D26)*MAX(0,(C4004)-N(E26))^2/2+N(F26)*MAX(0,(C4004)-N(G26))^2/2+N(H26)*MAX(0,(C4004)-N(I26))^2/2+N(J26)*MAX(0,(C4004)-N(K26))^2/2+N(L26)*MAX(0,(C4004)-N(M26))^2/2)+$B$3507</f>
        <v>-57.9427083333333</v>
      </c>
    </row>
    <row r="4005" spans="1:5" hidden="1">
      <c r="A4005" s="3">
        <f t="shared" si="32"/>
        <v>0</v>
      </c>
      <c r="B4005" s="3">
        <f t="shared" si="33"/>
        <v>0</v>
      </c>
      <c r="C4005" s="3">
        <f t="shared" si="31"/>
        <v>0</v>
      </c>
      <c r="D4005" s="3">
        <f>$B$3505*(A4005)+$B$3506*(A4005)^2/2-$B$3504*(A4005)^3/6-(N(D26)*MAX(0,(A4005)-N(E26))^2/2+N(F26)*MAX(0,(A4005)-N(G26))^2/2+N(H26)*MAX(0,(A4005)-N(I26))^2/2+N(J26)*MAX(0,(A4005)-N(K26))^2/2+N(L26)*MAX(0,(A4005)-N(M26))^2/2)+$B$3507</f>
        <v>-57.9427083333333</v>
      </c>
      <c r="E4005" s="3">
        <f>$B$3505*(C4005)+$B$3506*(C4005)^2/2-$B$3504*(C4005)^3/6-(N(D26)*MAX(0,(C4005)-N(E26))^2/2+N(F26)*MAX(0,(C4005)-N(G26))^2/2+N(H26)*MAX(0,(C4005)-N(I26))^2/2+N(J26)*MAX(0,(C4005)-N(K26))^2/2+N(L26)*MAX(0,(C4005)-N(M26))^2/2)+$B$3507</f>
        <v>-57.9427083333333</v>
      </c>
    </row>
    <row r="4006" spans="1:5" hidden="1">
      <c r="A4006" s="3">
        <f t="shared" si="32"/>
        <v>0</v>
      </c>
      <c r="B4006" s="3">
        <f t="shared" si="33"/>
        <v>0</v>
      </c>
      <c r="C4006" s="3">
        <f t="shared" si="31"/>
        <v>0</v>
      </c>
      <c r="D4006" s="3">
        <f>$B$3505*(A4006)+$B$3506*(A4006)^2/2-$B$3504*(A4006)^3/6-(N(D26)*MAX(0,(A4006)-N(E26))^2/2+N(F26)*MAX(0,(A4006)-N(G26))^2/2+N(H26)*MAX(0,(A4006)-N(I26))^2/2+N(J26)*MAX(0,(A4006)-N(K26))^2/2+N(L26)*MAX(0,(A4006)-N(M26))^2/2)+$B$3507</f>
        <v>-57.9427083333333</v>
      </c>
      <c r="E4006" s="3">
        <f>$B$3505*(C4006)+$B$3506*(C4006)^2/2-$B$3504*(C4006)^3/6-(N(D26)*MAX(0,(C4006)-N(E26))^2/2+N(F26)*MAX(0,(C4006)-N(G26))^2/2+N(H26)*MAX(0,(C4006)-N(I26))^2/2+N(J26)*MAX(0,(C4006)-N(K26))^2/2+N(L26)*MAX(0,(C4006)-N(M26))^2/2)+$B$3507</f>
        <v>-57.9427083333333</v>
      </c>
    </row>
    <row r="4007" spans="1:5" hidden="1">
      <c r="A4007" s="3">
        <f t="shared" si="32"/>
        <v>0</v>
      </c>
      <c r="B4007" s="3">
        <f t="shared" si="33"/>
        <v>0</v>
      </c>
      <c r="C4007" s="3">
        <f t="shared" si="31"/>
        <v>0</v>
      </c>
      <c r="D4007" s="3">
        <f>$B$3505*(A4007)+$B$3506*(A4007)^2/2-$B$3504*(A4007)^3/6-(N(D26)*MAX(0,(A4007)-N(E26))^2/2+N(F26)*MAX(0,(A4007)-N(G26))^2/2+N(H26)*MAX(0,(A4007)-N(I26))^2/2+N(J26)*MAX(0,(A4007)-N(K26))^2/2+N(L26)*MAX(0,(A4007)-N(M26))^2/2)+$B$3507</f>
        <v>-57.9427083333333</v>
      </c>
      <c r="E4007" s="3">
        <f>$B$3505*(C4007)+$B$3506*(C4007)^2/2-$B$3504*(C4007)^3/6-(N(D26)*MAX(0,(C4007)-N(E26))^2/2+N(F26)*MAX(0,(C4007)-N(G26))^2/2+N(H26)*MAX(0,(C4007)-N(I26))^2/2+N(J26)*MAX(0,(C4007)-N(K26))^2/2+N(L26)*MAX(0,(C4007)-N(M26))^2/2)+$B$3507</f>
        <v>-57.9427083333333</v>
      </c>
    </row>
    <row r="4008" spans="1:5" hidden="1">
      <c r="A4008" s="3">
        <f t="shared" si="32"/>
        <v>0</v>
      </c>
      <c r="B4008" s="3">
        <f t="shared" si="33"/>
        <v>0</v>
      </c>
      <c r="C4008" s="3">
        <f t="shared" si="31"/>
        <v>0</v>
      </c>
      <c r="D4008" s="3">
        <f>$B$3505*(A4008)+$B$3506*(A4008)^2/2-$B$3504*(A4008)^3/6-(N(D26)*MAX(0,(A4008)-N(E26))^2/2+N(F26)*MAX(0,(A4008)-N(G26))^2/2+N(H26)*MAX(0,(A4008)-N(I26))^2/2+N(J26)*MAX(0,(A4008)-N(K26))^2/2+N(L26)*MAX(0,(A4008)-N(M26))^2/2)+$B$3507</f>
        <v>-57.9427083333333</v>
      </c>
      <c r="E4008" s="3">
        <f>$B$3505*(C4008)+$B$3506*(C4008)^2/2-$B$3504*(C4008)^3/6-(N(D26)*MAX(0,(C4008)-N(E26))^2/2+N(F26)*MAX(0,(C4008)-N(G26))^2/2+N(H26)*MAX(0,(C4008)-N(I26))^2/2+N(J26)*MAX(0,(C4008)-N(K26))^2/2+N(L26)*MAX(0,(C4008)-N(M26))^2/2)+$B$3507</f>
        <v>-57.9427083333333</v>
      </c>
    </row>
    <row r="4009" spans="1:5" hidden="1">
      <c r="A4009" s="3">
        <f t="shared" si="32"/>
        <v>0</v>
      </c>
      <c r="B4009" s="3">
        <f t="shared" si="33"/>
        <v>0</v>
      </c>
      <c r="C4009" s="3">
        <f t="shared" si="31"/>
        <v>0</v>
      </c>
      <c r="D4009" s="3">
        <f>$B$3505*(A4009)+$B$3506*(A4009)^2/2-$B$3504*(A4009)^3/6-(N(D26)*MAX(0,(A4009)-N(E26))^2/2+N(F26)*MAX(0,(A4009)-N(G26))^2/2+N(H26)*MAX(0,(A4009)-N(I26))^2/2+N(J26)*MAX(0,(A4009)-N(K26))^2/2+N(L26)*MAX(0,(A4009)-N(M26))^2/2)+$B$3507</f>
        <v>-57.9427083333333</v>
      </c>
      <c r="E4009" s="3">
        <f>$B$3505*(C4009)+$B$3506*(C4009)^2/2-$B$3504*(C4009)^3/6-(N(D26)*MAX(0,(C4009)-N(E26))^2/2+N(F26)*MAX(0,(C4009)-N(G26))^2/2+N(H26)*MAX(0,(C4009)-N(I26))^2/2+N(J26)*MAX(0,(C4009)-N(K26))^2/2+N(L26)*MAX(0,(C4009)-N(M26))^2/2)+$B$3507</f>
        <v>-57.9427083333333</v>
      </c>
    </row>
    <row r="4010" spans="1:5" hidden="1">
      <c r="A4010" s="3">
        <f t="shared" si="32"/>
        <v>0</v>
      </c>
      <c r="B4010" s="3">
        <f t="shared" si="33"/>
        <v>0</v>
      </c>
      <c r="C4010" s="3">
        <f t="shared" si="31"/>
        <v>0</v>
      </c>
      <c r="D4010" s="3">
        <f>$B$3505*(A4010)+$B$3506*(A4010)^2/2-$B$3504*(A4010)^3/6-(N(D26)*MAX(0,(A4010)-N(E26))^2/2+N(F26)*MAX(0,(A4010)-N(G26))^2/2+N(H26)*MAX(0,(A4010)-N(I26))^2/2+N(J26)*MAX(0,(A4010)-N(K26))^2/2+N(L26)*MAX(0,(A4010)-N(M26))^2/2)+$B$3507</f>
        <v>-57.9427083333333</v>
      </c>
      <c r="E4010" s="3">
        <f>$B$3505*(C4010)+$B$3506*(C4010)^2/2-$B$3504*(C4010)^3/6-(N(D26)*MAX(0,(C4010)-N(E26))^2/2+N(F26)*MAX(0,(C4010)-N(G26))^2/2+N(H26)*MAX(0,(C4010)-N(I26))^2/2+N(J26)*MAX(0,(C4010)-N(K26))^2/2+N(L26)*MAX(0,(C4010)-N(M26))^2/2)+$B$3507</f>
        <v>-57.9427083333333</v>
      </c>
    </row>
    <row r="4011" spans="1:5" hidden="1">
      <c r="A4011" s="3">
        <f t="shared" si="32"/>
        <v>0</v>
      </c>
      <c r="B4011" s="3">
        <f t="shared" si="33"/>
        <v>0</v>
      </c>
      <c r="C4011" s="3">
        <f t="shared" si="31"/>
        <v>0</v>
      </c>
      <c r="D4011" s="3">
        <f>$B$3505*(A4011)+$B$3506*(A4011)^2/2-$B$3504*(A4011)^3/6-(N(D26)*MAX(0,(A4011)-N(E26))^2/2+N(F26)*MAX(0,(A4011)-N(G26))^2/2+N(H26)*MAX(0,(A4011)-N(I26))^2/2+N(J26)*MAX(0,(A4011)-N(K26))^2/2+N(L26)*MAX(0,(A4011)-N(M26))^2/2)+$B$3507</f>
        <v>-57.9427083333333</v>
      </c>
      <c r="E4011" s="3">
        <f>$B$3505*(C4011)+$B$3506*(C4011)^2/2-$B$3504*(C4011)^3/6-(N(D26)*MAX(0,(C4011)-N(E26))^2/2+N(F26)*MAX(0,(C4011)-N(G26))^2/2+N(H26)*MAX(0,(C4011)-N(I26))^2/2+N(J26)*MAX(0,(C4011)-N(K26))^2/2+N(L26)*MAX(0,(C4011)-N(M26))^2/2)+$B$3507</f>
        <v>-57.9427083333333</v>
      </c>
    </row>
    <row r="4012" spans="1:5" hidden="1">
      <c r="A4012" s="3">
        <f t="shared" si="32"/>
        <v>0</v>
      </c>
      <c r="B4012" s="3">
        <f t="shared" si="33"/>
        <v>0</v>
      </c>
      <c r="C4012" s="3">
        <f t="shared" si="31"/>
        <v>0</v>
      </c>
      <c r="D4012" s="3">
        <f>$B$3505*(A4012)+$B$3506*(A4012)^2/2-$B$3504*(A4012)^3/6-(N(D26)*MAX(0,(A4012)-N(E26))^2/2+N(F26)*MAX(0,(A4012)-N(G26))^2/2+N(H26)*MAX(0,(A4012)-N(I26))^2/2+N(J26)*MAX(0,(A4012)-N(K26))^2/2+N(L26)*MAX(0,(A4012)-N(M26))^2/2)+$B$3507</f>
        <v>-57.9427083333333</v>
      </c>
      <c r="E4012" s="3">
        <f>$B$3505*(C4012)+$B$3506*(C4012)^2/2-$B$3504*(C4012)^3/6-(N(D26)*MAX(0,(C4012)-N(E26))^2/2+N(F26)*MAX(0,(C4012)-N(G26))^2/2+N(H26)*MAX(0,(C4012)-N(I26))^2/2+N(J26)*MAX(0,(C4012)-N(K26))^2/2+N(L26)*MAX(0,(C4012)-N(M26))^2/2)+$B$3507</f>
        <v>-57.9427083333333</v>
      </c>
    </row>
    <row r="4013" spans="1:5" hidden="1">
      <c r="A4013" s="3">
        <f t="shared" si="32"/>
        <v>0</v>
      </c>
      <c r="B4013" s="3">
        <f t="shared" si="33"/>
        <v>0</v>
      </c>
      <c r="C4013" s="3">
        <f t="shared" si="31"/>
        <v>0</v>
      </c>
      <c r="D4013" s="3">
        <f>$B$3505*(A4013)+$B$3506*(A4013)^2/2-$B$3504*(A4013)^3/6-(N(D26)*MAX(0,(A4013)-N(E26))^2/2+N(F26)*MAX(0,(A4013)-N(G26))^2/2+N(H26)*MAX(0,(A4013)-N(I26))^2/2+N(J26)*MAX(0,(A4013)-N(K26))^2/2+N(L26)*MAX(0,(A4013)-N(M26))^2/2)+$B$3507</f>
        <v>-57.9427083333333</v>
      </c>
      <c r="E4013" s="3">
        <f>$B$3505*(C4013)+$B$3506*(C4013)^2/2-$B$3504*(C4013)^3/6-(N(D26)*MAX(0,(C4013)-N(E26))^2/2+N(F26)*MAX(0,(C4013)-N(G26))^2/2+N(H26)*MAX(0,(C4013)-N(I26))^2/2+N(J26)*MAX(0,(C4013)-N(K26))^2/2+N(L26)*MAX(0,(C4013)-N(M26))^2/2)+$B$3507</f>
        <v>-57.9427083333333</v>
      </c>
    </row>
    <row r="4014" spans="1:5" hidden="1"/>
    <row r="4015" spans="1:5" hidden="1">
      <c r="A4015" s="3">
        <f>B3550</f>
        <v>0</v>
      </c>
      <c r="B4015" s="3">
        <f>IF(($B$3505*(B3550)+$B$3506*(B3550)^2/2-$B$3504*(B3550)^3/6-(N(D26)*MAX(0,(B3550)-N(E26))^2/2+N(F26)*MAX(0,(B3550)-N(G26))^2/2+N(H26)*MAX(0,(B3550)-N(I26))^2/2+N(J26)*MAX(0,(B3550)-N(K26))^2/2+N(L26)*MAX(0,(B3550)-N(M26))^2/2)+$B$3507)*($B$3505*(B3551)+$B$3506*(B3551)^2/2-$B$3504*(B3551)^3/6-(N(D26)*MAX(0,(B3551)-N(E26))^2/2+N(F26)*MAX(0,(B3551)-N(G26))^2/2+N(H26)*MAX(0,(B3551)-N(I26))^2/2+N(J26)*MAX(0,(B3551)-N(K26))^2/2+N(L26)*MAX(0,(B3551)-N(M26))^2/2)+$B$3507)&lt;=0,B3551,B3550)</f>
        <v>0</v>
      </c>
      <c r="C4015" s="3">
        <f t="shared" ref="C4015:C4059" si="34">(A4015+B4015)/2</f>
        <v>0</v>
      </c>
      <c r="D4015" s="3">
        <f>$B$3505*(A4015)+$B$3506*(A4015)^2/2-$B$3504*(A4015)^3/6-(N(D26)*MAX(0,(A4015)-N(E26))^2/2+N(F26)*MAX(0,(A4015)-N(G26))^2/2+N(H26)*MAX(0,(A4015)-N(I26))^2/2+N(J26)*MAX(0,(A4015)-N(K26))^2/2+N(L26)*MAX(0,(A4015)-N(M26))^2/2)+$B$3507</f>
        <v>-57.9427083333333</v>
      </c>
      <c r="E4015" s="3">
        <f>$B$3505*(C4015)+$B$3506*(C4015)^2/2-$B$3504*(C4015)^3/6-(N(D26)*MAX(0,(C4015)-N(E26))^2/2+N(F26)*MAX(0,(C4015)-N(G26))^2/2+N(H26)*MAX(0,(C4015)-N(I26))^2/2+N(J26)*MAX(0,(C4015)-N(K26))^2/2+N(L26)*MAX(0,(C4015)-N(M26))^2/2)+$B$3507</f>
        <v>-57.9427083333333</v>
      </c>
    </row>
    <row r="4016" spans="1:5" hidden="1">
      <c r="A4016" s="3">
        <f t="shared" ref="A4016:A4059" si="35">IF(D4015*E4015&lt;=0,A4015,C4015)</f>
        <v>0</v>
      </c>
      <c r="B4016" s="3">
        <f t="shared" ref="B4016:B4059" si="36">IF(D4015*E4015&lt;=0,C4015,B4015)</f>
        <v>0</v>
      </c>
      <c r="C4016" s="3">
        <f t="shared" si="34"/>
        <v>0</v>
      </c>
      <c r="D4016" s="3">
        <f>$B$3505*(A4016)+$B$3506*(A4016)^2/2-$B$3504*(A4016)^3/6-(N(D26)*MAX(0,(A4016)-N(E26))^2/2+N(F26)*MAX(0,(A4016)-N(G26))^2/2+N(H26)*MAX(0,(A4016)-N(I26))^2/2+N(J26)*MAX(0,(A4016)-N(K26))^2/2+N(L26)*MAX(0,(A4016)-N(M26))^2/2)+$B$3507</f>
        <v>-57.9427083333333</v>
      </c>
      <c r="E4016" s="3">
        <f>$B$3505*(C4016)+$B$3506*(C4016)^2/2-$B$3504*(C4016)^3/6-(N(D26)*MAX(0,(C4016)-N(E26))^2/2+N(F26)*MAX(0,(C4016)-N(G26))^2/2+N(H26)*MAX(0,(C4016)-N(I26))^2/2+N(J26)*MAX(0,(C4016)-N(K26))^2/2+N(L26)*MAX(0,(C4016)-N(M26))^2/2)+$B$3507</f>
        <v>-57.9427083333333</v>
      </c>
    </row>
    <row r="4017" spans="1:5" hidden="1">
      <c r="A4017" s="3">
        <f t="shared" si="35"/>
        <v>0</v>
      </c>
      <c r="B4017" s="3">
        <f t="shared" si="36"/>
        <v>0</v>
      </c>
      <c r="C4017" s="3">
        <f t="shared" si="34"/>
        <v>0</v>
      </c>
      <c r="D4017" s="3">
        <f>$B$3505*(A4017)+$B$3506*(A4017)^2/2-$B$3504*(A4017)^3/6-(N(D26)*MAX(0,(A4017)-N(E26))^2/2+N(F26)*MAX(0,(A4017)-N(G26))^2/2+N(H26)*MAX(0,(A4017)-N(I26))^2/2+N(J26)*MAX(0,(A4017)-N(K26))^2/2+N(L26)*MAX(0,(A4017)-N(M26))^2/2)+$B$3507</f>
        <v>-57.9427083333333</v>
      </c>
      <c r="E4017" s="3">
        <f>$B$3505*(C4017)+$B$3506*(C4017)^2/2-$B$3504*(C4017)^3/6-(N(D26)*MAX(0,(C4017)-N(E26))^2/2+N(F26)*MAX(0,(C4017)-N(G26))^2/2+N(H26)*MAX(0,(C4017)-N(I26))^2/2+N(J26)*MAX(0,(C4017)-N(K26))^2/2+N(L26)*MAX(0,(C4017)-N(M26))^2/2)+$B$3507</f>
        <v>-57.9427083333333</v>
      </c>
    </row>
    <row r="4018" spans="1:5" hidden="1">
      <c r="A4018" s="3">
        <f t="shared" si="35"/>
        <v>0</v>
      </c>
      <c r="B4018" s="3">
        <f t="shared" si="36"/>
        <v>0</v>
      </c>
      <c r="C4018" s="3">
        <f t="shared" si="34"/>
        <v>0</v>
      </c>
      <c r="D4018" s="3">
        <f>$B$3505*(A4018)+$B$3506*(A4018)^2/2-$B$3504*(A4018)^3/6-(N(D26)*MAX(0,(A4018)-N(E26))^2/2+N(F26)*MAX(0,(A4018)-N(G26))^2/2+N(H26)*MAX(0,(A4018)-N(I26))^2/2+N(J26)*MAX(0,(A4018)-N(K26))^2/2+N(L26)*MAX(0,(A4018)-N(M26))^2/2)+$B$3507</f>
        <v>-57.9427083333333</v>
      </c>
      <c r="E4018" s="3">
        <f>$B$3505*(C4018)+$B$3506*(C4018)^2/2-$B$3504*(C4018)^3/6-(N(D26)*MAX(0,(C4018)-N(E26))^2/2+N(F26)*MAX(0,(C4018)-N(G26))^2/2+N(H26)*MAX(0,(C4018)-N(I26))^2/2+N(J26)*MAX(0,(C4018)-N(K26))^2/2+N(L26)*MAX(0,(C4018)-N(M26))^2/2)+$B$3507</f>
        <v>-57.9427083333333</v>
      </c>
    </row>
    <row r="4019" spans="1:5" hidden="1">
      <c r="A4019" s="3">
        <f t="shared" si="35"/>
        <v>0</v>
      </c>
      <c r="B4019" s="3">
        <f t="shared" si="36"/>
        <v>0</v>
      </c>
      <c r="C4019" s="3">
        <f t="shared" si="34"/>
        <v>0</v>
      </c>
      <c r="D4019" s="3">
        <f>$B$3505*(A4019)+$B$3506*(A4019)^2/2-$B$3504*(A4019)^3/6-(N(D26)*MAX(0,(A4019)-N(E26))^2/2+N(F26)*MAX(0,(A4019)-N(G26))^2/2+N(H26)*MAX(0,(A4019)-N(I26))^2/2+N(J26)*MAX(0,(A4019)-N(K26))^2/2+N(L26)*MAX(0,(A4019)-N(M26))^2/2)+$B$3507</f>
        <v>-57.9427083333333</v>
      </c>
      <c r="E4019" s="3">
        <f>$B$3505*(C4019)+$B$3506*(C4019)^2/2-$B$3504*(C4019)^3/6-(N(D26)*MAX(0,(C4019)-N(E26))^2/2+N(F26)*MAX(0,(C4019)-N(G26))^2/2+N(H26)*MAX(0,(C4019)-N(I26))^2/2+N(J26)*MAX(0,(C4019)-N(K26))^2/2+N(L26)*MAX(0,(C4019)-N(M26))^2/2)+$B$3507</f>
        <v>-57.9427083333333</v>
      </c>
    </row>
    <row r="4020" spans="1:5" hidden="1">
      <c r="A4020" s="3">
        <f t="shared" si="35"/>
        <v>0</v>
      </c>
      <c r="B4020" s="3">
        <f t="shared" si="36"/>
        <v>0</v>
      </c>
      <c r="C4020" s="3">
        <f t="shared" si="34"/>
        <v>0</v>
      </c>
      <c r="D4020" s="3">
        <f>$B$3505*(A4020)+$B$3506*(A4020)^2/2-$B$3504*(A4020)^3/6-(N(D26)*MAX(0,(A4020)-N(E26))^2/2+N(F26)*MAX(0,(A4020)-N(G26))^2/2+N(H26)*MAX(0,(A4020)-N(I26))^2/2+N(J26)*MAX(0,(A4020)-N(K26))^2/2+N(L26)*MAX(0,(A4020)-N(M26))^2/2)+$B$3507</f>
        <v>-57.9427083333333</v>
      </c>
      <c r="E4020" s="3">
        <f>$B$3505*(C4020)+$B$3506*(C4020)^2/2-$B$3504*(C4020)^3/6-(N(D26)*MAX(0,(C4020)-N(E26))^2/2+N(F26)*MAX(0,(C4020)-N(G26))^2/2+N(H26)*MAX(0,(C4020)-N(I26))^2/2+N(J26)*MAX(0,(C4020)-N(K26))^2/2+N(L26)*MAX(0,(C4020)-N(M26))^2/2)+$B$3507</f>
        <v>-57.9427083333333</v>
      </c>
    </row>
    <row r="4021" spans="1:5" hidden="1">
      <c r="A4021" s="3">
        <f t="shared" si="35"/>
        <v>0</v>
      </c>
      <c r="B4021" s="3">
        <f t="shared" si="36"/>
        <v>0</v>
      </c>
      <c r="C4021" s="3">
        <f t="shared" si="34"/>
        <v>0</v>
      </c>
      <c r="D4021" s="3">
        <f>$B$3505*(A4021)+$B$3506*(A4021)^2/2-$B$3504*(A4021)^3/6-(N(D26)*MAX(0,(A4021)-N(E26))^2/2+N(F26)*MAX(0,(A4021)-N(G26))^2/2+N(H26)*MAX(0,(A4021)-N(I26))^2/2+N(J26)*MAX(0,(A4021)-N(K26))^2/2+N(L26)*MAX(0,(A4021)-N(M26))^2/2)+$B$3507</f>
        <v>-57.9427083333333</v>
      </c>
      <c r="E4021" s="3">
        <f>$B$3505*(C4021)+$B$3506*(C4021)^2/2-$B$3504*(C4021)^3/6-(N(D26)*MAX(0,(C4021)-N(E26))^2/2+N(F26)*MAX(0,(C4021)-N(G26))^2/2+N(H26)*MAX(0,(C4021)-N(I26))^2/2+N(J26)*MAX(0,(C4021)-N(K26))^2/2+N(L26)*MAX(0,(C4021)-N(M26))^2/2)+$B$3507</f>
        <v>-57.9427083333333</v>
      </c>
    </row>
    <row r="4022" spans="1:5" hidden="1">
      <c r="A4022" s="3">
        <f t="shared" si="35"/>
        <v>0</v>
      </c>
      <c r="B4022" s="3">
        <f t="shared" si="36"/>
        <v>0</v>
      </c>
      <c r="C4022" s="3">
        <f t="shared" si="34"/>
        <v>0</v>
      </c>
      <c r="D4022" s="3">
        <f>$B$3505*(A4022)+$B$3506*(A4022)^2/2-$B$3504*(A4022)^3/6-(N(D26)*MAX(0,(A4022)-N(E26))^2/2+N(F26)*MAX(0,(A4022)-N(G26))^2/2+N(H26)*MAX(0,(A4022)-N(I26))^2/2+N(J26)*MAX(0,(A4022)-N(K26))^2/2+N(L26)*MAX(0,(A4022)-N(M26))^2/2)+$B$3507</f>
        <v>-57.9427083333333</v>
      </c>
      <c r="E4022" s="3">
        <f>$B$3505*(C4022)+$B$3506*(C4022)^2/2-$B$3504*(C4022)^3/6-(N(D26)*MAX(0,(C4022)-N(E26))^2/2+N(F26)*MAX(0,(C4022)-N(G26))^2/2+N(H26)*MAX(0,(C4022)-N(I26))^2/2+N(J26)*MAX(0,(C4022)-N(K26))^2/2+N(L26)*MAX(0,(C4022)-N(M26))^2/2)+$B$3507</f>
        <v>-57.9427083333333</v>
      </c>
    </row>
    <row r="4023" spans="1:5" hidden="1">
      <c r="A4023" s="3">
        <f t="shared" si="35"/>
        <v>0</v>
      </c>
      <c r="B4023" s="3">
        <f t="shared" si="36"/>
        <v>0</v>
      </c>
      <c r="C4023" s="3">
        <f t="shared" si="34"/>
        <v>0</v>
      </c>
      <c r="D4023" s="3">
        <f>$B$3505*(A4023)+$B$3506*(A4023)^2/2-$B$3504*(A4023)^3/6-(N(D26)*MAX(0,(A4023)-N(E26))^2/2+N(F26)*MAX(0,(A4023)-N(G26))^2/2+N(H26)*MAX(0,(A4023)-N(I26))^2/2+N(J26)*MAX(0,(A4023)-N(K26))^2/2+N(L26)*MAX(0,(A4023)-N(M26))^2/2)+$B$3507</f>
        <v>-57.9427083333333</v>
      </c>
      <c r="E4023" s="3">
        <f>$B$3505*(C4023)+$B$3506*(C4023)^2/2-$B$3504*(C4023)^3/6-(N(D26)*MAX(0,(C4023)-N(E26))^2/2+N(F26)*MAX(0,(C4023)-N(G26))^2/2+N(H26)*MAX(0,(C4023)-N(I26))^2/2+N(J26)*MAX(0,(C4023)-N(K26))^2/2+N(L26)*MAX(0,(C4023)-N(M26))^2/2)+$B$3507</f>
        <v>-57.9427083333333</v>
      </c>
    </row>
    <row r="4024" spans="1:5" hidden="1">
      <c r="A4024" s="3">
        <f t="shared" si="35"/>
        <v>0</v>
      </c>
      <c r="B4024" s="3">
        <f t="shared" si="36"/>
        <v>0</v>
      </c>
      <c r="C4024" s="3">
        <f t="shared" si="34"/>
        <v>0</v>
      </c>
      <c r="D4024" s="3">
        <f>$B$3505*(A4024)+$B$3506*(A4024)^2/2-$B$3504*(A4024)^3/6-(N(D26)*MAX(0,(A4024)-N(E26))^2/2+N(F26)*MAX(0,(A4024)-N(G26))^2/2+N(H26)*MAX(0,(A4024)-N(I26))^2/2+N(J26)*MAX(0,(A4024)-N(K26))^2/2+N(L26)*MAX(0,(A4024)-N(M26))^2/2)+$B$3507</f>
        <v>-57.9427083333333</v>
      </c>
      <c r="E4024" s="3">
        <f>$B$3505*(C4024)+$B$3506*(C4024)^2/2-$B$3504*(C4024)^3/6-(N(D26)*MAX(0,(C4024)-N(E26))^2/2+N(F26)*MAX(0,(C4024)-N(G26))^2/2+N(H26)*MAX(0,(C4024)-N(I26))^2/2+N(J26)*MAX(0,(C4024)-N(K26))^2/2+N(L26)*MAX(0,(C4024)-N(M26))^2/2)+$B$3507</f>
        <v>-57.9427083333333</v>
      </c>
    </row>
    <row r="4025" spans="1:5" hidden="1">
      <c r="A4025" s="3">
        <f t="shared" si="35"/>
        <v>0</v>
      </c>
      <c r="B4025" s="3">
        <f t="shared" si="36"/>
        <v>0</v>
      </c>
      <c r="C4025" s="3">
        <f t="shared" si="34"/>
        <v>0</v>
      </c>
      <c r="D4025" s="3">
        <f>$B$3505*(A4025)+$B$3506*(A4025)^2/2-$B$3504*(A4025)^3/6-(N(D26)*MAX(0,(A4025)-N(E26))^2/2+N(F26)*MAX(0,(A4025)-N(G26))^2/2+N(H26)*MAX(0,(A4025)-N(I26))^2/2+N(J26)*MAX(0,(A4025)-N(K26))^2/2+N(L26)*MAX(0,(A4025)-N(M26))^2/2)+$B$3507</f>
        <v>-57.9427083333333</v>
      </c>
      <c r="E4025" s="3">
        <f>$B$3505*(C4025)+$B$3506*(C4025)^2/2-$B$3504*(C4025)^3/6-(N(D26)*MAX(0,(C4025)-N(E26))^2/2+N(F26)*MAX(0,(C4025)-N(G26))^2/2+N(H26)*MAX(0,(C4025)-N(I26))^2/2+N(J26)*MAX(0,(C4025)-N(K26))^2/2+N(L26)*MAX(0,(C4025)-N(M26))^2/2)+$B$3507</f>
        <v>-57.9427083333333</v>
      </c>
    </row>
    <row r="4026" spans="1:5" hidden="1">
      <c r="A4026" s="3">
        <f t="shared" si="35"/>
        <v>0</v>
      </c>
      <c r="B4026" s="3">
        <f t="shared" si="36"/>
        <v>0</v>
      </c>
      <c r="C4026" s="3">
        <f t="shared" si="34"/>
        <v>0</v>
      </c>
      <c r="D4026" s="3">
        <f>$B$3505*(A4026)+$B$3506*(A4026)^2/2-$B$3504*(A4026)^3/6-(N(D26)*MAX(0,(A4026)-N(E26))^2/2+N(F26)*MAX(0,(A4026)-N(G26))^2/2+N(H26)*MAX(0,(A4026)-N(I26))^2/2+N(J26)*MAX(0,(A4026)-N(K26))^2/2+N(L26)*MAX(0,(A4026)-N(M26))^2/2)+$B$3507</f>
        <v>-57.9427083333333</v>
      </c>
      <c r="E4026" s="3">
        <f>$B$3505*(C4026)+$B$3506*(C4026)^2/2-$B$3504*(C4026)^3/6-(N(D26)*MAX(0,(C4026)-N(E26))^2/2+N(F26)*MAX(0,(C4026)-N(G26))^2/2+N(H26)*MAX(0,(C4026)-N(I26))^2/2+N(J26)*MAX(0,(C4026)-N(K26))^2/2+N(L26)*MAX(0,(C4026)-N(M26))^2/2)+$B$3507</f>
        <v>-57.9427083333333</v>
      </c>
    </row>
    <row r="4027" spans="1:5" hidden="1">
      <c r="A4027" s="3">
        <f t="shared" si="35"/>
        <v>0</v>
      </c>
      <c r="B4027" s="3">
        <f t="shared" si="36"/>
        <v>0</v>
      </c>
      <c r="C4027" s="3">
        <f t="shared" si="34"/>
        <v>0</v>
      </c>
      <c r="D4027" s="3">
        <f>$B$3505*(A4027)+$B$3506*(A4027)^2/2-$B$3504*(A4027)^3/6-(N(D26)*MAX(0,(A4027)-N(E26))^2/2+N(F26)*MAX(0,(A4027)-N(G26))^2/2+N(H26)*MAX(0,(A4027)-N(I26))^2/2+N(J26)*MAX(0,(A4027)-N(K26))^2/2+N(L26)*MAX(0,(A4027)-N(M26))^2/2)+$B$3507</f>
        <v>-57.9427083333333</v>
      </c>
      <c r="E4027" s="3">
        <f>$B$3505*(C4027)+$B$3506*(C4027)^2/2-$B$3504*(C4027)^3/6-(N(D26)*MAX(0,(C4027)-N(E26))^2/2+N(F26)*MAX(0,(C4027)-N(G26))^2/2+N(H26)*MAX(0,(C4027)-N(I26))^2/2+N(J26)*MAX(0,(C4027)-N(K26))^2/2+N(L26)*MAX(0,(C4027)-N(M26))^2/2)+$B$3507</f>
        <v>-57.9427083333333</v>
      </c>
    </row>
    <row r="4028" spans="1:5" hidden="1">
      <c r="A4028" s="3">
        <f t="shared" si="35"/>
        <v>0</v>
      </c>
      <c r="B4028" s="3">
        <f t="shared" si="36"/>
        <v>0</v>
      </c>
      <c r="C4028" s="3">
        <f t="shared" si="34"/>
        <v>0</v>
      </c>
      <c r="D4028" s="3">
        <f>$B$3505*(A4028)+$B$3506*(A4028)^2/2-$B$3504*(A4028)^3/6-(N(D26)*MAX(0,(A4028)-N(E26))^2/2+N(F26)*MAX(0,(A4028)-N(G26))^2/2+N(H26)*MAX(0,(A4028)-N(I26))^2/2+N(J26)*MAX(0,(A4028)-N(K26))^2/2+N(L26)*MAX(0,(A4028)-N(M26))^2/2)+$B$3507</f>
        <v>-57.9427083333333</v>
      </c>
      <c r="E4028" s="3">
        <f>$B$3505*(C4028)+$B$3506*(C4028)^2/2-$B$3504*(C4028)^3/6-(N(D26)*MAX(0,(C4028)-N(E26))^2/2+N(F26)*MAX(0,(C4028)-N(G26))^2/2+N(H26)*MAX(0,(C4028)-N(I26))^2/2+N(J26)*MAX(0,(C4028)-N(K26))^2/2+N(L26)*MAX(0,(C4028)-N(M26))^2/2)+$B$3507</f>
        <v>-57.9427083333333</v>
      </c>
    </row>
    <row r="4029" spans="1:5" hidden="1">
      <c r="A4029" s="3">
        <f t="shared" si="35"/>
        <v>0</v>
      </c>
      <c r="B4029" s="3">
        <f t="shared" si="36"/>
        <v>0</v>
      </c>
      <c r="C4029" s="3">
        <f t="shared" si="34"/>
        <v>0</v>
      </c>
      <c r="D4029" s="3">
        <f>$B$3505*(A4029)+$B$3506*(A4029)^2/2-$B$3504*(A4029)^3/6-(N(D26)*MAX(0,(A4029)-N(E26))^2/2+N(F26)*MAX(0,(A4029)-N(G26))^2/2+N(H26)*MAX(0,(A4029)-N(I26))^2/2+N(J26)*MAX(0,(A4029)-N(K26))^2/2+N(L26)*MAX(0,(A4029)-N(M26))^2/2)+$B$3507</f>
        <v>-57.9427083333333</v>
      </c>
      <c r="E4029" s="3">
        <f>$B$3505*(C4029)+$B$3506*(C4029)^2/2-$B$3504*(C4029)^3/6-(N(D26)*MAX(0,(C4029)-N(E26))^2/2+N(F26)*MAX(0,(C4029)-N(G26))^2/2+N(H26)*MAX(0,(C4029)-N(I26))^2/2+N(J26)*MAX(0,(C4029)-N(K26))^2/2+N(L26)*MAX(0,(C4029)-N(M26))^2/2)+$B$3507</f>
        <v>-57.9427083333333</v>
      </c>
    </row>
    <row r="4030" spans="1:5" hidden="1">
      <c r="A4030" s="3">
        <f t="shared" si="35"/>
        <v>0</v>
      </c>
      <c r="B4030" s="3">
        <f t="shared" si="36"/>
        <v>0</v>
      </c>
      <c r="C4030" s="3">
        <f t="shared" si="34"/>
        <v>0</v>
      </c>
      <c r="D4030" s="3">
        <f>$B$3505*(A4030)+$B$3506*(A4030)^2/2-$B$3504*(A4030)^3/6-(N(D26)*MAX(0,(A4030)-N(E26))^2/2+N(F26)*MAX(0,(A4030)-N(G26))^2/2+N(H26)*MAX(0,(A4030)-N(I26))^2/2+N(J26)*MAX(0,(A4030)-N(K26))^2/2+N(L26)*MAX(0,(A4030)-N(M26))^2/2)+$B$3507</f>
        <v>-57.9427083333333</v>
      </c>
      <c r="E4030" s="3">
        <f>$B$3505*(C4030)+$B$3506*(C4030)^2/2-$B$3504*(C4030)^3/6-(N(D26)*MAX(0,(C4030)-N(E26))^2/2+N(F26)*MAX(0,(C4030)-N(G26))^2/2+N(H26)*MAX(0,(C4030)-N(I26))^2/2+N(J26)*MAX(0,(C4030)-N(K26))^2/2+N(L26)*MAX(0,(C4030)-N(M26))^2/2)+$B$3507</f>
        <v>-57.9427083333333</v>
      </c>
    </row>
    <row r="4031" spans="1:5" hidden="1">
      <c r="A4031" s="3">
        <f t="shared" si="35"/>
        <v>0</v>
      </c>
      <c r="B4031" s="3">
        <f t="shared" si="36"/>
        <v>0</v>
      </c>
      <c r="C4031" s="3">
        <f t="shared" si="34"/>
        <v>0</v>
      </c>
      <c r="D4031" s="3">
        <f>$B$3505*(A4031)+$B$3506*(A4031)^2/2-$B$3504*(A4031)^3/6-(N(D26)*MAX(0,(A4031)-N(E26))^2/2+N(F26)*MAX(0,(A4031)-N(G26))^2/2+N(H26)*MAX(0,(A4031)-N(I26))^2/2+N(J26)*MAX(0,(A4031)-N(K26))^2/2+N(L26)*MAX(0,(A4031)-N(M26))^2/2)+$B$3507</f>
        <v>-57.9427083333333</v>
      </c>
      <c r="E4031" s="3">
        <f>$B$3505*(C4031)+$B$3506*(C4031)^2/2-$B$3504*(C4031)^3/6-(N(D26)*MAX(0,(C4031)-N(E26))^2/2+N(F26)*MAX(0,(C4031)-N(G26))^2/2+N(H26)*MAX(0,(C4031)-N(I26))^2/2+N(J26)*MAX(0,(C4031)-N(K26))^2/2+N(L26)*MAX(0,(C4031)-N(M26))^2/2)+$B$3507</f>
        <v>-57.9427083333333</v>
      </c>
    </row>
    <row r="4032" spans="1:5" hidden="1">
      <c r="A4032" s="3">
        <f t="shared" si="35"/>
        <v>0</v>
      </c>
      <c r="B4032" s="3">
        <f t="shared" si="36"/>
        <v>0</v>
      </c>
      <c r="C4032" s="3">
        <f t="shared" si="34"/>
        <v>0</v>
      </c>
      <c r="D4032" s="3">
        <f>$B$3505*(A4032)+$B$3506*(A4032)^2/2-$B$3504*(A4032)^3/6-(N(D26)*MAX(0,(A4032)-N(E26))^2/2+N(F26)*MAX(0,(A4032)-N(G26))^2/2+N(H26)*MAX(0,(A4032)-N(I26))^2/2+N(J26)*MAX(0,(A4032)-N(K26))^2/2+N(L26)*MAX(0,(A4032)-N(M26))^2/2)+$B$3507</f>
        <v>-57.9427083333333</v>
      </c>
      <c r="E4032" s="3">
        <f>$B$3505*(C4032)+$B$3506*(C4032)^2/2-$B$3504*(C4032)^3/6-(N(D26)*MAX(0,(C4032)-N(E26))^2/2+N(F26)*MAX(0,(C4032)-N(G26))^2/2+N(H26)*MAX(0,(C4032)-N(I26))^2/2+N(J26)*MAX(0,(C4032)-N(K26))^2/2+N(L26)*MAX(0,(C4032)-N(M26))^2/2)+$B$3507</f>
        <v>-57.9427083333333</v>
      </c>
    </row>
    <row r="4033" spans="1:5" hidden="1">
      <c r="A4033" s="3">
        <f t="shared" si="35"/>
        <v>0</v>
      </c>
      <c r="B4033" s="3">
        <f t="shared" si="36"/>
        <v>0</v>
      </c>
      <c r="C4033" s="3">
        <f t="shared" si="34"/>
        <v>0</v>
      </c>
      <c r="D4033" s="3">
        <f>$B$3505*(A4033)+$B$3506*(A4033)^2/2-$B$3504*(A4033)^3/6-(N(D26)*MAX(0,(A4033)-N(E26))^2/2+N(F26)*MAX(0,(A4033)-N(G26))^2/2+N(H26)*MAX(0,(A4033)-N(I26))^2/2+N(J26)*MAX(0,(A4033)-N(K26))^2/2+N(L26)*MAX(0,(A4033)-N(M26))^2/2)+$B$3507</f>
        <v>-57.9427083333333</v>
      </c>
      <c r="E4033" s="3">
        <f>$B$3505*(C4033)+$B$3506*(C4033)^2/2-$B$3504*(C4033)^3/6-(N(D26)*MAX(0,(C4033)-N(E26))^2/2+N(F26)*MAX(0,(C4033)-N(G26))^2/2+N(H26)*MAX(0,(C4033)-N(I26))^2/2+N(J26)*MAX(0,(C4033)-N(K26))^2/2+N(L26)*MAX(0,(C4033)-N(M26))^2/2)+$B$3507</f>
        <v>-57.9427083333333</v>
      </c>
    </row>
    <row r="4034" spans="1:5" hidden="1">
      <c r="A4034" s="3">
        <f t="shared" si="35"/>
        <v>0</v>
      </c>
      <c r="B4034" s="3">
        <f t="shared" si="36"/>
        <v>0</v>
      </c>
      <c r="C4034" s="3">
        <f t="shared" si="34"/>
        <v>0</v>
      </c>
      <c r="D4034" s="3">
        <f>$B$3505*(A4034)+$B$3506*(A4034)^2/2-$B$3504*(A4034)^3/6-(N(D26)*MAX(0,(A4034)-N(E26))^2/2+N(F26)*MAX(0,(A4034)-N(G26))^2/2+N(H26)*MAX(0,(A4034)-N(I26))^2/2+N(J26)*MAX(0,(A4034)-N(K26))^2/2+N(L26)*MAX(0,(A4034)-N(M26))^2/2)+$B$3507</f>
        <v>-57.9427083333333</v>
      </c>
      <c r="E4034" s="3">
        <f>$B$3505*(C4034)+$B$3506*(C4034)^2/2-$B$3504*(C4034)^3/6-(N(D26)*MAX(0,(C4034)-N(E26))^2/2+N(F26)*MAX(0,(C4034)-N(G26))^2/2+N(H26)*MAX(0,(C4034)-N(I26))^2/2+N(J26)*MAX(0,(C4034)-N(K26))^2/2+N(L26)*MAX(0,(C4034)-N(M26))^2/2)+$B$3507</f>
        <v>-57.9427083333333</v>
      </c>
    </row>
    <row r="4035" spans="1:5" hidden="1">
      <c r="A4035" s="3">
        <f t="shared" si="35"/>
        <v>0</v>
      </c>
      <c r="B4035" s="3">
        <f t="shared" si="36"/>
        <v>0</v>
      </c>
      <c r="C4035" s="3">
        <f t="shared" si="34"/>
        <v>0</v>
      </c>
      <c r="D4035" s="3">
        <f>$B$3505*(A4035)+$B$3506*(A4035)^2/2-$B$3504*(A4035)^3/6-(N(D26)*MAX(0,(A4035)-N(E26))^2/2+N(F26)*MAX(0,(A4035)-N(G26))^2/2+N(H26)*MAX(0,(A4035)-N(I26))^2/2+N(J26)*MAX(0,(A4035)-N(K26))^2/2+N(L26)*MAX(0,(A4035)-N(M26))^2/2)+$B$3507</f>
        <v>-57.9427083333333</v>
      </c>
      <c r="E4035" s="3">
        <f>$B$3505*(C4035)+$B$3506*(C4035)^2/2-$B$3504*(C4035)^3/6-(N(D26)*MAX(0,(C4035)-N(E26))^2/2+N(F26)*MAX(0,(C4035)-N(G26))^2/2+N(H26)*MAX(0,(C4035)-N(I26))^2/2+N(J26)*MAX(0,(C4035)-N(K26))^2/2+N(L26)*MAX(0,(C4035)-N(M26))^2/2)+$B$3507</f>
        <v>-57.9427083333333</v>
      </c>
    </row>
    <row r="4036" spans="1:5" hidden="1">
      <c r="A4036" s="3">
        <f t="shared" si="35"/>
        <v>0</v>
      </c>
      <c r="B4036" s="3">
        <f t="shared" si="36"/>
        <v>0</v>
      </c>
      <c r="C4036" s="3">
        <f t="shared" si="34"/>
        <v>0</v>
      </c>
      <c r="D4036" s="3">
        <f>$B$3505*(A4036)+$B$3506*(A4036)^2/2-$B$3504*(A4036)^3/6-(N(D26)*MAX(0,(A4036)-N(E26))^2/2+N(F26)*MAX(0,(A4036)-N(G26))^2/2+N(H26)*MAX(0,(A4036)-N(I26))^2/2+N(J26)*MAX(0,(A4036)-N(K26))^2/2+N(L26)*MAX(0,(A4036)-N(M26))^2/2)+$B$3507</f>
        <v>-57.9427083333333</v>
      </c>
      <c r="E4036" s="3">
        <f>$B$3505*(C4036)+$B$3506*(C4036)^2/2-$B$3504*(C4036)^3/6-(N(D26)*MAX(0,(C4036)-N(E26))^2/2+N(F26)*MAX(0,(C4036)-N(G26))^2/2+N(H26)*MAX(0,(C4036)-N(I26))^2/2+N(J26)*MAX(0,(C4036)-N(K26))^2/2+N(L26)*MAX(0,(C4036)-N(M26))^2/2)+$B$3507</f>
        <v>-57.9427083333333</v>
      </c>
    </row>
    <row r="4037" spans="1:5" hidden="1">
      <c r="A4037" s="3">
        <f t="shared" si="35"/>
        <v>0</v>
      </c>
      <c r="B4037" s="3">
        <f t="shared" si="36"/>
        <v>0</v>
      </c>
      <c r="C4037" s="3">
        <f t="shared" si="34"/>
        <v>0</v>
      </c>
      <c r="D4037" s="3">
        <f>$B$3505*(A4037)+$B$3506*(A4037)^2/2-$B$3504*(A4037)^3/6-(N(D26)*MAX(0,(A4037)-N(E26))^2/2+N(F26)*MAX(0,(A4037)-N(G26))^2/2+N(H26)*MAX(0,(A4037)-N(I26))^2/2+N(J26)*MAX(0,(A4037)-N(K26))^2/2+N(L26)*MAX(0,(A4037)-N(M26))^2/2)+$B$3507</f>
        <v>-57.9427083333333</v>
      </c>
      <c r="E4037" s="3">
        <f>$B$3505*(C4037)+$B$3506*(C4037)^2/2-$B$3504*(C4037)^3/6-(N(D26)*MAX(0,(C4037)-N(E26))^2/2+N(F26)*MAX(0,(C4037)-N(G26))^2/2+N(H26)*MAX(0,(C4037)-N(I26))^2/2+N(J26)*MAX(0,(C4037)-N(K26))^2/2+N(L26)*MAX(0,(C4037)-N(M26))^2/2)+$B$3507</f>
        <v>-57.9427083333333</v>
      </c>
    </row>
    <row r="4038" spans="1:5" hidden="1">
      <c r="A4038" s="3">
        <f t="shared" si="35"/>
        <v>0</v>
      </c>
      <c r="B4038" s="3">
        <f t="shared" si="36"/>
        <v>0</v>
      </c>
      <c r="C4038" s="3">
        <f t="shared" si="34"/>
        <v>0</v>
      </c>
      <c r="D4038" s="3">
        <f>$B$3505*(A4038)+$B$3506*(A4038)^2/2-$B$3504*(A4038)^3/6-(N(D26)*MAX(0,(A4038)-N(E26))^2/2+N(F26)*MAX(0,(A4038)-N(G26))^2/2+N(H26)*MAX(0,(A4038)-N(I26))^2/2+N(J26)*MAX(0,(A4038)-N(K26))^2/2+N(L26)*MAX(0,(A4038)-N(M26))^2/2)+$B$3507</f>
        <v>-57.9427083333333</v>
      </c>
      <c r="E4038" s="3">
        <f>$B$3505*(C4038)+$B$3506*(C4038)^2/2-$B$3504*(C4038)^3/6-(N(D26)*MAX(0,(C4038)-N(E26))^2/2+N(F26)*MAX(0,(C4038)-N(G26))^2/2+N(H26)*MAX(0,(C4038)-N(I26))^2/2+N(J26)*MAX(0,(C4038)-N(K26))^2/2+N(L26)*MAX(0,(C4038)-N(M26))^2/2)+$B$3507</f>
        <v>-57.9427083333333</v>
      </c>
    </row>
    <row r="4039" spans="1:5" hidden="1">
      <c r="A4039" s="3">
        <f t="shared" si="35"/>
        <v>0</v>
      </c>
      <c r="B4039" s="3">
        <f t="shared" si="36"/>
        <v>0</v>
      </c>
      <c r="C4039" s="3">
        <f t="shared" si="34"/>
        <v>0</v>
      </c>
      <c r="D4039" s="3">
        <f>$B$3505*(A4039)+$B$3506*(A4039)^2/2-$B$3504*(A4039)^3/6-(N(D26)*MAX(0,(A4039)-N(E26))^2/2+N(F26)*MAX(0,(A4039)-N(G26))^2/2+N(H26)*MAX(0,(A4039)-N(I26))^2/2+N(J26)*MAX(0,(A4039)-N(K26))^2/2+N(L26)*MAX(0,(A4039)-N(M26))^2/2)+$B$3507</f>
        <v>-57.9427083333333</v>
      </c>
      <c r="E4039" s="3">
        <f>$B$3505*(C4039)+$B$3506*(C4039)^2/2-$B$3504*(C4039)^3/6-(N(D26)*MAX(0,(C4039)-N(E26))^2/2+N(F26)*MAX(0,(C4039)-N(G26))^2/2+N(H26)*MAX(0,(C4039)-N(I26))^2/2+N(J26)*MAX(0,(C4039)-N(K26))^2/2+N(L26)*MAX(0,(C4039)-N(M26))^2/2)+$B$3507</f>
        <v>-57.9427083333333</v>
      </c>
    </row>
    <row r="4040" spans="1:5" hidden="1">
      <c r="A4040" s="3">
        <f t="shared" si="35"/>
        <v>0</v>
      </c>
      <c r="B4040" s="3">
        <f t="shared" si="36"/>
        <v>0</v>
      </c>
      <c r="C4040" s="3">
        <f t="shared" si="34"/>
        <v>0</v>
      </c>
      <c r="D4040" s="3">
        <f>$B$3505*(A4040)+$B$3506*(A4040)^2/2-$B$3504*(A4040)^3/6-(N(D26)*MAX(0,(A4040)-N(E26))^2/2+N(F26)*MAX(0,(A4040)-N(G26))^2/2+N(H26)*MAX(0,(A4040)-N(I26))^2/2+N(J26)*MAX(0,(A4040)-N(K26))^2/2+N(L26)*MAX(0,(A4040)-N(M26))^2/2)+$B$3507</f>
        <v>-57.9427083333333</v>
      </c>
      <c r="E4040" s="3">
        <f>$B$3505*(C4040)+$B$3506*(C4040)^2/2-$B$3504*(C4040)^3/6-(N(D26)*MAX(0,(C4040)-N(E26))^2/2+N(F26)*MAX(0,(C4040)-N(G26))^2/2+N(H26)*MAX(0,(C4040)-N(I26))^2/2+N(J26)*MAX(0,(C4040)-N(K26))^2/2+N(L26)*MAX(0,(C4040)-N(M26))^2/2)+$B$3507</f>
        <v>-57.9427083333333</v>
      </c>
    </row>
    <row r="4041" spans="1:5" hidden="1">
      <c r="A4041" s="3">
        <f t="shared" si="35"/>
        <v>0</v>
      </c>
      <c r="B4041" s="3">
        <f t="shared" si="36"/>
        <v>0</v>
      </c>
      <c r="C4041" s="3">
        <f t="shared" si="34"/>
        <v>0</v>
      </c>
      <c r="D4041" s="3">
        <f>$B$3505*(A4041)+$B$3506*(A4041)^2/2-$B$3504*(A4041)^3/6-(N(D26)*MAX(0,(A4041)-N(E26))^2/2+N(F26)*MAX(0,(A4041)-N(G26))^2/2+N(H26)*MAX(0,(A4041)-N(I26))^2/2+N(J26)*MAX(0,(A4041)-N(K26))^2/2+N(L26)*MAX(0,(A4041)-N(M26))^2/2)+$B$3507</f>
        <v>-57.9427083333333</v>
      </c>
      <c r="E4041" s="3">
        <f>$B$3505*(C4041)+$B$3506*(C4041)^2/2-$B$3504*(C4041)^3/6-(N(D26)*MAX(0,(C4041)-N(E26))^2/2+N(F26)*MAX(0,(C4041)-N(G26))^2/2+N(H26)*MAX(0,(C4041)-N(I26))^2/2+N(J26)*MAX(0,(C4041)-N(K26))^2/2+N(L26)*MAX(0,(C4041)-N(M26))^2/2)+$B$3507</f>
        <v>-57.9427083333333</v>
      </c>
    </row>
    <row r="4042" spans="1:5" hidden="1">
      <c r="A4042" s="3">
        <f t="shared" si="35"/>
        <v>0</v>
      </c>
      <c r="B4042" s="3">
        <f t="shared" si="36"/>
        <v>0</v>
      </c>
      <c r="C4042" s="3">
        <f t="shared" si="34"/>
        <v>0</v>
      </c>
      <c r="D4042" s="3">
        <f>$B$3505*(A4042)+$B$3506*(A4042)^2/2-$B$3504*(A4042)^3/6-(N(D26)*MAX(0,(A4042)-N(E26))^2/2+N(F26)*MAX(0,(A4042)-N(G26))^2/2+N(H26)*MAX(0,(A4042)-N(I26))^2/2+N(J26)*MAX(0,(A4042)-N(K26))^2/2+N(L26)*MAX(0,(A4042)-N(M26))^2/2)+$B$3507</f>
        <v>-57.9427083333333</v>
      </c>
      <c r="E4042" s="3">
        <f>$B$3505*(C4042)+$B$3506*(C4042)^2/2-$B$3504*(C4042)^3/6-(N(D26)*MAX(0,(C4042)-N(E26))^2/2+N(F26)*MAX(0,(C4042)-N(G26))^2/2+N(H26)*MAX(0,(C4042)-N(I26))^2/2+N(J26)*MAX(0,(C4042)-N(K26))^2/2+N(L26)*MAX(0,(C4042)-N(M26))^2/2)+$B$3507</f>
        <v>-57.9427083333333</v>
      </c>
    </row>
    <row r="4043" spans="1:5" hidden="1">
      <c r="A4043" s="3">
        <f t="shared" si="35"/>
        <v>0</v>
      </c>
      <c r="B4043" s="3">
        <f t="shared" si="36"/>
        <v>0</v>
      </c>
      <c r="C4043" s="3">
        <f t="shared" si="34"/>
        <v>0</v>
      </c>
      <c r="D4043" s="3">
        <f>$B$3505*(A4043)+$B$3506*(A4043)^2/2-$B$3504*(A4043)^3/6-(N(D26)*MAX(0,(A4043)-N(E26))^2/2+N(F26)*MAX(0,(A4043)-N(G26))^2/2+N(H26)*MAX(0,(A4043)-N(I26))^2/2+N(J26)*MAX(0,(A4043)-N(K26))^2/2+N(L26)*MAX(0,(A4043)-N(M26))^2/2)+$B$3507</f>
        <v>-57.9427083333333</v>
      </c>
      <c r="E4043" s="3">
        <f>$B$3505*(C4043)+$B$3506*(C4043)^2/2-$B$3504*(C4043)^3/6-(N(D26)*MAX(0,(C4043)-N(E26))^2/2+N(F26)*MAX(0,(C4043)-N(G26))^2/2+N(H26)*MAX(0,(C4043)-N(I26))^2/2+N(J26)*MAX(0,(C4043)-N(K26))^2/2+N(L26)*MAX(0,(C4043)-N(M26))^2/2)+$B$3507</f>
        <v>-57.9427083333333</v>
      </c>
    </row>
    <row r="4044" spans="1:5" hidden="1">
      <c r="A4044" s="3">
        <f t="shared" si="35"/>
        <v>0</v>
      </c>
      <c r="B4044" s="3">
        <f t="shared" si="36"/>
        <v>0</v>
      </c>
      <c r="C4044" s="3">
        <f t="shared" si="34"/>
        <v>0</v>
      </c>
      <c r="D4044" s="3">
        <f>$B$3505*(A4044)+$B$3506*(A4044)^2/2-$B$3504*(A4044)^3/6-(N(D26)*MAX(0,(A4044)-N(E26))^2/2+N(F26)*MAX(0,(A4044)-N(G26))^2/2+N(H26)*MAX(0,(A4044)-N(I26))^2/2+N(J26)*MAX(0,(A4044)-N(K26))^2/2+N(L26)*MAX(0,(A4044)-N(M26))^2/2)+$B$3507</f>
        <v>-57.9427083333333</v>
      </c>
      <c r="E4044" s="3">
        <f>$B$3505*(C4044)+$B$3506*(C4044)^2/2-$B$3504*(C4044)^3/6-(N(D26)*MAX(0,(C4044)-N(E26))^2/2+N(F26)*MAX(0,(C4044)-N(G26))^2/2+N(H26)*MAX(0,(C4044)-N(I26))^2/2+N(J26)*MAX(0,(C4044)-N(K26))^2/2+N(L26)*MAX(0,(C4044)-N(M26))^2/2)+$B$3507</f>
        <v>-57.9427083333333</v>
      </c>
    </row>
    <row r="4045" spans="1:5" hidden="1">
      <c r="A4045" s="3">
        <f t="shared" si="35"/>
        <v>0</v>
      </c>
      <c r="B4045" s="3">
        <f t="shared" si="36"/>
        <v>0</v>
      </c>
      <c r="C4045" s="3">
        <f t="shared" si="34"/>
        <v>0</v>
      </c>
      <c r="D4045" s="3">
        <f>$B$3505*(A4045)+$B$3506*(A4045)^2/2-$B$3504*(A4045)^3/6-(N(D26)*MAX(0,(A4045)-N(E26))^2/2+N(F26)*MAX(0,(A4045)-N(G26))^2/2+N(H26)*MAX(0,(A4045)-N(I26))^2/2+N(J26)*MAX(0,(A4045)-N(K26))^2/2+N(L26)*MAX(0,(A4045)-N(M26))^2/2)+$B$3507</f>
        <v>-57.9427083333333</v>
      </c>
      <c r="E4045" s="3">
        <f>$B$3505*(C4045)+$B$3506*(C4045)^2/2-$B$3504*(C4045)^3/6-(N(D26)*MAX(0,(C4045)-N(E26))^2/2+N(F26)*MAX(0,(C4045)-N(G26))^2/2+N(H26)*MAX(0,(C4045)-N(I26))^2/2+N(J26)*MAX(0,(C4045)-N(K26))^2/2+N(L26)*MAX(0,(C4045)-N(M26))^2/2)+$B$3507</f>
        <v>-57.9427083333333</v>
      </c>
    </row>
    <row r="4046" spans="1:5" hidden="1">
      <c r="A4046" s="3">
        <f t="shared" si="35"/>
        <v>0</v>
      </c>
      <c r="B4046" s="3">
        <f t="shared" si="36"/>
        <v>0</v>
      </c>
      <c r="C4046" s="3">
        <f t="shared" si="34"/>
        <v>0</v>
      </c>
      <c r="D4046" s="3">
        <f>$B$3505*(A4046)+$B$3506*(A4046)^2/2-$B$3504*(A4046)^3/6-(N(D26)*MAX(0,(A4046)-N(E26))^2/2+N(F26)*MAX(0,(A4046)-N(G26))^2/2+N(H26)*MAX(0,(A4046)-N(I26))^2/2+N(J26)*MAX(0,(A4046)-N(K26))^2/2+N(L26)*MAX(0,(A4046)-N(M26))^2/2)+$B$3507</f>
        <v>-57.9427083333333</v>
      </c>
      <c r="E4046" s="3">
        <f>$B$3505*(C4046)+$B$3506*(C4046)^2/2-$B$3504*(C4046)^3/6-(N(D26)*MAX(0,(C4046)-N(E26))^2/2+N(F26)*MAX(0,(C4046)-N(G26))^2/2+N(H26)*MAX(0,(C4046)-N(I26))^2/2+N(J26)*MAX(0,(C4046)-N(K26))^2/2+N(L26)*MAX(0,(C4046)-N(M26))^2/2)+$B$3507</f>
        <v>-57.9427083333333</v>
      </c>
    </row>
    <row r="4047" spans="1:5" hidden="1">
      <c r="A4047" s="3">
        <f t="shared" si="35"/>
        <v>0</v>
      </c>
      <c r="B4047" s="3">
        <f t="shared" si="36"/>
        <v>0</v>
      </c>
      <c r="C4047" s="3">
        <f t="shared" si="34"/>
        <v>0</v>
      </c>
      <c r="D4047" s="3">
        <f>$B$3505*(A4047)+$B$3506*(A4047)^2/2-$B$3504*(A4047)^3/6-(N(D26)*MAX(0,(A4047)-N(E26))^2/2+N(F26)*MAX(0,(A4047)-N(G26))^2/2+N(H26)*MAX(0,(A4047)-N(I26))^2/2+N(J26)*MAX(0,(A4047)-N(K26))^2/2+N(L26)*MAX(0,(A4047)-N(M26))^2/2)+$B$3507</f>
        <v>-57.9427083333333</v>
      </c>
      <c r="E4047" s="3">
        <f>$B$3505*(C4047)+$B$3506*(C4047)^2/2-$B$3504*(C4047)^3/6-(N(D26)*MAX(0,(C4047)-N(E26))^2/2+N(F26)*MAX(0,(C4047)-N(G26))^2/2+N(H26)*MAX(0,(C4047)-N(I26))^2/2+N(J26)*MAX(0,(C4047)-N(K26))^2/2+N(L26)*MAX(0,(C4047)-N(M26))^2/2)+$B$3507</f>
        <v>-57.9427083333333</v>
      </c>
    </row>
    <row r="4048" spans="1:5" hidden="1">
      <c r="A4048" s="3">
        <f t="shared" si="35"/>
        <v>0</v>
      </c>
      <c r="B4048" s="3">
        <f t="shared" si="36"/>
        <v>0</v>
      </c>
      <c r="C4048" s="3">
        <f t="shared" si="34"/>
        <v>0</v>
      </c>
      <c r="D4048" s="3">
        <f>$B$3505*(A4048)+$B$3506*(A4048)^2/2-$B$3504*(A4048)^3/6-(N(D26)*MAX(0,(A4048)-N(E26))^2/2+N(F26)*MAX(0,(A4048)-N(G26))^2/2+N(H26)*MAX(0,(A4048)-N(I26))^2/2+N(J26)*MAX(0,(A4048)-N(K26))^2/2+N(L26)*MAX(0,(A4048)-N(M26))^2/2)+$B$3507</f>
        <v>-57.9427083333333</v>
      </c>
      <c r="E4048" s="3">
        <f>$B$3505*(C4048)+$B$3506*(C4048)^2/2-$B$3504*(C4048)^3/6-(N(D26)*MAX(0,(C4048)-N(E26))^2/2+N(F26)*MAX(0,(C4048)-N(G26))^2/2+N(H26)*MAX(0,(C4048)-N(I26))^2/2+N(J26)*MAX(0,(C4048)-N(K26))^2/2+N(L26)*MAX(0,(C4048)-N(M26))^2/2)+$B$3507</f>
        <v>-57.9427083333333</v>
      </c>
    </row>
    <row r="4049" spans="1:5" hidden="1">
      <c r="A4049" s="3">
        <f t="shared" si="35"/>
        <v>0</v>
      </c>
      <c r="B4049" s="3">
        <f t="shared" si="36"/>
        <v>0</v>
      </c>
      <c r="C4049" s="3">
        <f t="shared" si="34"/>
        <v>0</v>
      </c>
      <c r="D4049" s="3">
        <f>$B$3505*(A4049)+$B$3506*(A4049)^2/2-$B$3504*(A4049)^3/6-(N(D26)*MAX(0,(A4049)-N(E26))^2/2+N(F26)*MAX(0,(A4049)-N(G26))^2/2+N(H26)*MAX(0,(A4049)-N(I26))^2/2+N(J26)*MAX(0,(A4049)-N(K26))^2/2+N(L26)*MAX(0,(A4049)-N(M26))^2/2)+$B$3507</f>
        <v>-57.9427083333333</v>
      </c>
      <c r="E4049" s="3">
        <f>$B$3505*(C4049)+$B$3506*(C4049)^2/2-$B$3504*(C4049)^3/6-(N(D26)*MAX(0,(C4049)-N(E26))^2/2+N(F26)*MAX(0,(C4049)-N(G26))^2/2+N(H26)*MAX(0,(C4049)-N(I26))^2/2+N(J26)*MAX(0,(C4049)-N(K26))^2/2+N(L26)*MAX(0,(C4049)-N(M26))^2/2)+$B$3507</f>
        <v>-57.9427083333333</v>
      </c>
    </row>
    <row r="4050" spans="1:5" hidden="1">
      <c r="A4050" s="3">
        <f t="shared" si="35"/>
        <v>0</v>
      </c>
      <c r="B4050" s="3">
        <f t="shared" si="36"/>
        <v>0</v>
      </c>
      <c r="C4050" s="3">
        <f t="shared" si="34"/>
        <v>0</v>
      </c>
      <c r="D4050" s="3">
        <f>$B$3505*(A4050)+$B$3506*(A4050)^2/2-$B$3504*(A4050)^3/6-(N(D26)*MAX(0,(A4050)-N(E26))^2/2+N(F26)*MAX(0,(A4050)-N(G26))^2/2+N(H26)*MAX(0,(A4050)-N(I26))^2/2+N(J26)*MAX(0,(A4050)-N(K26))^2/2+N(L26)*MAX(0,(A4050)-N(M26))^2/2)+$B$3507</f>
        <v>-57.9427083333333</v>
      </c>
      <c r="E4050" s="3">
        <f>$B$3505*(C4050)+$B$3506*(C4050)^2/2-$B$3504*(C4050)^3/6-(N(D26)*MAX(0,(C4050)-N(E26))^2/2+N(F26)*MAX(0,(C4050)-N(G26))^2/2+N(H26)*MAX(0,(C4050)-N(I26))^2/2+N(J26)*MAX(0,(C4050)-N(K26))^2/2+N(L26)*MAX(0,(C4050)-N(M26))^2/2)+$B$3507</f>
        <v>-57.9427083333333</v>
      </c>
    </row>
    <row r="4051" spans="1:5" hidden="1">
      <c r="A4051" s="3">
        <f t="shared" si="35"/>
        <v>0</v>
      </c>
      <c r="B4051" s="3">
        <f t="shared" si="36"/>
        <v>0</v>
      </c>
      <c r="C4051" s="3">
        <f t="shared" si="34"/>
        <v>0</v>
      </c>
      <c r="D4051" s="3">
        <f>$B$3505*(A4051)+$B$3506*(A4051)^2/2-$B$3504*(A4051)^3/6-(N(D26)*MAX(0,(A4051)-N(E26))^2/2+N(F26)*MAX(0,(A4051)-N(G26))^2/2+N(H26)*MAX(0,(A4051)-N(I26))^2/2+N(J26)*MAX(0,(A4051)-N(K26))^2/2+N(L26)*MAX(0,(A4051)-N(M26))^2/2)+$B$3507</f>
        <v>-57.9427083333333</v>
      </c>
      <c r="E4051" s="3">
        <f>$B$3505*(C4051)+$B$3506*(C4051)^2/2-$B$3504*(C4051)^3/6-(N(D26)*MAX(0,(C4051)-N(E26))^2/2+N(F26)*MAX(0,(C4051)-N(G26))^2/2+N(H26)*MAX(0,(C4051)-N(I26))^2/2+N(J26)*MAX(0,(C4051)-N(K26))^2/2+N(L26)*MAX(0,(C4051)-N(M26))^2/2)+$B$3507</f>
        <v>-57.9427083333333</v>
      </c>
    </row>
    <row r="4052" spans="1:5" hidden="1">
      <c r="A4052" s="3">
        <f t="shared" si="35"/>
        <v>0</v>
      </c>
      <c r="B4052" s="3">
        <f t="shared" si="36"/>
        <v>0</v>
      </c>
      <c r="C4052" s="3">
        <f t="shared" si="34"/>
        <v>0</v>
      </c>
      <c r="D4052" s="3">
        <f>$B$3505*(A4052)+$B$3506*(A4052)^2/2-$B$3504*(A4052)^3/6-(N(D26)*MAX(0,(A4052)-N(E26))^2/2+N(F26)*MAX(0,(A4052)-N(G26))^2/2+N(H26)*MAX(0,(A4052)-N(I26))^2/2+N(J26)*MAX(0,(A4052)-N(K26))^2/2+N(L26)*MAX(0,(A4052)-N(M26))^2/2)+$B$3507</f>
        <v>-57.9427083333333</v>
      </c>
      <c r="E4052" s="3">
        <f>$B$3505*(C4052)+$B$3506*(C4052)^2/2-$B$3504*(C4052)^3/6-(N(D26)*MAX(0,(C4052)-N(E26))^2/2+N(F26)*MAX(0,(C4052)-N(G26))^2/2+N(H26)*MAX(0,(C4052)-N(I26))^2/2+N(J26)*MAX(0,(C4052)-N(K26))^2/2+N(L26)*MAX(0,(C4052)-N(M26))^2/2)+$B$3507</f>
        <v>-57.9427083333333</v>
      </c>
    </row>
    <row r="4053" spans="1:5" hidden="1">
      <c r="A4053" s="3">
        <f t="shared" si="35"/>
        <v>0</v>
      </c>
      <c r="B4053" s="3">
        <f t="shared" si="36"/>
        <v>0</v>
      </c>
      <c r="C4053" s="3">
        <f t="shared" si="34"/>
        <v>0</v>
      </c>
      <c r="D4053" s="3">
        <f>$B$3505*(A4053)+$B$3506*(A4053)^2/2-$B$3504*(A4053)^3/6-(N(D26)*MAX(0,(A4053)-N(E26))^2/2+N(F26)*MAX(0,(A4053)-N(G26))^2/2+N(H26)*MAX(0,(A4053)-N(I26))^2/2+N(J26)*MAX(0,(A4053)-N(K26))^2/2+N(L26)*MAX(0,(A4053)-N(M26))^2/2)+$B$3507</f>
        <v>-57.9427083333333</v>
      </c>
      <c r="E4053" s="3">
        <f>$B$3505*(C4053)+$B$3506*(C4053)^2/2-$B$3504*(C4053)^3/6-(N(D26)*MAX(0,(C4053)-N(E26))^2/2+N(F26)*MAX(0,(C4053)-N(G26))^2/2+N(H26)*MAX(0,(C4053)-N(I26))^2/2+N(J26)*MAX(0,(C4053)-N(K26))^2/2+N(L26)*MAX(0,(C4053)-N(M26))^2/2)+$B$3507</f>
        <v>-57.9427083333333</v>
      </c>
    </row>
    <row r="4054" spans="1:5" hidden="1">
      <c r="A4054" s="3">
        <f t="shared" si="35"/>
        <v>0</v>
      </c>
      <c r="B4054" s="3">
        <f t="shared" si="36"/>
        <v>0</v>
      </c>
      <c r="C4054" s="3">
        <f t="shared" si="34"/>
        <v>0</v>
      </c>
      <c r="D4054" s="3">
        <f>$B$3505*(A4054)+$B$3506*(A4054)^2/2-$B$3504*(A4054)^3/6-(N(D26)*MAX(0,(A4054)-N(E26))^2/2+N(F26)*MAX(0,(A4054)-N(G26))^2/2+N(H26)*MAX(0,(A4054)-N(I26))^2/2+N(J26)*MAX(0,(A4054)-N(K26))^2/2+N(L26)*MAX(0,(A4054)-N(M26))^2/2)+$B$3507</f>
        <v>-57.9427083333333</v>
      </c>
      <c r="E4054" s="3">
        <f>$B$3505*(C4054)+$B$3506*(C4054)^2/2-$B$3504*(C4054)^3/6-(N(D26)*MAX(0,(C4054)-N(E26))^2/2+N(F26)*MAX(0,(C4054)-N(G26))^2/2+N(H26)*MAX(0,(C4054)-N(I26))^2/2+N(J26)*MAX(0,(C4054)-N(K26))^2/2+N(L26)*MAX(0,(C4054)-N(M26))^2/2)+$B$3507</f>
        <v>-57.9427083333333</v>
      </c>
    </row>
    <row r="4055" spans="1:5" hidden="1">
      <c r="A4055" s="3">
        <f t="shared" si="35"/>
        <v>0</v>
      </c>
      <c r="B4055" s="3">
        <f t="shared" si="36"/>
        <v>0</v>
      </c>
      <c r="C4055" s="3">
        <f t="shared" si="34"/>
        <v>0</v>
      </c>
      <c r="D4055" s="3">
        <f>$B$3505*(A4055)+$B$3506*(A4055)^2/2-$B$3504*(A4055)^3/6-(N(D26)*MAX(0,(A4055)-N(E26))^2/2+N(F26)*MAX(0,(A4055)-N(G26))^2/2+N(H26)*MAX(0,(A4055)-N(I26))^2/2+N(J26)*MAX(0,(A4055)-N(K26))^2/2+N(L26)*MAX(0,(A4055)-N(M26))^2/2)+$B$3507</f>
        <v>-57.9427083333333</v>
      </c>
      <c r="E4055" s="3">
        <f>$B$3505*(C4055)+$B$3506*(C4055)^2/2-$B$3504*(C4055)^3/6-(N(D26)*MAX(0,(C4055)-N(E26))^2/2+N(F26)*MAX(0,(C4055)-N(G26))^2/2+N(H26)*MAX(0,(C4055)-N(I26))^2/2+N(J26)*MAX(0,(C4055)-N(K26))^2/2+N(L26)*MAX(0,(C4055)-N(M26))^2/2)+$B$3507</f>
        <v>-57.9427083333333</v>
      </c>
    </row>
    <row r="4056" spans="1:5" hidden="1">
      <c r="A4056" s="3">
        <f t="shared" si="35"/>
        <v>0</v>
      </c>
      <c r="B4056" s="3">
        <f t="shared" si="36"/>
        <v>0</v>
      </c>
      <c r="C4056" s="3">
        <f t="shared" si="34"/>
        <v>0</v>
      </c>
      <c r="D4056" s="3">
        <f>$B$3505*(A4056)+$B$3506*(A4056)^2/2-$B$3504*(A4056)^3/6-(N(D26)*MAX(0,(A4056)-N(E26))^2/2+N(F26)*MAX(0,(A4056)-N(G26))^2/2+N(H26)*MAX(0,(A4056)-N(I26))^2/2+N(J26)*MAX(0,(A4056)-N(K26))^2/2+N(L26)*MAX(0,(A4056)-N(M26))^2/2)+$B$3507</f>
        <v>-57.9427083333333</v>
      </c>
      <c r="E4056" s="3">
        <f>$B$3505*(C4056)+$B$3506*(C4056)^2/2-$B$3504*(C4056)^3/6-(N(D26)*MAX(0,(C4056)-N(E26))^2/2+N(F26)*MAX(0,(C4056)-N(G26))^2/2+N(H26)*MAX(0,(C4056)-N(I26))^2/2+N(J26)*MAX(0,(C4056)-N(K26))^2/2+N(L26)*MAX(0,(C4056)-N(M26))^2/2)+$B$3507</f>
        <v>-57.9427083333333</v>
      </c>
    </row>
    <row r="4057" spans="1:5" hidden="1">
      <c r="A4057" s="3">
        <f t="shared" si="35"/>
        <v>0</v>
      </c>
      <c r="B4057" s="3">
        <f t="shared" si="36"/>
        <v>0</v>
      </c>
      <c r="C4057" s="3">
        <f t="shared" si="34"/>
        <v>0</v>
      </c>
      <c r="D4057" s="3">
        <f>$B$3505*(A4057)+$B$3506*(A4057)^2/2-$B$3504*(A4057)^3/6-(N(D26)*MAX(0,(A4057)-N(E26))^2/2+N(F26)*MAX(0,(A4057)-N(G26))^2/2+N(H26)*MAX(0,(A4057)-N(I26))^2/2+N(J26)*MAX(0,(A4057)-N(K26))^2/2+N(L26)*MAX(0,(A4057)-N(M26))^2/2)+$B$3507</f>
        <v>-57.9427083333333</v>
      </c>
      <c r="E4057" s="3">
        <f>$B$3505*(C4057)+$B$3506*(C4057)^2/2-$B$3504*(C4057)^3/6-(N(D26)*MAX(0,(C4057)-N(E26))^2/2+N(F26)*MAX(0,(C4057)-N(G26))^2/2+N(H26)*MAX(0,(C4057)-N(I26))^2/2+N(J26)*MAX(0,(C4057)-N(K26))^2/2+N(L26)*MAX(0,(C4057)-N(M26))^2/2)+$B$3507</f>
        <v>-57.9427083333333</v>
      </c>
    </row>
    <row r="4058" spans="1:5" hidden="1">
      <c r="A4058" s="3">
        <f t="shared" si="35"/>
        <v>0</v>
      </c>
      <c r="B4058" s="3">
        <f t="shared" si="36"/>
        <v>0</v>
      </c>
      <c r="C4058" s="3">
        <f t="shared" si="34"/>
        <v>0</v>
      </c>
      <c r="D4058" s="3">
        <f>$B$3505*(A4058)+$B$3506*(A4058)^2/2-$B$3504*(A4058)^3/6-(N(D26)*MAX(0,(A4058)-N(E26))^2/2+N(F26)*MAX(0,(A4058)-N(G26))^2/2+N(H26)*MAX(0,(A4058)-N(I26))^2/2+N(J26)*MAX(0,(A4058)-N(K26))^2/2+N(L26)*MAX(0,(A4058)-N(M26))^2/2)+$B$3507</f>
        <v>-57.9427083333333</v>
      </c>
      <c r="E4058" s="3">
        <f>$B$3505*(C4058)+$B$3506*(C4058)^2/2-$B$3504*(C4058)^3/6-(N(D26)*MAX(0,(C4058)-N(E26))^2/2+N(F26)*MAX(0,(C4058)-N(G26))^2/2+N(H26)*MAX(0,(C4058)-N(I26))^2/2+N(J26)*MAX(0,(C4058)-N(K26))^2/2+N(L26)*MAX(0,(C4058)-N(M26))^2/2)+$B$3507</f>
        <v>-57.9427083333333</v>
      </c>
    </row>
    <row r="4059" spans="1:5" hidden="1">
      <c r="A4059" s="3">
        <f t="shared" si="35"/>
        <v>0</v>
      </c>
      <c r="B4059" s="3">
        <f t="shared" si="36"/>
        <v>0</v>
      </c>
      <c r="C4059" s="3">
        <f t="shared" si="34"/>
        <v>0</v>
      </c>
      <c r="D4059" s="3">
        <f>$B$3505*(A4059)+$B$3506*(A4059)^2/2-$B$3504*(A4059)^3/6-(N(D26)*MAX(0,(A4059)-N(E26))^2/2+N(F26)*MAX(0,(A4059)-N(G26))^2/2+N(H26)*MAX(0,(A4059)-N(I26))^2/2+N(J26)*MAX(0,(A4059)-N(K26))^2/2+N(L26)*MAX(0,(A4059)-N(M26))^2/2)+$B$3507</f>
        <v>-57.9427083333333</v>
      </c>
      <c r="E4059" s="3">
        <f>$B$3505*(C4059)+$B$3506*(C4059)^2/2-$B$3504*(C4059)^3/6-(N(D26)*MAX(0,(C4059)-N(E26))^2/2+N(F26)*MAX(0,(C4059)-N(G26))^2/2+N(H26)*MAX(0,(C4059)-N(I26))^2/2+N(J26)*MAX(0,(C4059)-N(K26))^2/2+N(L26)*MAX(0,(C4059)-N(M26))^2/2)+$B$3507</f>
        <v>-57.9427083333333</v>
      </c>
    </row>
    <row r="4060" spans="1:5" hidden="1"/>
    <row r="4061" spans="1:5" hidden="1">
      <c r="A4061" s="3">
        <f>B3551</f>
        <v>0</v>
      </c>
      <c r="B4061" s="3">
        <f>IF(($B$3505*(B3551)+$B$3506*(B3551)^2/2-$B$3504*(B3551)^3/6-(N(D26)*MAX(0,(B3551)-N(E26))^2/2+N(F26)*MAX(0,(B3551)-N(G26))^2/2+N(H26)*MAX(0,(B3551)-N(I26))^2/2+N(J26)*MAX(0,(B3551)-N(K26))^2/2+N(L26)*MAX(0,(B3551)-N(M26))^2/2)+$B$3507)*($B$3505*(B3552)+$B$3506*(B3552)^2/2-$B$3504*(B3552)^3/6-(N(D26)*MAX(0,(B3552)-N(E26))^2/2+N(F26)*MAX(0,(B3552)-N(G26))^2/2+N(H26)*MAX(0,(B3552)-N(I26))^2/2+N(J26)*MAX(0,(B3552)-N(K26))^2/2+N(L26)*MAX(0,(B3552)-N(M26))^2/2)+$B$3507)&lt;=0,B3552,B3551)</f>
        <v>0</v>
      </c>
      <c r="C4061" s="3">
        <f t="shared" ref="C4061:C4105" si="37">(A4061+B4061)/2</f>
        <v>0</v>
      </c>
      <c r="D4061" s="3">
        <f>$B$3505*(A4061)+$B$3506*(A4061)^2/2-$B$3504*(A4061)^3/6-(N(D26)*MAX(0,(A4061)-N(E26))^2/2+N(F26)*MAX(0,(A4061)-N(G26))^2/2+N(H26)*MAX(0,(A4061)-N(I26))^2/2+N(J26)*MAX(0,(A4061)-N(K26))^2/2+N(L26)*MAX(0,(A4061)-N(M26))^2/2)+$B$3507</f>
        <v>-57.9427083333333</v>
      </c>
      <c r="E4061" s="3">
        <f>$B$3505*(C4061)+$B$3506*(C4061)^2/2-$B$3504*(C4061)^3/6-(N(D26)*MAX(0,(C4061)-N(E26))^2/2+N(F26)*MAX(0,(C4061)-N(G26))^2/2+N(H26)*MAX(0,(C4061)-N(I26))^2/2+N(J26)*MAX(0,(C4061)-N(K26))^2/2+N(L26)*MAX(0,(C4061)-N(M26))^2/2)+$B$3507</f>
        <v>-57.9427083333333</v>
      </c>
    </row>
    <row r="4062" spans="1:5" hidden="1">
      <c r="A4062" s="3">
        <f t="shared" ref="A4062:A4105" si="38">IF(D4061*E4061&lt;=0,A4061,C4061)</f>
        <v>0</v>
      </c>
      <c r="B4062" s="3">
        <f t="shared" ref="B4062:B4105" si="39">IF(D4061*E4061&lt;=0,C4061,B4061)</f>
        <v>0</v>
      </c>
      <c r="C4062" s="3">
        <f t="shared" si="37"/>
        <v>0</v>
      </c>
      <c r="D4062" s="3">
        <f>$B$3505*(A4062)+$B$3506*(A4062)^2/2-$B$3504*(A4062)^3/6-(N(D26)*MAX(0,(A4062)-N(E26))^2/2+N(F26)*MAX(0,(A4062)-N(G26))^2/2+N(H26)*MAX(0,(A4062)-N(I26))^2/2+N(J26)*MAX(0,(A4062)-N(K26))^2/2+N(L26)*MAX(0,(A4062)-N(M26))^2/2)+$B$3507</f>
        <v>-57.9427083333333</v>
      </c>
      <c r="E4062" s="3">
        <f>$B$3505*(C4062)+$B$3506*(C4062)^2/2-$B$3504*(C4062)^3/6-(N(D26)*MAX(0,(C4062)-N(E26))^2/2+N(F26)*MAX(0,(C4062)-N(G26))^2/2+N(H26)*MAX(0,(C4062)-N(I26))^2/2+N(J26)*MAX(0,(C4062)-N(K26))^2/2+N(L26)*MAX(0,(C4062)-N(M26))^2/2)+$B$3507</f>
        <v>-57.9427083333333</v>
      </c>
    </row>
    <row r="4063" spans="1:5" hidden="1">
      <c r="A4063" s="3">
        <f t="shared" si="38"/>
        <v>0</v>
      </c>
      <c r="B4063" s="3">
        <f t="shared" si="39"/>
        <v>0</v>
      </c>
      <c r="C4063" s="3">
        <f t="shared" si="37"/>
        <v>0</v>
      </c>
      <c r="D4063" s="3">
        <f>$B$3505*(A4063)+$B$3506*(A4063)^2/2-$B$3504*(A4063)^3/6-(N(D26)*MAX(0,(A4063)-N(E26))^2/2+N(F26)*MAX(0,(A4063)-N(G26))^2/2+N(H26)*MAX(0,(A4063)-N(I26))^2/2+N(J26)*MAX(0,(A4063)-N(K26))^2/2+N(L26)*MAX(0,(A4063)-N(M26))^2/2)+$B$3507</f>
        <v>-57.9427083333333</v>
      </c>
      <c r="E4063" s="3">
        <f>$B$3505*(C4063)+$B$3506*(C4063)^2/2-$B$3504*(C4063)^3/6-(N(D26)*MAX(0,(C4063)-N(E26))^2/2+N(F26)*MAX(0,(C4063)-N(G26))^2/2+N(H26)*MAX(0,(C4063)-N(I26))^2/2+N(J26)*MAX(0,(C4063)-N(K26))^2/2+N(L26)*MAX(0,(C4063)-N(M26))^2/2)+$B$3507</f>
        <v>-57.9427083333333</v>
      </c>
    </row>
    <row r="4064" spans="1:5" hidden="1">
      <c r="A4064" s="3">
        <f t="shared" si="38"/>
        <v>0</v>
      </c>
      <c r="B4064" s="3">
        <f t="shared" si="39"/>
        <v>0</v>
      </c>
      <c r="C4064" s="3">
        <f t="shared" si="37"/>
        <v>0</v>
      </c>
      <c r="D4064" s="3">
        <f>$B$3505*(A4064)+$B$3506*(A4064)^2/2-$B$3504*(A4064)^3/6-(N(D26)*MAX(0,(A4064)-N(E26))^2/2+N(F26)*MAX(0,(A4064)-N(G26))^2/2+N(H26)*MAX(0,(A4064)-N(I26))^2/2+N(J26)*MAX(0,(A4064)-N(K26))^2/2+N(L26)*MAX(0,(A4064)-N(M26))^2/2)+$B$3507</f>
        <v>-57.9427083333333</v>
      </c>
      <c r="E4064" s="3">
        <f>$B$3505*(C4064)+$B$3506*(C4064)^2/2-$B$3504*(C4064)^3/6-(N(D26)*MAX(0,(C4064)-N(E26))^2/2+N(F26)*MAX(0,(C4064)-N(G26))^2/2+N(H26)*MAX(0,(C4064)-N(I26))^2/2+N(J26)*MAX(0,(C4064)-N(K26))^2/2+N(L26)*MAX(0,(C4064)-N(M26))^2/2)+$B$3507</f>
        <v>-57.9427083333333</v>
      </c>
    </row>
    <row r="4065" spans="1:5" hidden="1">
      <c r="A4065" s="3">
        <f t="shared" si="38"/>
        <v>0</v>
      </c>
      <c r="B4065" s="3">
        <f t="shared" si="39"/>
        <v>0</v>
      </c>
      <c r="C4065" s="3">
        <f t="shared" si="37"/>
        <v>0</v>
      </c>
      <c r="D4065" s="3">
        <f>$B$3505*(A4065)+$B$3506*(A4065)^2/2-$B$3504*(A4065)^3/6-(N(D26)*MAX(0,(A4065)-N(E26))^2/2+N(F26)*MAX(0,(A4065)-N(G26))^2/2+N(H26)*MAX(0,(A4065)-N(I26))^2/2+N(J26)*MAX(0,(A4065)-N(K26))^2/2+N(L26)*MAX(0,(A4065)-N(M26))^2/2)+$B$3507</f>
        <v>-57.9427083333333</v>
      </c>
      <c r="E4065" s="3">
        <f>$B$3505*(C4065)+$B$3506*(C4065)^2/2-$B$3504*(C4065)^3/6-(N(D26)*MAX(0,(C4065)-N(E26))^2/2+N(F26)*MAX(0,(C4065)-N(G26))^2/2+N(H26)*MAX(0,(C4065)-N(I26))^2/2+N(J26)*MAX(0,(C4065)-N(K26))^2/2+N(L26)*MAX(0,(C4065)-N(M26))^2/2)+$B$3507</f>
        <v>-57.9427083333333</v>
      </c>
    </row>
    <row r="4066" spans="1:5" hidden="1">
      <c r="A4066" s="3">
        <f t="shared" si="38"/>
        <v>0</v>
      </c>
      <c r="B4066" s="3">
        <f t="shared" si="39"/>
        <v>0</v>
      </c>
      <c r="C4066" s="3">
        <f t="shared" si="37"/>
        <v>0</v>
      </c>
      <c r="D4066" s="3">
        <f>$B$3505*(A4066)+$B$3506*(A4066)^2/2-$B$3504*(A4066)^3/6-(N(D26)*MAX(0,(A4066)-N(E26))^2/2+N(F26)*MAX(0,(A4066)-N(G26))^2/2+N(H26)*MAX(0,(A4066)-N(I26))^2/2+N(J26)*MAX(0,(A4066)-N(K26))^2/2+N(L26)*MAX(0,(A4066)-N(M26))^2/2)+$B$3507</f>
        <v>-57.9427083333333</v>
      </c>
      <c r="E4066" s="3">
        <f>$B$3505*(C4066)+$B$3506*(C4066)^2/2-$B$3504*(C4066)^3/6-(N(D26)*MAX(0,(C4066)-N(E26))^2/2+N(F26)*MAX(0,(C4066)-N(G26))^2/2+N(H26)*MAX(0,(C4066)-N(I26))^2/2+N(J26)*MAX(0,(C4066)-N(K26))^2/2+N(L26)*MAX(0,(C4066)-N(M26))^2/2)+$B$3507</f>
        <v>-57.9427083333333</v>
      </c>
    </row>
    <row r="4067" spans="1:5" hidden="1">
      <c r="A4067" s="3">
        <f t="shared" si="38"/>
        <v>0</v>
      </c>
      <c r="B4067" s="3">
        <f t="shared" si="39"/>
        <v>0</v>
      </c>
      <c r="C4067" s="3">
        <f t="shared" si="37"/>
        <v>0</v>
      </c>
      <c r="D4067" s="3">
        <f>$B$3505*(A4067)+$B$3506*(A4067)^2/2-$B$3504*(A4067)^3/6-(N(D26)*MAX(0,(A4067)-N(E26))^2/2+N(F26)*MAX(0,(A4067)-N(G26))^2/2+N(H26)*MAX(0,(A4067)-N(I26))^2/2+N(J26)*MAX(0,(A4067)-N(K26))^2/2+N(L26)*MAX(0,(A4067)-N(M26))^2/2)+$B$3507</f>
        <v>-57.9427083333333</v>
      </c>
      <c r="E4067" s="3">
        <f>$B$3505*(C4067)+$B$3506*(C4067)^2/2-$B$3504*(C4067)^3/6-(N(D26)*MAX(0,(C4067)-N(E26))^2/2+N(F26)*MAX(0,(C4067)-N(G26))^2/2+N(H26)*MAX(0,(C4067)-N(I26))^2/2+N(J26)*MAX(0,(C4067)-N(K26))^2/2+N(L26)*MAX(0,(C4067)-N(M26))^2/2)+$B$3507</f>
        <v>-57.9427083333333</v>
      </c>
    </row>
    <row r="4068" spans="1:5" hidden="1">
      <c r="A4068" s="3">
        <f t="shared" si="38"/>
        <v>0</v>
      </c>
      <c r="B4068" s="3">
        <f t="shared" si="39"/>
        <v>0</v>
      </c>
      <c r="C4068" s="3">
        <f t="shared" si="37"/>
        <v>0</v>
      </c>
      <c r="D4068" s="3">
        <f>$B$3505*(A4068)+$B$3506*(A4068)^2/2-$B$3504*(A4068)^3/6-(N(D26)*MAX(0,(A4068)-N(E26))^2/2+N(F26)*MAX(0,(A4068)-N(G26))^2/2+N(H26)*MAX(0,(A4068)-N(I26))^2/2+N(J26)*MAX(0,(A4068)-N(K26))^2/2+N(L26)*MAX(0,(A4068)-N(M26))^2/2)+$B$3507</f>
        <v>-57.9427083333333</v>
      </c>
      <c r="E4068" s="3">
        <f>$B$3505*(C4068)+$B$3506*(C4068)^2/2-$B$3504*(C4068)^3/6-(N(D26)*MAX(0,(C4068)-N(E26))^2/2+N(F26)*MAX(0,(C4068)-N(G26))^2/2+N(H26)*MAX(0,(C4068)-N(I26))^2/2+N(J26)*MAX(0,(C4068)-N(K26))^2/2+N(L26)*MAX(0,(C4068)-N(M26))^2/2)+$B$3507</f>
        <v>-57.9427083333333</v>
      </c>
    </row>
    <row r="4069" spans="1:5" hidden="1">
      <c r="A4069" s="3">
        <f t="shared" si="38"/>
        <v>0</v>
      </c>
      <c r="B4069" s="3">
        <f t="shared" si="39"/>
        <v>0</v>
      </c>
      <c r="C4069" s="3">
        <f t="shared" si="37"/>
        <v>0</v>
      </c>
      <c r="D4069" s="3">
        <f>$B$3505*(A4069)+$B$3506*(A4069)^2/2-$B$3504*(A4069)^3/6-(N(D26)*MAX(0,(A4069)-N(E26))^2/2+N(F26)*MAX(0,(A4069)-N(G26))^2/2+N(H26)*MAX(0,(A4069)-N(I26))^2/2+N(J26)*MAX(0,(A4069)-N(K26))^2/2+N(L26)*MAX(0,(A4069)-N(M26))^2/2)+$B$3507</f>
        <v>-57.9427083333333</v>
      </c>
      <c r="E4069" s="3">
        <f>$B$3505*(C4069)+$B$3506*(C4069)^2/2-$B$3504*(C4069)^3/6-(N(D26)*MAX(0,(C4069)-N(E26))^2/2+N(F26)*MAX(0,(C4069)-N(G26))^2/2+N(H26)*MAX(0,(C4069)-N(I26))^2/2+N(J26)*MAX(0,(C4069)-N(K26))^2/2+N(L26)*MAX(0,(C4069)-N(M26))^2/2)+$B$3507</f>
        <v>-57.9427083333333</v>
      </c>
    </row>
    <row r="4070" spans="1:5" hidden="1">
      <c r="A4070" s="3">
        <f t="shared" si="38"/>
        <v>0</v>
      </c>
      <c r="B4070" s="3">
        <f t="shared" si="39"/>
        <v>0</v>
      </c>
      <c r="C4070" s="3">
        <f t="shared" si="37"/>
        <v>0</v>
      </c>
      <c r="D4070" s="3">
        <f>$B$3505*(A4070)+$B$3506*(A4070)^2/2-$B$3504*(A4070)^3/6-(N(D26)*MAX(0,(A4070)-N(E26))^2/2+N(F26)*MAX(0,(A4070)-N(G26))^2/2+N(H26)*MAX(0,(A4070)-N(I26))^2/2+N(J26)*MAX(0,(A4070)-N(K26))^2/2+N(L26)*MAX(0,(A4070)-N(M26))^2/2)+$B$3507</f>
        <v>-57.9427083333333</v>
      </c>
      <c r="E4070" s="3">
        <f>$B$3505*(C4070)+$B$3506*(C4070)^2/2-$B$3504*(C4070)^3/6-(N(D26)*MAX(0,(C4070)-N(E26))^2/2+N(F26)*MAX(0,(C4070)-N(G26))^2/2+N(H26)*MAX(0,(C4070)-N(I26))^2/2+N(J26)*MAX(0,(C4070)-N(K26))^2/2+N(L26)*MAX(0,(C4070)-N(M26))^2/2)+$B$3507</f>
        <v>-57.9427083333333</v>
      </c>
    </row>
    <row r="4071" spans="1:5" hidden="1">
      <c r="A4071" s="3">
        <f t="shared" si="38"/>
        <v>0</v>
      </c>
      <c r="B4071" s="3">
        <f t="shared" si="39"/>
        <v>0</v>
      </c>
      <c r="C4071" s="3">
        <f t="shared" si="37"/>
        <v>0</v>
      </c>
      <c r="D4071" s="3">
        <f>$B$3505*(A4071)+$B$3506*(A4071)^2/2-$B$3504*(A4071)^3/6-(N(D26)*MAX(0,(A4071)-N(E26))^2/2+N(F26)*MAX(0,(A4071)-N(G26))^2/2+N(H26)*MAX(0,(A4071)-N(I26))^2/2+N(J26)*MAX(0,(A4071)-N(K26))^2/2+N(L26)*MAX(0,(A4071)-N(M26))^2/2)+$B$3507</f>
        <v>-57.9427083333333</v>
      </c>
      <c r="E4071" s="3">
        <f>$B$3505*(C4071)+$B$3506*(C4071)^2/2-$B$3504*(C4071)^3/6-(N(D26)*MAX(0,(C4071)-N(E26))^2/2+N(F26)*MAX(0,(C4071)-N(G26))^2/2+N(H26)*MAX(0,(C4071)-N(I26))^2/2+N(J26)*MAX(0,(C4071)-N(K26))^2/2+N(L26)*MAX(0,(C4071)-N(M26))^2/2)+$B$3507</f>
        <v>-57.9427083333333</v>
      </c>
    </row>
    <row r="4072" spans="1:5" hidden="1">
      <c r="A4072" s="3">
        <f t="shared" si="38"/>
        <v>0</v>
      </c>
      <c r="B4072" s="3">
        <f t="shared" si="39"/>
        <v>0</v>
      </c>
      <c r="C4072" s="3">
        <f t="shared" si="37"/>
        <v>0</v>
      </c>
      <c r="D4072" s="3">
        <f>$B$3505*(A4072)+$B$3506*(A4072)^2/2-$B$3504*(A4072)^3/6-(N(D26)*MAX(0,(A4072)-N(E26))^2/2+N(F26)*MAX(0,(A4072)-N(G26))^2/2+N(H26)*MAX(0,(A4072)-N(I26))^2/2+N(J26)*MAX(0,(A4072)-N(K26))^2/2+N(L26)*MAX(0,(A4072)-N(M26))^2/2)+$B$3507</f>
        <v>-57.9427083333333</v>
      </c>
      <c r="E4072" s="3">
        <f>$B$3505*(C4072)+$B$3506*(C4072)^2/2-$B$3504*(C4072)^3/6-(N(D26)*MAX(0,(C4072)-N(E26))^2/2+N(F26)*MAX(0,(C4072)-N(G26))^2/2+N(H26)*MAX(0,(C4072)-N(I26))^2/2+N(J26)*MAX(0,(C4072)-N(K26))^2/2+N(L26)*MAX(0,(C4072)-N(M26))^2/2)+$B$3507</f>
        <v>-57.9427083333333</v>
      </c>
    </row>
    <row r="4073" spans="1:5" hidden="1">
      <c r="A4073" s="3">
        <f t="shared" si="38"/>
        <v>0</v>
      </c>
      <c r="B4073" s="3">
        <f t="shared" si="39"/>
        <v>0</v>
      </c>
      <c r="C4073" s="3">
        <f t="shared" si="37"/>
        <v>0</v>
      </c>
      <c r="D4073" s="3">
        <f>$B$3505*(A4073)+$B$3506*(A4073)^2/2-$B$3504*(A4073)^3/6-(N(D26)*MAX(0,(A4073)-N(E26))^2/2+N(F26)*MAX(0,(A4073)-N(G26))^2/2+N(H26)*MAX(0,(A4073)-N(I26))^2/2+N(J26)*MAX(0,(A4073)-N(K26))^2/2+N(L26)*MAX(0,(A4073)-N(M26))^2/2)+$B$3507</f>
        <v>-57.9427083333333</v>
      </c>
      <c r="E4073" s="3">
        <f>$B$3505*(C4073)+$B$3506*(C4073)^2/2-$B$3504*(C4073)^3/6-(N(D26)*MAX(0,(C4073)-N(E26))^2/2+N(F26)*MAX(0,(C4073)-N(G26))^2/2+N(H26)*MAX(0,(C4073)-N(I26))^2/2+N(J26)*MAX(0,(C4073)-N(K26))^2/2+N(L26)*MAX(0,(C4073)-N(M26))^2/2)+$B$3507</f>
        <v>-57.9427083333333</v>
      </c>
    </row>
    <row r="4074" spans="1:5" hidden="1">
      <c r="A4074" s="3">
        <f t="shared" si="38"/>
        <v>0</v>
      </c>
      <c r="B4074" s="3">
        <f t="shared" si="39"/>
        <v>0</v>
      </c>
      <c r="C4074" s="3">
        <f t="shared" si="37"/>
        <v>0</v>
      </c>
      <c r="D4074" s="3">
        <f>$B$3505*(A4074)+$B$3506*(A4074)^2/2-$B$3504*(A4074)^3/6-(N(D26)*MAX(0,(A4074)-N(E26))^2/2+N(F26)*MAX(0,(A4074)-N(G26))^2/2+N(H26)*MAX(0,(A4074)-N(I26))^2/2+N(J26)*MAX(0,(A4074)-N(K26))^2/2+N(L26)*MAX(0,(A4074)-N(M26))^2/2)+$B$3507</f>
        <v>-57.9427083333333</v>
      </c>
      <c r="E4074" s="3">
        <f>$B$3505*(C4074)+$B$3506*(C4074)^2/2-$B$3504*(C4074)^3/6-(N(D26)*MAX(0,(C4074)-N(E26))^2/2+N(F26)*MAX(0,(C4074)-N(G26))^2/2+N(H26)*MAX(0,(C4074)-N(I26))^2/2+N(J26)*MAX(0,(C4074)-N(K26))^2/2+N(L26)*MAX(0,(C4074)-N(M26))^2/2)+$B$3507</f>
        <v>-57.9427083333333</v>
      </c>
    </row>
    <row r="4075" spans="1:5" hidden="1">
      <c r="A4075" s="3">
        <f t="shared" si="38"/>
        <v>0</v>
      </c>
      <c r="B4075" s="3">
        <f t="shared" si="39"/>
        <v>0</v>
      </c>
      <c r="C4075" s="3">
        <f t="shared" si="37"/>
        <v>0</v>
      </c>
      <c r="D4075" s="3">
        <f>$B$3505*(A4075)+$B$3506*(A4075)^2/2-$B$3504*(A4075)^3/6-(N(D26)*MAX(0,(A4075)-N(E26))^2/2+N(F26)*MAX(0,(A4075)-N(G26))^2/2+N(H26)*MAX(0,(A4075)-N(I26))^2/2+N(J26)*MAX(0,(A4075)-N(K26))^2/2+N(L26)*MAX(0,(A4075)-N(M26))^2/2)+$B$3507</f>
        <v>-57.9427083333333</v>
      </c>
      <c r="E4075" s="3">
        <f>$B$3505*(C4075)+$B$3506*(C4075)^2/2-$B$3504*(C4075)^3/6-(N(D26)*MAX(0,(C4075)-N(E26))^2/2+N(F26)*MAX(0,(C4075)-N(G26))^2/2+N(H26)*MAX(0,(C4075)-N(I26))^2/2+N(J26)*MAX(0,(C4075)-N(K26))^2/2+N(L26)*MAX(0,(C4075)-N(M26))^2/2)+$B$3507</f>
        <v>-57.9427083333333</v>
      </c>
    </row>
    <row r="4076" spans="1:5" hidden="1">
      <c r="A4076" s="3">
        <f t="shared" si="38"/>
        <v>0</v>
      </c>
      <c r="B4076" s="3">
        <f t="shared" si="39"/>
        <v>0</v>
      </c>
      <c r="C4076" s="3">
        <f t="shared" si="37"/>
        <v>0</v>
      </c>
      <c r="D4076" s="3">
        <f>$B$3505*(A4076)+$B$3506*(A4076)^2/2-$B$3504*(A4076)^3/6-(N(D26)*MAX(0,(A4076)-N(E26))^2/2+N(F26)*MAX(0,(A4076)-N(G26))^2/2+N(H26)*MAX(0,(A4076)-N(I26))^2/2+N(J26)*MAX(0,(A4076)-N(K26))^2/2+N(L26)*MAX(0,(A4076)-N(M26))^2/2)+$B$3507</f>
        <v>-57.9427083333333</v>
      </c>
      <c r="E4076" s="3">
        <f>$B$3505*(C4076)+$B$3506*(C4076)^2/2-$B$3504*(C4076)^3/6-(N(D26)*MAX(0,(C4076)-N(E26))^2/2+N(F26)*MAX(0,(C4076)-N(G26))^2/2+N(H26)*MAX(0,(C4076)-N(I26))^2/2+N(J26)*MAX(0,(C4076)-N(K26))^2/2+N(L26)*MAX(0,(C4076)-N(M26))^2/2)+$B$3507</f>
        <v>-57.9427083333333</v>
      </c>
    </row>
    <row r="4077" spans="1:5" hidden="1">
      <c r="A4077" s="3">
        <f t="shared" si="38"/>
        <v>0</v>
      </c>
      <c r="B4077" s="3">
        <f t="shared" si="39"/>
        <v>0</v>
      </c>
      <c r="C4077" s="3">
        <f t="shared" si="37"/>
        <v>0</v>
      </c>
      <c r="D4077" s="3">
        <f>$B$3505*(A4077)+$B$3506*(A4077)^2/2-$B$3504*(A4077)^3/6-(N(D26)*MAX(0,(A4077)-N(E26))^2/2+N(F26)*MAX(0,(A4077)-N(G26))^2/2+N(H26)*MAX(0,(A4077)-N(I26))^2/2+N(J26)*MAX(0,(A4077)-N(K26))^2/2+N(L26)*MAX(0,(A4077)-N(M26))^2/2)+$B$3507</f>
        <v>-57.9427083333333</v>
      </c>
      <c r="E4077" s="3">
        <f>$B$3505*(C4077)+$B$3506*(C4077)^2/2-$B$3504*(C4077)^3/6-(N(D26)*MAX(0,(C4077)-N(E26))^2/2+N(F26)*MAX(0,(C4077)-N(G26))^2/2+N(H26)*MAX(0,(C4077)-N(I26))^2/2+N(J26)*MAX(0,(C4077)-N(K26))^2/2+N(L26)*MAX(0,(C4077)-N(M26))^2/2)+$B$3507</f>
        <v>-57.9427083333333</v>
      </c>
    </row>
    <row r="4078" spans="1:5" hidden="1">
      <c r="A4078" s="3">
        <f t="shared" si="38"/>
        <v>0</v>
      </c>
      <c r="B4078" s="3">
        <f t="shared" si="39"/>
        <v>0</v>
      </c>
      <c r="C4078" s="3">
        <f t="shared" si="37"/>
        <v>0</v>
      </c>
      <c r="D4078" s="3">
        <f>$B$3505*(A4078)+$B$3506*(A4078)^2/2-$B$3504*(A4078)^3/6-(N(D26)*MAX(0,(A4078)-N(E26))^2/2+N(F26)*MAX(0,(A4078)-N(G26))^2/2+N(H26)*MAX(0,(A4078)-N(I26))^2/2+N(J26)*MAX(0,(A4078)-N(K26))^2/2+N(L26)*MAX(0,(A4078)-N(M26))^2/2)+$B$3507</f>
        <v>-57.9427083333333</v>
      </c>
      <c r="E4078" s="3">
        <f>$B$3505*(C4078)+$B$3506*(C4078)^2/2-$B$3504*(C4078)^3/6-(N(D26)*MAX(0,(C4078)-N(E26))^2/2+N(F26)*MAX(0,(C4078)-N(G26))^2/2+N(H26)*MAX(0,(C4078)-N(I26))^2/2+N(J26)*MAX(0,(C4078)-N(K26))^2/2+N(L26)*MAX(0,(C4078)-N(M26))^2/2)+$B$3507</f>
        <v>-57.9427083333333</v>
      </c>
    </row>
    <row r="4079" spans="1:5" hidden="1">
      <c r="A4079" s="3">
        <f t="shared" si="38"/>
        <v>0</v>
      </c>
      <c r="B4079" s="3">
        <f t="shared" si="39"/>
        <v>0</v>
      </c>
      <c r="C4079" s="3">
        <f t="shared" si="37"/>
        <v>0</v>
      </c>
      <c r="D4079" s="3">
        <f>$B$3505*(A4079)+$B$3506*(A4079)^2/2-$B$3504*(A4079)^3/6-(N(D26)*MAX(0,(A4079)-N(E26))^2/2+N(F26)*MAX(0,(A4079)-N(G26))^2/2+N(H26)*MAX(0,(A4079)-N(I26))^2/2+N(J26)*MAX(0,(A4079)-N(K26))^2/2+N(L26)*MAX(0,(A4079)-N(M26))^2/2)+$B$3507</f>
        <v>-57.9427083333333</v>
      </c>
      <c r="E4079" s="3">
        <f>$B$3505*(C4079)+$B$3506*(C4079)^2/2-$B$3504*(C4079)^3/6-(N(D26)*MAX(0,(C4079)-N(E26))^2/2+N(F26)*MAX(0,(C4079)-N(G26))^2/2+N(H26)*MAX(0,(C4079)-N(I26))^2/2+N(J26)*MAX(0,(C4079)-N(K26))^2/2+N(L26)*MAX(0,(C4079)-N(M26))^2/2)+$B$3507</f>
        <v>-57.9427083333333</v>
      </c>
    </row>
    <row r="4080" spans="1:5" hidden="1">
      <c r="A4080" s="3">
        <f t="shared" si="38"/>
        <v>0</v>
      </c>
      <c r="B4080" s="3">
        <f t="shared" si="39"/>
        <v>0</v>
      </c>
      <c r="C4080" s="3">
        <f t="shared" si="37"/>
        <v>0</v>
      </c>
      <c r="D4080" s="3">
        <f>$B$3505*(A4080)+$B$3506*(A4080)^2/2-$B$3504*(A4080)^3/6-(N(D26)*MAX(0,(A4080)-N(E26))^2/2+N(F26)*MAX(0,(A4080)-N(G26))^2/2+N(H26)*MAX(0,(A4080)-N(I26))^2/2+N(J26)*MAX(0,(A4080)-N(K26))^2/2+N(L26)*MAX(0,(A4080)-N(M26))^2/2)+$B$3507</f>
        <v>-57.9427083333333</v>
      </c>
      <c r="E4080" s="3">
        <f>$B$3505*(C4080)+$B$3506*(C4080)^2/2-$B$3504*(C4080)^3/6-(N(D26)*MAX(0,(C4080)-N(E26))^2/2+N(F26)*MAX(0,(C4080)-N(G26))^2/2+N(H26)*MAX(0,(C4080)-N(I26))^2/2+N(J26)*MAX(0,(C4080)-N(K26))^2/2+N(L26)*MAX(0,(C4080)-N(M26))^2/2)+$B$3507</f>
        <v>-57.9427083333333</v>
      </c>
    </row>
    <row r="4081" spans="1:5" hidden="1">
      <c r="A4081" s="3">
        <f t="shared" si="38"/>
        <v>0</v>
      </c>
      <c r="B4081" s="3">
        <f t="shared" si="39"/>
        <v>0</v>
      </c>
      <c r="C4081" s="3">
        <f t="shared" si="37"/>
        <v>0</v>
      </c>
      <c r="D4081" s="3">
        <f>$B$3505*(A4081)+$B$3506*(A4081)^2/2-$B$3504*(A4081)^3/6-(N(D26)*MAX(0,(A4081)-N(E26))^2/2+N(F26)*MAX(0,(A4081)-N(G26))^2/2+N(H26)*MAX(0,(A4081)-N(I26))^2/2+N(J26)*MAX(0,(A4081)-N(K26))^2/2+N(L26)*MAX(0,(A4081)-N(M26))^2/2)+$B$3507</f>
        <v>-57.9427083333333</v>
      </c>
      <c r="E4081" s="3">
        <f>$B$3505*(C4081)+$B$3506*(C4081)^2/2-$B$3504*(C4081)^3/6-(N(D26)*MAX(0,(C4081)-N(E26))^2/2+N(F26)*MAX(0,(C4081)-N(G26))^2/2+N(H26)*MAX(0,(C4081)-N(I26))^2/2+N(J26)*MAX(0,(C4081)-N(K26))^2/2+N(L26)*MAX(0,(C4081)-N(M26))^2/2)+$B$3507</f>
        <v>-57.9427083333333</v>
      </c>
    </row>
    <row r="4082" spans="1:5" hidden="1">
      <c r="A4082" s="3">
        <f t="shared" si="38"/>
        <v>0</v>
      </c>
      <c r="B4082" s="3">
        <f t="shared" si="39"/>
        <v>0</v>
      </c>
      <c r="C4082" s="3">
        <f t="shared" si="37"/>
        <v>0</v>
      </c>
      <c r="D4082" s="3">
        <f>$B$3505*(A4082)+$B$3506*(A4082)^2/2-$B$3504*(A4082)^3/6-(N(D26)*MAX(0,(A4082)-N(E26))^2/2+N(F26)*MAX(0,(A4082)-N(G26))^2/2+N(H26)*MAX(0,(A4082)-N(I26))^2/2+N(J26)*MAX(0,(A4082)-N(K26))^2/2+N(L26)*MAX(0,(A4082)-N(M26))^2/2)+$B$3507</f>
        <v>-57.9427083333333</v>
      </c>
      <c r="E4082" s="3">
        <f>$B$3505*(C4082)+$B$3506*(C4082)^2/2-$B$3504*(C4082)^3/6-(N(D26)*MAX(0,(C4082)-N(E26))^2/2+N(F26)*MAX(0,(C4082)-N(G26))^2/2+N(H26)*MAX(0,(C4082)-N(I26))^2/2+N(J26)*MAX(0,(C4082)-N(K26))^2/2+N(L26)*MAX(0,(C4082)-N(M26))^2/2)+$B$3507</f>
        <v>-57.9427083333333</v>
      </c>
    </row>
    <row r="4083" spans="1:5" hidden="1">
      <c r="A4083" s="3">
        <f t="shared" si="38"/>
        <v>0</v>
      </c>
      <c r="B4083" s="3">
        <f t="shared" si="39"/>
        <v>0</v>
      </c>
      <c r="C4083" s="3">
        <f t="shared" si="37"/>
        <v>0</v>
      </c>
      <c r="D4083" s="3">
        <f>$B$3505*(A4083)+$B$3506*(A4083)^2/2-$B$3504*(A4083)^3/6-(N(D26)*MAX(0,(A4083)-N(E26))^2/2+N(F26)*MAX(0,(A4083)-N(G26))^2/2+N(H26)*MAX(0,(A4083)-N(I26))^2/2+N(J26)*MAX(0,(A4083)-N(K26))^2/2+N(L26)*MAX(0,(A4083)-N(M26))^2/2)+$B$3507</f>
        <v>-57.9427083333333</v>
      </c>
      <c r="E4083" s="3">
        <f>$B$3505*(C4083)+$B$3506*(C4083)^2/2-$B$3504*(C4083)^3/6-(N(D26)*MAX(0,(C4083)-N(E26))^2/2+N(F26)*MAX(0,(C4083)-N(G26))^2/2+N(H26)*MAX(0,(C4083)-N(I26))^2/2+N(J26)*MAX(0,(C4083)-N(K26))^2/2+N(L26)*MAX(0,(C4083)-N(M26))^2/2)+$B$3507</f>
        <v>-57.9427083333333</v>
      </c>
    </row>
    <row r="4084" spans="1:5" hidden="1">
      <c r="A4084" s="3">
        <f t="shared" si="38"/>
        <v>0</v>
      </c>
      <c r="B4084" s="3">
        <f t="shared" si="39"/>
        <v>0</v>
      </c>
      <c r="C4084" s="3">
        <f t="shared" si="37"/>
        <v>0</v>
      </c>
      <c r="D4084" s="3">
        <f>$B$3505*(A4084)+$B$3506*(A4084)^2/2-$B$3504*(A4084)^3/6-(N(D26)*MAX(0,(A4084)-N(E26))^2/2+N(F26)*MAX(0,(A4084)-N(G26))^2/2+N(H26)*MAX(0,(A4084)-N(I26))^2/2+N(J26)*MAX(0,(A4084)-N(K26))^2/2+N(L26)*MAX(0,(A4084)-N(M26))^2/2)+$B$3507</f>
        <v>-57.9427083333333</v>
      </c>
      <c r="E4084" s="3">
        <f>$B$3505*(C4084)+$B$3506*(C4084)^2/2-$B$3504*(C4084)^3/6-(N(D26)*MAX(0,(C4084)-N(E26))^2/2+N(F26)*MAX(0,(C4084)-N(G26))^2/2+N(H26)*MAX(0,(C4084)-N(I26))^2/2+N(J26)*MAX(0,(C4084)-N(K26))^2/2+N(L26)*MAX(0,(C4084)-N(M26))^2/2)+$B$3507</f>
        <v>-57.9427083333333</v>
      </c>
    </row>
    <row r="4085" spans="1:5" hidden="1">
      <c r="A4085" s="3">
        <f t="shared" si="38"/>
        <v>0</v>
      </c>
      <c r="B4085" s="3">
        <f t="shared" si="39"/>
        <v>0</v>
      </c>
      <c r="C4085" s="3">
        <f t="shared" si="37"/>
        <v>0</v>
      </c>
      <c r="D4085" s="3">
        <f>$B$3505*(A4085)+$B$3506*(A4085)^2/2-$B$3504*(A4085)^3/6-(N(D26)*MAX(0,(A4085)-N(E26))^2/2+N(F26)*MAX(0,(A4085)-N(G26))^2/2+N(H26)*MAX(0,(A4085)-N(I26))^2/2+N(J26)*MAX(0,(A4085)-N(K26))^2/2+N(L26)*MAX(0,(A4085)-N(M26))^2/2)+$B$3507</f>
        <v>-57.9427083333333</v>
      </c>
      <c r="E4085" s="3">
        <f>$B$3505*(C4085)+$B$3506*(C4085)^2/2-$B$3504*(C4085)^3/6-(N(D26)*MAX(0,(C4085)-N(E26))^2/2+N(F26)*MAX(0,(C4085)-N(G26))^2/2+N(H26)*MAX(0,(C4085)-N(I26))^2/2+N(J26)*MAX(0,(C4085)-N(K26))^2/2+N(L26)*MAX(0,(C4085)-N(M26))^2/2)+$B$3507</f>
        <v>-57.9427083333333</v>
      </c>
    </row>
    <row r="4086" spans="1:5" hidden="1">
      <c r="A4086" s="3">
        <f t="shared" si="38"/>
        <v>0</v>
      </c>
      <c r="B4086" s="3">
        <f t="shared" si="39"/>
        <v>0</v>
      </c>
      <c r="C4086" s="3">
        <f t="shared" si="37"/>
        <v>0</v>
      </c>
      <c r="D4086" s="3">
        <f>$B$3505*(A4086)+$B$3506*(A4086)^2/2-$B$3504*(A4086)^3/6-(N(D26)*MAX(0,(A4086)-N(E26))^2/2+N(F26)*MAX(0,(A4086)-N(G26))^2/2+N(H26)*MAX(0,(A4086)-N(I26))^2/2+N(J26)*MAX(0,(A4086)-N(K26))^2/2+N(L26)*MAX(0,(A4086)-N(M26))^2/2)+$B$3507</f>
        <v>-57.9427083333333</v>
      </c>
      <c r="E4086" s="3">
        <f>$B$3505*(C4086)+$B$3506*(C4086)^2/2-$B$3504*(C4086)^3/6-(N(D26)*MAX(0,(C4086)-N(E26))^2/2+N(F26)*MAX(0,(C4086)-N(G26))^2/2+N(H26)*MAX(0,(C4086)-N(I26))^2/2+N(J26)*MAX(0,(C4086)-N(K26))^2/2+N(L26)*MAX(0,(C4086)-N(M26))^2/2)+$B$3507</f>
        <v>-57.9427083333333</v>
      </c>
    </row>
    <row r="4087" spans="1:5" hidden="1">
      <c r="A4087" s="3">
        <f t="shared" si="38"/>
        <v>0</v>
      </c>
      <c r="B4087" s="3">
        <f t="shared" si="39"/>
        <v>0</v>
      </c>
      <c r="C4087" s="3">
        <f t="shared" si="37"/>
        <v>0</v>
      </c>
      <c r="D4087" s="3">
        <f>$B$3505*(A4087)+$B$3506*(A4087)^2/2-$B$3504*(A4087)^3/6-(N(D26)*MAX(0,(A4087)-N(E26))^2/2+N(F26)*MAX(0,(A4087)-N(G26))^2/2+N(H26)*MAX(0,(A4087)-N(I26))^2/2+N(J26)*MAX(0,(A4087)-N(K26))^2/2+N(L26)*MAX(0,(A4087)-N(M26))^2/2)+$B$3507</f>
        <v>-57.9427083333333</v>
      </c>
      <c r="E4087" s="3">
        <f>$B$3505*(C4087)+$B$3506*(C4087)^2/2-$B$3504*(C4087)^3/6-(N(D26)*MAX(0,(C4087)-N(E26))^2/2+N(F26)*MAX(0,(C4087)-N(G26))^2/2+N(H26)*MAX(0,(C4087)-N(I26))^2/2+N(J26)*MAX(0,(C4087)-N(K26))^2/2+N(L26)*MAX(0,(C4087)-N(M26))^2/2)+$B$3507</f>
        <v>-57.9427083333333</v>
      </c>
    </row>
    <row r="4088" spans="1:5" hidden="1">
      <c r="A4088" s="3">
        <f t="shared" si="38"/>
        <v>0</v>
      </c>
      <c r="B4088" s="3">
        <f t="shared" si="39"/>
        <v>0</v>
      </c>
      <c r="C4088" s="3">
        <f t="shared" si="37"/>
        <v>0</v>
      </c>
      <c r="D4088" s="3">
        <f>$B$3505*(A4088)+$B$3506*(A4088)^2/2-$B$3504*(A4088)^3/6-(N(D26)*MAX(0,(A4088)-N(E26))^2/2+N(F26)*MAX(0,(A4088)-N(G26))^2/2+N(H26)*MAX(0,(A4088)-N(I26))^2/2+N(J26)*MAX(0,(A4088)-N(K26))^2/2+N(L26)*MAX(0,(A4088)-N(M26))^2/2)+$B$3507</f>
        <v>-57.9427083333333</v>
      </c>
      <c r="E4088" s="3">
        <f>$B$3505*(C4088)+$B$3506*(C4088)^2/2-$B$3504*(C4088)^3/6-(N(D26)*MAX(0,(C4088)-N(E26))^2/2+N(F26)*MAX(0,(C4088)-N(G26))^2/2+N(H26)*MAX(0,(C4088)-N(I26))^2/2+N(J26)*MAX(0,(C4088)-N(K26))^2/2+N(L26)*MAX(0,(C4088)-N(M26))^2/2)+$B$3507</f>
        <v>-57.9427083333333</v>
      </c>
    </row>
    <row r="4089" spans="1:5" hidden="1">
      <c r="A4089" s="3">
        <f t="shared" si="38"/>
        <v>0</v>
      </c>
      <c r="B4089" s="3">
        <f t="shared" si="39"/>
        <v>0</v>
      </c>
      <c r="C4089" s="3">
        <f t="shared" si="37"/>
        <v>0</v>
      </c>
      <c r="D4089" s="3">
        <f>$B$3505*(A4089)+$B$3506*(A4089)^2/2-$B$3504*(A4089)^3/6-(N(D26)*MAX(0,(A4089)-N(E26))^2/2+N(F26)*MAX(0,(A4089)-N(G26))^2/2+N(H26)*MAX(0,(A4089)-N(I26))^2/2+N(J26)*MAX(0,(A4089)-N(K26))^2/2+N(L26)*MAX(0,(A4089)-N(M26))^2/2)+$B$3507</f>
        <v>-57.9427083333333</v>
      </c>
      <c r="E4089" s="3">
        <f>$B$3505*(C4089)+$B$3506*(C4089)^2/2-$B$3504*(C4089)^3/6-(N(D26)*MAX(0,(C4089)-N(E26))^2/2+N(F26)*MAX(0,(C4089)-N(G26))^2/2+N(H26)*MAX(0,(C4089)-N(I26))^2/2+N(J26)*MAX(0,(C4089)-N(K26))^2/2+N(L26)*MAX(0,(C4089)-N(M26))^2/2)+$B$3507</f>
        <v>-57.9427083333333</v>
      </c>
    </row>
    <row r="4090" spans="1:5" hidden="1">
      <c r="A4090" s="3">
        <f t="shared" si="38"/>
        <v>0</v>
      </c>
      <c r="B4090" s="3">
        <f t="shared" si="39"/>
        <v>0</v>
      </c>
      <c r="C4090" s="3">
        <f t="shared" si="37"/>
        <v>0</v>
      </c>
      <c r="D4090" s="3">
        <f>$B$3505*(A4090)+$B$3506*(A4090)^2/2-$B$3504*(A4090)^3/6-(N(D26)*MAX(0,(A4090)-N(E26))^2/2+N(F26)*MAX(0,(A4090)-N(G26))^2/2+N(H26)*MAX(0,(A4090)-N(I26))^2/2+N(J26)*MAX(0,(A4090)-N(K26))^2/2+N(L26)*MAX(0,(A4090)-N(M26))^2/2)+$B$3507</f>
        <v>-57.9427083333333</v>
      </c>
      <c r="E4090" s="3">
        <f>$B$3505*(C4090)+$B$3506*(C4090)^2/2-$B$3504*(C4090)^3/6-(N(D26)*MAX(0,(C4090)-N(E26))^2/2+N(F26)*MAX(0,(C4090)-N(G26))^2/2+N(H26)*MAX(0,(C4090)-N(I26))^2/2+N(J26)*MAX(0,(C4090)-N(K26))^2/2+N(L26)*MAX(0,(C4090)-N(M26))^2/2)+$B$3507</f>
        <v>-57.9427083333333</v>
      </c>
    </row>
    <row r="4091" spans="1:5" hidden="1">
      <c r="A4091" s="3">
        <f t="shared" si="38"/>
        <v>0</v>
      </c>
      <c r="B4091" s="3">
        <f t="shared" si="39"/>
        <v>0</v>
      </c>
      <c r="C4091" s="3">
        <f t="shared" si="37"/>
        <v>0</v>
      </c>
      <c r="D4091" s="3">
        <f>$B$3505*(A4091)+$B$3506*(A4091)^2/2-$B$3504*(A4091)^3/6-(N(D26)*MAX(0,(A4091)-N(E26))^2/2+N(F26)*MAX(0,(A4091)-N(G26))^2/2+N(H26)*MAX(0,(A4091)-N(I26))^2/2+N(J26)*MAX(0,(A4091)-N(K26))^2/2+N(L26)*MAX(0,(A4091)-N(M26))^2/2)+$B$3507</f>
        <v>-57.9427083333333</v>
      </c>
      <c r="E4091" s="3">
        <f>$B$3505*(C4091)+$B$3506*(C4091)^2/2-$B$3504*(C4091)^3/6-(N(D26)*MAX(0,(C4091)-N(E26))^2/2+N(F26)*MAX(0,(C4091)-N(G26))^2/2+N(H26)*MAX(0,(C4091)-N(I26))^2/2+N(J26)*MAX(0,(C4091)-N(K26))^2/2+N(L26)*MAX(0,(C4091)-N(M26))^2/2)+$B$3507</f>
        <v>-57.9427083333333</v>
      </c>
    </row>
    <row r="4092" spans="1:5" hidden="1">
      <c r="A4092" s="3">
        <f t="shared" si="38"/>
        <v>0</v>
      </c>
      <c r="B4092" s="3">
        <f t="shared" si="39"/>
        <v>0</v>
      </c>
      <c r="C4092" s="3">
        <f t="shared" si="37"/>
        <v>0</v>
      </c>
      <c r="D4092" s="3">
        <f>$B$3505*(A4092)+$B$3506*(A4092)^2/2-$B$3504*(A4092)^3/6-(N(D26)*MAX(0,(A4092)-N(E26))^2/2+N(F26)*MAX(0,(A4092)-N(G26))^2/2+N(H26)*MAX(0,(A4092)-N(I26))^2/2+N(J26)*MAX(0,(A4092)-N(K26))^2/2+N(L26)*MAX(0,(A4092)-N(M26))^2/2)+$B$3507</f>
        <v>-57.9427083333333</v>
      </c>
      <c r="E4092" s="3">
        <f>$B$3505*(C4092)+$B$3506*(C4092)^2/2-$B$3504*(C4092)^3/6-(N(D26)*MAX(0,(C4092)-N(E26))^2/2+N(F26)*MAX(0,(C4092)-N(G26))^2/2+N(H26)*MAX(0,(C4092)-N(I26))^2/2+N(J26)*MAX(0,(C4092)-N(K26))^2/2+N(L26)*MAX(0,(C4092)-N(M26))^2/2)+$B$3507</f>
        <v>-57.9427083333333</v>
      </c>
    </row>
    <row r="4093" spans="1:5" hidden="1">
      <c r="A4093" s="3">
        <f t="shared" si="38"/>
        <v>0</v>
      </c>
      <c r="B4093" s="3">
        <f t="shared" si="39"/>
        <v>0</v>
      </c>
      <c r="C4093" s="3">
        <f t="shared" si="37"/>
        <v>0</v>
      </c>
      <c r="D4093" s="3">
        <f>$B$3505*(A4093)+$B$3506*(A4093)^2/2-$B$3504*(A4093)^3/6-(N(D26)*MAX(0,(A4093)-N(E26))^2/2+N(F26)*MAX(0,(A4093)-N(G26))^2/2+N(H26)*MAX(0,(A4093)-N(I26))^2/2+N(J26)*MAX(0,(A4093)-N(K26))^2/2+N(L26)*MAX(0,(A4093)-N(M26))^2/2)+$B$3507</f>
        <v>-57.9427083333333</v>
      </c>
      <c r="E4093" s="3">
        <f>$B$3505*(C4093)+$B$3506*(C4093)^2/2-$B$3504*(C4093)^3/6-(N(D26)*MAX(0,(C4093)-N(E26))^2/2+N(F26)*MAX(0,(C4093)-N(G26))^2/2+N(H26)*MAX(0,(C4093)-N(I26))^2/2+N(J26)*MAX(0,(C4093)-N(K26))^2/2+N(L26)*MAX(0,(C4093)-N(M26))^2/2)+$B$3507</f>
        <v>-57.9427083333333</v>
      </c>
    </row>
    <row r="4094" spans="1:5" hidden="1">
      <c r="A4094" s="3">
        <f t="shared" si="38"/>
        <v>0</v>
      </c>
      <c r="B4094" s="3">
        <f t="shared" si="39"/>
        <v>0</v>
      </c>
      <c r="C4094" s="3">
        <f t="shared" si="37"/>
        <v>0</v>
      </c>
      <c r="D4094" s="3">
        <f>$B$3505*(A4094)+$B$3506*(A4094)^2/2-$B$3504*(A4094)^3/6-(N(D26)*MAX(0,(A4094)-N(E26))^2/2+N(F26)*MAX(0,(A4094)-N(G26))^2/2+N(H26)*MAX(0,(A4094)-N(I26))^2/2+N(J26)*MAX(0,(A4094)-N(K26))^2/2+N(L26)*MAX(0,(A4094)-N(M26))^2/2)+$B$3507</f>
        <v>-57.9427083333333</v>
      </c>
      <c r="E4094" s="3">
        <f>$B$3505*(C4094)+$B$3506*(C4094)^2/2-$B$3504*(C4094)^3/6-(N(D26)*MAX(0,(C4094)-N(E26))^2/2+N(F26)*MAX(0,(C4094)-N(G26))^2/2+N(H26)*MAX(0,(C4094)-N(I26))^2/2+N(J26)*MAX(0,(C4094)-N(K26))^2/2+N(L26)*MAX(0,(C4094)-N(M26))^2/2)+$B$3507</f>
        <v>-57.9427083333333</v>
      </c>
    </row>
    <row r="4095" spans="1:5" hidden="1">
      <c r="A4095" s="3">
        <f t="shared" si="38"/>
        <v>0</v>
      </c>
      <c r="B4095" s="3">
        <f t="shared" si="39"/>
        <v>0</v>
      </c>
      <c r="C4095" s="3">
        <f t="shared" si="37"/>
        <v>0</v>
      </c>
      <c r="D4095" s="3">
        <f>$B$3505*(A4095)+$B$3506*(A4095)^2/2-$B$3504*(A4095)^3/6-(N(D26)*MAX(0,(A4095)-N(E26))^2/2+N(F26)*MAX(0,(A4095)-N(G26))^2/2+N(H26)*MAX(0,(A4095)-N(I26))^2/2+N(J26)*MAX(0,(A4095)-N(K26))^2/2+N(L26)*MAX(0,(A4095)-N(M26))^2/2)+$B$3507</f>
        <v>-57.9427083333333</v>
      </c>
      <c r="E4095" s="3">
        <f>$B$3505*(C4095)+$B$3506*(C4095)^2/2-$B$3504*(C4095)^3/6-(N(D26)*MAX(0,(C4095)-N(E26))^2/2+N(F26)*MAX(0,(C4095)-N(G26))^2/2+N(H26)*MAX(0,(C4095)-N(I26))^2/2+N(J26)*MAX(0,(C4095)-N(K26))^2/2+N(L26)*MAX(0,(C4095)-N(M26))^2/2)+$B$3507</f>
        <v>-57.9427083333333</v>
      </c>
    </row>
    <row r="4096" spans="1:5" hidden="1">
      <c r="A4096" s="3">
        <f t="shared" si="38"/>
        <v>0</v>
      </c>
      <c r="B4096" s="3">
        <f t="shared" si="39"/>
        <v>0</v>
      </c>
      <c r="C4096" s="3">
        <f t="shared" si="37"/>
        <v>0</v>
      </c>
      <c r="D4096" s="3">
        <f>$B$3505*(A4096)+$B$3506*(A4096)^2/2-$B$3504*(A4096)^3/6-(N(D26)*MAX(0,(A4096)-N(E26))^2/2+N(F26)*MAX(0,(A4096)-N(G26))^2/2+N(H26)*MAX(0,(A4096)-N(I26))^2/2+N(J26)*MAX(0,(A4096)-N(K26))^2/2+N(L26)*MAX(0,(A4096)-N(M26))^2/2)+$B$3507</f>
        <v>-57.9427083333333</v>
      </c>
      <c r="E4096" s="3">
        <f>$B$3505*(C4096)+$B$3506*(C4096)^2/2-$B$3504*(C4096)^3/6-(N(D26)*MAX(0,(C4096)-N(E26))^2/2+N(F26)*MAX(0,(C4096)-N(G26))^2/2+N(H26)*MAX(0,(C4096)-N(I26))^2/2+N(J26)*MAX(0,(C4096)-N(K26))^2/2+N(L26)*MAX(0,(C4096)-N(M26))^2/2)+$B$3507</f>
        <v>-57.9427083333333</v>
      </c>
    </row>
    <row r="4097" spans="1:5" hidden="1">
      <c r="A4097" s="3">
        <f t="shared" si="38"/>
        <v>0</v>
      </c>
      <c r="B4097" s="3">
        <f t="shared" si="39"/>
        <v>0</v>
      </c>
      <c r="C4097" s="3">
        <f t="shared" si="37"/>
        <v>0</v>
      </c>
      <c r="D4097" s="3">
        <f>$B$3505*(A4097)+$B$3506*(A4097)^2/2-$B$3504*(A4097)^3/6-(N(D26)*MAX(0,(A4097)-N(E26))^2/2+N(F26)*MAX(0,(A4097)-N(G26))^2/2+N(H26)*MAX(0,(A4097)-N(I26))^2/2+N(J26)*MAX(0,(A4097)-N(K26))^2/2+N(L26)*MAX(0,(A4097)-N(M26))^2/2)+$B$3507</f>
        <v>-57.9427083333333</v>
      </c>
      <c r="E4097" s="3">
        <f>$B$3505*(C4097)+$B$3506*(C4097)^2/2-$B$3504*(C4097)^3/6-(N(D26)*MAX(0,(C4097)-N(E26))^2/2+N(F26)*MAX(0,(C4097)-N(G26))^2/2+N(H26)*MAX(0,(C4097)-N(I26))^2/2+N(J26)*MAX(0,(C4097)-N(K26))^2/2+N(L26)*MAX(0,(C4097)-N(M26))^2/2)+$B$3507</f>
        <v>-57.9427083333333</v>
      </c>
    </row>
    <row r="4098" spans="1:5" hidden="1">
      <c r="A4098" s="3">
        <f t="shared" si="38"/>
        <v>0</v>
      </c>
      <c r="B4098" s="3">
        <f t="shared" si="39"/>
        <v>0</v>
      </c>
      <c r="C4098" s="3">
        <f t="shared" si="37"/>
        <v>0</v>
      </c>
      <c r="D4098" s="3">
        <f>$B$3505*(A4098)+$B$3506*(A4098)^2/2-$B$3504*(A4098)^3/6-(N(D26)*MAX(0,(A4098)-N(E26))^2/2+N(F26)*MAX(0,(A4098)-N(G26))^2/2+N(H26)*MAX(0,(A4098)-N(I26))^2/2+N(J26)*MAX(0,(A4098)-N(K26))^2/2+N(L26)*MAX(0,(A4098)-N(M26))^2/2)+$B$3507</f>
        <v>-57.9427083333333</v>
      </c>
      <c r="E4098" s="3">
        <f>$B$3505*(C4098)+$B$3506*(C4098)^2/2-$B$3504*(C4098)^3/6-(N(D26)*MAX(0,(C4098)-N(E26))^2/2+N(F26)*MAX(0,(C4098)-N(G26))^2/2+N(H26)*MAX(0,(C4098)-N(I26))^2/2+N(J26)*MAX(0,(C4098)-N(K26))^2/2+N(L26)*MAX(0,(C4098)-N(M26))^2/2)+$B$3507</f>
        <v>-57.9427083333333</v>
      </c>
    </row>
    <row r="4099" spans="1:5" hidden="1">
      <c r="A4099" s="3">
        <f t="shared" si="38"/>
        <v>0</v>
      </c>
      <c r="B4099" s="3">
        <f t="shared" si="39"/>
        <v>0</v>
      </c>
      <c r="C4099" s="3">
        <f t="shared" si="37"/>
        <v>0</v>
      </c>
      <c r="D4099" s="3">
        <f>$B$3505*(A4099)+$B$3506*(A4099)^2/2-$B$3504*(A4099)^3/6-(N(D26)*MAX(0,(A4099)-N(E26))^2/2+N(F26)*MAX(0,(A4099)-N(G26))^2/2+N(H26)*MAX(0,(A4099)-N(I26))^2/2+N(J26)*MAX(0,(A4099)-N(K26))^2/2+N(L26)*MAX(0,(A4099)-N(M26))^2/2)+$B$3507</f>
        <v>-57.9427083333333</v>
      </c>
      <c r="E4099" s="3">
        <f>$B$3505*(C4099)+$B$3506*(C4099)^2/2-$B$3504*(C4099)^3/6-(N(D26)*MAX(0,(C4099)-N(E26))^2/2+N(F26)*MAX(0,(C4099)-N(G26))^2/2+N(H26)*MAX(0,(C4099)-N(I26))^2/2+N(J26)*MAX(0,(C4099)-N(K26))^2/2+N(L26)*MAX(0,(C4099)-N(M26))^2/2)+$B$3507</f>
        <v>-57.9427083333333</v>
      </c>
    </row>
    <row r="4100" spans="1:5" hidden="1">
      <c r="A4100" s="3">
        <f t="shared" si="38"/>
        <v>0</v>
      </c>
      <c r="B4100" s="3">
        <f t="shared" si="39"/>
        <v>0</v>
      </c>
      <c r="C4100" s="3">
        <f t="shared" si="37"/>
        <v>0</v>
      </c>
      <c r="D4100" s="3">
        <f>$B$3505*(A4100)+$B$3506*(A4100)^2/2-$B$3504*(A4100)^3/6-(N(D26)*MAX(0,(A4100)-N(E26))^2/2+N(F26)*MAX(0,(A4100)-N(G26))^2/2+N(H26)*MAX(0,(A4100)-N(I26))^2/2+N(J26)*MAX(0,(A4100)-N(K26))^2/2+N(L26)*MAX(0,(A4100)-N(M26))^2/2)+$B$3507</f>
        <v>-57.9427083333333</v>
      </c>
      <c r="E4100" s="3">
        <f>$B$3505*(C4100)+$B$3506*(C4100)^2/2-$B$3504*(C4100)^3/6-(N(D26)*MAX(0,(C4100)-N(E26))^2/2+N(F26)*MAX(0,(C4100)-N(G26))^2/2+N(H26)*MAX(0,(C4100)-N(I26))^2/2+N(J26)*MAX(0,(C4100)-N(K26))^2/2+N(L26)*MAX(0,(C4100)-N(M26))^2/2)+$B$3507</f>
        <v>-57.9427083333333</v>
      </c>
    </row>
    <row r="4101" spans="1:5" hidden="1">
      <c r="A4101" s="3">
        <f t="shared" si="38"/>
        <v>0</v>
      </c>
      <c r="B4101" s="3">
        <f t="shared" si="39"/>
        <v>0</v>
      </c>
      <c r="C4101" s="3">
        <f t="shared" si="37"/>
        <v>0</v>
      </c>
      <c r="D4101" s="3">
        <f>$B$3505*(A4101)+$B$3506*(A4101)^2/2-$B$3504*(A4101)^3/6-(N(D26)*MAX(0,(A4101)-N(E26))^2/2+N(F26)*MAX(0,(A4101)-N(G26))^2/2+N(H26)*MAX(0,(A4101)-N(I26))^2/2+N(J26)*MAX(0,(A4101)-N(K26))^2/2+N(L26)*MAX(0,(A4101)-N(M26))^2/2)+$B$3507</f>
        <v>-57.9427083333333</v>
      </c>
      <c r="E4101" s="3">
        <f>$B$3505*(C4101)+$B$3506*(C4101)^2/2-$B$3504*(C4101)^3/6-(N(D26)*MAX(0,(C4101)-N(E26))^2/2+N(F26)*MAX(0,(C4101)-N(G26))^2/2+N(H26)*MAX(0,(C4101)-N(I26))^2/2+N(J26)*MAX(0,(C4101)-N(K26))^2/2+N(L26)*MAX(0,(C4101)-N(M26))^2/2)+$B$3507</f>
        <v>-57.9427083333333</v>
      </c>
    </row>
    <row r="4102" spans="1:5" hidden="1">
      <c r="A4102" s="3">
        <f t="shared" si="38"/>
        <v>0</v>
      </c>
      <c r="B4102" s="3">
        <f t="shared" si="39"/>
        <v>0</v>
      </c>
      <c r="C4102" s="3">
        <f t="shared" si="37"/>
        <v>0</v>
      </c>
      <c r="D4102" s="3">
        <f>$B$3505*(A4102)+$B$3506*(A4102)^2/2-$B$3504*(A4102)^3/6-(N(D26)*MAX(0,(A4102)-N(E26))^2/2+N(F26)*MAX(0,(A4102)-N(G26))^2/2+N(H26)*MAX(0,(A4102)-N(I26))^2/2+N(J26)*MAX(0,(A4102)-N(K26))^2/2+N(L26)*MAX(0,(A4102)-N(M26))^2/2)+$B$3507</f>
        <v>-57.9427083333333</v>
      </c>
      <c r="E4102" s="3">
        <f>$B$3505*(C4102)+$B$3506*(C4102)^2/2-$B$3504*(C4102)^3/6-(N(D26)*MAX(0,(C4102)-N(E26))^2/2+N(F26)*MAX(0,(C4102)-N(G26))^2/2+N(H26)*MAX(0,(C4102)-N(I26))^2/2+N(J26)*MAX(0,(C4102)-N(K26))^2/2+N(L26)*MAX(0,(C4102)-N(M26))^2/2)+$B$3507</f>
        <v>-57.9427083333333</v>
      </c>
    </row>
    <row r="4103" spans="1:5" hidden="1">
      <c r="A4103" s="3">
        <f t="shared" si="38"/>
        <v>0</v>
      </c>
      <c r="B4103" s="3">
        <f t="shared" si="39"/>
        <v>0</v>
      </c>
      <c r="C4103" s="3">
        <f t="shared" si="37"/>
        <v>0</v>
      </c>
      <c r="D4103" s="3">
        <f>$B$3505*(A4103)+$B$3506*(A4103)^2/2-$B$3504*(A4103)^3/6-(N(D26)*MAX(0,(A4103)-N(E26))^2/2+N(F26)*MAX(0,(A4103)-N(G26))^2/2+N(H26)*MAX(0,(A4103)-N(I26))^2/2+N(J26)*MAX(0,(A4103)-N(K26))^2/2+N(L26)*MAX(0,(A4103)-N(M26))^2/2)+$B$3507</f>
        <v>-57.9427083333333</v>
      </c>
      <c r="E4103" s="3">
        <f>$B$3505*(C4103)+$B$3506*(C4103)^2/2-$B$3504*(C4103)^3/6-(N(D26)*MAX(0,(C4103)-N(E26))^2/2+N(F26)*MAX(0,(C4103)-N(G26))^2/2+N(H26)*MAX(0,(C4103)-N(I26))^2/2+N(J26)*MAX(0,(C4103)-N(K26))^2/2+N(L26)*MAX(0,(C4103)-N(M26))^2/2)+$B$3507</f>
        <v>-57.9427083333333</v>
      </c>
    </row>
    <row r="4104" spans="1:5" hidden="1">
      <c r="A4104" s="3">
        <f t="shared" si="38"/>
        <v>0</v>
      </c>
      <c r="B4104" s="3">
        <f t="shared" si="39"/>
        <v>0</v>
      </c>
      <c r="C4104" s="3">
        <f t="shared" si="37"/>
        <v>0</v>
      </c>
      <c r="D4104" s="3">
        <f>$B$3505*(A4104)+$B$3506*(A4104)^2/2-$B$3504*(A4104)^3/6-(N(D26)*MAX(0,(A4104)-N(E26))^2/2+N(F26)*MAX(0,(A4104)-N(G26))^2/2+N(H26)*MAX(0,(A4104)-N(I26))^2/2+N(J26)*MAX(0,(A4104)-N(K26))^2/2+N(L26)*MAX(0,(A4104)-N(M26))^2/2)+$B$3507</f>
        <v>-57.9427083333333</v>
      </c>
      <c r="E4104" s="3">
        <f>$B$3505*(C4104)+$B$3506*(C4104)^2/2-$B$3504*(C4104)^3/6-(N(D26)*MAX(0,(C4104)-N(E26))^2/2+N(F26)*MAX(0,(C4104)-N(G26))^2/2+N(H26)*MAX(0,(C4104)-N(I26))^2/2+N(J26)*MAX(0,(C4104)-N(K26))^2/2+N(L26)*MAX(0,(C4104)-N(M26))^2/2)+$B$3507</f>
        <v>-57.9427083333333</v>
      </c>
    </row>
    <row r="4105" spans="1:5" hidden="1">
      <c r="A4105" s="3">
        <f t="shared" si="38"/>
        <v>0</v>
      </c>
      <c r="B4105" s="3">
        <f t="shared" si="39"/>
        <v>0</v>
      </c>
      <c r="C4105" s="3">
        <f t="shared" si="37"/>
        <v>0</v>
      </c>
      <c r="D4105" s="3">
        <f>$B$3505*(A4105)+$B$3506*(A4105)^2/2-$B$3504*(A4105)^3/6-(N(D26)*MAX(0,(A4105)-N(E26))^2/2+N(F26)*MAX(0,(A4105)-N(G26))^2/2+N(H26)*MAX(0,(A4105)-N(I26))^2/2+N(J26)*MAX(0,(A4105)-N(K26))^2/2+N(L26)*MAX(0,(A4105)-N(M26))^2/2)+$B$3507</f>
        <v>-57.9427083333333</v>
      </c>
      <c r="E4105" s="3">
        <f>$B$3505*(C4105)+$B$3506*(C4105)^2/2-$B$3504*(C4105)^3/6-(N(D26)*MAX(0,(C4105)-N(E26))^2/2+N(F26)*MAX(0,(C4105)-N(G26))^2/2+N(H26)*MAX(0,(C4105)-N(I26))^2/2+N(J26)*MAX(0,(C4105)-N(K26))^2/2+N(L26)*MAX(0,(C4105)-N(M26))^2/2)+$B$3507</f>
        <v>-57.9427083333333</v>
      </c>
    </row>
    <row r="4106" spans="1:5" hidden="1"/>
    <row r="4107" spans="1:5" hidden="1">
      <c r="A4107" s="3">
        <f>B3552</f>
        <v>0</v>
      </c>
      <c r="B4107" s="3">
        <f>IF(($B$3505*(B3552)+$B$3506*(B3552)^2/2-$B$3504*(B3552)^3/6-(N(D26)*MAX(0,(B3552)-N(E26))^2/2+N(F26)*MAX(0,(B3552)-N(G26))^2/2+N(H26)*MAX(0,(B3552)-N(I26))^2/2+N(J26)*MAX(0,(B3552)-N(K26))^2/2+N(L26)*MAX(0,(B3552)-N(M26))^2/2)+$B$3507)*($B$3505*(B3553)+$B$3506*(B3553)^2/2-$B$3504*(B3553)^3/6-(N(D26)*MAX(0,(B3553)-N(E26))^2/2+N(F26)*MAX(0,(B3553)-N(G26))^2/2+N(H26)*MAX(0,(B3553)-N(I26))^2/2+N(J26)*MAX(0,(B3553)-N(K26))^2/2+N(L26)*MAX(0,(B3553)-N(M26))^2/2)+$B$3507)&lt;=0,B3553,B3552)</f>
        <v>0</v>
      </c>
      <c r="C4107" s="3">
        <f t="shared" ref="C4107:C4151" si="40">(A4107+B4107)/2</f>
        <v>0</v>
      </c>
      <c r="D4107" s="3">
        <f>$B$3505*(A4107)+$B$3506*(A4107)^2/2-$B$3504*(A4107)^3/6-(N(D26)*MAX(0,(A4107)-N(E26))^2/2+N(F26)*MAX(0,(A4107)-N(G26))^2/2+N(H26)*MAX(0,(A4107)-N(I26))^2/2+N(J26)*MAX(0,(A4107)-N(K26))^2/2+N(L26)*MAX(0,(A4107)-N(M26))^2/2)+$B$3507</f>
        <v>-57.9427083333333</v>
      </c>
      <c r="E4107" s="3">
        <f>$B$3505*(C4107)+$B$3506*(C4107)^2/2-$B$3504*(C4107)^3/6-(N(D26)*MAX(0,(C4107)-N(E26))^2/2+N(F26)*MAX(0,(C4107)-N(G26))^2/2+N(H26)*MAX(0,(C4107)-N(I26))^2/2+N(J26)*MAX(0,(C4107)-N(K26))^2/2+N(L26)*MAX(0,(C4107)-N(M26))^2/2)+$B$3507</f>
        <v>-57.9427083333333</v>
      </c>
    </row>
    <row r="4108" spans="1:5" hidden="1">
      <c r="A4108" s="3">
        <f t="shared" ref="A4108:A4151" si="41">IF(D4107*E4107&lt;=0,A4107,C4107)</f>
        <v>0</v>
      </c>
      <c r="B4108" s="3">
        <f t="shared" ref="B4108:B4151" si="42">IF(D4107*E4107&lt;=0,C4107,B4107)</f>
        <v>0</v>
      </c>
      <c r="C4108" s="3">
        <f t="shared" si="40"/>
        <v>0</v>
      </c>
      <c r="D4108" s="3">
        <f>$B$3505*(A4108)+$B$3506*(A4108)^2/2-$B$3504*(A4108)^3/6-(N(D26)*MAX(0,(A4108)-N(E26))^2/2+N(F26)*MAX(0,(A4108)-N(G26))^2/2+N(H26)*MAX(0,(A4108)-N(I26))^2/2+N(J26)*MAX(0,(A4108)-N(K26))^2/2+N(L26)*MAX(0,(A4108)-N(M26))^2/2)+$B$3507</f>
        <v>-57.9427083333333</v>
      </c>
      <c r="E4108" s="3">
        <f>$B$3505*(C4108)+$B$3506*(C4108)^2/2-$B$3504*(C4108)^3/6-(N(D26)*MAX(0,(C4108)-N(E26))^2/2+N(F26)*MAX(0,(C4108)-N(G26))^2/2+N(H26)*MAX(0,(C4108)-N(I26))^2/2+N(J26)*MAX(0,(C4108)-N(K26))^2/2+N(L26)*MAX(0,(C4108)-N(M26))^2/2)+$B$3507</f>
        <v>-57.9427083333333</v>
      </c>
    </row>
    <row r="4109" spans="1:5" hidden="1">
      <c r="A4109" s="3">
        <f t="shared" si="41"/>
        <v>0</v>
      </c>
      <c r="B4109" s="3">
        <f t="shared" si="42"/>
        <v>0</v>
      </c>
      <c r="C4109" s="3">
        <f t="shared" si="40"/>
        <v>0</v>
      </c>
      <c r="D4109" s="3">
        <f>$B$3505*(A4109)+$B$3506*(A4109)^2/2-$B$3504*(A4109)^3/6-(N(D26)*MAX(0,(A4109)-N(E26))^2/2+N(F26)*MAX(0,(A4109)-N(G26))^2/2+N(H26)*MAX(0,(A4109)-N(I26))^2/2+N(J26)*MAX(0,(A4109)-N(K26))^2/2+N(L26)*MAX(0,(A4109)-N(M26))^2/2)+$B$3507</f>
        <v>-57.9427083333333</v>
      </c>
      <c r="E4109" s="3">
        <f>$B$3505*(C4109)+$B$3506*(C4109)^2/2-$B$3504*(C4109)^3/6-(N(D26)*MAX(0,(C4109)-N(E26))^2/2+N(F26)*MAX(0,(C4109)-N(G26))^2/2+N(H26)*MAX(0,(C4109)-N(I26))^2/2+N(J26)*MAX(0,(C4109)-N(K26))^2/2+N(L26)*MAX(0,(C4109)-N(M26))^2/2)+$B$3507</f>
        <v>-57.9427083333333</v>
      </c>
    </row>
    <row r="4110" spans="1:5" hidden="1">
      <c r="A4110" s="3">
        <f t="shared" si="41"/>
        <v>0</v>
      </c>
      <c r="B4110" s="3">
        <f t="shared" si="42"/>
        <v>0</v>
      </c>
      <c r="C4110" s="3">
        <f t="shared" si="40"/>
        <v>0</v>
      </c>
      <c r="D4110" s="3">
        <f>$B$3505*(A4110)+$B$3506*(A4110)^2/2-$B$3504*(A4110)^3/6-(N(D26)*MAX(0,(A4110)-N(E26))^2/2+N(F26)*MAX(0,(A4110)-N(G26))^2/2+N(H26)*MAX(0,(A4110)-N(I26))^2/2+N(J26)*MAX(0,(A4110)-N(K26))^2/2+N(L26)*MAX(0,(A4110)-N(M26))^2/2)+$B$3507</f>
        <v>-57.9427083333333</v>
      </c>
      <c r="E4110" s="3">
        <f>$B$3505*(C4110)+$B$3506*(C4110)^2/2-$B$3504*(C4110)^3/6-(N(D26)*MAX(0,(C4110)-N(E26))^2/2+N(F26)*MAX(0,(C4110)-N(G26))^2/2+N(H26)*MAX(0,(C4110)-N(I26))^2/2+N(J26)*MAX(0,(C4110)-N(K26))^2/2+N(L26)*MAX(0,(C4110)-N(M26))^2/2)+$B$3507</f>
        <v>-57.9427083333333</v>
      </c>
    </row>
    <row r="4111" spans="1:5" hidden="1">
      <c r="A4111" s="3">
        <f t="shared" si="41"/>
        <v>0</v>
      </c>
      <c r="B4111" s="3">
        <f t="shared" si="42"/>
        <v>0</v>
      </c>
      <c r="C4111" s="3">
        <f t="shared" si="40"/>
        <v>0</v>
      </c>
      <c r="D4111" s="3">
        <f>$B$3505*(A4111)+$B$3506*(A4111)^2/2-$B$3504*(A4111)^3/6-(N(D26)*MAX(0,(A4111)-N(E26))^2/2+N(F26)*MAX(0,(A4111)-N(G26))^2/2+N(H26)*MAX(0,(A4111)-N(I26))^2/2+N(J26)*MAX(0,(A4111)-N(K26))^2/2+N(L26)*MAX(0,(A4111)-N(M26))^2/2)+$B$3507</f>
        <v>-57.9427083333333</v>
      </c>
      <c r="E4111" s="3">
        <f>$B$3505*(C4111)+$B$3506*(C4111)^2/2-$B$3504*(C4111)^3/6-(N(D26)*MAX(0,(C4111)-N(E26))^2/2+N(F26)*MAX(0,(C4111)-N(G26))^2/2+N(H26)*MAX(0,(C4111)-N(I26))^2/2+N(J26)*MAX(0,(C4111)-N(K26))^2/2+N(L26)*MAX(0,(C4111)-N(M26))^2/2)+$B$3507</f>
        <v>-57.9427083333333</v>
      </c>
    </row>
    <row r="4112" spans="1:5" hidden="1">
      <c r="A4112" s="3">
        <f t="shared" si="41"/>
        <v>0</v>
      </c>
      <c r="B4112" s="3">
        <f t="shared" si="42"/>
        <v>0</v>
      </c>
      <c r="C4112" s="3">
        <f t="shared" si="40"/>
        <v>0</v>
      </c>
      <c r="D4112" s="3">
        <f>$B$3505*(A4112)+$B$3506*(A4112)^2/2-$B$3504*(A4112)^3/6-(N(D26)*MAX(0,(A4112)-N(E26))^2/2+N(F26)*MAX(0,(A4112)-N(G26))^2/2+N(H26)*MAX(0,(A4112)-N(I26))^2/2+N(J26)*MAX(0,(A4112)-N(K26))^2/2+N(L26)*MAX(0,(A4112)-N(M26))^2/2)+$B$3507</f>
        <v>-57.9427083333333</v>
      </c>
      <c r="E4112" s="3">
        <f>$B$3505*(C4112)+$B$3506*(C4112)^2/2-$B$3504*(C4112)^3/6-(N(D26)*MAX(0,(C4112)-N(E26))^2/2+N(F26)*MAX(0,(C4112)-N(G26))^2/2+N(H26)*MAX(0,(C4112)-N(I26))^2/2+N(J26)*MAX(0,(C4112)-N(K26))^2/2+N(L26)*MAX(0,(C4112)-N(M26))^2/2)+$B$3507</f>
        <v>-57.9427083333333</v>
      </c>
    </row>
    <row r="4113" spans="1:5" hidden="1">
      <c r="A4113" s="3">
        <f t="shared" si="41"/>
        <v>0</v>
      </c>
      <c r="B4113" s="3">
        <f t="shared" si="42"/>
        <v>0</v>
      </c>
      <c r="C4113" s="3">
        <f t="shared" si="40"/>
        <v>0</v>
      </c>
      <c r="D4113" s="3">
        <f>$B$3505*(A4113)+$B$3506*(A4113)^2/2-$B$3504*(A4113)^3/6-(N(D26)*MAX(0,(A4113)-N(E26))^2/2+N(F26)*MAX(0,(A4113)-N(G26))^2/2+N(H26)*MAX(0,(A4113)-N(I26))^2/2+N(J26)*MAX(0,(A4113)-N(K26))^2/2+N(L26)*MAX(0,(A4113)-N(M26))^2/2)+$B$3507</f>
        <v>-57.9427083333333</v>
      </c>
      <c r="E4113" s="3">
        <f>$B$3505*(C4113)+$B$3506*(C4113)^2/2-$B$3504*(C4113)^3/6-(N(D26)*MAX(0,(C4113)-N(E26))^2/2+N(F26)*MAX(0,(C4113)-N(G26))^2/2+N(H26)*MAX(0,(C4113)-N(I26))^2/2+N(J26)*MAX(0,(C4113)-N(K26))^2/2+N(L26)*MAX(0,(C4113)-N(M26))^2/2)+$B$3507</f>
        <v>-57.9427083333333</v>
      </c>
    </row>
    <row r="4114" spans="1:5" hidden="1">
      <c r="A4114" s="3">
        <f t="shared" si="41"/>
        <v>0</v>
      </c>
      <c r="B4114" s="3">
        <f t="shared" si="42"/>
        <v>0</v>
      </c>
      <c r="C4114" s="3">
        <f t="shared" si="40"/>
        <v>0</v>
      </c>
      <c r="D4114" s="3">
        <f>$B$3505*(A4114)+$B$3506*(A4114)^2/2-$B$3504*(A4114)^3/6-(N(D26)*MAX(0,(A4114)-N(E26))^2/2+N(F26)*MAX(0,(A4114)-N(G26))^2/2+N(H26)*MAX(0,(A4114)-N(I26))^2/2+N(J26)*MAX(0,(A4114)-N(K26))^2/2+N(L26)*MAX(0,(A4114)-N(M26))^2/2)+$B$3507</f>
        <v>-57.9427083333333</v>
      </c>
      <c r="E4114" s="3">
        <f>$B$3505*(C4114)+$B$3506*(C4114)^2/2-$B$3504*(C4114)^3/6-(N(D26)*MAX(0,(C4114)-N(E26))^2/2+N(F26)*MAX(0,(C4114)-N(G26))^2/2+N(H26)*MAX(0,(C4114)-N(I26))^2/2+N(J26)*MAX(0,(C4114)-N(K26))^2/2+N(L26)*MAX(0,(C4114)-N(M26))^2/2)+$B$3507</f>
        <v>-57.9427083333333</v>
      </c>
    </row>
    <row r="4115" spans="1:5" hidden="1">
      <c r="A4115" s="3">
        <f t="shared" si="41"/>
        <v>0</v>
      </c>
      <c r="B4115" s="3">
        <f t="shared" si="42"/>
        <v>0</v>
      </c>
      <c r="C4115" s="3">
        <f t="shared" si="40"/>
        <v>0</v>
      </c>
      <c r="D4115" s="3">
        <f>$B$3505*(A4115)+$B$3506*(A4115)^2/2-$B$3504*(A4115)^3/6-(N(D26)*MAX(0,(A4115)-N(E26))^2/2+N(F26)*MAX(0,(A4115)-N(G26))^2/2+N(H26)*MAX(0,(A4115)-N(I26))^2/2+N(J26)*MAX(0,(A4115)-N(K26))^2/2+N(L26)*MAX(0,(A4115)-N(M26))^2/2)+$B$3507</f>
        <v>-57.9427083333333</v>
      </c>
      <c r="E4115" s="3">
        <f>$B$3505*(C4115)+$B$3506*(C4115)^2/2-$B$3504*(C4115)^3/6-(N(D26)*MAX(0,(C4115)-N(E26))^2/2+N(F26)*MAX(0,(C4115)-N(G26))^2/2+N(H26)*MAX(0,(C4115)-N(I26))^2/2+N(J26)*MAX(0,(C4115)-N(K26))^2/2+N(L26)*MAX(0,(C4115)-N(M26))^2/2)+$B$3507</f>
        <v>-57.9427083333333</v>
      </c>
    </row>
    <row r="4116" spans="1:5" hidden="1">
      <c r="A4116" s="3">
        <f t="shared" si="41"/>
        <v>0</v>
      </c>
      <c r="B4116" s="3">
        <f t="shared" si="42"/>
        <v>0</v>
      </c>
      <c r="C4116" s="3">
        <f t="shared" si="40"/>
        <v>0</v>
      </c>
      <c r="D4116" s="3">
        <f>$B$3505*(A4116)+$B$3506*(A4116)^2/2-$B$3504*(A4116)^3/6-(N(D26)*MAX(0,(A4116)-N(E26))^2/2+N(F26)*MAX(0,(A4116)-N(G26))^2/2+N(H26)*MAX(0,(A4116)-N(I26))^2/2+N(J26)*MAX(0,(A4116)-N(K26))^2/2+N(L26)*MAX(0,(A4116)-N(M26))^2/2)+$B$3507</f>
        <v>-57.9427083333333</v>
      </c>
      <c r="E4116" s="3">
        <f>$B$3505*(C4116)+$B$3506*(C4116)^2/2-$B$3504*(C4116)^3/6-(N(D26)*MAX(0,(C4116)-N(E26))^2/2+N(F26)*MAX(0,(C4116)-N(G26))^2/2+N(H26)*MAX(0,(C4116)-N(I26))^2/2+N(J26)*MAX(0,(C4116)-N(K26))^2/2+N(L26)*MAX(0,(C4116)-N(M26))^2/2)+$B$3507</f>
        <v>-57.9427083333333</v>
      </c>
    </row>
    <row r="4117" spans="1:5" hidden="1">
      <c r="A4117" s="3">
        <f t="shared" si="41"/>
        <v>0</v>
      </c>
      <c r="B4117" s="3">
        <f t="shared" si="42"/>
        <v>0</v>
      </c>
      <c r="C4117" s="3">
        <f t="shared" si="40"/>
        <v>0</v>
      </c>
      <c r="D4117" s="3">
        <f>$B$3505*(A4117)+$B$3506*(A4117)^2/2-$B$3504*(A4117)^3/6-(N(D26)*MAX(0,(A4117)-N(E26))^2/2+N(F26)*MAX(0,(A4117)-N(G26))^2/2+N(H26)*MAX(0,(A4117)-N(I26))^2/2+N(J26)*MAX(0,(A4117)-N(K26))^2/2+N(L26)*MAX(0,(A4117)-N(M26))^2/2)+$B$3507</f>
        <v>-57.9427083333333</v>
      </c>
      <c r="E4117" s="3">
        <f>$B$3505*(C4117)+$B$3506*(C4117)^2/2-$B$3504*(C4117)^3/6-(N(D26)*MAX(0,(C4117)-N(E26))^2/2+N(F26)*MAX(0,(C4117)-N(G26))^2/2+N(H26)*MAX(0,(C4117)-N(I26))^2/2+N(J26)*MAX(0,(C4117)-N(K26))^2/2+N(L26)*MAX(0,(C4117)-N(M26))^2/2)+$B$3507</f>
        <v>-57.9427083333333</v>
      </c>
    </row>
    <row r="4118" spans="1:5" hidden="1">
      <c r="A4118" s="3">
        <f t="shared" si="41"/>
        <v>0</v>
      </c>
      <c r="B4118" s="3">
        <f t="shared" si="42"/>
        <v>0</v>
      </c>
      <c r="C4118" s="3">
        <f t="shared" si="40"/>
        <v>0</v>
      </c>
      <c r="D4118" s="3">
        <f>$B$3505*(A4118)+$B$3506*(A4118)^2/2-$B$3504*(A4118)^3/6-(N(D26)*MAX(0,(A4118)-N(E26))^2/2+N(F26)*MAX(0,(A4118)-N(G26))^2/2+N(H26)*MAX(0,(A4118)-N(I26))^2/2+N(J26)*MAX(0,(A4118)-N(K26))^2/2+N(L26)*MAX(0,(A4118)-N(M26))^2/2)+$B$3507</f>
        <v>-57.9427083333333</v>
      </c>
      <c r="E4118" s="3">
        <f>$B$3505*(C4118)+$B$3506*(C4118)^2/2-$B$3504*(C4118)^3/6-(N(D26)*MAX(0,(C4118)-N(E26))^2/2+N(F26)*MAX(0,(C4118)-N(G26))^2/2+N(H26)*MAX(0,(C4118)-N(I26))^2/2+N(J26)*MAX(0,(C4118)-N(K26))^2/2+N(L26)*MAX(0,(C4118)-N(M26))^2/2)+$B$3507</f>
        <v>-57.9427083333333</v>
      </c>
    </row>
    <row r="4119" spans="1:5" hidden="1">
      <c r="A4119" s="3">
        <f t="shared" si="41"/>
        <v>0</v>
      </c>
      <c r="B4119" s="3">
        <f t="shared" si="42"/>
        <v>0</v>
      </c>
      <c r="C4119" s="3">
        <f t="shared" si="40"/>
        <v>0</v>
      </c>
      <c r="D4119" s="3">
        <f>$B$3505*(A4119)+$B$3506*(A4119)^2/2-$B$3504*(A4119)^3/6-(N(D26)*MAX(0,(A4119)-N(E26))^2/2+N(F26)*MAX(0,(A4119)-N(G26))^2/2+N(H26)*MAX(0,(A4119)-N(I26))^2/2+N(J26)*MAX(0,(A4119)-N(K26))^2/2+N(L26)*MAX(0,(A4119)-N(M26))^2/2)+$B$3507</f>
        <v>-57.9427083333333</v>
      </c>
      <c r="E4119" s="3">
        <f>$B$3505*(C4119)+$B$3506*(C4119)^2/2-$B$3504*(C4119)^3/6-(N(D26)*MAX(0,(C4119)-N(E26))^2/2+N(F26)*MAX(0,(C4119)-N(G26))^2/2+N(H26)*MAX(0,(C4119)-N(I26))^2/2+N(J26)*MAX(0,(C4119)-N(K26))^2/2+N(L26)*MAX(0,(C4119)-N(M26))^2/2)+$B$3507</f>
        <v>-57.9427083333333</v>
      </c>
    </row>
    <row r="4120" spans="1:5" hidden="1">
      <c r="A4120" s="3">
        <f t="shared" si="41"/>
        <v>0</v>
      </c>
      <c r="B4120" s="3">
        <f t="shared" si="42"/>
        <v>0</v>
      </c>
      <c r="C4120" s="3">
        <f t="shared" si="40"/>
        <v>0</v>
      </c>
      <c r="D4120" s="3">
        <f>$B$3505*(A4120)+$B$3506*(A4120)^2/2-$B$3504*(A4120)^3/6-(N(D26)*MAX(0,(A4120)-N(E26))^2/2+N(F26)*MAX(0,(A4120)-N(G26))^2/2+N(H26)*MAX(0,(A4120)-N(I26))^2/2+N(J26)*MAX(0,(A4120)-N(K26))^2/2+N(L26)*MAX(0,(A4120)-N(M26))^2/2)+$B$3507</f>
        <v>-57.9427083333333</v>
      </c>
      <c r="E4120" s="3">
        <f>$B$3505*(C4120)+$B$3506*(C4120)^2/2-$B$3504*(C4120)^3/6-(N(D26)*MAX(0,(C4120)-N(E26))^2/2+N(F26)*MAX(0,(C4120)-N(G26))^2/2+N(H26)*MAX(0,(C4120)-N(I26))^2/2+N(J26)*MAX(0,(C4120)-N(K26))^2/2+N(L26)*MAX(0,(C4120)-N(M26))^2/2)+$B$3507</f>
        <v>-57.9427083333333</v>
      </c>
    </row>
    <row r="4121" spans="1:5" hidden="1">
      <c r="A4121" s="3">
        <f t="shared" si="41"/>
        <v>0</v>
      </c>
      <c r="B4121" s="3">
        <f t="shared" si="42"/>
        <v>0</v>
      </c>
      <c r="C4121" s="3">
        <f t="shared" si="40"/>
        <v>0</v>
      </c>
      <c r="D4121" s="3">
        <f>$B$3505*(A4121)+$B$3506*(A4121)^2/2-$B$3504*(A4121)^3/6-(N(D26)*MAX(0,(A4121)-N(E26))^2/2+N(F26)*MAX(0,(A4121)-N(G26))^2/2+N(H26)*MAX(0,(A4121)-N(I26))^2/2+N(J26)*MAX(0,(A4121)-N(K26))^2/2+N(L26)*MAX(0,(A4121)-N(M26))^2/2)+$B$3507</f>
        <v>-57.9427083333333</v>
      </c>
      <c r="E4121" s="3">
        <f>$B$3505*(C4121)+$B$3506*(C4121)^2/2-$B$3504*(C4121)^3/6-(N(D26)*MAX(0,(C4121)-N(E26))^2/2+N(F26)*MAX(0,(C4121)-N(G26))^2/2+N(H26)*MAX(0,(C4121)-N(I26))^2/2+N(J26)*MAX(0,(C4121)-N(K26))^2/2+N(L26)*MAX(0,(C4121)-N(M26))^2/2)+$B$3507</f>
        <v>-57.9427083333333</v>
      </c>
    </row>
    <row r="4122" spans="1:5" hidden="1">
      <c r="A4122" s="3">
        <f t="shared" si="41"/>
        <v>0</v>
      </c>
      <c r="B4122" s="3">
        <f t="shared" si="42"/>
        <v>0</v>
      </c>
      <c r="C4122" s="3">
        <f t="shared" si="40"/>
        <v>0</v>
      </c>
      <c r="D4122" s="3">
        <f>$B$3505*(A4122)+$B$3506*(A4122)^2/2-$B$3504*(A4122)^3/6-(N(D26)*MAX(0,(A4122)-N(E26))^2/2+N(F26)*MAX(0,(A4122)-N(G26))^2/2+N(H26)*MAX(0,(A4122)-N(I26))^2/2+N(J26)*MAX(0,(A4122)-N(K26))^2/2+N(L26)*MAX(0,(A4122)-N(M26))^2/2)+$B$3507</f>
        <v>-57.9427083333333</v>
      </c>
      <c r="E4122" s="3">
        <f>$B$3505*(C4122)+$B$3506*(C4122)^2/2-$B$3504*(C4122)^3/6-(N(D26)*MAX(0,(C4122)-N(E26))^2/2+N(F26)*MAX(0,(C4122)-N(G26))^2/2+N(H26)*MAX(0,(C4122)-N(I26))^2/2+N(J26)*MAX(0,(C4122)-N(K26))^2/2+N(L26)*MAX(0,(C4122)-N(M26))^2/2)+$B$3507</f>
        <v>-57.9427083333333</v>
      </c>
    </row>
    <row r="4123" spans="1:5" hidden="1">
      <c r="A4123" s="3">
        <f t="shared" si="41"/>
        <v>0</v>
      </c>
      <c r="B4123" s="3">
        <f t="shared" si="42"/>
        <v>0</v>
      </c>
      <c r="C4123" s="3">
        <f t="shared" si="40"/>
        <v>0</v>
      </c>
      <c r="D4123" s="3">
        <f>$B$3505*(A4123)+$B$3506*(A4123)^2/2-$B$3504*(A4123)^3/6-(N(D26)*MAX(0,(A4123)-N(E26))^2/2+N(F26)*MAX(0,(A4123)-N(G26))^2/2+N(H26)*MAX(0,(A4123)-N(I26))^2/2+N(J26)*MAX(0,(A4123)-N(K26))^2/2+N(L26)*MAX(0,(A4123)-N(M26))^2/2)+$B$3507</f>
        <v>-57.9427083333333</v>
      </c>
      <c r="E4123" s="3">
        <f>$B$3505*(C4123)+$B$3506*(C4123)^2/2-$B$3504*(C4123)^3/6-(N(D26)*MAX(0,(C4123)-N(E26))^2/2+N(F26)*MAX(0,(C4123)-N(G26))^2/2+N(H26)*MAX(0,(C4123)-N(I26))^2/2+N(J26)*MAX(0,(C4123)-N(K26))^2/2+N(L26)*MAX(0,(C4123)-N(M26))^2/2)+$B$3507</f>
        <v>-57.9427083333333</v>
      </c>
    </row>
    <row r="4124" spans="1:5" hidden="1">
      <c r="A4124" s="3">
        <f t="shared" si="41"/>
        <v>0</v>
      </c>
      <c r="B4124" s="3">
        <f t="shared" si="42"/>
        <v>0</v>
      </c>
      <c r="C4124" s="3">
        <f t="shared" si="40"/>
        <v>0</v>
      </c>
      <c r="D4124" s="3">
        <f>$B$3505*(A4124)+$B$3506*(A4124)^2/2-$B$3504*(A4124)^3/6-(N(D26)*MAX(0,(A4124)-N(E26))^2/2+N(F26)*MAX(0,(A4124)-N(G26))^2/2+N(H26)*MAX(0,(A4124)-N(I26))^2/2+N(J26)*MAX(0,(A4124)-N(K26))^2/2+N(L26)*MAX(0,(A4124)-N(M26))^2/2)+$B$3507</f>
        <v>-57.9427083333333</v>
      </c>
      <c r="E4124" s="3">
        <f>$B$3505*(C4124)+$B$3506*(C4124)^2/2-$B$3504*(C4124)^3/6-(N(D26)*MAX(0,(C4124)-N(E26))^2/2+N(F26)*MAX(0,(C4124)-N(G26))^2/2+N(H26)*MAX(0,(C4124)-N(I26))^2/2+N(J26)*MAX(0,(C4124)-N(K26))^2/2+N(L26)*MAX(0,(C4124)-N(M26))^2/2)+$B$3507</f>
        <v>-57.9427083333333</v>
      </c>
    </row>
    <row r="4125" spans="1:5" hidden="1">
      <c r="A4125" s="3">
        <f t="shared" si="41"/>
        <v>0</v>
      </c>
      <c r="B4125" s="3">
        <f t="shared" si="42"/>
        <v>0</v>
      </c>
      <c r="C4125" s="3">
        <f t="shared" si="40"/>
        <v>0</v>
      </c>
      <c r="D4125" s="3">
        <f>$B$3505*(A4125)+$B$3506*(A4125)^2/2-$B$3504*(A4125)^3/6-(N(D26)*MAX(0,(A4125)-N(E26))^2/2+N(F26)*MAX(0,(A4125)-N(G26))^2/2+N(H26)*MAX(0,(A4125)-N(I26))^2/2+N(J26)*MAX(0,(A4125)-N(K26))^2/2+N(L26)*MAX(0,(A4125)-N(M26))^2/2)+$B$3507</f>
        <v>-57.9427083333333</v>
      </c>
      <c r="E4125" s="3">
        <f>$B$3505*(C4125)+$B$3506*(C4125)^2/2-$B$3504*(C4125)^3/6-(N(D26)*MAX(0,(C4125)-N(E26))^2/2+N(F26)*MAX(0,(C4125)-N(G26))^2/2+N(H26)*MAX(0,(C4125)-N(I26))^2/2+N(J26)*MAX(0,(C4125)-N(K26))^2/2+N(L26)*MAX(0,(C4125)-N(M26))^2/2)+$B$3507</f>
        <v>-57.9427083333333</v>
      </c>
    </row>
    <row r="4126" spans="1:5" hidden="1">
      <c r="A4126" s="3">
        <f t="shared" si="41"/>
        <v>0</v>
      </c>
      <c r="B4126" s="3">
        <f t="shared" si="42"/>
        <v>0</v>
      </c>
      <c r="C4126" s="3">
        <f t="shared" si="40"/>
        <v>0</v>
      </c>
      <c r="D4126" s="3">
        <f>$B$3505*(A4126)+$B$3506*(A4126)^2/2-$B$3504*(A4126)^3/6-(N(D26)*MAX(0,(A4126)-N(E26))^2/2+N(F26)*MAX(0,(A4126)-N(G26))^2/2+N(H26)*MAX(0,(A4126)-N(I26))^2/2+N(J26)*MAX(0,(A4126)-N(K26))^2/2+N(L26)*MAX(0,(A4126)-N(M26))^2/2)+$B$3507</f>
        <v>-57.9427083333333</v>
      </c>
      <c r="E4126" s="3">
        <f>$B$3505*(C4126)+$B$3506*(C4126)^2/2-$B$3504*(C4126)^3/6-(N(D26)*MAX(0,(C4126)-N(E26))^2/2+N(F26)*MAX(0,(C4126)-N(G26))^2/2+N(H26)*MAX(0,(C4126)-N(I26))^2/2+N(J26)*MAX(0,(C4126)-N(K26))^2/2+N(L26)*MAX(0,(C4126)-N(M26))^2/2)+$B$3507</f>
        <v>-57.9427083333333</v>
      </c>
    </row>
    <row r="4127" spans="1:5" hidden="1">
      <c r="A4127" s="3">
        <f t="shared" si="41"/>
        <v>0</v>
      </c>
      <c r="B4127" s="3">
        <f t="shared" si="42"/>
        <v>0</v>
      </c>
      <c r="C4127" s="3">
        <f t="shared" si="40"/>
        <v>0</v>
      </c>
      <c r="D4127" s="3">
        <f>$B$3505*(A4127)+$B$3506*(A4127)^2/2-$B$3504*(A4127)^3/6-(N(D26)*MAX(0,(A4127)-N(E26))^2/2+N(F26)*MAX(0,(A4127)-N(G26))^2/2+N(H26)*MAX(0,(A4127)-N(I26))^2/2+N(J26)*MAX(0,(A4127)-N(K26))^2/2+N(L26)*MAX(0,(A4127)-N(M26))^2/2)+$B$3507</f>
        <v>-57.9427083333333</v>
      </c>
      <c r="E4127" s="3">
        <f>$B$3505*(C4127)+$B$3506*(C4127)^2/2-$B$3504*(C4127)^3/6-(N(D26)*MAX(0,(C4127)-N(E26))^2/2+N(F26)*MAX(0,(C4127)-N(G26))^2/2+N(H26)*MAX(0,(C4127)-N(I26))^2/2+N(J26)*MAX(0,(C4127)-N(K26))^2/2+N(L26)*MAX(0,(C4127)-N(M26))^2/2)+$B$3507</f>
        <v>-57.9427083333333</v>
      </c>
    </row>
    <row r="4128" spans="1:5" hidden="1">
      <c r="A4128" s="3">
        <f t="shared" si="41"/>
        <v>0</v>
      </c>
      <c r="B4128" s="3">
        <f t="shared" si="42"/>
        <v>0</v>
      </c>
      <c r="C4128" s="3">
        <f t="shared" si="40"/>
        <v>0</v>
      </c>
      <c r="D4128" s="3">
        <f>$B$3505*(A4128)+$B$3506*(A4128)^2/2-$B$3504*(A4128)^3/6-(N(D26)*MAX(0,(A4128)-N(E26))^2/2+N(F26)*MAX(0,(A4128)-N(G26))^2/2+N(H26)*MAX(0,(A4128)-N(I26))^2/2+N(J26)*MAX(0,(A4128)-N(K26))^2/2+N(L26)*MAX(0,(A4128)-N(M26))^2/2)+$B$3507</f>
        <v>-57.9427083333333</v>
      </c>
      <c r="E4128" s="3">
        <f>$B$3505*(C4128)+$B$3506*(C4128)^2/2-$B$3504*(C4128)^3/6-(N(D26)*MAX(0,(C4128)-N(E26))^2/2+N(F26)*MAX(0,(C4128)-N(G26))^2/2+N(H26)*MAX(0,(C4128)-N(I26))^2/2+N(J26)*MAX(0,(C4128)-N(K26))^2/2+N(L26)*MAX(0,(C4128)-N(M26))^2/2)+$B$3507</f>
        <v>-57.9427083333333</v>
      </c>
    </row>
    <row r="4129" spans="1:5" hidden="1">
      <c r="A4129" s="3">
        <f t="shared" si="41"/>
        <v>0</v>
      </c>
      <c r="B4129" s="3">
        <f t="shared" si="42"/>
        <v>0</v>
      </c>
      <c r="C4129" s="3">
        <f t="shared" si="40"/>
        <v>0</v>
      </c>
      <c r="D4129" s="3">
        <f>$B$3505*(A4129)+$B$3506*(A4129)^2/2-$B$3504*(A4129)^3/6-(N(D26)*MAX(0,(A4129)-N(E26))^2/2+N(F26)*MAX(0,(A4129)-N(G26))^2/2+N(H26)*MAX(0,(A4129)-N(I26))^2/2+N(J26)*MAX(0,(A4129)-N(K26))^2/2+N(L26)*MAX(0,(A4129)-N(M26))^2/2)+$B$3507</f>
        <v>-57.9427083333333</v>
      </c>
      <c r="E4129" s="3">
        <f>$B$3505*(C4129)+$B$3506*(C4129)^2/2-$B$3504*(C4129)^3/6-(N(D26)*MAX(0,(C4129)-N(E26))^2/2+N(F26)*MAX(0,(C4129)-N(G26))^2/2+N(H26)*MAX(0,(C4129)-N(I26))^2/2+N(J26)*MAX(0,(C4129)-N(K26))^2/2+N(L26)*MAX(0,(C4129)-N(M26))^2/2)+$B$3507</f>
        <v>-57.9427083333333</v>
      </c>
    </row>
    <row r="4130" spans="1:5" hidden="1">
      <c r="A4130" s="3">
        <f t="shared" si="41"/>
        <v>0</v>
      </c>
      <c r="B4130" s="3">
        <f t="shared" si="42"/>
        <v>0</v>
      </c>
      <c r="C4130" s="3">
        <f t="shared" si="40"/>
        <v>0</v>
      </c>
      <c r="D4130" s="3">
        <f>$B$3505*(A4130)+$B$3506*(A4130)^2/2-$B$3504*(A4130)^3/6-(N(D26)*MAX(0,(A4130)-N(E26))^2/2+N(F26)*MAX(0,(A4130)-N(G26))^2/2+N(H26)*MAX(0,(A4130)-N(I26))^2/2+N(J26)*MAX(0,(A4130)-N(K26))^2/2+N(L26)*MAX(0,(A4130)-N(M26))^2/2)+$B$3507</f>
        <v>-57.9427083333333</v>
      </c>
      <c r="E4130" s="3">
        <f>$B$3505*(C4130)+$B$3506*(C4130)^2/2-$B$3504*(C4130)^3/6-(N(D26)*MAX(0,(C4130)-N(E26))^2/2+N(F26)*MAX(0,(C4130)-N(G26))^2/2+N(H26)*MAX(0,(C4130)-N(I26))^2/2+N(J26)*MAX(0,(C4130)-N(K26))^2/2+N(L26)*MAX(0,(C4130)-N(M26))^2/2)+$B$3507</f>
        <v>-57.9427083333333</v>
      </c>
    </row>
    <row r="4131" spans="1:5" hidden="1">
      <c r="A4131" s="3">
        <f t="shared" si="41"/>
        <v>0</v>
      </c>
      <c r="B4131" s="3">
        <f t="shared" si="42"/>
        <v>0</v>
      </c>
      <c r="C4131" s="3">
        <f t="shared" si="40"/>
        <v>0</v>
      </c>
      <c r="D4131" s="3">
        <f>$B$3505*(A4131)+$B$3506*(A4131)^2/2-$B$3504*(A4131)^3/6-(N(D26)*MAX(0,(A4131)-N(E26))^2/2+N(F26)*MAX(0,(A4131)-N(G26))^2/2+N(H26)*MAX(0,(A4131)-N(I26))^2/2+N(J26)*MAX(0,(A4131)-N(K26))^2/2+N(L26)*MAX(0,(A4131)-N(M26))^2/2)+$B$3507</f>
        <v>-57.9427083333333</v>
      </c>
      <c r="E4131" s="3">
        <f>$B$3505*(C4131)+$B$3506*(C4131)^2/2-$B$3504*(C4131)^3/6-(N(D26)*MAX(0,(C4131)-N(E26))^2/2+N(F26)*MAX(0,(C4131)-N(G26))^2/2+N(H26)*MAX(0,(C4131)-N(I26))^2/2+N(J26)*MAX(0,(C4131)-N(K26))^2/2+N(L26)*MAX(0,(C4131)-N(M26))^2/2)+$B$3507</f>
        <v>-57.9427083333333</v>
      </c>
    </row>
    <row r="4132" spans="1:5" hidden="1">
      <c r="A4132" s="3">
        <f t="shared" si="41"/>
        <v>0</v>
      </c>
      <c r="B4132" s="3">
        <f t="shared" si="42"/>
        <v>0</v>
      </c>
      <c r="C4132" s="3">
        <f t="shared" si="40"/>
        <v>0</v>
      </c>
      <c r="D4132" s="3">
        <f>$B$3505*(A4132)+$B$3506*(A4132)^2/2-$B$3504*(A4132)^3/6-(N(D26)*MAX(0,(A4132)-N(E26))^2/2+N(F26)*MAX(0,(A4132)-N(G26))^2/2+N(H26)*MAX(0,(A4132)-N(I26))^2/2+N(J26)*MAX(0,(A4132)-N(K26))^2/2+N(L26)*MAX(0,(A4132)-N(M26))^2/2)+$B$3507</f>
        <v>-57.9427083333333</v>
      </c>
      <c r="E4132" s="3">
        <f>$B$3505*(C4132)+$B$3506*(C4132)^2/2-$B$3504*(C4132)^3/6-(N(D26)*MAX(0,(C4132)-N(E26))^2/2+N(F26)*MAX(0,(C4132)-N(G26))^2/2+N(H26)*MAX(0,(C4132)-N(I26))^2/2+N(J26)*MAX(0,(C4132)-N(K26))^2/2+N(L26)*MAX(0,(C4132)-N(M26))^2/2)+$B$3507</f>
        <v>-57.9427083333333</v>
      </c>
    </row>
    <row r="4133" spans="1:5" hidden="1">
      <c r="A4133" s="3">
        <f t="shared" si="41"/>
        <v>0</v>
      </c>
      <c r="B4133" s="3">
        <f t="shared" si="42"/>
        <v>0</v>
      </c>
      <c r="C4133" s="3">
        <f t="shared" si="40"/>
        <v>0</v>
      </c>
      <c r="D4133" s="3">
        <f>$B$3505*(A4133)+$B$3506*(A4133)^2/2-$B$3504*(A4133)^3/6-(N(D26)*MAX(0,(A4133)-N(E26))^2/2+N(F26)*MAX(0,(A4133)-N(G26))^2/2+N(H26)*MAX(0,(A4133)-N(I26))^2/2+N(J26)*MAX(0,(A4133)-N(K26))^2/2+N(L26)*MAX(0,(A4133)-N(M26))^2/2)+$B$3507</f>
        <v>-57.9427083333333</v>
      </c>
      <c r="E4133" s="3">
        <f>$B$3505*(C4133)+$B$3506*(C4133)^2/2-$B$3504*(C4133)^3/6-(N(D26)*MAX(0,(C4133)-N(E26))^2/2+N(F26)*MAX(0,(C4133)-N(G26))^2/2+N(H26)*MAX(0,(C4133)-N(I26))^2/2+N(J26)*MAX(0,(C4133)-N(K26))^2/2+N(L26)*MAX(0,(C4133)-N(M26))^2/2)+$B$3507</f>
        <v>-57.9427083333333</v>
      </c>
    </row>
    <row r="4134" spans="1:5" hidden="1">
      <c r="A4134" s="3">
        <f t="shared" si="41"/>
        <v>0</v>
      </c>
      <c r="B4134" s="3">
        <f t="shared" si="42"/>
        <v>0</v>
      </c>
      <c r="C4134" s="3">
        <f t="shared" si="40"/>
        <v>0</v>
      </c>
      <c r="D4134" s="3">
        <f>$B$3505*(A4134)+$B$3506*(A4134)^2/2-$B$3504*(A4134)^3/6-(N(D26)*MAX(0,(A4134)-N(E26))^2/2+N(F26)*MAX(0,(A4134)-N(G26))^2/2+N(H26)*MAX(0,(A4134)-N(I26))^2/2+N(J26)*MAX(0,(A4134)-N(K26))^2/2+N(L26)*MAX(0,(A4134)-N(M26))^2/2)+$B$3507</f>
        <v>-57.9427083333333</v>
      </c>
      <c r="E4134" s="3">
        <f>$B$3505*(C4134)+$B$3506*(C4134)^2/2-$B$3504*(C4134)^3/6-(N(D26)*MAX(0,(C4134)-N(E26))^2/2+N(F26)*MAX(0,(C4134)-N(G26))^2/2+N(H26)*MAX(0,(C4134)-N(I26))^2/2+N(J26)*MAX(0,(C4134)-N(K26))^2/2+N(L26)*MAX(0,(C4134)-N(M26))^2/2)+$B$3507</f>
        <v>-57.9427083333333</v>
      </c>
    </row>
    <row r="4135" spans="1:5" hidden="1">
      <c r="A4135" s="3">
        <f t="shared" si="41"/>
        <v>0</v>
      </c>
      <c r="B4135" s="3">
        <f t="shared" si="42"/>
        <v>0</v>
      </c>
      <c r="C4135" s="3">
        <f t="shared" si="40"/>
        <v>0</v>
      </c>
      <c r="D4135" s="3">
        <f>$B$3505*(A4135)+$B$3506*(A4135)^2/2-$B$3504*(A4135)^3/6-(N(D26)*MAX(0,(A4135)-N(E26))^2/2+N(F26)*MAX(0,(A4135)-N(G26))^2/2+N(H26)*MAX(0,(A4135)-N(I26))^2/2+N(J26)*MAX(0,(A4135)-N(K26))^2/2+N(L26)*MAX(0,(A4135)-N(M26))^2/2)+$B$3507</f>
        <v>-57.9427083333333</v>
      </c>
      <c r="E4135" s="3">
        <f>$B$3505*(C4135)+$B$3506*(C4135)^2/2-$B$3504*(C4135)^3/6-(N(D26)*MAX(0,(C4135)-N(E26))^2/2+N(F26)*MAX(0,(C4135)-N(G26))^2/2+N(H26)*MAX(0,(C4135)-N(I26))^2/2+N(J26)*MAX(0,(C4135)-N(K26))^2/2+N(L26)*MAX(0,(C4135)-N(M26))^2/2)+$B$3507</f>
        <v>-57.9427083333333</v>
      </c>
    </row>
    <row r="4136" spans="1:5" hidden="1">
      <c r="A4136" s="3">
        <f t="shared" si="41"/>
        <v>0</v>
      </c>
      <c r="B4136" s="3">
        <f t="shared" si="42"/>
        <v>0</v>
      </c>
      <c r="C4136" s="3">
        <f t="shared" si="40"/>
        <v>0</v>
      </c>
      <c r="D4136" s="3">
        <f>$B$3505*(A4136)+$B$3506*(A4136)^2/2-$B$3504*(A4136)^3/6-(N(D26)*MAX(0,(A4136)-N(E26))^2/2+N(F26)*MAX(0,(A4136)-N(G26))^2/2+N(H26)*MAX(0,(A4136)-N(I26))^2/2+N(J26)*MAX(0,(A4136)-N(K26))^2/2+N(L26)*MAX(0,(A4136)-N(M26))^2/2)+$B$3507</f>
        <v>-57.9427083333333</v>
      </c>
      <c r="E4136" s="3">
        <f>$B$3505*(C4136)+$B$3506*(C4136)^2/2-$B$3504*(C4136)^3/6-(N(D26)*MAX(0,(C4136)-N(E26))^2/2+N(F26)*MAX(0,(C4136)-N(G26))^2/2+N(H26)*MAX(0,(C4136)-N(I26))^2/2+N(J26)*MAX(0,(C4136)-N(K26))^2/2+N(L26)*MAX(0,(C4136)-N(M26))^2/2)+$B$3507</f>
        <v>-57.9427083333333</v>
      </c>
    </row>
    <row r="4137" spans="1:5" hidden="1">
      <c r="A4137" s="3">
        <f t="shared" si="41"/>
        <v>0</v>
      </c>
      <c r="B4137" s="3">
        <f t="shared" si="42"/>
        <v>0</v>
      </c>
      <c r="C4137" s="3">
        <f t="shared" si="40"/>
        <v>0</v>
      </c>
      <c r="D4137" s="3">
        <f>$B$3505*(A4137)+$B$3506*(A4137)^2/2-$B$3504*(A4137)^3/6-(N(D26)*MAX(0,(A4137)-N(E26))^2/2+N(F26)*MAX(0,(A4137)-N(G26))^2/2+N(H26)*MAX(0,(A4137)-N(I26))^2/2+N(J26)*MAX(0,(A4137)-N(K26))^2/2+N(L26)*MAX(0,(A4137)-N(M26))^2/2)+$B$3507</f>
        <v>-57.9427083333333</v>
      </c>
      <c r="E4137" s="3">
        <f>$B$3505*(C4137)+$B$3506*(C4137)^2/2-$B$3504*(C4137)^3/6-(N(D26)*MAX(0,(C4137)-N(E26))^2/2+N(F26)*MAX(0,(C4137)-N(G26))^2/2+N(H26)*MAX(0,(C4137)-N(I26))^2/2+N(J26)*MAX(0,(C4137)-N(K26))^2/2+N(L26)*MAX(0,(C4137)-N(M26))^2/2)+$B$3507</f>
        <v>-57.9427083333333</v>
      </c>
    </row>
    <row r="4138" spans="1:5" hidden="1">
      <c r="A4138" s="3">
        <f t="shared" si="41"/>
        <v>0</v>
      </c>
      <c r="B4138" s="3">
        <f t="shared" si="42"/>
        <v>0</v>
      </c>
      <c r="C4138" s="3">
        <f t="shared" si="40"/>
        <v>0</v>
      </c>
      <c r="D4138" s="3">
        <f>$B$3505*(A4138)+$B$3506*(A4138)^2/2-$B$3504*(A4138)^3/6-(N(D26)*MAX(0,(A4138)-N(E26))^2/2+N(F26)*MAX(0,(A4138)-N(G26))^2/2+N(H26)*MAX(0,(A4138)-N(I26))^2/2+N(J26)*MAX(0,(A4138)-N(K26))^2/2+N(L26)*MAX(0,(A4138)-N(M26))^2/2)+$B$3507</f>
        <v>-57.9427083333333</v>
      </c>
      <c r="E4138" s="3">
        <f>$B$3505*(C4138)+$B$3506*(C4138)^2/2-$B$3504*(C4138)^3/6-(N(D26)*MAX(0,(C4138)-N(E26))^2/2+N(F26)*MAX(0,(C4138)-N(G26))^2/2+N(H26)*MAX(0,(C4138)-N(I26))^2/2+N(J26)*MAX(0,(C4138)-N(K26))^2/2+N(L26)*MAX(0,(C4138)-N(M26))^2/2)+$B$3507</f>
        <v>-57.9427083333333</v>
      </c>
    </row>
    <row r="4139" spans="1:5" hidden="1">
      <c r="A4139" s="3">
        <f t="shared" si="41"/>
        <v>0</v>
      </c>
      <c r="B4139" s="3">
        <f t="shared" si="42"/>
        <v>0</v>
      </c>
      <c r="C4139" s="3">
        <f t="shared" si="40"/>
        <v>0</v>
      </c>
      <c r="D4139" s="3">
        <f>$B$3505*(A4139)+$B$3506*(A4139)^2/2-$B$3504*(A4139)^3/6-(N(D26)*MAX(0,(A4139)-N(E26))^2/2+N(F26)*MAX(0,(A4139)-N(G26))^2/2+N(H26)*MAX(0,(A4139)-N(I26))^2/2+N(J26)*MAX(0,(A4139)-N(K26))^2/2+N(L26)*MAX(0,(A4139)-N(M26))^2/2)+$B$3507</f>
        <v>-57.9427083333333</v>
      </c>
      <c r="E4139" s="3">
        <f>$B$3505*(C4139)+$B$3506*(C4139)^2/2-$B$3504*(C4139)^3/6-(N(D26)*MAX(0,(C4139)-N(E26))^2/2+N(F26)*MAX(0,(C4139)-N(G26))^2/2+N(H26)*MAX(0,(C4139)-N(I26))^2/2+N(J26)*MAX(0,(C4139)-N(K26))^2/2+N(L26)*MAX(0,(C4139)-N(M26))^2/2)+$B$3507</f>
        <v>-57.9427083333333</v>
      </c>
    </row>
    <row r="4140" spans="1:5" hidden="1">
      <c r="A4140" s="3">
        <f t="shared" si="41"/>
        <v>0</v>
      </c>
      <c r="B4140" s="3">
        <f t="shared" si="42"/>
        <v>0</v>
      </c>
      <c r="C4140" s="3">
        <f t="shared" si="40"/>
        <v>0</v>
      </c>
      <c r="D4140" s="3">
        <f>$B$3505*(A4140)+$B$3506*(A4140)^2/2-$B$3504*(A4140)^3/6-(N(D26)*MAX(0,(A4140)-N(E26))^2/2+N(F26)*MAX(0,(A4140)-N(G26))^2/2+N(H26)*MAX(0,(A4140)-N(I26))^2/2+N(J26)*MAX(0,(A4140)-N(K26))^2/2+N(L26)*MAX(0,(A4140)-N(M26))^2/2)+$B$3507</f>
        <v>-57.9427083333333</v>
      </c>
      <c r="E4140" s="3">
        <f>$B$3505*(C4140)+$B$3506*(C4140)^2/2-$B$3504*(C4140)^3/6-(N(D26)*MAX(0,(C4140)-N(E26))^2/2+N(F26)*MAX(0,(C4140)-N(G26))^2/2+N(H26)*MAX(0,(C4140)-N(I26))^2/2+N(J26)*MAX(0,(C4140)-N(K26))^2/2+N(L26)*MAX(0,(C4140)-N(M26))^2/2)+$B$3507</f>
        <v>-57.9427083333333</v>
      </c>
    </row>
    <row r="4141" spans="1:5" hidden="1">
      <c r="A4141" s="3">
        <f t="shared" si="41"/>
        <v>0</v>
      </c>
      <c r="B4141" s="3">
        <f t="shared" si="42"/>
        <v>0</v>
      </c>
      <c r="C4141" s="3">
        <f t="shared" si="40"/>
        <v>0</v>
      </c>
      <c r="D4141" s="3">
        <f>$B$3505*(A4141)+$B$3506*(A4141)^2/2-$B$3504*(A4141)^3/6-(N(D26)*MAX(0,(A4141)-N(E26))^2/2+N(F26)*MAX(0,(A4141)-N(G26))^2/2+N(H26)*MAX(0,(A4141)-N(I26))^2/2+N(J26)*MAX(0,(A4141)-N(K26))^2/2+N(L26)*MAX(0,(A4141)-N(M26))^2/2)+$B$3507</f>
        <v>-57.9427083333333</v>
      </c>
      <c r="E4141" s="3">
        <f>$B$3505*(C4141)+$B$3506*(C4141)^2/2-$B$3504*(C4141)^3/6-(N(D26)*MAX(0,(C4141)-N(E26))^2/2+N(F26)*MAX(0,(C4141)-N(G26))^2/2+N(H26)*MAX(0,(C4141)-N(I26))^2/2+N(J26)*MAX(0,(C4141)-N(K26))^2/2+N(L26)*MAX(0,(C4141)-N(M26))^2/2)+$B$3507</f>
        <v>-57.9427083333333</v>
      </c>
    </row>
    <row r="4142" spans="1:5" hidden="1">
      <c r="A4142" s="3">
        <f t="shared" si="41"/>
        <v>0</v>
      </c>
      <c r="B4142" s="3">
        <f t="shared" si="42"/>
        <v>0</v>
      </c>
      <c r="C4142" s="3">
        <f t="shared" si="40"/>
        <v>0</v>
      </c>
      <c r="D4142" s="3">
        <f>$B$3505*(A4142)+$B$3506*(A4142)^2/2-$B$3504*(A4142)^3/6-(N(D26)*MAX(0,(A4142)-N(E26))^2/2+N(F26)*MAX(0,(A4142)-N(G26))^2/2+N(H26)*MAX(0,(A4142)-N(I26))^2/2+N(J26)*MAX(0,(A4142)-N(K26))^2/2+N(L26)*MAX(0,(A4142)-N(M26))^2/2)+$B$3507</f>
        <v>-57.9427083333333</v>
      </c>
      <c r="E4142" s="3">
        <f>$B$3505*(C4142)+$B$3506*(C4142)^2/2-$B$3504*(C4142)^3/6-(N(D26)*MAX(0,(C4142)-N(E26))^2/2+N(F26)*MAX(0,(C4142)-N(G26))^2/2+N(H26)*MAX(0,(C4142)-N(I26))^2/2+N(J26)*MAX(0,(C4142)-N(K26))^2/2+N(L26)*MAX(0,(C4142)-N(M26))^2/2)+$B$3507</f>
        <v>-57.9427083333333</v>
      </c>
    </row>
    <row r="4143" spans="1:5" hidden="1">
      <c r="A4143" s="3">
        <f t="shared" si="41"/>
        <v>0</v>
      </c>
      <c r="B4143" s="3">
        <f t="shared" si="42"/>
        <v>0</v>
      </c>
      <c r="C4143" s="3">
        <f t="shared" si="40"/>
        <v>0</v>
      </c>
      <c r="D4143" s="3">
        <f>$B$3505*(A4143)+$B$3506*(A4143)^2/2-$B$3504*(A4143)^3/6-(N(D26)*MAX(0,(A4143)-N(E26))^2/2+N(F26)*MAX(0,(A4143)-N(G26))^2/2+N(H26)*MAX(0,(A4143)-N(I26))^2/2+N(J26)*MAX(0,(A4143)-N(K26))^2/2+N(L26)*MAX(0,(A4143)-N(M26))^2/2)+$B$3507</f>
        <v>-57.9427083333333</v>
      </c>
      <c r="E4143" s="3">
        <f>$B$3505*(C4143)+$B$3506*(C4143)^2/2-$B$3504*(C4143)^3/6-(N(D26)*MAX(0,(C4143)-N(E26))^2/2+N(F26)*MAX(0,(C4143)-N(G26))^2/2+N(H26)*MAX(0,(C4143)-N(I26))^2/2+N(J26)*MAX(0,(C4143)-N(K26))^2/2+N(L26)*MAX(0,(C4143)-N(M26))^2/2)+$B$3507</f>
        <v>-57.9427083333333</v>
      </c>
    </row>
    <row r="4144" spans="1:5" hidden="1">
      <c r="A4144" s="3">
        <f t="shared" si="41"/>
        <v>0</v>
      </c>
      <c r="B4144" s="3">
        <f t="shared" si="42"/>
        <v>0</v>
      </c>
      <c r="C4144" s="3">
        <f t="shared" si="40"/>
        <v>0</v>
      </c>
      <c r="D4144" s="3">
        <f>$B$3505*(A4144)+$B$3506*(A4144)^2/2-$B$3504*(A4144)^3/6-(N(D26)*MAX(0,(A4144)-N(E26))^2/2+N(F26)*MAX(0,(A4144)-N(G26))^2/2+N(H26)*MAX(0,(A4144)-N(I26))^2/2+N(J26)*MAX(0,(A4144)-N(K26))^2/2+N(L26)*MAX(0,(A4144)-N(M26))^2/2)+$B$3507</f>
        <v>-57.9427083333333</v>
      </c>
      <c r="E4144" s="3">
        <f>$B$3505*(C4144)+$B$3506*(C4144)^2/2-$B$3504*(C4144)^3/6-(N(D26)*MAX(0,(C4144)-N(E26))^2/2+N(F26)*MAX(0,(C4144)-N(G26))^2/2+N(H26)*MAX(0,(C4144)-N(I26))^2/2+N(J26)*MAX(0,(C4144)-N(K26))^2/2+N(L26)*MAX(0,(C4144)-N(M26))^2/2)+$B$3507</f>
        <v>-57.9427083333333</v>
      </c>
    </row>
    <row r="4145" spans="1:5" hidden="1">
      <c r="A4145" s="3">
        <f t="shared" si="41"/>
        <v>0</v>
      </c>
      <c r="B4145" s="3">
        <f t="shared" si="42"/>
        <v>0</v>
      </c>
      <c r="C4145" s="3">
        <f t="shared" si="40"/>
        <v>0</v>
      </c>
      <c r="D4145" s="3">
        <f>$B$3505*(A4145)+$B$3506*(A4145)^2/2-$B$3504*(A4145)^3/6-(N(D26)*MAX(0,(A4145)-N(E26))^2/2+N(F26)*MAX(0,(A4145)-N(G26))^2/2+N(H26)*MAX(0,(A4145)-N(I26))^2/2+N(J26)*MAX(0,(A4145)-N(K26))^2/2+N(L26)*MAX(0,(A4145)-N(M26))^2/2)+$B$3507</f>
        <v>-57.9427083333333</v>
      </c>
      <c r="E4145" s="3">
        <f>$B$3505*(C4145)+$B$3506*(C4145)^2/2-$B$3504*(C4145)^3/6-(N(D26)*MAX(0,(C4145)-N(E26))^2/2+N(F26)*MAX(0,(C4145)-N(G26))^2/2+N(H26)*MAX(0,(C4145)-N(I26))^2/2+N(J26)*MAX(0,(C4145)-N(K26))^2/2+N(L26)*MAX(0,(C4145)-N(M26))^2/2)+$B$3507</f>
        <v>-57.9427083333333</v>
      </c>
    </row>
    <row r="4146" spans="1:5" hidden="1">
      <c r="A4146" s="3">
        <f t="shared" si="41"/>
        <v>0</v>
      </c>
      <c r="B4146" s="3">
        <f t="shared" si="42"/>
        <v>0</v>
      </c>
      <c r="C4146" s="3">
        <f t="shared" si="40"/>
        <v>0</v>
      </c>
      <c r="D4146" s="3">
        <f>$B$3505*(A4146)+$B$3506*(A4146)^2/2-$B$3504*(A4146)^3/6-(N(D26)*MAX(0,(A4146)-N(E26))^2/2+N(F26)*MAX(0,(A4146)-N(G26))^2/2+N(H26)*MAX(0,(A4146)-N(I26))^2/2+N(J26)*MAX(0,(A4146)-N(K26))^2/2+N(L26)*MAX(0,(A4146)-N(M26))^2/2)+$B$3507</f>
        <v>-57.9427083333333</v>
      </c>
      <c r="E4146" s="3">
        <f>$B$3505*(C4146)+$B$3506*(C4146)^2/2-$B$3504*(C4146)^3/6-(N(D26)*MAX(0,(C4146)-N(E26))^2/2+N(F26)*MAX(0,(C4146)-N(G26))^2/2+N(H26)*MAX(0,(C4146)-N(I26))^2/2+N(J26)*MAX(0,(C4146)-N(K26))^2/2+N(L26)*MAX(0,(C4146)-N(M26))^2/2)+$B$3507</f>
        <v>-57.9427083333333</v>
      </c>
    </row>
    <row r="4147" spans="1:5" hidden="1">
      <c r="A4147" s="3">
        <f t="shared" si="41"/>
        <v>0</v>
      </c>
      <c r="B4147" s="3">
        <f t="shared" si="42"/>
        <v>0</v>
      </c>
      <c r="C4147" s="3">
        <f t="shared" si="40"/>
        <v>0</v>
      </c>
      <c r="D4147" s="3">
        <f>$B$3505*(A4147)+$B$3506*(A4147)^2/2-$B$3504*(A4147)^3/6-(N(D26)*MAX(0,(A4147)-N(E26))^2/2+N(F26)*MAX(0,(A4147)-N(G26))^2/2+N(H26)*MAX(0,(A4147)-N(I26))^2/2+N(J26)*MAX(0,(A4147)-N(K26))^2/2+N(L26)*MAX(0,(A4147)-N(M26))^2/2)+$B$3507</f>
        <v>-57.9427083333333</v>
      </c>
      <c r="E4147" s="3">
        <f>$B$3505*(C4147)+$B$3506*(C4147)^2/2-$B$3504*(C4147)^3/6-(N(D26)*MAX(0,(C4147)-N(E26))^2/2+N(F26)*MAX(0,(C4147)-N(G26))^2/2+N(H26)*MAX(0,(C4147)-N(I26))^2/2+N(J26)*MAX(0,(C4147)-N(K26))^2/2+N(L26)*MAX(0,(C4147)-N(M26))^2/2)+$B$3507</f>
        <v>-57.9427083333333</v>
      </c>
    </row>
    <row r="4148" spans="1:5" hidden="1">
      <c r="A4148" s="3">
        <f t="shared" si="41"/>
        <v>0</v>
      </c>
      <c r="B4148" s="3">
        <f t="shared" si="42"/>
        <v>0</v>
      </c>
      <c r="C4148" s="3">
        <f t="shared" si="40"/>
        <v>0</v>
      </c>
      <c r="D4148" s="3">
        <f>$B$3505*(A4148)+$B$3506*(A4148)^2/2-$B$3504*(A4148)^3/6-(N(D26)*MAX(0,(A4148)-N(E26))^2/2+N(F26)*MAX(0,(A4148)-N(G26))^2/2+N(H26)*MAX(0,(A4148)-N(I26))^2/2+N(J26)*MAX(0,(A4148)-N(K26))^2/2+N(L26)*MAX(0,(A4148)-N(M26))^2/2)+$B$3507</f>
        <v>-57.9427083333333</v>
      </c>
      <c r="E4148" s="3">
        <f>$B$3505*(C4148)+$B$3506*(C4148)^2/2-$B$3504*(C4148)^3/6-(N(D26)*MAX(0,(C4148)-N(E26))^2/2+N(F26)*MAX(0,(C4148)-N(G26))^2/2+N(H26)*MAX(0,(C4148)-N(I26))^2/2+N(J26)*MAX(0,(C4148)-N(K26))^2/2+N(L26)*MAX(0,(C4148)-N(M26))^2/2)+$B$3507</f>
        <v>-57.9427083333333</v>
      </c>
    </row>
    <row r="4149" spans="1:5" hidden="1">
      <c r="A4149" s="3">
        <f t="shared" si="41"/>
        <v>0</v>
      </c>
      <c r="B4149" s="3">
        <f t="shared" si="42"/>
        <v>0</v>
      </c>
      <c r="C4149" s="3">
        <f t="shared" si="40"/>
        <v>0</v>
      </c>
      <c r="D4149" s="3">
        <f>$B$3505*(A4149)+$B$3506*(A4149)^2/2-$B$3504*(A4149)^3/6-(N(D26)*MAX(0,(A4149)-N(E26))^2/2+N(F26)*MAX(0,(A4149)-N(G26))^2/2+N(H26)*MAX(0,(A4149)-N(I26))^2/2+N(J26)*MAX(0,(A4149)-N(K26))^2/2+N(L26)*MAX(0,(A4149)-N(M26))^2/2)+$B$3507</f>
        <v>-57.9427083333333</v>
      </c>
      <c r="E4149" s="3">
        <f>$B$3505*(C4149)+$B$3506*(C4149)^2/2-$B$3504*(C4149)^3/6-(N(D26)*MAX(0,(C4149)-N(E26))^2/2+N(F26)*MAX(0,(C4149)-N(G26))^2/2+N(H26)*MAX(0,(C4149)-N(I26))^2/2+N(J26)*MAX(0,(C4149)-N(K26))^2/2+N(L26)*MAX(0,(C4149)-N(M26))^2/2)+$B$3507</f>
        <v>-57.9427083333333</v>
      </c>
    </row>
    <row r="4150" spans="1:5" hidden="1">
      <c r="A4150" s="3">
        <f t="shared" si="41"/>
        <v>0</v>
      </c>
      <c r="B4150" s="3">
        <f t="shared" si="42"/>
        <v>0</v>
      </c>
      <c r="C4150" s="3">
        <f t="shared" si="40"/>
        <v>0</v>
      </c>
      <c r="D4150" s="3">
        <f>$B$3505*(A4150)+$B$3506*(A4150)^2/2-$B$3504*(A4150)^3/6-(N(D26)*MAX(0,(A4150)-N(E26))^2/2+N(F26)*MAX(0,(A4150)-N(G26))^2/2+N(H26)*MAX(0,(A4150)-N(I26))^2/2+N(J26)*MAX(0,(A4150)-N(K26))^2/2+N(L26)*MAX(0,(A4150)-N(M26))^2/2)+$B$3507</f>
        <v>-57.9427083333333</v>
      </c>
      <c r="E4150" s="3">
        <f>$B$3505*(C4150)+$B$3506*(C4150)^2/2-$B$3504*(C4150)^3/6-(N(D26)*MAX(0,(C4150)-N(E26))^2/2+N(F26)*MAX(0,(C4150)-N(G26))^2/2+N(H26)*MAX(0,(C4150)-N(I26))^2/2+N(J26)*MAX(0,(C4150)-N(K26))^2/2+N(L26)*MAX(0,(C4150)-N(M26))^2/2)+$B$3507</f>
        <v>-57.9427083333333</v>
      </c>
    </row>
    <row r="4151" spans="1:5" hidden="1">
      <c r="A4151" s="3">
        <f t="shared" si="41"/>
        <v>0</v>
      </c>
      <c r="B4151" s="3">
        <f t="shared" si="42"/>
        <v>0</v>
      </c>
      <c r="C4151" s="3">
        <f t="shared" si="40"/>
        <v>0</v>
      </c>
      <c r="D4151" s="3">
        <f>$B$3505*(A4151)+$B$3506*(A4151)^2/2-$B$3504*(A4151)^3/6-(N(D26)*MAX(0,(A4151)-N(E26))^2/2+N(F26)*MAX(0,(A4151)-N(G26))^2/2+N(H26)*MAX(0,(A4151)-N(I26))^2/2+N(J26)*MAX(0,(A4151)-N(K26))^2/2+N(L26)*MAX(0,(A4151)-N(M26))^2/2)+$B$3507</f>
        <v>-57.9427083333333</v>
      </c>
      <c r="E4151" s="3">
        <f>$B$3505*(C4151)+$B$3506*(C4151)^2/2-$B$3504*(C4151)^3/6-(N(D26)*MAX(0,(C4151)-N(E26))^2/2+N(F26)*MAX(0,(C4151)-N(G26))^2/2+N(H26)*MAX(0,(C4151)-N(I26))^2/2+N(J26)*MAX(0,(C4151)-N(K26))^2/2+N(L26)*MAX(0,(C4151)-N(M26))^2/2)+$B$3507</f>
        <v>-57.9427083333333</v>
      </c>
    </row>
    <row r="4152" spans="1:5" hidden="1"/>
    <row r="4153" spans="1:5" hidden="1">
      <c r="A4153" s="3">
        <f>B3553</f>
        <v>0</v>
      </c>
      <c r="B4153" s="3">
        <f>IF(($B$3505*(B3553)+$B$3506*(B3553)^2/2-$B$3504*(B3553)^3/6-(N(D26)*MAX(0,(B3553)-N(E26))^2/2+N(F26)*MAX(0,(B3553)-N(G26))^2/2+N(H26)*MAX(0,(B3553)-N(I26))^2/2+N(J26)*MAX(0,(B3553)-N(K26))^2/2+N(L26)*MAX(0,(B3553)-N(M26))^2/2)+$B$3507)*($B$3505*(B3554)+$B$3506*(B3554)^2/2-$B$3504*(B3554)^3/6-(N(D26)*MAX(0,(B3554)-N(E26))^2/2+N(F26)*MAX(0,(B3554)-N(G26))^2/2+N(H26)*MAX(0,(B3554)-N(I26))^2/2+N(J26)*MAX(0,(B3554)-N(K26))^2/2+N(L26)*MAX(0,(B3554)-N(M26))^2/2)+$B$3507)&lt;=0,B3554,B3553)</f>
        <v>0</v>
      </c>
      <c r="C4153" s="3">
        <f t="shared" ref="C4153:C4197" si="43">(A4153+B4153)/2</f>
        <v>0</v>
      </c>
      <c r="D4153" s="3">
        <f>$B$3505*(A4153)+$B$3506*(A4153)^2/2-$B$3504*(A4153)^3/6-(N(D26)*MAX(0,(A4153)-N(E26))^2/2+N(F26)*MAX(0,(A4153)-N(G26))^2/2+N(H26)*MAX(0,(A4153)-N(I26))^2/2+N(J26)*MAX(0,(A4153)-N(K26))^2/2+N(L26)*MAX(0,(A4153)-N(M26))^2/2)+$B$3507</f>
        <v>-57.9427083333333</v>
      </c>
      <c r="E4153" s="3">
        <f>$B$3505*(C4153)+$B$3506*(C4153)^2/2-$B$3504*(C4153)^3/6-(N(D26)*MAX(0,(C4153)-N(E26))^2/2+N(F26)*MAX(0,(C4153)-N(G26))^2/2+N(H26)*MAX(0,(C4153)-N(I26))^2/2+N(J26)*MAX(0,(C4153)-N(K26))^2/2+N(L26)*MAX(0,(C4153)-N(M26))^2/2)+$B$3507</f>
        <v>-57.9427083333333</v>
      </c>
    </row>
    <row r="4154" spans="1:5" hidden="1">
      <c r="A4154" s="3">
        <f t="shared" ref="A4154:A4197" si="44">IF(D4153*E4153&lt;=0,A4153,C4153)</f>
        <v>0</v>
      </c>
      <c r="B4154" s="3">
        <f t="shared" ref="B4154:B4197" si="45">IF(D4153*E4153&lt;=0,C4153,B4153)</f>
        <v>0</v>
      </c>
      <c r="C4154" s="3">
        <f t="shared" si="43"/>
        <v>0</v>
      </c>
      <c r="D4154" s="3">
        <f>$B$3505*(A4154)+$B$3506*(A4154)^2/2-$B$3504*(A4154)^3/6-(N(D26)*MAX(0,(A4154)-N(E26))^2/2+N(F26)*MAX(0,(A4154)-N(G26))^2/2+N(H26)*MAX(0,(A4154)-N(I26))^2/2+N(J26)*MAX(0,(A4154)-N(K26))^2/2+N(L26)*MAX(0,(A4154)-N(M26))^2/2)+$B$3507</f>
        <v>-57.9427083333333</v>
      </c>
      <c r="E4154" s="3">
        <f>$B$3505*(C4154)+$B$3506*(C4154)^2/2-$B$3504*(C4154)^3/6-(N(D26)*MAX(0,(C4154)-N(E26))^2/2+N(F26)*MAX(0,(C4154)-N(G26))^2/2+N(H26)*MAX(0,(C4154)-N(I26))^2/2+N(J26)*MAX(0,(C4154)-N(K26))^2/2+N(L26)*MAX(0,(C4154)-N(M26))^2/2)+$B$3507</f>
        <v>-57.9427083333333</v>
      </c>
    </row>
    <row r="4155" spans="1:5" hidden="1">
      <c r="A4155" s="3">
        <f t="shared" si="44"/>
        <v>0</v>
      </c>
      <c r="B4155" s="3">
        <f t="shared" si="45"/>
        <v>0</v>
      </c>
      <c r="C4155" s="3">
        <f t="shared" si="43"/>
        <v>0</v>
      </c>
      <c r="D4155" s="3">
        <f>$B$3505*(A4155)+$B$3506*(A4155)^2/2-$B$3504*(A4155)^3/6-(N(D26)*MAX(0,(A4155)-N(E26))^2/2+N(F26)*MAX(0,(A4155)-N(G26))^2/2+N(H26)*MAX(0,(A4155)-N(I26))^2/2+N(J26)*MAX(0,(A4155)-N(K26))^2/2+N(L26)*MAX(0,(A4155)-N(M26))^2/2)+$B$3507</f>
        <v>-57.9427083333333</v>
      </c>
      <c r="E4155" s="3">
        <f>$B$3505*(C4155)+$B$3506*(C4155)^2/2-$B$3504*(C4155)^3/6-(N(D26)*MAX(0,(C4155)-N(E26))^2/2+N(F26)*MAX(0,(C4155)-N(G26))^2/2+N(H26)*MAX(0,(C4155)-N(I26))^2/2+N(J26)*MAX(0,(C4155)-N(K26))^2/2+N(L26)*MAX(0,(C4155)-N(M26))^2/2)+$B$3507</f>
        <v>-57.9427083333333</v>
      </c>
    </row>
    <row r="4156" spans="1:5" hidden="1">
      <c r="A4156" s="3">
        <f t="shared" si="44"/>
        <v>0</v>
      </c>
      <c r="B4156" s="3">
        <f t="shared" si="45"/>
        <v>0</v>
      </c>
      <c r="C4156" s="3">
        <f t="shared" si="43"/>
        <v>0</v>
      </c>
      <c r="D4156" s="3">
        <f>$B$3505*(A4156)+$B$3506*(A4156)^2/2-$B$3504*(A4156)^3/6-(N(D26)*MAX(0,(A4156)-N(E26))^2/2+N(F26)*MAX(0,(A4156)-N(G26))^2/2+N(H26)*MAX(0,(A4156)-N(I26))^2/2+N(J26)*MAX(0,(A4156)-N(K26))^2/2+N(L26)*MAX(0,(A4156)-N(M26))^2/2)+$B$3507</f>
        <v>-57.9427083333333</v>
      </c>
      <c r="E4156" s="3">
        <f>$B$3505*(C4156)+$B$3506*(C4156)^2/2-$B$3504*(C4156)^3/6-(N(D26)*MAX(0,(C4156)-N(E26))^2/2+N(F26)*MAX(0,(C4156)-N(G26))^2/2+N(H26)*MAX(0,(C4156)-N(I26))^2/2+N(J26)*MAX(0,(C4156)-N(K26))^2/2+N(L26)*MAX(0,(C4156)-N(M26))^2/2)+$B$3507</f>
        <v>-57.9427083333333</v>
      </c>
    </row>
    <row r="4157" spans="1:5" hidden="1">
      <c r="A4157" s="3">
        <f t="shared" si="44"/>
        <v>0</v>
      </c>
      <c r="B4157" s="3">
        <f t="shared" si="45"/>
        <v>0</v>
      </c>
      <c r="C4157" s="3">
        <f t="shared" si="43"/>
        <v>0</v>
      </c>
      <c r="D4157" s="3">
        <f>$B$3505*(A4157)+$B$3506*(A4157)^2/2-$B$3504*(A4157)^3/6-(N(D26)*MAX(0,(A4157)-N(E26))^2/2+N(F26)*MAX(0,(A4157)-N(G26))^2/2+N(H26)*MAX(0,(A4157)-N(I26))^2/2+N(J26)*MAX(0,(A4157)-N(K26))^2/2+N(L26)*MAX(0,(A4157)-N(M26))^2/2)+$B$3507</f>
        <v>-57.9427083333333</v>
      </c>
      <c r="E4157" s="3">
        <f>$B$3505*(C4157)+$B$3506*(C4157)^2/2-$B$3504*(C4157)^3/6-(N(D26)*MAX(0,(C4157)-N(E26))^2/2+N(F26)*MAX(0,(C4157)-N(G26))^2/2+N(H26)*MAX(0,(C4157)-N(I26))^2/2+N(J26)*MAX(0,(C4157)-N(K26))^2/2+N(L26)*MAX(0,(C4157)-N(M26))^2/2)+$B$3507</f>
        <v>-57.9427083333333</v>
      </c>
    </row>
    <row r="4158" spans="1:5" hidden="1">
      <c r="A4158" s="3">
        <f t="shared" si="44"/>
        <v>0</v>
      </c>
      <c r="B4158" s="3">
        <f t="shared" si="45"/>
        <v>0</v>
      </c>
      <c r="C4158" s="3">
        <f t="shared" si="43"/>
        <v>0</v>
      </c>
      <c r="D4158" s="3">
        <f>$B$3505*(A4158)+$B$3506*(A4158)^2/2-$B$3504*(A4158)^3/6-(N(D26)*MAX(0,(A4158)-N(E26))^2/2+N(F26)*MAX(0,(A4158)-N(G26))^2/2+N(H26)*MAX(0,(A4158)-N(I26))^2/2+N(J26)*MAX(0,(A4158)-N(K26))^2/2+N(L26)*MAX(0,(A4158)-N(M26))^2/2)+$B$3507</f>
        <v>-57.9427083333333</v>
      </c>
      <c r="E4158" s="3">
        <f>$B$3505*(C4158)+$B$3506*(C4158)^2/2-$B$3504*(C4158)^3/6-(N(D26)*MAX(0,(C4158)-N(E26))^2/2+N(F26)*MAX(0,(C4158)-N(G26))^2/2+N(H26)*MAX(0,(C4158)-N(I26))^2/2+N(J26)*MAX(0,(C4158)-N(K26))^2/2+N(L26)*MAX(0,(C4158)-N(M26))^2/2)+$B$3507</f>
        <v>-57.9427083333333</v>
      </c>
    </row>
    <row r="4159" spans="1:5" hidden="1">
      <c r="A4159" s="3">
        <f t="shared" si="44"/>
        <v>0</v>
      </c>
      <c r="B4159" s="3">
        <f t="shared" si="45"/>
        <v>0</v>
      </c>
      <c r="C4159" s="3">
        <f t="shared" si="43"/>
        <v>0</v>
      </c>
      <c r="D4159" s="3">
        <f>$B$3505*(A4159)+$B$3506*(A4159)^2/2-$B$3504*(A4159)^3/6-(N(D26)*MAX(0,(A4159)-N(E26))^2/2+N(F26)*MAX(0,(A4159)-N(G26))^2/2+N(H26)*MAX(0,(A4159)-N(I26))^2/2+N(J26)*MAX(0,(A4159)-N(K26))^2/2+N(L26)*MAX(0,(A4159)-N(M26))^2/2)+$B$3507</f>
        <v>-57.9427083333333</v>
      </c>
      <c r="E4159" s="3">
        <f>$B$3505*(C4159)+$B$3506*(C4159)^2/2-$B$3504*(C4159)^3/6-(N(D26)*MAX(0,(C4159)-N(E26))^2/2+N(F26)*MAX(0,(C4159)-N(G26))^2/2+N(H26)*MAX(0,(C4159)-N(I26))^2/2+N(J26)*MAX(0,(C4159)-N(K26))^2/2+N(L26)*MAX(0,(C4159)-N(M26))^2/2)+$B$3507</f>
        <v>-57.9427083333333</v>
      </c>
    </row>
    <row r="4160" spans="1:5" hidden="1">
      <c r="A4160" s="3">
        <f t="shared" si="44"/>
        <v>0</v>
      </c>
      <c r="B4160" s="3">
        <f t="shared" si="45"/>
        <v>0</v>
      </c>
      <c r="C4160" s="3">
        <f t="shared" si="43"/>
        <v>0</v>
      </c>
      <c r="D4160" s="3">
        <f>$B$3505*(A4160)+$B$3506*(A4160)^2/2-$B$3504*(A4160)^3/6-(N(D26)*MAX(0,(A4160)-N(E26))^2/2+N(F26)*MAX(0,(A4160)-N(G26))^2/2+N(H26)*MAX(0,(A4160)-N(I26))^2/2+N(J26)*MAX(0,(A4160)-N(K26))^2/2+N(L26)*MAX(0,(A4160)-N(M26))^2/2)+$B$3507</f>
        <v>-57.9427083333333</v>
      </c>
      <c r="E4160" s="3">
        <f>$B$3505*(C4160)+$B$3506*(C4160)^2/2-$B$3504*(C4160)^3/6-(N(D26)*MAX(0,(C4160)-N(E26))^2/2+N(F26)*MAX(0,(C4160)-N(G26))^2/2+N(H26)*MAX(0,(C4160)-N(I26))^2/2+N(J26)*MAX(0,(C4160)-N(K26))^2/2+N(L26)*MAX(0,(C4160)-N(M26))^2/2)+$B$3507</f>
        <v>-57.9427083333333</v>
      </c>
    </row>
    <row r="4161" spans="1:5" hidden="1">
      <c r="A4161" s="3">
        <f t="shared" si="44"/>
        <v>0</v>
      </c>
      <c r="B4161" s="3">
        <f t="shared" si="45"/>
        <v>0</v>
      </c>
      <c r="C4161" s="3">
        <f t="shared" si="43"/>
        <v>0</v>
      </c>
      <c r="D4161" s="3">
        <f>$B$3505*(A4161)+$B$3506*(A4161)^2/2-$B$3504*(A4161)^3/6-(N(D26)*MAX(0,(A4161)-N(E26))^2/2+N(F26)*MAX(0,(A4161)-N(G26))^2/2+N(H26)*MAX(0,(A4161)-N(I26))^2/2+N(J26)*MAX(0,(A4161)-N(K26))^2/2+N(L26)*MAX(0,(A4161)-N(M26))^2/2)+$B$3507</f>
        <v>-57.9427083333333</v>
      </c>
      <c r="E4161" s="3">
        <f>$B$3505*(C4161)+$B$3506*(C4161)^2/2-$B$3504*(C4161)^3/6-(N(D26)*MAX(0,(C4161)-N(E26))^2/2+N(F26)*MAX(0,(C4161)-N(G26))^2/2+N(H26)*MAX(0,(C4161)-N(I26))^2/2+N(J26)*MAX(0,(C4161)-N(K26))^2/2+N(L26)*MAX(0,(C4161)-N(M26))^2/2)+$B$3507</f>
        <v>-57.9427083333333</v>
      </c>
    </row>
    <row r="4162" spans="1:5" hidden="1">
      <c r="A4162" s="3">
        <f t="shared" si="44"/>
        <v>0</v>
      </c>
      <c r="B4162" s="3">
        <f t="shared" si="45"/>
        <v>0</v>
      </c>
      <c r="C4162" s="3">
        <f t="shared" si="43"/>
        <v>0</v>
      </c>
      <c r="D4162" s="3">
        <f>$B$3505*(A4162)+$B$3506*(A4162)^2/2-$B$3504*(A4162)^3/6-(N(D26)*MAX(0,(A4162)-N(E26))^2/2+N(F26)*MAX(0,(A4162)-N(G26))^2/2+N(H26)*MAX(0,(A4162)-N(I26))^2/2+N(J26)*MAX(0,(A4162)-N(K26))^2/2+N(L26)*MAX(0,(A4162)-N(M26))^2/2)+$B$3507</f>
        <v>-57.9427083333333</v>
      </c>
      <c r="E4162" s="3">
        <f>$B$3505*(C4162)+$B$3506*(C4162)^2/2-$B$3504*(C4162)^3/6-(N(D26)*MAX(0,(C4162)-N(E26))^2/2+N(F26)*MAX(0,(C4162)-N(G26))^2/2+N(H26)*MAX(0,(C4162)-N(I26))^2/2+N(J26)*MAX(0,(C4162)-N(K26))^2/2+N(L26)*MAX(0,(C4162)-N(M26))^2/2)+$B$3507</f>
        <v>-57.9427083333333</v>
      </c>
    </row>
    <row r="4163" spans="1:5" hidden="1">
      <c r="A4163" s="3">
        <f t="shared" si="44"/>
        <v>0</v>
      </c>
      <c r="B4163" s="3">
        <f t="shared" si="45"/>
        <v>0</v>
      </c>
      <c r="C4163" s="3">
        <f t="shared" si="43"/>
        <v>0</v>
      </c>
      <c r="D4163" s="3">
        <f>$B$3505*(A4163)+$B$3506*(A4163)^2/2-$B$3504*(A4163)^3/6-(N(D26)*MAX(0,(A4163)-N(E26))^2/2+N(F26)*MAX(0,(A4163)-N(G26))^2/2+N(H26)*MAX(0,(A4163)-N(I26))^2/2+N(J26)*MAX(0,(A4163)-N(K26))^2/2+N(L26)*MAX(0,(A4163)-N(M26))^2/2)+$B$3507</f>
        <v>-57.9427083333333</v>
      </c>
      <c r="E4163" s="3">
        <f>$B$3505*(C4163)+$B$3506*(C4163)^2/2-$B$3504*(C4163)^3/6-(N(D26)*MAX(0,(C4163)-N(E26))^2/2+N(F26)*MAX(0,(C4163)-N(G26))^2/2+N(H26)*MAX(0,(C4163)-N(I26))^2/2+N(J26)*MAX(0,(C4163)-N(K26))^2/2+N(L26)*MAX(0,(C4163)-N(M26))^2/2)+$B$3507</f>
        <v>-57.9427083333333</v>
      </c>
    </row>
    <row r="4164" spans="1:5" hidden="1">
      <c r="A4164" s="3">
        <f t="shared" si="44"/>
        <v>0</v>
      </c>
      <c r="B4164" s="3">
        <f t="shared" si="45"/>
        <v>0</v>
      </c>
      <c r="C4164" s="3">
        <f t="shared" si="43"/>
        <v>0</v>
      </c>
      <c r="D4164" s="3">
        <f>$B$3505*(A4164)+$B$3506*(A4164)^2/2-$B$3504*(A4164)^3/6-(N(D26)*MAX(0,(A4164)-N(E26))^2/2+N(F26)*MAX(0,(A4164)-N(G26))^2/2+N(H26)*MAX(0,(A4164)-N(I26))^2/2+N(J26)*MAX(0,(A4164)-N(K26))^2/2+N(L26)*MAX(0,(A4164)-N(M26))^2/2)+$B$3507</f>
        <v>-57.9427083333333</v>
      </c>
      <c r="E4164" s="3">
        <f>$B$3505*(C4164)+$B$3506*(C4164)^2/2-$B$3504*(C4164)^3/6-(N(D26)*MAX(0,(C4164)-N(E26))^2/2+N(F26)*MAX(0,(C4164)-N(G26))^2/2+N(H26)*MAX(0,(C4164)-N(I26))^2/2+N(J26)*MAX(0,(C4164)-N(K26))^2/2+N(L26)*MAX(0,(C4164)-N(M26))^2/2)+$B$3507</f>
        <v>-57.9427083333333</v>
      </c>
    </row>
    <row r="4165" spans="1:5" hidden="1">
      <c r="A4165" s="3">
        <f t="shared" si="44"/>
        <v>0</v>
      </c>
      <c r="B4165" s="3">
        <f t="shared" si="45"/>
        <v>0</v>
      </c>
      <c r="C4165" s="3">
        <f t="shared" si="43"/>
        <v>0</v>
      </c>
      <c r="D4165" s="3">
        <f>$B$3505*(A4165)+$B$3506*(A4165)^2/2-$B$3504*(A4165)^3/6-(N(D26)*MAX(0,(A4165)-N(E26))^2/2+N(F26)*MAX(0,(A4165)-N(G26))^2/2+N(H26)*MAX(0,(A4165)-N(I26))^2/2+N(J26)*MAX(0,(A4165)-N(K26))^2/2+N(L26)*MAX(0,(A4165)-N(M26))^2/2)+$B$3507</f>
        <v>-57.9427083333333</v>
      </c>
      <c r="E4165" s="3">
        <f>$B$3505*(C4165)+$B$3506*(C4165)^2/2-$B$3504*(C4165)^3/6-(N(D26)*MAX(0,(C4165)-N(E26))^2/2+N(F26)*MAX(0,(C4165)-N(G26))^2/2+N(H26)*MAX(0,(C4165)-N(I26))^2/2+N(J26)*MAX(0,(C4165)-N(K26))^2/2+N(L26)*MAX(0,(C4165)-N(M26))^2/2)+$B$3507</f>
        <v>-57.9427083333333</v>
      </c>
    </row>
    <row r="4166" spans="1:5" hidden="1">
      <c r="A4166" s="3">
        <f t="shared" si="44"/>
        <v>0</v>
      </c>
      <c r="B4166" s="3">
        <f t="shared" si="45"/>
        <v>0</v>
      </c>
      <c r="C4166" s="3">
        <f t="shared" si="43"/>
        <v>0</v>
      </c>
      <c r="D4166" s="3">
        <f>$B$3505*(A4166)+$B$3506*(A4166)^2/2-$B$3504*(A4166)^3/6-(N(D26)*MAX(0,(A4166)-N(E26))^2/2+N(F26)*MAX(0,(A4166)-N(G26))^2/2+N(H26)*MAX(0,(A4166)-N(I26))^2/2+N(J26)*MAX(0,(A4166)-N(K26))^2/2+N(L26)*MAX(0,(A4166)-N(M26))^2/2)+$B$3507</f>
        <v>-57.9427083333333</v>
      </c>
      <c r="E4166" s="3">
        <f>$B$3505*(C4166)+$B$3506*(C4166)^2/2-$B$3504*(C4166)^3/6-(N(D26)*MAX(0,(C4166)-N(E26))^2/2+N(F26)*MAX(0,(C4166)-N(G26))^2/2+N(H26)*MAX(0,(C4166)-N(I26))^2/2+N(J26)*MAX(0,(C4166)-N(K26))^2/2+N(L26)*MAX(0,(C4166)-N(M26))^2/2)+$B$3507</f>
        <v>-57.9427083333333</v>
      </c>
    </row>
    <row r="4167" spans="1:5" hidden="1">
      <c r="A4167" s="3">
        <f t="shared" si="44"/>
        <v>0</v>
      </c>
      <c r="B4167" s="3">
        <f t="shared" si="45"/>
        <v>0</v>
      </c>
      <c r="C4167" s="3">
        <f t="shared" si="43"/>
        <v>0</v>
      </c>
      <c r="D4167" s="3">
        <f>$B$3505*(A4167)+$B$3506*(A4167)^2/2-$B$3504*(A4167)^3/6-(N(D26)*MAX(0,(A4167)-N(E26))^2/2+N(F26)*MAX(0,(A4167)-N(G26))^2/2+N(H26)*MAX(0,(A4167)-N(I26))^2/2+N(J26)*MAX(0,(A4167)-N(K26))^2/2+N(L26)*MAX(0,(A4167)-N(M26))^2/2)+$B$3507</f>
        <v>-57.9427083333333</v>
      </c>
      <c r="E4167" s="3">
        <f>$B$3505*(C4167)+$B$3506*(C4167)^2/2-$B$3504*(C4167)^3/6-(N(D26)*MAX(0,(C4167)-N(E26))^2/2+N(F26)*MAX(0,(C4167)-N(G26))^2/2+N(H26)*MAX(0,(C4167)-N(I26))^2/2+N(J26)*MAX(0,(C4167)-N(K26))^2/2+N(L26)*MAX(0,(C4167)-N(M26))^2/2)+$B$3507</f>
        <v>-57.9427083333333</v>
      </c>
    </row>
    <row r="4168" spans="1:5" hidden="1">
      <c r="A4168" s="3">
        <f t="shared" si="44"/>
        <v>0</v>
      </c>
      <c r="B4168" s="3">
        <f t="shared" si="45"/>
        <v>0</v>
      </c>
      <c r="C4168" s="3">
        <f t="shared" si="43"/>
        <v>0</v>
      </c>
      <c r="D4168" s="3">
        <f>$B$3505*(A4168)+$B$3506*(A4168)^2/2-$B$3504*(A4168)^3/6-(N(D26)*MAX(0,(A4168)-N(E26))^2/2+N(F26)*MAX(0,(A4168)-N(G26))^2/2+N(H26)*MAX(0,(A4168)-N(I26))^2/2+N(J26)*MAX(0,(A4168)-N(K26))^2/2+N(L26)*MAX(0,(A4168)-N(M26))^2/2)+$B$3507</f>
        <v>-57.9427083333333</v>
      </c>
      <c r="E4168" s="3">
        <f>$B$3505*(C4168)+$B$3506*(C4168)^2/2-$B$3504*(C4168)^3/6-(N(D26)*MAX(0,(C4168)-N(E26))^2/2+N(F26)*MAX(0,(C4168)-N(G26))^2/2+N(H26)*MAX(0,(C4168)-N(I26))^2/2+N(J26)*MAX(0,(C4168)-N(K26))^2/2+N(L26)*MAX(0,(C4168)-N(M26))^2/2)+$B$3507</f>
        <v>-57.9427083333333</v>
      </c>
    </row>
    <row r="4169" spans="1:5" hidden="1">
      <c r="A4169" s="3">
        <f t="shared" si="44"/>
        <v>0</v>
      </c>
      <c r="B4169" s="3">
        <f t="shared" si="45"/>
        <v>0</v>
      </c>
      <c r="C4169" s="3">
        <f t="shared" si="43"/>
        <v>0</v>
      </c>
      <c r="D4169" s="3">
        <f>$B$3505*(A4169)+$B$3506*(A4169)^2/2-$B$3504*(A4169)^3/6-(N(D26)*MAX(0,(A4169)-N(E26))^2/2+N(F26)*MAX(0,(A4169)-N(G26))^2/2+N(H26)*MAX(0,(A4169)-N(I26))^2/2+N(J26)*MAX(0,(A4169)-N(K26))^2/2+N(L26)*MAX(0,(A4169)-N(M26))^2/2)+$B$3507</f>
        <v>-57.9427083333333</v>
      </c>
      <c r="E4169" s="3">
        <f>$B$3505*(C4169)+$B$3506*(C4169)^2/2-$B$3504*(C4169)^3/6-(N(D26)*MAX(0,(C4169)-N(E26))^2/2+N(F26)*MAX(0,(C4169)-N(G26))^2/2+N(H26)*MAX(0,(C4169)-N(I26))^2/2+N(J26)*MAX(0,(C4169)-N(K26))^2/2+N(L26)*MAX(0,(C4169)-N(M26))^2/2)+$B$3507</f>
        <v>-57.9427083333333</v>
      </c>
    </row>
    <row r="4170" spans="1:5" hidden="1">
      <c r="A4170" s="3">
        <f t="shared" si="44"/>
        <v>0</v>
      </c>
      <c r="B4170" s="3">
        <f t="shared" si="45"/>
        <v>0</v>
      </c>
      <c r="C4170" s="3">
        <f t="shared" si="43"/>
        <v>0</v>
      </c>
      <c r="D4170" s="3">
        <f>$B$3505*(A4170)+$B$3506*(A4170)^2/2-$B$3504*(A4170)^3/6-(N(D26)*MAX(0,(A4170)-N(E26))^2/2+N(F26)*MAX(0,(A4170)-N(G26))^2/2+N(H26)*MAX(0,(A4170)-N(I26))^2/2+N(J26)*MAX(0,(A4170)-N(K26))^2/2+N(L26)*MAX(0,(A4170)-N(M26))^2/2)+$B$3507</f>
        <v>-57.9427083333333</v>
      </c>
      <c r="E4170" s="3">
        <f>$B$3505*(C4170)+$B$3506*(C4170)^2/2-$B$3504*(C4170)^3/6-(N(D26)*MAX(0,(C4170)-N(E26))^2/2+N(F26)*MAX(0,(C4170)-N(G26))^2/2+N(H26)*MAX(0,(C4170)-N(I26))^2/2+N(J26)*MAX(0,(C4170)-N(K26))^2/2+N(L26)*MAX(0,(C4170)-N(M26))^2/2)+$B$3507</f>
        <v>-57.9427083333333</v>
      </c>
    </row>
    <row r="4171" spans="1:5" hidden="1">
      <c r="A4171" s="3">
        <f t="shared" si="44"/>
        <v>0</v>
      </c>
      <c r="B4171" s="3">
        <f t="shared" si="45"/>
        <v>0</v>
      </c>
      <c r="C4171" s="3">
        <f t="shared" si="43"/>
        <v>0</v>
      </c>
      <c r="D4171" s="3">
        <f>$B$3505*(A4171)+$B$3506*(A4171)^2/2-$B$3504*(A4171)^3/6-(N(D26)*MAX(0,(A4171)-N(E26))^2/2+N(F26)*MAX(0,(A4171)-N(G26))^2/2+N(H26)*MAX(0,(A4171)-N(I26))^2/2+N(J26)*MAX(0,(A4171)-N(K26))^2/2+N(L26)*MAX(0,(A4171)-N(M26))^2/2)+$B$3507</f>
        <v>-57.9427083333333</v>
      </c>
      <c r="E4171" s="3">
        <f>$B$3505*(C4171)+$B$3506*(C4171)^2/2-$B$3504*(C4171)^3/6-(N(D26)*MAX(0,(C4171)-N(E26))^2/2+N(F26)*MAX(0,(C4171)-N(G26))^2/2+N(H26)*MAX(0,(C4171)-N(I26))^2/2+N(J26)*MAX(0,(C4171)-N(K26))^2/2+N(L26)*MAX(0,(C4171)-N(M26))^2/2)+$B$3507</f>
        <v>-57.9427083333333</v>
      </c>
    </row>
    <row r="4172" spans="1:5" hidden="1">
      <c r="A4172" s="3">
        <f t="shared" si="44"/>
        <v>0</v>
      </c>
      <c r="B4172" s="3">
        <f t="shared" si="45"/>
        <v>0</v>
      </c>
      <c r="C4172" s="3">
        <f t="shared" si="43"/>
        <v>0</v>
      </c>
      <c r="D4172" s="3">
        <f>$B$3505*(A4172)+$B$3506*(A4172)^2/2-$B$3504*(A4172)^3/6-(N(D26)*MAX(0,(A4172)-N(E26))^2/2+N(F26)*MAX(0,(A4172)-N(G26))^2/2+N(H26)*MAX(0,(A4172)-N(I26))^2/2+N(J26)*MAX(0,(A4172)-N(K26))^2/2+N(L26)*MAX(0,(A4172)-N(M26))^2/2)+$B$3507</f>
        <v>-57.9427083333333</v>
      </c>
      <c r="E4172" s="3">
        <f>$B$3505*(C4172)+$B$3506*(C4172)^2/2-$B$3504*(C4172)^3/6-(N(D26)*MAX(0,(C4172)-N(E26))^2/2+N(F26)*MAX(0,(C4172)-N(G26))^2/2+N(H26)*MAX(0,(C4172)-N(I26))^2/2+N(J26)*MAX(0,(C4172)-N(K26))^2/2+N(L26)*MAX(0,(C4172)-N(M26))^2/2)+$B$3507</f>
        <v>-57.9427083333333</v>
      </c>
    </row>
    <row r="4173" spans="1:5" hidden="1">
      <c r="A4173" s="3">
        <f t="shared" si="44"/>
        <v>0</v>
      </c>
      <c r="B4173" s="3">
        <f t="shared" si="45"/>
        <v>0</v>
      </c>
      <c r="C4173" s="3">
        <f t="shared" si="43"/>
        <v>0</v>
      </c>
      <c r="D4173" s="3">
        <f>$B$3505*(A4173)+$B$3506*(A4173)^2/2-$B$3504*(A4173)^3/6-(N(D26)*MAX(0,(A4173)-N(E26))^2/2+N(F26)*MAX(0,(A4173)-N(G26))^2/2+N(H26)*MAX(0,(A4173)-N(I26))^2/2+N(J26)*MAX(0,(A4173)-N(K26))^2/2+N(L26)*MAX(0,(A4173)-N(M26))^2/2)+$B$3507</f>
        <v>-57.9427083333333</v>
      </c>
      <c r="E4173" s="3">
        <f>$B$3505*(C4173)+$B$3506*(C4173)^2/2-$B$3504*(C4173)^3/6-(N(D26)*MAX(0,(C4173)-N(E26))^2/2+N(F26)*MAX(0,(C4173)-N(G26))^2/2+N(H26)*MAX(0,(C4173)-N(I26))^2/2+N(J26)*MAX(0,(C4173)-N(K26))^2/2+N(L26)*MAX(0,(C4173)-N(M26))^2/2)+$B$3507</f>
        <v>-57.9427083333333</v>
      </c>
    </row>
    <row r="4174" spans="1:5" hidden="1">
      <c r="A4174" s="3">
        <f t="shared" si="44"/>
        <v>0</v>
      </c>
      <c r="B4174" s="3">
        <f t="shared" si="45"/>
        <v>0</v>
      </c>
      <c r="C4174" s="3">
        <f t="shared" si="43"/>
        <v>0</v>
      </c>
      <c r="D4174" s="3">
        <f>$B$3505*(A4174)+$B$3506*(A4174)^2/2-$B$3504*(A4174)^3/6-(N(D26)*MAX(0,(A4174)-N(E26))^2/2+N(F26)*MAX(0,(A4174)-N(G26))^2/2+N(H26)*MAX(0,(A4174)-N(I26))^2/2+N(J26)*MAX(0,(A4174)-N(K26))^2/2+N(L26)*MAX(0,(A4174)-N(M26))^2/2)+$B$3507</f>
        <v>-57.9427083333333</v>
      </c>
      <c r="E4174" s="3">
        <f>$B$3505*(C4174)+$B$3506*(C4174)^2/2-$B$3504*(C4174)^3/6-(N(D26)*MAX(0,(C4174)-N(E26))^2/2+N(F26)*MAX(0,(C4174)-N(G26))^2/2+N(H26)*MAX(0,(C4174)-N(I26))^2/2+N(J26)*MAX(0,(C4174)-N(K26))^2/2+N(L26)*MAX(0,(C4174)-N(M26))^2/2)+$B$3507</f>
        <v>-57.9427083333333</v>
      </c>
    </row>
    <row r="4175" spans="1:5" hidden="1">
      <c r="A4175" s="3">
        <f t="shared" si="44"/>
        <v>0</v>
      </c>
      <c r="B4175" s="3">
        <f t="shared" si="45"/>
        <v>0</v>
      </c>
      <c r="C4175" s="3">
        <f t="shared" si="43"/>
        <v>0</v>
      </c>
      <c r="D4175" s="3">
        <f>$B$3505*(A4175)+$B$3506*(A4175)^2/2-$B$3504*(A4175)^3/6-(N(D26)*MAX(0,(A4175)-N(E26))^2/2+N(F26)*MAX(0,(A4175)-N(G26))^2/2+N(H26)*MAX(0,(A4175)-N(I26))^2/2+N(J26)*MAX(0,(A4175)-N(K26))^2/2+N(L26)*MAX(0,(A4175)-N(M26))^2/2)+$B$3507</f>
        <v>-57.9427083333333</v>
      </c>
      <c r="E4175" s="3">
        <f>$B$3505*(C4175)+$B$3506*(C4175)^2/2-$B$3504*(C4175)^3/6-(N(D26)*MAX(0,(C4175)-N(E26))^2/2+N(F26)*MAX(0,(C4175)-N(G26))^2/2+N(H26)*MAX(0,(C4175)-N(I26))^2/2+N(J26)*MAX(0,(C4175)-N(K26))^2/2+N(L26)*MAX(0,(C4175)-N(M26))^2/2)+$B$3507</f>
        <v>-57.9427083333333</v>
      </c>
    </row>
    <row r="4176" spans="1:5" hidden="1">
      <c r="A4176" s="3">
        <f t="shared" si="44"/>
        <v>0</v>
      </c>
      <c r="B4176" s="3">
        <f t="shared" si="45"/>
        <v>0</v>
      </c>
      <c r="C4176" s="3">
        <f t="shared" si="43"/>
        <v>0</v>
      </c>
      <c r="D4176" s="3">
        <f>$B$3505*(A4176)+$B$3506*(A4176)^2/2-$B$3504*(A4176)^3/6-(N(D26)*MAX(0,(A4176)-N(E26))^2/2+N(F26)*MAX(0,(A4176)-N(G26))^2/2+N(H26)*MAX(0,(A4176)-N(I26))^2/2+N(J26)*MAX(0,(A4176)-N(K26))^2/2+N(L26)*MAX(0,(A4176)-N(M26))^2/2)+$B$3507</f>
        <v>-57.9427083333333</v>
      </c>
      <c r="E4176" s="3">
        <f>$B$3505*(C4176)+$B$3506*(C4176)^2/2-$B$3504*(C4176)^3/6-(N(D26)*MAX(0,(C4176)-N(E26))^2/2+N(F26)*MAX(0,(C4176)-N(G26))^2/2+N(H26)*MAX(0,(C4176)-N(I26))^2/2+N(J26)*MAX(0,(C4176)-N(K26))^2/2+N(L26)*MAX(0,(C4176)-N(M26))^2/2)+$B$3507</f>
        <v>-57.9427083333333</v>
      </c>
    </row>
    <row r="4177" spans="1:5" hidden="1">
      <c r="A4177" s="3">
        <f t="shared" si="44"/>
        <v>0</v>
      </c>
      <c r="B4177" s="3">
        <f t="shared" si="45"/>
        <v>0</v>
      </c>
      <c r="C4177" s="3">
        <f t="shared" si="43"/>
        <v>0</v>
      </c>
      <c r="D4177" s="3">
        <f>$B$3505*(A4177)+$B$3506*(A4177)^2/2-$B$3504*(A4177)^3/6-(N(D26)*MAX(0,(A4177)-N(E26))^2/2+N(F26)*MAX(0,(A4177)-N(G26))^2/2+N(H26)*MAX(0,(A4177)-N(I26))^2/2+N(J26)*MAX(0,(A4177)-N(K26))^2/2+N(L26)*MAX(0,(A4177)-N(M26))^2/2)+$B$3507</f>
        <v>-57.9427083333333</v>
      </c>
      <c r="E4177" s="3">
        <f>$B$3505*(C4177)+$B$3506*(C4177)^2/2-$B$3504*(C4177)^3/6-(N(D26)*MAX(0,(C4177)-N(E26))^2/2+N(F26)*MAX(0,(C4177)-N(G26))^2/2+N(H26)*MAX(0,(C4177)-N(I26))^2/2+N(J26)*MAX(0,(C4177)-N(K26))^2/2+N(L26)*MAX(0,(C4177)-N(M26))^2/2)+$B$3507</f>
        <v>-57.9427083333333</v>
      </c>
    </row>
    <row r="4178" spans="1:5" hidden="1">
      <c r="A4178" s="3">
        <f t="shared" si="44"/>
        <v>0</v>
      </c>
      <c r="B4178" s="3">
        <f t="shared" si="45"/>
        <v>0</v>
      </c>
      <c r="C4178" s="3">
        <f t="shared" si="43"/>
        <v>0</v>
      </c>
      <c r="D4178" s="3">
        <f>$B$3505*(A4178)+$B$3506*(A4178)^2/2-$B$3504*(A4178)^3/6-(N(D26)*MAX(0,(A4178)-N(E26))^2/2+N(F26)*MAX(0,(A4178)-N(G26))^2/2+N(H26)*MAX(0,(A4178)-N(I26))^2/2+N(J26)*MAX(0,(A4178)-N(K26))^2/2+N(L26)*MAX(0,(A4178)-N(M26))^2/2)+$B$3507</f>
        <v>-57.9427083333333</v>
      </c>
      <c r="E4178" s="3">
        <f>$B$3505*(C4178)+$B$3506*(C4178)^2/2-$B$3504*(C4178)^3/6-(N(D26)*MAX(0,(C4178)-N(E26))^2/2+N(F26)*MAX(0,(C4178)-N(G26))^2/2+N(H26)*MAX(0,(C4178)-N(I26))^2/2+N(J26)*MAX(0,(C4178)-N(K26))^2/2+N(L26)*MAX(0,(C4178)-N(M26))^2/2)+$B$3507</f>
        <v>-57.9427083333333</v>
      </c>
    </row>
    <row r="4179" spans="1:5" hidden="1">
      <c r="A4179" s="3">
        <f t="shared" si="44"/>
        <v>0</v>
      </c>
      <c r="B4179" s="3">
        <f t="shared" si="45"/>
        <v>0</v>
      </c>
      <c r="C4179" s="3">
        <f t="shared" si="43"/>
        <v>0</v>
      </c>
      <c r="D4179" s="3">
        <f>$B$3505*(A4179)+$B$3506*(A4179)^2/2-$B$3504*(A4179)^3/6-(N(D26)*MAX(0,(A4179)-N(E26))^2/2+N(F26)*MAX(0,(A4179)-N(G26))^2/2+N(H26)*MAX(0,(A4179)-N(I26))^2/2+N(J26)*MAX(0,(A4179)-N(K26))^2/2+N(L26)*MAX(0,(A4179)-N(M26))^2/2)+$B$3507</f>
        <v>-57.9427083333333</v>
      </c>
      <c r="E4179" s="3">
        <f>$B$3505*(C4179)+$B$3506*(C4179)^2/2-$B$3504*(C4179)^3/6-(N(D26)*MAX(0,(C4179)-N(E26))^2/2+N(F26)*MAX(0,(C4179)-N(G26))^2/2+N(H26)*MAX(0,(C4179)-N(I26))^2/2+N(J26)*MAX(0,(C4179)-N(K26))^2/2+N(L26)*MAX(0,(C4179)-N(M26))^2/2)+$B$3507</f>
        <v>-57.9427083333333</v>
      </c>
    </row>
    <row r="4180" spans="1:5" hidden="1">
      <c r="A4180" s="3">
        <f t="shared" si="44"/>
        <v>0</v>
      </c>
      <c r="B4180" s="3">
        <f t="shared" si="45"/>
        <v>0</v>
      </c>
      <c r="C4180" s="3">
        <f t="shared" si="43"/>
        <v>0</v>
      </c>
      <c r="D4180" s="3">
        <f>$B$3505*(A4180)+$B$3506*(A4180)^2/2-$B$3504*(A4180)^3/6-(N(D26)*MAX(0,(A4180)-N(E26))^2/2+N(F26)*MAX(0,(A4180)-N(G26))^2/2+N(H26)*MAX(0,(A4180)-N(I26))^2/2+N(J26)*MAX(0,(A4180)-N(K26))^2/2+N(L26)*MAX(0,(A4180)-N(M26))^2/2)+$B$3507</f>
        <v>-57.9427083333333</v>
      </c>
      <c r="E4180" s="3">
        <f>$B$3505*(C4180)+$B$3506*(C4180)^2/2-$B$3504*(C4180)^3/6-(N(D26)*MAX(0,(C4180)-N(E26))^2/2+N(F26)*MAX(0,(C4180)-N(G26))^2/2+N(H26)*MAX(0,(C4180)-N(I26))^2/2+N(J26)*MAX(0,(C4180)-N(K26))^2/2+N(L26)*MAX(0,(C4180)-N(M26))^2/2)+$B$3507</f>
        <v>-57.9427083333333</v>
      </c>
    </row>
    <row r="4181" spans="1:5" hidden="1">
      <c r="A4181" s="3">
        <f t="shared" si="44"/>
        <v>0</v>
      </c>
      <c r="B4181" s="3">
        <f t="shared" si="45"/>
        <v>0</v>
      </c>
      <c r="C4181" s="3">
        <f t="shared" si="43"/>
        <v>0</v>
      </c>
      <c r="D4181" s="3">
        <f>$B$3505*(A4181)+$B$3506*(A4181)^2/2-$B$3504*(A4181)^3/6-(N(D26)*MAX(0,(A4181)-N(E26))^2/2+N(F26)*MAX(0,(A4181)-N(G26))^2/2+N(H26)*MAX(0,(A4181)-N(I26))^2/2+N(J26)*MAX(0,(A4181)-N(K26))^2/2+N(L26)*MAX(0,(A4181)-N(M26))^2/2)+$B$3507</f>
        <v>-57.9427083333333</v>
      </c>
      <c r="E4181" s="3">
        <f>$B$3505*(C4181)+$B$3506*(C4181)^2/2-$B$3504*(C4181)^3/6-(N(D26)*MAX(0,(C4181)-N(E26))^2/2+N(F26)*MAX(0,(C4181)-N(G26))^2/2+N(H26)*MAX(0,(C4181)-N(I26))^2/2+N(J26)*MAX(0,(C4181)-N(K26))^2/2+N(L26)*MAX(0,(C4181)-N(M26))^2/2)+$B$3507</f>
        <v>-57.9427083333333</v>
      </c>
    </row>
    <row r="4182" spans="1:5" hidden="1">
      <c r="A4182" s="3">
        <f t="shared" si="44"/>
        <v>0</v>
      </c>
      <c r="B4182" s="3">
        <f t="shared" si="45"/>
        <v>0</v>
      </c>
      <c r="C4182" s="3">
        <f t="shared" si="43"/>
        <v>0</v>
      </c>
      <c r="D4182" s="3">
        <f>$B$3505*(A4182)+$B$3506*(A4182)^2/2-$B$3504*(A4182)^3/6-(N(D26)*MAX(0,(A4182)-N(E26))^2/2+N(F26)*MAX(0,(A4182)-N(G26))^2/2+N(H26)*MAX(0,(A4182)-N(I26))^2/2+N(J26)*MAX(0,(A4182)-N(K26))^2/2+N(L26)*MAX(0,(A4182)-N(M26))^2/2)+$B$3507</f>
        <v>-57.9427083333333</v>
      </c>
      <c r="E4182" s="3">
        <f>$B$3505*(C4182)+$B$3506*(C4182)^2/2-$B$3504*(C4182)^3/6-(N(D26)*MAX(0,(C4182)-N(E26))^2/2+N(F26)*MAX(0,(C4182)-N(G26))^2/2+N(H26)*MAX(0,(C4182)-N(I26))^2/2+N(J26)*MAX(0,(C4182)-N(K26))^2/2+N(L26)*MAX(0,(C4182)-N(M26))^2/2)+$B$3507</f>
        <v>-57.9427083333333</v>
      </c>
    </row>
    <row r="4183" spans="1:5" hidden="1">
      <c r="A4183" s="3">
        <f t="shared" si="44"/>
        <v>0</v>
      </c>
      <c r="B4183" s="3">
        <f t="shared" si="45"/>
        <v>0</v>
      </c>
      <c r="C4183" s="3">
        <f t="shared" si="43"/>
        <v>0</v>
      </c>
      <c r="D4183" s="3">
        <f>$B$3505*(A4183)+$B$3506*(A4183)^2/2-$B$3504*(A4183)^3/6-(N(D26)*MAX(0,(A4183)-N(E26))^2/2+N(F26)*MAX(0,(A4183)-N(G26))^2/2+N(H26)*MAX(0,(A4183)-N(I26))^2/2+N(J26)*MAX(0,(A4183)-N(K26))^2/2+N(L26)*MAX(0,(A4183)-N(M26))^2/2)+$B$3507</f>
        <v>-57.9427083333333</v>
      </c>
      <c r="E4183" s="3">
        <f>$B$3505*(C4183)+$B$3506*(C4183)^2/2-$B$3504*(C4183)^3/6-(N(D26)*MAX(0,(C4183)-N(E26))^2/2+N(F26)*MAX(0,(C4183)-N(G26))^2/2+N(H26)*MAX(0,(C4183)-N(I26))^2/2+N(J26)*MAX(0,(C4183)-N(K26))^2/2+N(L26)*MAX(0,(C4183)-N(M26))^2/2)+$B$3507</f>
        <v>-57.9427083333333</v>
      </c>
    </row>
    <row r="4184" spans="1:5" hidden="1">
      <c r="A4184" s="3">
        <f t="shared" si="44"/>
        <v>0</v>
      </c>
      <c r="B4184" s="3">
        <f t="shared" si="45"/>
        <v>0</v>
      </c>
      <c r="C4184" s="3">
        <f t="shared" si="43"/>
        <v>0</v>
      </c>
      <c r="D4184" s="3">
        <f>$B$3505*(A4184)+$B$3506*(A4184)^2/2-$B$3504*(A4184)^3/6-(N(D26)*MAX(0,(A4184)-N(E26))^2/2+N(F26)*MAX(0,(A4184)-N(G26))^2/2+N(H26)*MAX(0,(A4184)-N(I26))^2/2+N(J26)*MAX(0,(A4184)-N(K26))^2/2+N(L26)*MAX(0,(A4184)-N(M26))^2/2)+$B$3507</f>
        <v>-57.9427083333333</v>
      </c>
      <c r="E4184" s="3">
        <f>$B$3505*(C4184)+$B$3506*(C4184)^2/2-$B$3504*(C4184)^3/6-(N(D26)*MAX(0,(C4184)-N(E26))^2/2+N(F26)*MAX(0,(C4184)-N(G26))^2/2+N(H26)*MAX(0,(C4184)-N(I26))^2/2+N(J26)*MAX(0,(C4184)-N(K26))^2/2+N(L26)*MAX(0,(C4184)-N(M26))^2/2)+$B$3507</f>
        <v>-57.9427083333333</v>
      </c>
    </row>
    <row r="4185" spans="1:5" hidden="1">
      <c r="A4185" s="3">
        <f t="shared" si="44"/>
        <v>0</v>
      </c>
      <c r="B4185" s="3">
        <f t="shared" si="45"/>
        <v>0</v>
      </c>
      <c r="C4185" s="3">
        <f t="shared" si="43"/>
        <v>0</v>
      </c>
      <c r="D4185" s="3">
        <f>$B$3505*(A4185)+$B$3506*(A4185)^2/2-$B$3504*(A4185)^3/6-(N(D26)*MAX(0,(A4185)-N(E26))^2/2+N(F26)*MAX(0,(A4185)-N(G26))^2/2+N(H26)*MAX(0,(A4185)-N(I26))^2/2+N(J26)*MAX(0,(A4185)-N(K26))^2/2+N(L26)*MAX(0,(A4185)-N(M26))^2/2)+$B$3507</f>
        <v>-57.9427083333333</v>
      </c>
      <c r="E4185" s="3">
        <f>$B$3505*(C4185)+$B$3506*(C4185)^2/2-$B$3504*(C4185)^3/6-(N(D26)*MAX(0,(C4185)-N(E26))^2/2+N(F26)*MAX(0,(C4185)-N(G26))^2/2+N(H26)*MAX(0,(C4185)-N(I26))^2/2+N(J26)*MAX(0,(C4185)-N(K26))^2/2+N(L26)*MAX(0,(C4185)-N(M26))^2/2)+$B$3507</f>
        <v>-57.9427083333333</v>
      </c>
    </row>
    <row r="4186" spans="1:5" hidden="1">
      <c r="A4186" s="3">
        <f t="shared" si="44"/>
        <v>0</v>
      </c>
      <c r="B4186" s="3">
        <f t="shared" si="45"/>
        <v>0</v>
      </c>
      <c r="C4186" s="3">
        <f t="shared" si="43"/>
        <v>0</v>
      </c>
      <c r="D4186" s="3">
        <f>$B$3505*(A4186)+$B$3506*(A4186)^2/2-$B$3504*(A4186)^3/6-(N(D26)*MAX(0,(A4186)-N(E26))^2/2+N(F26)*MAX(0,(A4186)-N(G26))^2/2+N(H26)*MAX(0,(A4186)-N(I26))^2/2+N(J26)*MAX(0,(A4186)-N(K26))^2/2+N(L26)*MAX(0,(A4186)-N(M26))^2/2)+$B$3507</f>
        <v>-57.9427083333333</v>
      </c>
      <c r="E4186" s="3">
        <f>$B$3505*(C4186)+$B$3506*(C4186)^2/2-$B$3504*(C4186)^3/6-(N(D26)*MAX(0,(C4186)-N(E26))^2/2+N(F26)*MAX(0,(C4186)-N(G26))^2/2+N(H26)*MAX(0,(C4186)-N(I26))^2/2+N(J26)*MAX(0,(C4186)-N(K26))^2/2+N(L26)*MAX(0,(C4186)-N(M26))^2/2)+$B$3507</f>
        <v>-57.9427083333333</v>
      </c>
    </row>
    <row r="4187" spans="1:5" hidden="1">
      <c r="A4187" s="3">
        <f t="shared" si="44"/>
        <v>0</v>
      </c>
      <c r="B4187" s="3">
        <f t="shared" si="45"/>
        <v>0</v>
      </c>
      <c r="C4187" s="3">
        <f t="shared" si="43"/>
        <v>0</v>
      </c>
      <c r="D4187" s="3">
        <f>$B$3505*(A4187)+$B$3506*(A4187)^2/2-$B$3504*(A4187)^3/6-(N(D26)*MAX(0,(A4187)-N(E26))^2/2+N(F26)*MAX(0,(A4187)-N(G26))^2/2+N(H26)*MAX(0,(A4187)-N(I26))^2/2+N(J26)*MAX(0,(A4187)-N(K26))^2/2+N(L26)*MAX(0,(A4187)-N(M26))^2/2)+$B$3507</f>
        <v>-57.9427083333333</v>
      </c>
      <c r="E4187" s="3">
        <f>$B$3505*(C4187)+$B$3506*(C4187)^2/2-$B$3504*(C4187)^3/6-(N(D26)*MAX(0,(C4187)-N(E26))^2/2+N(F26)*MAX(0,(C4187)-N(G26))^2/2+N(H26)*MAX(0,(C4187)-N(I26))^2/2+N(J26)*MAX(0,(C4187)-N(K26))^2/2+N(L26)*MAX(0,(C4187)-N(M26))^2/2)+$B$3507</f>
        <v>-57.9427083333333</v>
      </c>
    </row>
    <row r="4188" spans="1:5" hidden="1">
      <c r="A4188" s="3">
        <f t="shared" si="44"/>
        <v>0</v>
      </c>
      <c r="B4188" s="3">
        <f t="shared" si="45"/>
        <v>0</v>
      </c>
      <c r="C4188" s="3">
        <f t="shared" si="43"/>
        <v>0</v>
      </c>
      <c r="D4188" s="3">
        <f>$B$3505*(A4188)+$B$3506*(A4188)^2/2-$B$3504*(A4188)^3/6-(N(D26)*MAX(0,(A4188)-N(E26))^2/2+N(F26)*MAX(0,(A4188)-N(G26))^2/2+N(H26)*MAX(0,(A4188)-N(I26))^2/2+N(J26)*MAX(0,(A4188)-N(K26))^2/2+N(L26)*MAX(0,(A4188)-N(M26))^2/2)+$B$3507</f>
        <v>-57.9427083333333</v>
      </c>
      <c r="E4188" s="3">
        <f>$B$3505*(C4188)+$B$3506*(C4188)^2/2-$B$3504*(C4188)^3/6-(N(D26)*MAX(0,(C4188)-N(E26))^2/2+N(F26)*MAX(0,(C4188)-N(G26))^2/2+N(H26)*MAX(0,(C4188)-N(I26))^2/2+N(J26)*MAX(0,(C4188)-N(K26))^2/2+N(L26)*MAX(0,(C4188)-N(M26))^2/2)+$B$3507</f>
        <v>-57.9427083333333</v>
      </c>
    </row>
    <row r="4189" spans="1:5" hidden="1">
      <c r="A4189" s="3">
        <f t="shared" si="44"/>
        <v>0</v>
      </c>
      <c r="B4189" s="3">
        <f t="shared" si="45"/>
        <v>0</v>
      </c>
      <c r="C4189" s="3">
        <f t="shared" si="43"/>
        <v>0</v>
      </c>
      <c r="D4189" s="3">
        <f>$B$3505*(A4189)+$B$3506*(A4189)^2/2-$B$3504*(A4189)^3/6-(N(D26)*MAX(0,(A4189)-N(E26))^2/2+N(F26)*MAX(0,(A4189)-N(G26))^2/2+N(H26)*MAX(0,(A4189)-N(I26))^2/2+N(J26)*MAX(0,(A4189)-N(K26))^2/2+N(L26)*MAX(0,(A4189)-N(M26))^2/2)+$B$3507</f>
        <v>-57.9427083333333</v>
      </c>
      <c r="E4189" s="3">
        <f>$B$3505*(C4189)+$B$3506*(C4189)^2/2-$B$3504*(C4189)^3/6-(N(D26)*MAX(0,(C4189)-N(E26))^2/2+N(F26)*MAX(0,(C4189)-N(G26))^2/2+N(H26)*MAX(0,(C4189)-N(I26))^2/2+N(J26)*MAX(0,(C4189)-N(K26))^2/2+N(L26)*MAX(0,(C4189)-N(M26))^2/2)+$B$3507</f>
        <v>-57.9427083333333</v>
      </c>
    </row>
    <row r="4190" spans="1:5" hidden="1">
      <c r="A4190" s="3">
        <f t="shared" si="44"/>
        <v>0</v>
      </c>
      <c r="B4190" s="3">
        <f t="shared" si="45"/>
        <v>0</v>
      </c>
      <c r="C4190" s="3">
        <f t="shared" si="43"/>
        <v>0</v>
      </c>
      <c r="D4190" s="3">
        <f>$B$3505*(A4190)+$B$3506*(A4190)^2/2-$B$3504*(A4190)^3/6-(N(D26)*MAX(0,(A4190)-N(E26))^2/2+N(F26)*MAX(0,(A4190)-N(G26))^2/2+N(H26)*MAX(0,(A4190)-N(I26))^2/2+N(J26)*MAX(0,(A4190)-N(K26))^2/2+N(L26)*MAX(0,(A4190)-N(M26))^2/2)+$B$3507</f>
        <v>-57.9427083333333</v>
      </c>
      <c r="E4190" s="3">
        <f>$B$3505*(C4190)+$B$3506*(C4190)^2/2-$B$3504*(C4190)^3/6-(N(D26)*MAX(0,(C4190)-N(E26))^2/2+N(F26)*MAX(0,(C4190)-N(G26))^2/2+N(H26)*MAX(0,(C4190)-N(I26))^2/2+N(J26)*MAX(0,(C4190)-N(K26))^2/2+N(L26)*MAX(0,(C4190)-N(M26))^2/2)+$B$3507</f>
        <v>-57.9427083333333</v>
      </c>
    </row>
    <row r="4191" spans="1:5" hidden="1">
      <c r="A4191" s="3">
        <f t="shared" si="44"/>
        <v>0</v>
      </c>
      <c r="B4191" s="3">
        <f t="shared" si="45"/>
        <v>0</v>
      </c>
      <c r="C4191" s="3">
        <f t="shared" si="43"/>
        <v>0</v>
      </c>
      <c r="D4191" s="3">
        <f>$B$3505*(A4191)+$B$3506*(A4191)^2/2-$B$3504*(A4191)^3/6-(N(D26)*MAX(0,(A4191)-N(E26))^2/2+N(F26)*MAX(0,(A4191)-N(G26))^2/2+N(H26)*MAX(0,(A4191)-N(I26))^2/2+N(J26)*MAX(0,(A4191)-N(K26))^2/2+N(L26)*MAX(0,(A4191)-N(M26))^2/2)+$B$3507</f>
        <v>-57.9427083333333</v>
      </c>
      <c r="E4191" s="3">
        <f>$B$3505*(C4191)+$B$3506*(C4191)^2/2-$B$3504*(C4191)^3/6-(N(D26)*MAX(0,(C4191)-N(E26))^2/2+N(F26)*MAX(0,(C4191)-N(G26))^2/2+N(H26)*MAX(0,(C4191)-N(I26))^2/2+N(J26)*MAX(0,(C4191)-N(K26))^2/2+N(L26)*MAX(0,(C4191)-N(M26))^2/2)+$B$3507</f>
        <v>-57.9427083333333</v>
      </c>
    </row>
    <row r="4192" spans="1:5" hidden="1">
      <c r="A4192" s="3">
        <f t="shared" si="44"/>
        <v>0</v>
      </c>
      <c r="B4192" s="3">
        <f t="shared" si="45"/>
        <v>0</v>
      </c>
      <c r="C4192" s="3">
        <f t="shared" si="43"/>
        <v>0</v>
      </c>
      <c r="D4192" s="3">
        <f>$B$3505*(A4192)+$B$3506*(A4192)^2/2-$B$3504*(A4192)^3/6-(N(D26)*MAX(0,(A4192)-N(E26))^2/2+N(F26)*MAX(0,(A4192)-N(G26))^2/2+N(H26)*MAX(0,(A4192)-N(I26))^2/2+N(J26)*MAX(0,(A4192)-N(K26))^2/2+N(L26)*MAX(0,(A4192)-N(M26))^2/2)+$B$3507</f>
        <v>-57.9427083333333</v>
      </c>
      <c r="E4192" s="3">
        <f>$B$3505*(C4192)+$B$3506*(C4192)^2/2-$B$3504*(C4192)^3/6-(N(D26)*MAX(0,(C4192)-N(E26))^2/2+N(F26)*MAX(0,(C4192)-N(G26))^2/2+N(H26)*MAX(0,(C4192)-N(I26))^2/2+N(J26)*MAX(0,(C4192)-N(K26))^2/2+N(L26)*MAX(0,(C4192)-N(M26))^2/2)+$B$3507</f>
        <v>-57.9427083333333</v>
      </c>
    </row>
    <row r="4193" spans="1:5" hidden="1">
      <c r="A4193" s="3">
        <f t="shared" si="44"/>
        <v>0</v>
      </c>
      <c r="B4193" s="3">
        <f t="shared" si="45"/>
        <v>0</v>
      </c>
      <c r="C4193" s="3">
        <f t="shared" si="43"/>
        <v>0</v>
      </c>
      <c r="D4193" s="3">
        <f>$B$3505*(A4193)+$B$3506*(A4193)^2/2-$B$3504*(A4193)^3/6-(N(D26)*MAX(0,(A4193)-N(E26))^2/2+N(F26)*MAX(0,(A4193)-N(G26))^2/2+N(H26)*MAX(0,(A4193)-N(I26))^2/2+N(J26)*MAX(0,(A4193)-N(K26))^2/2+N(L26)*MAX(0,(A4193)-N(M26))^2/2)+$B$3507</f>
        <v>-57.9427083333333</v>
      </c>
      <c r="E4193" s="3">
        <f>$B$3505*(C4193)+$B$3506*(C4193)^2/2-$B$3504*(C4193)^3/6-(N(D26)*MAX(0,(C4193)-N(E26))^2/2+N(F26)*MAX(0,(C4193)-N(G26))^2/2+N(H26)*MAX(0,(C4193)-N(I26))^2/2+N(J26)*MAX(0,(C4193)-N(K26))^2/2+N(L26)*MAX(0,(C4193)-N(M26))^2/2)+$B$3507</f>
        <v>-57.9427083333333</v>
      </c>
    </row>
    <row r="4194" spans="1:5" hidden="1">
      <c r="A4194" s="3">
        <f t="shared" si="44"/>
        <v>0</v>
      </c>
      <c r="B4194" s="3">
        <f t="shared" si="45"/>
        <v>0</v>
      </c>
      <c r="C4194" s="3">
        <f t="shared" si="43"/>
        <v>0</v>
      </c>
      <c r="D4194" s="3">
        <f>$B$3505*(A4194)+$B$3506*(A4194)^2/2-$B$3504*(A4194)^3/6-(N(D26)*MAX(0,(A4194)-N(E26))^2/2+N(F26)*MAX(0,(A4194)-N(G26))^2/2+N(H26)*MAX(0,(A4194)-N(I26))^2/2+N(J26)*MAX(0,(A4194)-N(K26))^2/2+N(L26)*MAX(0,(A4194)-N(M26))^2/2)+$B$3507</f>
        <v>-57.9427083333333</v>
      </c>
      <c r="E4194" s="3">
        <f>$B$3505*(C4194)+$B$3506*(C4194)^2/2-$B$3504*(C4194)^3/6-(N(D26)*MAX(0,(C4194)-N(E26))^2/2+N(F26)*MAX(0,(C4194)-N(G26))^2/2+N(H26)*MAX(0,(C4194)-N(I26))^2/2+N(J26)*MAX(0,(C4194)-N(K26))^2/2+N(L26)*MAX(0,(C4194)-N(M26))^2/2)+$B$3507</f>
        <v>-57.9427083333333</v>
      </c>
    </row>
    <row r="4195" spans="1:5" hidden="1">
      <c r="A4195" s="3">
        <f t="shared" si="44"/>
        <v>0</v>
      </c>
      <c r="B4195" s="3">
        <f t="shared" si="45"/>
        <v>0</v>
      </c>
      <c r="C4195" s="3">
        <f t="shared" si="43"/>
        <v>0</v>
      </c>
      <c r="D4195" s="3">
        <f>$B$3505*(A4195)+$B$3506*(A4195)^2/2-$B$3504*(A4195)^3/6-(N(D26)*MAX(0,(A4195)-N(E26))^2/2+N(F26)*MAX(0,(A4195)-N(G26))^2/2+N(H26)*MAX(0,(A4195)-N(I26))^2/2+N(J26)*MAX(0,(A4195)-N(K26))^2/2+N(L26)*MAX(0,(A4195)-N(M26))^2/2)+$B$3507</f>
        <v>-57.9427083333333</v>
      </c>
      <c r="E4195" s="3">
        <f>$B$3505*(C4195)+$B$3506*(C4195)^2/2-$B$3504*(C4195)^3/6-(N(D26)*MAX(0,(C4195)-N(E26))^2/2+N(F26)*MAX(0,(C4195)-N(G26))^2/2+N(H26)*MAX(0,(C4195)-N(I26))^2/2+N(J26)*MAX(0,(C4195)-N(K26))^2/2+N(L26)*MAX(0,(C4195)-N(M26))^2/2)+$B$3507</f>
        <v>-57.9427083333333</v>
      </c>
    </row>
    <row r="4196" spans="1:5" hidden="1">
      <c r="A4196" s="3">
        <f t="shared" si="44"/>
        <v>0</v>
      </c>
      <c r="B4196" s="3">
        <f t="shared" si="45"/>
        <v>0</v>
      </c>
      <c r="C4196" s="3">
        <f t="shared" si="43"/>
        <v>0</v>
      </c>
      <c r="D4196" s="3">
        <f>$B$3505*(A4196)+$B$3506*(A4196)^2/2-$B$3504*(A4196)^3/6-(N(D26)*MAX(0,(A4196)-N(E26))^2/2+N(F26)*MAX(0,(A4196)-N(G26))^2/2+N(H26)*MAX(0,(A4196)-N(I26))^2/2+N(J26)*MAX(0,(A4196)-N(K26))^2/2+N(L26)*MAX(0,(A4196)-N(M26))^2/2)+$B$3507</f>
        <v>-57.9427083333333</v>
      </c>
      <c r="E4196" s="3">
        <f>$B$3505*(C4196)+$B$3506*(C4196)^2/2-$B$3504*(C4196)^3/6-(N(D26)*MAX(0,(C4196)-N(E26))^2/2+N(F26)*MAX(0,(C4196)-N(G26))^2/2+N(H26)*MAX(0,(C4196)-N(I26))^2/2+N(J26)*MAX(0,(C4196)-N(K26))^2/2+N(L26)*MAX(0,(C4196)-N(M26))^2/2)+$B$3507</f>
        <v>-57.9427083333333</v>
      </c>
    </row>
    <row r="4197" spans="1:5" hidden="1">
      <c r="A4197" s="3">
        <f t="shared" si="44"/>
        <v>0</v>
      </c>
      <c r="B4197" s="3">
        <f t="shared" si="45"/>
        <v>0</v>
      </c>
      <c r="C4197" s="3">
        <f t="shared" si="43"/>
        <v>0</v>
      </c>
      <c r="D4197" s="3">
        <f>$B$3505*(A4197)+$B$3506*(A4197)^2/2-$B$3504*(A4197)^3/6-(N(D26)*MAX(0,(A4197)-N(E26))^2/2+N(F26)*MAX(0,(A4197)-N(G26))^2/2+N(H26)*MAX(0,(A4197)-N(I26))^2/2+N(J26)*MAX(0,(A4197)-N(K26))^2/2+N(L26)*MAX(0,(A4197)-N(M26))^2/2)+$B$3507</f>
        <v>-57.9427083333333</v>
      </c>
      <c r="E4197" s="3">
        <f>$B$3505*(C4197)+$B$3506*(C4197)^2/2-$B$3504*(C4197)^3/6-(N(D26)*MAX(0,(C4197)-N(E26))^2/2+N(F26)*MAX(0,(C4197)-N(G26))^2/2+N(H26)*MAX(0,(C4197)-N(I26))^2/2+N(J26)*MAX(0,(C4197)-N(K26))^2/2+N(L26)*MAX(0,(C4197)-N(M26))^2/2)+$B$3507</f>
        <v>-57.9427083333333</v>
      </c>
    </row>
    <row r="4198" spans="1:5" hidden="1"/>
    <row r="4199" spans="1:5" hidden="1">
      <c r="A4199" s="3">
        <f>B3554</f>
        <v>0</v>
      </c>
      <c r="B4199" s="3">
        <f>IF(($B$3505*(B3554)+$B$3506*(B3554)^2/2-$B$3504*(B3554)^3/6-(N(D26)*MAX(0,(B3554)-N(E26))^2/2+N(F26)*MAX(0,(B3554)-N(G26))^2/2+N(H26)*MAX(0,(B3554)-N(I26))^2/2+N(J26)*MAX(0,(B3554)-N(K26))^2/2+N(L26)*MAX(0,(B3554)-N(M26))^2/2)+$B$3507)*($B$3505*(B3555)+$B$3506*(B3555)^2/2-$B$3504*(B3555)^3/6-(N(D26)*MAX(0,(B3555)-N(E26))^2/2+N(F26)*MAX(0,(B3555)-N(G26))^2/2+N(H26)*MAX(0,(B3555)-N(I26))^2/2+N(J26)*MAX(0,(B3555)-N(K26))^2/2+N(L26)*MAX(0,(B3555)-N(M26))^2/2)+$B$3507)&lt;=0,B3555,B3554)</f>
        <v>0</v>
      </c>
      <c r="C4199" s="3">
        <f t="shared" ref="C4199:C4243" si="46">(A4199+B4199)/2</f>
        <v>0</v>
      </c>
      <c r="D4199" s="3">
        <f>$B$3505*(A4199)+$B$3506*(A4199)^2/2-$B$3504*(A4199)^3/6-(N(D26)*MAX(0,(A4199)-N(E26))^2/2+N(F26)*MAX(0,(A4199)-N(G26))^2/2+N(H26)*MAX(0,(A4199)-N(I26))^2/2+N(J26)*MAX(0,(A4199)-N(K26))^2/2+N(L26)*MAX(0,(A4199)-N(M26))^2/2)+$B$3507</f>
        <v>-57.9427083333333</v>
      </c>
      <c r="E4199" s="3">
        <f>$B$3505*(C4199)+$B$3506*(C4199)^2/2-$B$3504*(C4199)^3/6-(N(D26)*MAX(0,(C4199)-N(E26))^2/2+N(F26)*MAX(0,(C4199)-N(G26))^2/2+N(H26)*MAX(0,(C4199)-N(I26))^2/2+N(J26)*MAX(0,(C4199)-N(K26))^2/2+N(L26)*MAX(0,(C4199)-N(M26))^2/2)+$B$3507</f>
        <v>-57.9427083333333</v>
      </c>
    </row>
    <row r="4200" spans="1:5" hidden="1">
      <c r="A4200" s="3">
        <f t="shared" ref="A4200:A4243" si="47">IF(D4199*E4199&lt;=0,A4199,C4199)</f>
        <v>0</v>
      </c>
      <c r="B4200" s="3">
        <f t="shared" ref="B4200:B4243" si="48">IF(D4199*E4199&lt;=0,C4199,B4199)</f>
        <v>0</v>
      </c>
      <c r="C4200" s="3">
        <f t="shared" si="46"/>
        <v>0</v>
      </c>
      <c r="D4200" s="3">
        <f>$B$3505*(A4200)+$B$3506*(A4200)^2/2-$B$3504*(A4200)^3/6-(N(D26)*MAX(0,(A4200)-N(E26))^2/2+N(F26)*MAX(0,(A4200)-N(G26))^2/2+N(H26)*MAX(0,(A4200)-N(I26))^2/2+N(J26)*MAX(0,(A4200)-N(K26))^2/2+N(L26)*MAX(0,(A4200)-N(M26))^2/2)+$B$3507</f>
        <v>-57.9427083333333</v>
      </c>
      <c r="E4200" s="3">
        <f>$B$3505*(C4200)+$B$3506*(C4200)^2/2-$B$3504*(C4200)^3/6-(N(D26)*MAX(0,(C4200)-N(E26))^2/2+N(F26)*MAX(0,(C4200)-N(G26))^2/2+N(H26)*MAX(0,(C4200)-N(I26))^2/2+N(J26)*MAX(0,(C4200)-N(K26))^2/2+N(L26)*MAX(0,(C4200)-N(M26))^2/2)+$B$3507</f>
        <v>-57.9427083333333</v>
      </c>
    </row>
    <row r="4201" spans="1:5" hidden="1">
      <c r="A4201" s="3">
        <f t="shared" si="47"/>
        <v>0</v>
      </c>
      <c r="B4201" s="3">
        <f t="shared" si="48"/>
        <v>0</v>
      </c>
      <c r="C4201" s="3">
        <f t="shared" si="46"/>
        <v>0</v>
      </c>
      <c r="D4201" s="3">
        <f>$B$3505*(A4201)+$B$3506*(A4201)^2/2-$B$3504*(A4201)^3/6-(N(D26)*MAX(0,(A4201)-N(E26))^2/2+N(F26)*MAX(0,(A4201)-N(G26))^2/2+N(H26)*MAX(0,(A4201)-N(I26))^2/2+N(J26)*MAX(0,(A4201)-N(K26))^2/2+N(L26)*MAX(0,(A4201)-N(M26))^2/2)+$B$3507</f>
        <v>-57.9427083333333</v>
      </c>
      <c r="E4201" s="3">
        <f>$B$3505*(C4201)+$B$3506*(C4201)^2/2-$B$3504*(C4201)^3/6-(N(D26)*MAX(0,(C4201)-N(E26))^2/2+N(F26)*MAX(0,(C4201)-N(G26))^2/2+N(H26)*MAX(0,(C4201)-N(I26))^2/2+N(J26)*MAX(0,(C4201)-N(K26))^2/2+N(L26)*MAX(0,(C4201)-N(M26))^2/2)+$B$3507</f>
        <v>-57.9427083333333</v>
      </c>
    </row>
    <row r="4202" spans="1:5" hidden="1">
      <c r="A4202" s="3">
        <f t="shared" si="47"/>
        <v>0</v>
      </c>
      <c r="B4202" s="3">
        <f t="shared" si="48"/>
        <v>0</v>
      </c>
      <c r="C4202" s="3">
        <f t="shared" si="46"/>
        <v>0</v>
      </c>
      <c r="D4202" s="3">
        <f>$B$3505*(A4202)+$B$3506*(A4202)^2/2-$B$3504*(A4202)^3/6-(N(D26)*MAX(0,(A4202)-N(E26))^2/2+N(F26)*MAX(0,(A4202)-N(G26))^2/2+N(H26)*MAX(0,(A4202)-N(I26))^2/2+N(J26)*MAX(0,(A4202)-N(K26))^2/2+N(L26)*MAX(0,(A4202)-N(M26))^2/2)+$B$3507</f>
        <v>-57.9427083333333</v>
      </c>
      <c r="E4202" s="3">
        <f>$B$3505*(C4202)+$B$3506*(C4202)^2/2-$B$3504*(C4202)^3/6-(N(D26)*MAX(0,(C4202)-N(E26))^2/2+N(F26)*MAX(0,(C4202)-N(G26))^2/2+N(H26)*MAX(0,(C4202)-N(I26))^2/2+N(J26)*MAX(0,(C4202)-N(K26))^2/2+N(L26)*MAX(0,(C4202)-N(M26))^2/2)+$B$3507</f>
        <v>-57.9427083333333</v>
      </c>
    </row>
    <row r="4203" spans="1:5" hidden="1">
      <c r="A4203" s="3">
        <f t="shared" si="47"/>
        <v>0</v>
      </c>
      <c r="B4203" s="3">
        <f t="shared" si="48"/>
        <v>0</v>
      </c>
      <c r="C4203" s="3">
        <f t="shared" si="46"/>
        <v>0</v>
      </c>
      <c r="D4203" s="3">
        <f>$B$3505*(A4203)+$B$3506*(A4203)^2/2-$B$3504*(A4203)^3/6-(N(D26)*MAX(0,(A4203)-N(E26))^2/2+N(F26)*MAX(0,(A4203)-N(G26))^2/2+N(H26)*MAX(0,(A4203)-N(I26))^2/2+N(J26)*MAX(0,(A4203)-N(K26))^2/2+N(L26)*MAX(0,(A4203)-N(M26))^2/2)+$B$3507</f>
        <v>-57.9427083333333</v>
      </c>
      <c r="E4203" s="3">
        <f>$B$3505*(C4203)+$B$3506*(C4203)^2/2-$B$3504*(C4203)^3/6-(N(D26)*MAX(0,(C4203)-N(E26))^2/2+N(F26)*MAX(0,(C4203)-N(G26))^2/2+N(H26)*MAX(0,(C4203)-N(I26))^2/2+N(J26)*MAX(0,(C4203)-N(K26))^2/2+N(L26)*MAX(0,(C4203)-N(M26))^2/2)+$B$3507</f>
        <v>-57.9427083333333</v>
      </c>
    </row>
    <row r="4204" spans="1:5" hidden="1">
      <c r="A4204" s="3">
        <f t="shared" si="47"/>
        <v>0</v>
      </c>
      <c r="B4204" s="3">
        <f t="shared" si="48"/>
        <v>0</v>
      </c>
      <c r="C4204" s="3">
        <f t="shared" si="46"/>
        <v>0</v>
      </c>
      <c r="D4204" s="3">
        <f>$B$3505*(A4204)+$B$3506*(A4204)^2/2-$B$3504*(A4204)^3/6-(N(D26)*MAX(0,(A4204)-N(E26))^2/2+N(F26)*MAX(0,(A4204)-N(G26))^2/2+N(H26)*MAX(0,(A4204)-N(I26))^2/2+N(J26)*MAX(0,(A4204)-N(K26))^2/2+N(L26)*MAX(0,(A4204)-N(M26))^2/2)+$B$3507</f>
        <v>-57.9427083333333</v>
      </c>
      <c r="E4204" s="3">
        <f>$B$3505*(C4204)+$B$3506*(C4204)^2/2-$B$3504*(C4204)^3/6-(N(D26)*MAX(0,(C4204)-N(E26))^2/2+N(F26)*MAX(0,(C4204)-N(G26))^2/2+N(H26)*MAX(0,(C4204)-N(I26))^2/2+N(J26)*MAX(0,(C4204)-N(K26))^2/2+N(L26)*MAX(0,(C4204)-N(M26))^2/2)+$B$3507</f>
        <v>-57.9427083333333</v>
      </c>
    </row>
    <row r="4205" spans="1:5" hidden="1">
      <c r="A4205" s="3">
        <f t="shared" si="47"/>
        <v>0</v>
      </c>
      <c r="B4205" s="3">
        <f t="shared" si="48"/>
        <v>0</v>
      </c>
      <c r="C4205" s="3">
        <f t="shared" si="46"/>
        <v>0</v>
      </c>
      <c r="D4205" s="3">
        <f>$B$3505*(A4205)+$B$3506*(A4205)^2/2-$B$3504*(A4205)^3/6-(N(D26)*MAX(0,(A4205)-N(E26))^2/2+N(F26)*MAX(0,(A4205)-N(G26))^2/2+N(H26)*MAX(0,(A4205)-N(I26))^2/2+N(J26)*MAX(0,(A4205)-N(K26))^2/2+N(L26)*MAX(0,(A4205)-N(M26))^2/2)+$B$3507</f>
        <v>-57.9427083333333</v>
      </c>
      <c r="E4205" s="3">
        <f>$B$3505*(C4205)+$B$3506*(C4205)^2/2-$B$3504*(C4205)^3/6-(N(D26)*MAX(0,(C4205)-N(E26))^2/2+N(F26)*MAX(0,(C4205)-N(G26))^2/2+N(H26)*MAX(0,(C4205)-N(I26))^2/2+N(J26)*MAX(0,(C4205)-N(K26))^2/2+N(L26)*MAX(0,(C4205)-N(M26))^2/2)+$B$3507</f>
        <v>-57.9427083333333</v>
      </c>
    </row>
    <row r="4206" spans="1:5" hidden="1">
      <c r="A4206" s="3">
        <f t="shared" si="47"/>
        <v>0</v>
      </c>
      <c r="B4206" s="3">
        <f t="shared" si="48"/>
        <v>0</v>
      </c>
      <c r="C4206" s="3">
        <f t="shared" si="46"/>
        <v>0</v>
      </c>
      <c r="D4206" s="3">
        <f>$B$3505*(A4206)+$B$3506*(A4206)^2/2-$B$3504*(A4206)^3/6-(N(D26)*MAX(0,(A4206)-N(E26))^2/2+N(F26)*MAX(0,(A4206)-N(G26))^2/2+N(H26)*MAX(0,(A4206)-N(I26))^2/2+N(J26)*MAX(0,(A4206)-N(K26))^2/2+N(L26)*MAX(0,(A4206)-N(M26))^2/2)+$B$3507</f>
        <v>-57.9427083333333</v>
      </c>
      <c r="E4206" s="3">
        <f>$B$3505*(C4206)+$B$3506*(C4206)^2/2-$B$3504*(C4206)^3/6-(N(D26)*MAX(0,(C4206)-N(E26))^2/2+N(F26)*MAX(0,(C4206)-N(G26))^2/2+N(H26)*MAX(0,(C4206)-N(I26))^2/2+N(J26)*MAX(0,(C4206)-N(K26))^2/2+N(L26)*MAX(0,(C4206)-N(M26))^2/2)+$B$3507</f>
        <v>-57.9427083333333</v>
      </c>
    </row>
    <row r="4207" spans="1:5" hidden="1">
      <c r="A4207" s="3">
        <f t="shared" si="47"/>
        <v>0</v>
      </c>
      <c r="B4207" s="3">
        <f t="shared" si="48"/>
        <v>0</v>
      </c>
      <c r="C4207" s="3">
        <f t="shared" si="46"/>
        <v>0</v>
      </c>
      <c r="D4207" s="3">
        <f>$B$3505*(A4207)+$B$3506*(A4207)^2/2-$B$3504*(A4207)^3/6-(N(D26)*MAX(0,(A4207)-N(E26))^2/2+N(F26)*MAX(0,(A4207)-N(G26))^2/2+N(H26)*MAX(0,(A4207)-N(I26))^2/2+N(J26)*MAX(0,(A4207)-N(K26))^2/2+N(L26)*MAX(0,(A4207)-N(M26))^2/2)+$B$3507</f>
        <v>-57.9427083333333</v>
      </c>
      <c r="E4207" s="3">
        <f>$B$3505*(C4207)+$B$3506*(C4207)^2/2-$B$3504*(C4207)^3/6-(N(D26)*MAX(0,(C4207)-N(E26))^2/2+N(F26)*MAX(0,(C4207)-N(G26))^2/2+N(H26)*MAX(0,(C4207)-N(I26))^2/2+N(J26)*MAX(0,(C4207)-N(K26))^2/2+N(L26)*MAX(0,(C4207)-N(M26))^2/2)+$B$3507</f>
        <v>-57.9427083333333</v>
      </c>
    </row>
    <row r="4208" spans="1:5" hidden="1">
      <c r="A4208" s="3">
        <f t="shared" si="47"/>
        <v>0</v>
      </c>
      <c r="B4208" s="3">
        <f t="shared" si="48"/>
        <v>0</v>
      </c>
      <c r="C4208" s="3">
        <f t="shared" si="46"/>
        <v>0</v>
      </c>
      <c r="D4208" s="3">
        <f>$B$3505*(A4208)+$B$3506*(A4208)^2/2-$B$3504*(A4208)^3/6-(N(D26)*MAX(0,(A4208)-N(E26))^2/2+N(F26)*MAX(0,(A4208)-N(G26))^2/2+N(H26)*MAX(0,(A4208)-N(I26))^2/2+N(J26)*MAX(0,(A4208)-N(K26))^2/2+N(L26)*MAX(0,(A4208)-N(M26))^2/2)+$B$3507</f>
        <v>-57.9427083333333</v>
      </c>
      <c r="E4208" s="3">
        <f>$B$3505*(C4208)+$B$3506*(C4208)^2/2-$B$3504*(C4208)^3/6-(N(D26)*MAX(0,(C4208)-N(E26))^2/2+N(F26)*MAX(0,(C4208)-N(G26))^2/2+N(H26)*MAX(0,(C4208)-N(I26))^2/2+N(J26)*MAX(0,(C4208)-N(K26))^2/2+N(L26)*MAX(0,(C4208)-N(M26))^2/2)+$B$3507</f>
        <v>-57.9427083333333</v>
      </c>
    </row>
    <row r="4209" spans="1:5" hidden="1">
      <c r="A4209" s="3">
        <f t="shared" si="47"/>
        <v>0</v>
      </c>
      <c r="B4209" s="3">
        <f t="shared" si="48"/>
        <v>0</v>
      </c>
      <c r="C4209" s="3">
        <f t="shared" si="46"/>
        <v>0</v>
      </c>
      <c r="D4209" s="3">
        <f>$B$3505*(A4209)+$B$3506*(A4209)^2/2-$B$3504*(A4209)^3/6-(N(D26)*MAX(0,(A4209)-N(E26))^2/2+N(F26)*MAX(0,(A4209)-N(G26))^2/2+N(H26)*MAX(0,(A4209)-N(I26))^2/2+N(J26)*MAX(0,(A4209)-N(K26))^2/2+N(L26)*MAX(0,(A4209)-N(M26))^2/2)+$B$3507</f>
        <v>-57.9427083333333</v>
      </c>
      <c r="E4209" s="3">
        <f>$B$3505*(C4209)+$B$3506*(C4209)^2/2-$B$3504*(C4209)^3/6-(N(D26)*MAX(0,(C4209)-N(E26))^2/2+N(F26)*MAX(0,(C4209)-N(G26))^2/2+N(H26)*MAX(0,(C4209)-N(I26))^2/2+N(J26)*MAX(0,(C4209)-N(K26))^2/2+N(L26)*MAX(0,(C4209)-N(M26))^2/2)+$B$3507</f>
        <v>-57.9427083333333</v>
      </c>
    </row>
    <row r="4210" spans="1:5" hidden="1">
      <c r="A4210" s="3">
        <f t="shared" si="47"/>
        <v>0</v>
      </c>
      <c r="B4210" s="3">
        <f t="shared" si="48"/>
        <v>0</v>
      </c>
      <c r="C4210" s="3">
        <f t="shared" si="46"/>
        <v>0</v>
      </c>
      <c r="D4210" s="3">
        <f>$B$3505*(A4210)+$B$3506*(A4210)^2/2-$B$3504*(A4210)^3/6-(N(D26)*MAX(0,(A4210)-N(E26))^2/2+N(F26)*MAX(0,(A4210)-N(G26))^2/2+N(H26)*MAX(0,(A4210)-N(I26))^2/2+N(J26)*MAX(0,(A4210)-N(K26))^2/2+N(L26)*MAX(0,(A4210)-N(M26))^2/2)+$B$3507</f>
        <v>-57.9427083333333</v>
      </c>
      <c r="E4210" s="3">
        <f>$B$3505*(C4210)+$B$3506*(C4210)^2/2-$B$3504*(C4210)^3/6-(N(D26)*MAX(0,(C4210)-N(E26))^2/2+N(F26)*MAX(0,(C4210)-N(G26))^2/2+N(H26)*MAX(0,(C4210)-N(I26))^2/2+N(J26)*MAX(0,(C4210)-N(K26))^2/2+N(L26)*MAX(0,(C4210)-N(M26))^2/2)+$B$3507</f>
        <v>-57.9427083333333</v>
      </c>
    </row>
    <row r="4211" spans="1:5" hidden="1">
      <c r="A4211" s="3">
        <f t="shared" si="47"/>
        <v>0</v>
      </c>
      <c r="B4211" s="3">
        <f t="shared" si="48"/>
        <v>0</v>
      </c>
      <c r="C4211" s="3">
        <f t="shared" si="46"/>
        <v>0</v>
      </c>
      <c r="D4211" s="3">
        <f>$B$3505*(A4211)+$B$3506*(A4211)^2/2-$B$3504*(A4211)^3/6-(N(D26)*MAX(0,(A4211)-N(E26))^2/2+N(F26)*MAX(0,(A4211)-N(G26))^2/2+N(H26)*MAX(0,(A4211)-N(I26))^2/2+N(J26)*MAX(0,(A4211)-N(K26))^2/2+N(L26)*MAX(0,(A4211)-N(M26))^2/2)+$B$3507</f>
        <v>-57.9427083333333</v>
      </c>
      <c r="E4211" s="3">
        <f>$B$3505*(C4211)+$B$3506*(C4211)^2/2-$B$3504*(C4211)^3/6-(N(D26)*MAX(0,(C4211)-N(E26))^2/2+N(F26)*MAX(0,(C4211)-N(G26))^2/2+N(H26)*MAX(0,(C4211)-N(I26))^2/2+N(J26)*MAX(0,(C4211)-N(K26))^2/2+N(L26)*MAX(0,(C4211)-N(M26))^2/2)+$B$3507</f>
        <v>-57.9427083333333</v>
      </c>
    </row>
    <row r="4212" spans="1:5" hidden="1">
      <c r="A4212" s="3">
        <f t="shared" si="47"/>
        <v>0</v>
      </c>
      <c r="B4212" s="3">
        <f t="shared" si="48"/>
        <v>0</v>
      </c>
      <c r="C4212" s="3">
        <f t="shared" si="46"/>
        <v>0</v>
      </c>
      <c r="D4212" s="3">
        <f>$B$3505*(A4212)+$B$3506*(A4212)^2/2-$B$3504*(A4212)^3/6-(N(D26)*MAX(0,(A4212)-N(E26))^2/2+N(F26)*MAX(0,(A4212)-N(G26))^2/2+N(H26)*MAX(0,(A4212)-N(I26))^2/2+N(J26)*MAX(0,(A4212)-N(K26))^2/2+N(L26)*MAX(0,(A4212)-N(M26))^2/2)+$B$3507</f>
        <v>-57.9427083333333</v>
      </c>
      <c r="E4212" s="3">
        <f>$B$3505*(C4212)+$B$3506*(C4212)^2/2-$B$3504*(C4212)^3/6-(N(D26)*MAX(0,(C4212)-N(E26))^2/2+N(F26)*MAX(0,(C4212)-N(G26))^2/2+N(H26)*MAX(0,(C4212)-N(I26))^2/2+N(J26)*MAX(0,(C4212)-N(K26))^2/2+N(L26)*MAX(0,(C4212)-N(M26))^2/2)+$B$3507</f>
        <v>-57.9427083333333</v>
      </c>
    </row>
    <row r="4213" spans="1:5" hidden="1">
      <c r="A4213" s="3">
        <f t="shared" si="47"/>
        <v>0</v>
      </c>
      <c r="B4213" s="3">
        <f t="shared" si="48"/>
        <v>0</v>
      </c>
      <c r="C4213" s="3">
        <f t="shared" si="46"/>
        <v>0</v>
      </c>
      <c r="D4213" s="3">
        <f>$B$3505*(A4213)+$B$3506*(A4213)^2/2-$B$3504*(A4213)^3/6-(N(D26)*MAX(0,(A4213)-N(E26))^2/2+N(F26)*MAX(0,(A4213)-N(G26))^2/2+N(H26)*MAX(0,(A4213)-N(I26))^2/2+N(J26)*MAX(0,(A4213)-N(K26))^2/2+N(L26)*MAX(0,(A4213)-N(M26))^2/2)+$B$3507</f>
        <v>-57.9427083333333</v>
      </c>
      <c r="E4213" s="3">
        <f>$B$3505*(C4213)+$B$3506*(C4213)^2/2-$B$3504*(C4213)^3/6-(N(D26)*MAX(0,(C4213)-N(E26))^2/2+N(F26)*MAX(0,(C4213)-N(G26))^2/2+N(H26)*MAX(0,(C4213)-N(I26))^2/2+N(J26)*MAX(0,(C4213)-N(K26))^2/2+N(L26)*MAX(0,(C4213)-N(M26))^2/2)+$B$3507</f>
        <v>-57.9427083333333</v>
      </c>
    </row>
    <row r="4214" spans="1:5" hidden="1">
      <c r="A4214" s="3">
        <f t="shared" si="47"/>
        <v>0</v>
      </c>
      <c r="B4214" s="3">
        <f t="shared" si="48"/>
        <v>0</v>
      </c>
      <c r="C4214" s="3">
        <f t="shared" si="46"/>
        <v>0</v>
      </c>
      <c r="D4214" s="3">
        <f>$B$3505*(A4214)+$B$3506*(A4214)^2/2-$B$3504*(A4214)^3/6-(N(D26)*MAX(0,(A4214)-N(E26))^2/2+N(F26)*MAX(0,(A4214)-N(G26))^2/2+N(H26)*MAX(0,(A4214)-N(I26))^2/2+N(J26)*MAX(0,(A4214)-N(K26))^2/2+N(L26)*MAX(0,(A4214)-N(M26))^2/2)+$B$3507</f>
        <v>-57.9427083333333</v>
      </c>
      <c r="E4214" s="3">
        <f>$B$3505*(C4214)+$B$3506*(C4214)^2/2-$B$3504*(C4214)^3/6-(N(D26)*MAX(0,(C4214)-N(E26))^2/2+N(F26)*MAX(0,(C4214)-N(G26))^2/2+N(H26)*MAX(0,(C4214)-N(I26))^2/2+N(J26)*MAX(0,(C4214)-N(K26))^2/2+N(L26)*MAX(0,(C4214)-N(M26))^2/2)+$B$3507</f>
        <v>-57.9427083333333</v>
      </c>
    </row>
    <row r="4215" spans="1:5" hidden="1">
      <c r="A4215" s="3">
        <f t="shared" si="47"/>
        <v>0</v>
      </c>
      <c r="B4215" s="3">
        <f t="shared" si="48"/>
        <v>0</v>
      </c>
      <c r="C4215" s="3">
        <f t="shared" si="46"/>
        <v>0</v>
      </c>
      <c r="D4215" s="3">
        <f>$B$3505*(A4215)+$B$3506*(A4215)^2/2-$B$3504*(A4215)^3/6-(N(D26)*MAX(0,(A4215)-N(E26))^2/2+N(F26)*MAX(0,(A4215)-N(G26))^2/2+N(H26)*MAX(0,(A4215)-N(I26))^2/2+N(J26)*MAX(0,(A4215)-N(K26))^2/2+N(L26)*MAX(0,(A4215)-N(M26))^2/2)+$B$3507</f>
        <v>-57.9427083333333</v>
      </c>
      <c r="E4215" s="3">
        <f>$B$3505*(C4215)+$B$3506*(C4215)^2/2-$B$3504*(C4215)^3/6-(N(D26)*MAX(0,(C4215)-N(E26))^2/2+N(F26)*MAX(0,(C4215)-N(G26))^2/2+N(H26)*MAX(0,(C4215)-N(I26))^2/2+N(J26)*MAX(0,(C4215)-N(K26))^2/2+N(L26)*MAX(0,(C4215)-N(M26))^2/2)+$B$3507</f>
        <v>-57.9427083333333</v>
      </c>
    </row>
    <row r="4216" spans="1:5" hidden="1">
      <c r="A4216" s="3">
        <f t="shared" si="47"/>
        <v>0</v>
      </c>
      <c r="B4216" s="3">
        <f t="shared" si="48"/>
        <v>0</v>
      </c>
      <c r="C4216" s="3">
        <f t="shared" si="46"/>
        <v>0</v>
      </c>
      <c r="D4216" s="3">
        <f>$B$3505*(A4216)+$B$3506*(A4216)^2/2-$B$3504*(A4216)^3/6-(N(D26)*MAX(0,(A4216)-N(E26))^2/2+N(F26)*MAX(0,(A4216)-N(G26))^2/2+N(H26)*MAX(0,(A4216)-N(I26))^2/2+N(J26)*MAX(0,(A4216)-N(K26))^2/2+N(L26)*MAX(0,(A4216)-N(M26))^2/2)+$B$3507</f>
        <v>-57.9427083333333</v>
      </c>
      <c r="E4216" s="3">
        <f>$B$3505*(C4216)+$B$3506*(C4216)^2/2-$B$3504*(C4216)^3/6-(N(D26)*MAX(0,(C4216)-N(E26))^2/2+N(F26)*MAX(0,(C4216)-N(G26))^2/2+N(H26)*MAX(0,(C4216)-N(I26))^2/2+N(J26)*MAX(0,(C4216)-N(K26))^2/2+N(L26)*MAX(0,(C4216)-N(M26))^2/2)+$B$3507</f>
        <v>-57.9427083333333</v>
      </c>
    </row>
    <row r="4217" spans="1:5" hidden="1">
      <c r="A4217" s="3">
        <f t="shared" si="47"/>
        <v>0</v>
      </c>
      <c r="B4217" s="3">
        <f t="shared" si="48"/>
        <v>0</v>
      </c>
      <c r="C4217" s="3">
        <f t="shared" si="46"/>
        <v>0</v>
      </c>
      <c r="D4217" s="3">
        <f>$B$3505*(A4217)+$B$3506*(A4217)^2/2-$B$3504*(A4217)^3/6-(N(D26)*MAX(0,(A4217)-N(E26))^2/2+N(F26)*MAX(0,(A4217)-N(G26))^2/2+N(H26)*MAX(0,(A4217)-N(I26))^2/2+N(J26)*MAX(0,(A4217)-N(K26))^2/2+N(L26)*MAX(0,(A4217)-N(M26))^2/2)+$B$3507</f>
        <v>-57.9427083333333</v>
      </c>
      <c r="E4217" s="3">
        <f>$B$3505*(C4217)+$B$3506*(C4217)^2/2-$B$3504*(C4217)^3/6-(N(D26)*MAX(0,(C4217)-N(E26))^2/2+N(F26)*MAX(0,(C4217)-N(G26))^2/2+N(H26)*MAX(0,(C4217)-N(I26))^2/2+N(J26)*MAX(0,(C4217)-N(K26))^2/2+N(L26)*MAX(0,(C4217)-N(M26))^2/2)+$B$3507</f>
        <v>-57.9427083333333</v>
      </c>
    </row>
    <row r="4218" spans="1:5" hidden="1">
      <c r="A4218" s="3">
        <f t="shared" si="47"/>
        <v>0</v>
      </c>
      <c r="B4218" s="3">
        <f t="shared" si="48"/>
        <v>0</v>
      </c>
      <c r="C4218" s="3">
        <f t="shared" si="46"/>
        <v>0</v>
      </c>
      <c r="D4218" s="3">
        <f>$B$3505*(A4218)+$B$3506*(A4218)^2/2-$B$3504*(A4218)^3/6-(N(D26)*MAX(0,(A4218)-N(E26))^2/2+N(F26)*MAX(0,(A4218)-N(G26))^2/2+N(H26)*MAX(0,(A4218)-N(I26))^2/2+N(J26)*MAX(0,(A4218)-N(K26))^2/2+N(L26)*MAX(0,(A4218)-N(M26))^2/2)+$B$3507</f>
        <v>-57.9427083333333</v>
      </c>
      <c r="E4218" s="3">
        <f>$B$3505*(C4218)+$B$3506*(C4218)^2/2-$B$3504*(C4218)^3/6-(N(D26)*MAX(0,(C4218)-N(E26))^2/2+N(F26)*MAX(0,(C4218)-N(G26))^2/2+N(H26)*MAX(0,(C4218)-N(I26))^2/2+N(J26)*MAX(0,(C4218)-N(K26))^2/2+N(L26)*MAX(0,(C4218)-N(M26))^2/2)+$B$3507</f>
        <v>-57.9427083333333</v>
      </c>
    </row>
    <row r="4219" spans="1:5" hidden="1">
      <c r="A4219" s="3">
        <f t="shared" si="47"/>
        <v>0</v>
      </c>
      <c r="B4219" s="3">
        <f t="shared" si="48"/>
        <v>0</v>
      </c>
      <c r="C4219" s="3">
        <f t="shared" si="46"/>
        <v>0</v>
      </c>
      <c r="D4219" s="3">
        <f>$B$3505*(A4219)+$B$3506*(A4219)^2/2-$B$3504*(A4219)^3/6-(N(D26)*MAX(0,(A4219)-N(E26))^2/2+N(F26)*MAX(0,(A4219)-N(G26))^2/2+N(H26)*MAX(0,(A4219)-N(I26))^2/2+N(J26)*MAX(0,(A4219)-N(K26))^2/2+N(L26)*MAX(0,(A4219)-N(M26))^2/2)+$B$3507</f>
        <v>-57.9427083333333</v>
      </c>
      <c r="E4219" s="3">
        <f>$B$3505*(C4219)+$B$3506*(C4219)^2/2-$B$3504*(C4219)^3/6-(N(D26)*MAX(0,(C4219)-N(E26))^2/2+N(F26)*MAX(0,(C4219)-N(G26))^2/2+N(H26)*MAX(0,(C4219)-N(I26))^2/2+N(J26)*MAX(0,(C4219)-N(K26))^2/2+N(L26)*MAX(0,(C4219)-N(M26))^2/2)+$B$3507</f>
        <v>-57.9427083333333</v>
      </c>
    </row>
    <row r="4220" spans="1:5" hidden="1">
      <c r="A4220" s="3">
        <f t="shared" si="47"/>
        <v>0</v>
      </c>
      <c r="B4220" s="3">
        <f t="shared" si="48"/>
        <v>0</v>
      </c>
      <c r="C4220" s="3">
        <f t="shared" si="46"/>
        <v>0</v>
      </c>
      <c r="D4220" s="3">
        <f>$B$3505*(A4220)+$B$3506*(A4220)^2/2-$B$3504*(A4220)^3/6-(N(D26)*MAX(0,(A4220)-N(E26))^2/2+N(F26)*MAX(0,(A4220)-N(G26))^2/2+N(H26)*MAX(0,(A4220)-N(I26))^2/2+N(J26)*MAX(0,(A4220)-N(K26))^2/2+N(L26)*MAX(0,(A4220)-N(M26))^2/2)+$B$3507</f>
        <v>-57.9427083333333</v>
      </c>
      <c r="E4220" s="3">
        <f>$B$3505*(C4220)+$B$3506*(C4220)^2/2-$B$3504*(C4220)^3/6-(N(D26)*MAX(0,(C4220)-N(E26))^2/2+N(F26)*MAX(0,(C4220)-N(G26))^2/2+N(H26)*MAX(0,(C4220)-N(I26))^2/2+N(J26)*MAX(0,(C4220)-N(K26))^2/2+N(L26)*MAX(0,(C4220)-N(M26))^2/2)+$B$3507</f>
        <v>-57.9427083333333</v>
      </c>
    </row>
    <row r="4221" spans="1:5" hidden="1">
      <c r="A4221" s="3">
        <f t="shared" si="47"/>
        <v>0</v>
      </c>
      <c r="B4221" s="3">
        <f t="shared" si="48"/>
        <v>0</v>
      </c>
      <c r="C4221" s="3">
        <f t="shared" si="46"/>
        <v>0</v>
      </c>
      <c r="D4221" s="3">
        <f>$B$3505*(A4221)+$B$3506*(A4221)^2/2-$B$3504*(A4221)^3/6-(N(D26)*MAX(0,(A4221)-N(E26))^2/2+N(F26)*MAX(0,(A4221)-N(G26))^2/2+N(H26)*MAX(0,(A4221)-N(I26))^2/2+N(J26)*MAX(0,(A4221)-N(K26))^2/2+N(L26)*MAX(0,(A4221)-N(M26))^2/2)+$B$3507</f>
        <v>-57.9427083333333</v>
      </c>
      <c r="E4221" s="3">
        <f>$B$3505*(C4221)+$B$3506*(C4221)^2/2-$B$3504*(C4221)^3/6-(N(D26)*MAX(0,(C4221)-N(E26))^2/2+N(F26)*MAX(0,(C4221)-N(G26))^2/2+N(H26)*MAX(0,(C4221)-N(I26))^2/2+N(J26)*MAX(0,(C4221)-N(K26))^2/2+N(L26)*MAX(0,(C4221)-N(M26))^2/2)+$B$3507</f>
        <v>-57.9427083333333</v>
      </c>
    </row>
    <row r="4222" spans="1:5" hidden="1">
      <c r="A4222" s="3">
        <f t="shared" si="47"/>
        <v>0</v>
      </c>
      <c r="B4222" s="3">
        <f t="shared" si="48"/>
        <v>0</v>
      </c>
      <c r="C4222" s="3">
        <f t="shared" si="46"/>
        <v>0</v>
      </c>
      <c r="D4222" s="3">
        <f>$B$3505*(A4222)+$B$3506*(A4222)^2/2-$B$3504*(A4222)^3/6-(N(D26)*MAX(0,(A4222)-N(E26))^2/2+N(F26)*MAX(0,(A4222)-N(G26))^2/2+N(H26)*MAX(0,(A4222)-N(I26))^2/2+N(J26)*MAX(0,(A4222)-N(K26))^2/2+N(L26)*MAX(0,(A4222)-N(M26))^2/2)+$B$3507</f>
        <v>-57.9427083333333</v>
      </c>
      <c r="E4222" s="3">
        <f>$B$3505*(C4222)+$B$3506*(C4222)^2/2-$B$3504*(C4222)^3/6-(N(D26)*MAX(0,(C4222)-N(E26))^2/2+N(F26)*MAX(0,(C4222)-N(G26))^2/2+N(H26)*MAX(0,(C4222)-N(I26))^2/2+N(J26)*MAX(0,(C4222)-N(K26))^2/2+N(L26)*MAX(0,(C4222)-N(M26))^2/2)+$B$3507</f>
        <v>-57.9427083333333</v>
      </c>
    </row>
    <row r="4223" spans="1:5" hidden="1">
      <c r="A4223" s="3">
        <f t="shared" si="47"/>
        <v>0</v>
      </c>
      <c r="B4223" s="3">
        <f t="shared" si="48"/>
        <v>0</v>
      </c>
      <c r="C4223" s="3">
        <f t="shared" si="46"/>
        <v>0</v>
      </c>
      <c r="D4223" s="3">
        <f>$B$3505*(A4223)+$B$3506*(A4223)^2/2-$B$3504*(A4223)^3/6-(N(D26)*MAX(0,(A4223)-N(E26))^2/2+N(F26)*MAX(0,(A4223)-N(G26))^2/2+N(H26)*MAX(0,(A4223)-N(I26))^2/2+N(J26)*MAX(0,(A4223)-N(K26))^2/2+N(L26)*MAX(0,(A4223)-N(M26))^2/2)+$B$3507</f>
        <v>-57.9427083333333</v>
      </c>
      <c r="E4223" s="3">
        <f>$B$3505*(C4223)+$B$3506*(C4223)^2/2-$B$3504*(C4223)^3/6-(N(D26)*MAX(0,(C4223)-N(E26))^2/2+N(F26)*MAX(0,(C4223)-N(G26))^2/2+N(H26)*MAX(0,(C4223)-N(I26))^2/2+N(J26)*MAX(0,(C4223)-N(K26))^2/2+N(L26)*MAX(0,(C4223)-N(M26))^2/2)+$B$3507</f>
        <v>-57.9427083333333</v>
      </c>
    </row>
    <row r="4224" spans="1:5" hidden="1">
      <c r="A4224" s="3">
        <f t="shared" si="47"/>
        <v>0</v>
      </c>
      <c r="B4224" s="3">
        <f t="shared" si="48"/>
        <v>0</v>
      </c>
      <c r="C4224" s="3">
        <f t="shared" si="46"/>
        <v>0</v>
      </c>
      <c r="D4224" s="3">
        <f>$B$3505*(A4224)+$B$3506*(A4224)^2/2-$B$3504*(A4224)^3/6-(N(D26)*MAX(0,(A4224)-N(E26))^2/2+N(F26)*MAX(0,(A4224)-N(G26))^2/2+N(H26)*MAX(0,(A4224)-N(I26))^2/2+N(J26)*MAX(0,(A4224)-N(K26))^2/2+N(L26)*MAX(0,(A4224)-N(M26))^2/2)+$B$3507</f>
        <v>-57.9427083333333</v>
      </c>
      <c r="E4224" s="3">
        <f>$B$3505*(C4224)+$B$3506*(C4224)^2/2-$B$3504*(C4224)^3/6-(N(D26)*MAX(0,(C4224)-N(E26))^2/2+N(F26)*MAX(0,(C4224)-N(G26))^2/2+N(H26)*MAX(0,(C4224)-N(I26))^2/2+N(J26)*MAX(0,(C4224)-N(K26))^2/2+N(L26)*MAX(0,(C4224)-N(M26))^2/2)+$B$3507</f>
        <v>-57.9427083333333</v>
      </c>
    </row>
    <row r="4225" spans="1:5" hidden="1">
      <c r="A4225" s="3">
        <f t="shared" si="47"/>
        <v>0</v>
      </c>
      <c r="B4225" s="3">
        <f t="shared" si="48"/>
        <v>0</v>
      </c>
      <c r="C4225" s="3">
        <f t="shared" si="46"/>
        <v>0</v>
      </c>
      <c r="D4225" s="3">
        <f>$B$3505*(A4225)+$B$3506*(A4225)^2/2-$B$3504*(A4225)^3/6-(N(D26)*MAX(0,(A4225)-N(E26))^2/2+N(F26)*MAX(0,(A4225)-N(G26))^2/2+N(H26)*MAX(0,(A4225)-N(I26))^2/2+N(J26)*MAX(0,(A4225)-N(K26))^2/2+N(L26)*MAX(0,(A4225)-N(M26))^2/2)+$B$3507</f>
        <v>-57.9427083333333</v>
      </c>
      <c r="E4225" s="3">
        <f>$B$3505*(C4225)+$B$3506*(C4225)^2/2-$B$3504*(C4225)^3/6-(N(D26)*MAX(0,(C4225)-N(E26))^2/2+N(F26)*MAX(0,(C4225)-N(G26))^2/2+N(H26)*MAX(0,(C4225)-N(I26))^2/2+N(J26)*MAX(0,(C4225)-N(K26))^2/2+N(L26)*MAX(0,(C4225)-N(M26))^2/2)+$B$3507</f>
        <v>-57.9427083333333</v>
      </c>
    </row>
    <row r="4226" spans="1:5" hidden="1">
      <c r="A4226" s="3">
        <f t="shared" si="47"/>
        <v>0</v>
      </c>
      <c r="B4226" s="3">
        <f t="shared" si="48"/>
        <v>0</v>
      </c>
      <c r="C4226" s="3">
        <f t="shared" si="46"/>
        <v>0</v>
      </c>
      <c r="D4226" s="3">
        <f>$B$3505*(A4226)+$B$3506*(A4226)^2/2-$B$3504*(A4226)^3/6-(N(D26)*MAX(0,(A4226)-N(E26))^2/2+N(F26)*MAX(0,(A4226)-N(G26))^2/2+N(H26)*MAX(0,(A4226)-N(I26))^2/2+N(J26)*MAX(0,(A4226)-N(K26))^2/2+N(L26)*MAX(0,(A4226)-N(M26))^2/2)+$B$3507</f>
        <v>-57.9427083333333</v>
      </c>
      <c r="E4226" s="3">
        <f>$B$3505*(C4226)+$B$3506*(C4226)^2/2-$B$3504*(C4226)^3/6-(N(D26)*MAX(0,(C4226)-N(E26))^2/2+N(F26)*MAX(0,(C4226)-N(G26))^2/2+N(H26)*MAX(0,(C4226)-N(I26))^2/2+N(J26)*MAX(0,(C4226)-N(K26))^2/2+N(L26)*MAX(0,(C4226)-N(M26))^2/2)+$B$3507</f>
        <v>-57.9427083333333</v>
      </c>
    </row>
    <row r="4227" spans="1:5" hidden="1">
      <c r="A4227" s="3">
        <f t="shared" si="47"/>
        <v>0</v>
      </c>
      <c r="B4227" s="3">
        <f t="shared" si="48"/>
        <v>0</v>
      </c>
      <c r="C4227" s="3">
        <f t="shared" si="46"/>
        <v>0</v>
      </c>
      <c r="D4227" s="3">
        <f>$B$3505*(A4227)+$B$3506*(A4227)^2/2-$B$3504*(A4227)^3/6-(N(D26)*MAX(0,(A4227)-N(E26))^2/2+N(F26)*MAX(0,(A4227)-N(G26))^2/2+N(H26)*MAX(0,(A4227)-N(I26))^2/2+N(J26)*MAX(0,(A4227)-N(K26))^2/2+N(L26)*MAX(0,(A4227)-N(M26))^2/2)+$B$3507</f>
        <v>-57.9427083333333</v>
      </c>
      <c r="E4227" s="3">
        <f>$B$3505*(C4227)+$B$3506*(C4227)^2/2-$B$3504*(C4227)^3/6-(N(D26)*MAX(0,(C4227)-N(E26))^2/2+N(F26)*MAX(0,(C4227)-N(G26))^2/2+N(H26)*MAX(0,(C4227)-N(I26))^2/2+N(J26)*MAX(0,(C4227)-N(K26))^2/2+N(L26)*MAX(0,(C4227)-N(M26))^2/2)+$B$3507</f>
        <v>-57.9427083333333</v>
      </c>
    </row>
    <row r="4228" spans="1:5" hidden="1">
      <c r="A4228" s="3">
        <f t="shared" si="47"/>
        <v>0</v>
      </c>
      <c r="B4228" s="3">
        <f t="shared" si="48"/>
        <v>0</v>
      </c>
      <c r="C4228" s="3">
        <f t="shared" si="46"/>
        <v>0</v>
      </c>
      <c r="D4228" s="3">
        <f>$B$3505*(A4228)+$B$3506*(A4228)^2/2-$B$3504*(A4228)^3/6-(N(D26)*MAX(0,(A4228)-N(E26))^2/2+N(F26)*MAX(0,(A4228)-N(G26))^2/2+N(H26)*MAX(0,(A4228)-N(I26))^2/2+N(J26)*MAX(0,(A4228)-N(K26))^2/2+N(L26)*MAX(0,(A4228)-N(M26))^2/2)+$B$3507</f>
        <v>-57.9427083333333</v>
      </c>
      <c r="E4228" s="3">
        <f>$B$3505*(C4228)+$B$3506*(C4228)^2/2-$B$3504*(C4228)^3/6-(N(D26)*MAX(0,(C4228)-N(E26))^2/2+N(F26)*MAX(0,(C4228)-N(G26))^2/2+N(H26)*MAX(0,(C4228)-N(I26))^2/2+N(J26)*MAX(0,(C4228)-N(K26))^2/2+N(L26)*MAX(0,(C4228)-N(M26))^2/2)+$B$3507</f>
        <v>-57.9427083333333</v>
      </c>
    </row>
    <row r="4229" spans="1:5" hidden="1">
      <c r="A4229" s="3">
        <f t="shared" si="47"/>
        <v>0</v>
      </c>
      <c r="B4229" s="3">
        <f t="shared" si="48"/>
        <v>0</v>
      </c>
      <c r="C4229" s="3">
        <f t="shared" si="46"/>
        <v>0</v>
      </c>
      <c r="D4229" s="3">
        <f>$B$3505*(A4229)+$B$3506*(A4229)^2/2-$B$3504*(A4229)^3/6-(N(D26)*MAX(0,(A4229)-N(E26))^2/2+N(F26)*MAX(0,(A4229)-N(G26))^2/2+N(H26)*MAX(0,(A4229)-N(I26))^2/2+N(J26)*MAX(0,(A4229)-N(K26))^2/2+N(L26)*MAX(0,(A4229)-N(M26))^2/2)+$B$3507</f>
        <v>-57.9427083333333</v>
      </c>
      <c r="E4229" s="3">
        <f>$B$3505*(C4229)+$B$3506*(C4229)^2/2-$B$3504*(C4229)^3/6-(N(D26)*MAX(0,(C4229)-N(E26))^2/2+N(F26)*MAX(0,(C4229)-N(G26))^2/2+N(H26)*MAX(0,(C4229)-N(I26))^2/2+N(J26)*MAX(0,(C4229)-N(K26))^2/2+N(L26)*MAX(0,(C4229)-N(M26))^2/2)+$B$3507</f>
        <v>-57.9427083333333</v>
      </c>
    </row>
    <row r="4230" spans="1:5" hidden="1">
      <c r="A4230" s="3">
        <f t="shared" si="47"/>
        <v>0</v>
      </c>
      <c r="B4230" s="3">
        <f t="shared" si="48"/>
        <v>0</v>
      </c>
      <c r="C4230" s="3">
        <f t="shared" si="46"/>
        <v>0</v>
      </c>
      <c r="D4230" s="3">
        <f>$B$3505*(A4230)+$B$3506*(A4230)^2/2-$B$3504*(A4230)^3/6-(N(D26)*MAX(0,(A4230)-N(E26))^2/2+N(F26)*MAX(0,(A4230)-N(G26))^2/2+N(H26)*MAX(0,(A4230)-N(I26))^2/2+N(J26)*MAX(0,(A4230)-N(K26))^2/2+N(L26)*MAX(0,(A4230)-N(M26))^2/2)+$B$3507</f>
        <v>-57.9427083333333</v>
      </c>
      <c r="E4230" s="3">
        <f>$B$3505*(C4230)+$B$3506*(C4230)^2/2-$B$3504*(C4230)^3/6-(N(D26)*MAX(0,(C4230)-N(E26))^2/2+N(F26)*MAX(0,(C4230)-N(G26))^2/2+N(H26)*MAX(0,(C4230)-N(I26))^2/2+N(J26)*MAX(0,(C4230)-N(K26))^2/2+N(L26)*MAX(0,(C4230)-N(M26))^2/2)+$B$3507</f>
        <v>-57.9427083333333</v>
      </c>
    </row>
    <row r="4231" spans="1:5" hidden="1">
      <c r="A4231" s="3">
        <f t="shared" si="47"/>
        <v>0</v>
      </c>
      <c r="B4231" s="3">
        <f t="shared" si="48"/>
        <v>0</v>
      </c>
      <c r="C4231" s="3">
        <f t="shared" si="46"/>
        <v>0</v>
      </c>
      <c r="D4231" s="3">
        <f>$B$3505*(A4231)+$B$3506*(A4231)^2/2-$B$3504*(A4231)^3/6-(N(D26)*MAX(0,(A4231)-N(E26))^2/2+N(F26)*MAX(0,(A4231)-N(G26))^2/2+N(H26)*MAX(0,(A4231)-N(I26))^2/2+N(J26)*MAX(0,(A4231)-N(K26))^2/2+N(L26)*MAX(0,(A4231)-N(M26))^2/2)+$B$3507</f>
        <v>-57.9427083333333</v>
      </c>
      <c r="E4231" s="3">
        <f>$B$3505*(C4231)+$B$3506*(C4231)^2/2-$B$3504*(C4231)^3/6-(N(D26)*MAX(0,(C4231)-N(E26))^2/2+N(F26)*MAX(0,(C4231)-N(G26))^2/2+N(H26)*MAX(0,(C4231)-N(I26))^2/2+N(J26)*MAX(0,(C4231)-N(K26))^2/2+N(L26)*MAX(0,(C4231)-N(M26))^2/2)+$B$3507</f>
        <v>-57.9427083333333</v>
      </c>
    </row>
    <row r="4232" spans="1:5" hidden="1">
      <c r="A4232" s="3">
        <f t="shared" si="47"/>
        <v>0</v>
      </c>
      <c r="B4232" s="3">
        <f t="shared" si="48"/>
        <v>0</v>
      </c>
      <c r="C4232" s="3">
        <f t="shared" si="46"/>
        <v>0</v>
      </c>
      <c r="D4232" s="3">
        <f>$B$3505*(A4232)+$B$3506*(A4232)^2/2-$B$3504*(A4232)^3/6-(N(D26)*MAX(0,(A4232)-N(E26))^2/2+N(F26)*MAX(0,(A4232)-N(G26))^2/2+N(H26)*MAX(0,(A4232)-N(I26))^2/2+N(J26)*MAX(0,(A4232)-N(K26))^2/2+N(L26)*MAX(0,(A4232)-N(M26))^2/2)+$B$3507</f>
        <v>-57.9427083333333</v>
      </c>
      <c r="E4232" s="3">
        <f>$B$3505*(C4232)+$B$3506*(C4232)^2/2-$B$3504*(C4232)^3/6-(N(D26)*MAX(0,(C4232)-N(E26))^2/2+N(F26)*MAX(0,(C4232)-N(G26))^2/2+N(H26)*MAX(0,(C4232)-N(I26))^2/2+N(J26)*MAX(0,(C4232)-N(K26))^2/2+N(L26)*MAX(0,(C4232)-N(M26))^2/2)+$B$3507</f>
        <v>-57.9427083333333</v>
      </c>
    </row>
    <row r="4233" spans="1:5" hidden="1">
      <c r="A4233" s="3">
        <f t="shared" si="47"/>
        <v>0</v>
      </c>
      <c r="B4233" s="3">
        <f t="shared" si="48"/>
        <v>0</v>
      </c>
      <c r="C4233" s="3">
        <f t="shared" si="46"/>
        <v>0</v>
      </c>
      <c r="D4233" s="3">
        <f>$B$3505*(A4233)+$B$3506*(A4233)^2/2-$B$3504*(A4233)^3/6-(N(D26)*MAX(0,(A4233)-N(E26))^2/2+N(F26)*MAX(0,(A4233)-N(G26))^2/2+N(H26)*MAX(0,(A4233)-N(I26))^2/2+N(J26)*MAX(0,(A4233)-N(K26))^2/2+N(L26)*MAX(0,(A4233)-N(M26))^2/2)+$B$3507</f>
        <v>-57.9427083333333</v>
      </c>
      <c r="E4233" s="3">
        <f>$B$3505*(C4233)+$B$3506*(C4233)^2/2-$B$3504*(C4233)^3/6-(N(D26)*MAX(0,(C4233)-N(E26))^2/2+N(F26)*MAX(0,(C4233)-N(G26))^2/2+N(H26)*MAX(0,(C4233)-N(I26))^2/2+N(J26)*MAX(0,(C4233)-N(K26))^2/2+N(L26)*MAX(0,(C4233)-N(M26))^2/2)+$B$3507</f>
        <v>-57.9427083333333</v>
      </c>
    </row>
    <row r="4234" spans="1:5" hidden="1">
      <c r="A4234" s="3">
        <f t="shared" si="47"/>
        <v>0</v>
      </c>
      <c r="B4234" s="3">
        <f t="shared" si="48"/>
        <v>0</v>
      </c>
      <c r="C4234" s="3">
        <f t="shared" si="46"/>
        <v>0</v>
      </c>
      <c r="D4234" s="3">
        <f>$B$3505*(A4234)+$B$3506*(A4234)^2/2-$B$3504*(A4234)^3/6-(N(D26)*MAX(0,(A4234)-N(E26))^2/2+N(F26)*MAX(0,(A4234)-N(G26))^2/2+N(H26)*MAX(0,(A4234)-N(I26))^2/2+N(J26)*MAX(0,(A4234)-N(K26))^2/2+N(L26)*MAX(0,(A4234)-N(M26))^2/2)+$B$3507</f>
        <v>-57.9427083333333</v>
      </c>
      <c r="E4234" s="3">
        <f>$B$3505*(C4234)+$B$3506*(C4234)^2/2-$B$3504*(C4234)^3/6-(N(D26)*MAX(0,(C4234)-N(E26))^2/2+N(F26)*MAX(0,(C4234)-N(G26))^2/2+N(H26)*MAX(0,(C4234)-N(I26))^2/2+N(J26)*MAX(0,(C4234)-N(K26))^2/2+N(L26)*MAX(0,(C4234)-N(M26))^2/2)+$B$3507</f>
        <v>-57.9427083333333</v>
      </c>
    </row>
    <row r="4235" spans="1:5" hidden="1">
      <c r="A4235" s="3">
        <f t="shared" si="47"/>
        <v>0</v>
      </c>
      <c r="B4235" s="3">
        <f t="shared" si="48"/>
        <v>0</v>
      </c>
      <c r="C4235" s="3">
        <f t="shared" si="46"/>
        <v>0</v>
      </c>
      <c r="D4235" s="3">
        <f>$B$3505*(A4235)+$B$3506*(A4235)^2/2-$B$3504*(A4235)^3/6-(N(D26)*MAX(0,(A4235)-N(E26))^2/2+N(F26)*MAX(0,(A4235)-N(G26))^2/2+N(H26)*MAX(0,(A4235)-N(I26))^2/2+N(J26)*MAX(0,(A4235)-N(K26))^2/2+N(L26)*MAX(0,(A4235)-N(M26))^2/2)+$B$3507</f>
        <v>-57.9427083333333</v>
      </c>
      <c r="E4235" s="3">
        <f>$B$3505*(C4235)+$B$3506*(C4235)^2/2-$B$3504*(C4235)^3/6-(N(D26)*MAX(0,(C4235)-N(E26))^2/2+N(F26)*MAX(0,(C4235)-N(G26))^2/2+N(H26)*MAX(0,(C4235)-N(I26))^2/2+N(J26)*MAX(0,(C4235)-N(K26))^2/2+N(L26)*MAX(0,(C4235)-N(M26))^2/2)+$B$3507</f>
        <v>-57.9427083333333</v>
      </c>
    </row>
    <row r="4236" spans="1:5" hidden="1">
      <c r="A4236" s="3">
        <f t="shared" si="47"/>
        <v>0</v>
      </c>
      <c r="B4236" s="3">
        <f t="shared" si="48"/>
        <v>0</v>
      </c>
      <c r="C4236" s="3">
        <f t="shared" si="46"/>
        <v>0</v>
      </c>
      <c r="D4236" s="3">
        <f>$B$3505*(A4236)+$B$3506*(A4236)^2/2-$B$3504*(A4236)^3/6-(N(D26)*MAX(0,(A4236)-N(E26))^2/2+N(F26)*MAX(0,(A4236)-N(G26))^2/2+N(H26)*MAX(0,(A4236)-N(I26))^2/2+N(J26)*MAX(0,(A4236)-N(K26))^2/2+N(L26)*MAX(0,(A4236)-N(M26))^2/2)+$B$3507</f>
        <v>-57.9427083333333</v>
      </c>
      <c r="E4236" s="3">
        <f>$B$3505*(C4236)+$B$3506*(C4236)^2/2-$B$3504*(C4236)^3/6-(N(D26)*MAX(0,(C4236)-N(E26))^2/2+N(F26)*MAX(0,(C4236)-N(G26))^2/2+N(H26)*MAX(0,(C4236)-N(I26))^2/2+N(J26)*MAX(0,(C4236)-N(K26))^2/2+N(L26)*MAX(0,(C4236)-N(M26))^2/2)+$B$3507</f>
        <v>-57.9427083333333</v>
      </c>
    </row>
    <row r="4237" spans="1:5" hidden="1">
      <c r="A4237" s="3">
        <f t="shared" si="47"/>
        <v>0</v>
      </c>
      <c r="B4237" s="3">
        <f t="shared" si="48"/>
        <v>0</v>
      </c>
      <c r="C4237" s="3">
        <f t="shared" si="46"/>
        <v>0</v>
      </c>
      <c r="D4237" s="3">
        <f>$B$3505*(A4237)+$B$3506*(A4237)^2/2-$B$3504*(A4237)^3/6-(N(D26)*MAX(0,(A4237)-N(E26))^2/2+N(F26)*MAX(0,(A4237)-N(G26))^2/2+N(H26)*MAX(0,(A4237)-N(I26))^2/2+N(J26)*MAX(0,(A4237)-N(K26))^2/2+N(L26)*MAX(0,(A4237)-N(M26))^2/2)+$B$3507</f>
        <v>-57.9427083333333</v>
      </c>
      <c r="E4237" s="3">
        <f>$B$3505*(C4237)+$B$3506*(C4237)^2/2-$B$3504*(C4237)^3/6-(N(D26)*MAX(0,(C4237)-N(E26))^2/2+N(F26)*MAX(0,(C4237)-N(G26))^2/2+N(H26)*MAX(0,(C4237)-N(I26))^2/2+N(J26)*MAX(0,(C4237)-N(K26))^2/2+N(L26)*MAX(0,(C4237)-N(M26))^2/2)+$B$3507</f>
        <v>-57.9427083333333</v>
      </c>
    </row>
    <row r="4238" spans="1:5" hidden="1">
      <c r="A4238" s="3">
        <f t="shared" si="47"/>
        <v>0</v>
      </c>
      <c r="B4238" s="3">
        <f t="shared" si="48"/>
        <v>0</v>
      </c>
      <c r="C4238" s="3">
        <f t="shared" si="46"/>
        <v>0</v>
      </c>
      <c r="D4238" s="3">
        <f>$B$3505*(A4238)+$B$3506*(A4238)^2/2-$B$3504*(A4238)^3/6-(N(D26)*MAX(0,(A4238)-N(E26))^2/2+N(F26)*MAX(0,(A4238)-N(G26))^2/2+N(H26)*MAX(0,(A4238)-N(I26))^2/2+N(J26)*MAX(0,(A4238)-N(K26))^2/2+N(L26)*MAX(0,(A4238)-N(M26))^2/2)+$B$3507</f>
        <v>-57.9427083333333</v>
      </c>
      <c r="E4238" s="3">
        <f>$B$3505*(C4238)+$B$3506*(C4238)^2/2-$B$3504*(C4238)^3/6-(N(D26)*MAX(0,(C4238)-N(E26))^2/2+N(F26)*MAX(0,(C4238)-N(G26))^2/2+N(H26)*MAX(0,(C4238)-N(I26))^2/2+N(J26)*MAX(0,(C4238)-N(K26))^2/2+N(L26)*MAX(0,(C4238)-N(M26))^2/2)+$B$3507</f>
        <v>-57.9427083333333</v>
      </c>
    </row>
    <row r="4239" spans="1:5" hidden="1">
      <c r="A4239" s="3">
        <f t="shared" si="47"/>
        <v>0</v>
      </c>
      <c r="B4239" s="3">
        <f t="shared" si="48"/>
        <v>0</v>
      </c>
      <c r="C4239" s="3">
        <f t="shared" si="46"/>
        <v>0</v>
      </c>
      <c r="D4239" s="3">
        <f>$B$3505*(A4239)+$B$3506*(A4239)^2/2-$B$3504*(A4239)^3/6-(N(D26)*MAX(0,(A4239)-N(E26))^2/2+N(F26)*MAX(0,(A4239)-N(G26))^2/2+N(H26)*MAX(0,(A4239)-N(I26))^2/2+N(J26)*MAX(0,(A4239)-N(K26))^2/2+N(L26)*MAX(0,(A4239)-N(M26))^2/2)+$B$3507</f>
        <v>-57.9427083333333</v>
      </c>
      <c r="E4239" s="3">
        <f>$B$3505*(C4239)+$B$3506*(C4239)^2/2-$B$3504*(C4239)^3/6-(N(D26)*MAX(0,(C4239)-N(E26))^2/2+N(F26)*MAX(0,(C4239)-N(G26))^2/2+N(H26)*MAX(0,(C4239)-N(I26))^2/2+N(J26)*MAX(0,(C4239)-N(K26))^2/2+N(L26)*MAX(0,(C4239)-N(M26))^2/2)+$B$3507</f>
        <v>-57.9427083333333</v>
      </c>
    </row>
    <row r="4240" spans="1:5" hidden="1">
      <c r="A4240" s="3">
        <f t="shared" si="47"/>
        <v>0</v>
      </c>
      <c r="B4240" s="3">
        <f t="shared" si="48"/>
        <v>0</v>
      </c>
      <c r="C4240" s="3">
        <f t="shared" si="46"/>
        <v>0</v>
      </c>
      <c r="D4240" s="3">
        <f>$B$3505*(A4240)+$B$3506*(A4240)^2/2-$B$3504*(A4240)^3/6-(N(D26)*MAX(0,(A4240)-N(E26))^2/2+N(F26)*MAX(0,(A4240)-N(G26))^2/2+N(H26)*MAX(0,(A4240)-N(I26))^2/2+N(J26)*MAX(0,(A4240)-N(K26))^2/2+N(L26)*MAX(0,(A4240)-N(M26))^2/2)+$B$3507</f>
        <v>-57.9427083333333</v>
      </c>
      <c r="E4240" s="3">
        <f>$B$3505*(C4240)+$B$3506*(C4240)^2/2-$B$3504*(C4240)^3/6-(N(D26)*MAX(0,(C4240)-N(E26))^2/2+N(F26)*MAX(0,(C4240)-N(G26))^2/2+N(H26)*MAX(0,(C4240)-N(I26))^2/2+N(J26)*MAX(0,(C4240)-N(K26))^2/2+N(L26)*MAX(0,(C4240)-N(M26))^2/2)+$B$3507</f>
        <v>-57.9427083333333</v>
      </c>
    </row>
    <row r="4241" spans="1:5" hidden="1">
      <c r="A4241" s="3">
        <f t="shared" si="47"/>
        <v>0</v>
      </c>
      <c r="B4241" s="3">
        <f t="shared" si="48"/>
        <v>0</v>
      </c>
      <c r="C4241" s="3">
        <f t="shared" si="46"/>
        <v>0</v>
      </c>
      <c r="D4241" s="3">
        <f>$B$3505*(A4241)+$B$3506*(A4241)^2/2-$B$3504*(A4241)^3/6-(N(D26)*MAX(0,(A4241)-N(E26))^2/2+N(F26)*MAX(0,(A4241)-N(G26))^2/2+N(H26)*MAX(0,(A4241)-N(I26))^2/2+N(J26)*MAX(0,(A4241)-N(K26))^2/2+N(L26)*MAX(0,(A4241)-N(M26))^2/2)+$B$3507</f>
        <v>-57.9427083333333</v>
      </c>
      <c r="E4241" s="3">
        <f>$B$3505*(C4241)+$B$3506*(C4241)^2/2-$B$3504*(C4241)^3/6-(N(D26)*MAX(0,(C4241)-N(E26))^2/2+N(F26)*MAX(0,(C4241)-N(G26))^2/2+N(H26)*MAX(0,(C4241)-N(I26))^2/2+N(J26)*MAX(0,(C4241)-N(K26))^2/2+N(L26)*MAX(0,(C4241)-N(M26))^2/2)+$B$3507</f>
        <v>-57.9427083333333</v>
      </c>
    </row>
    <row r="4242" spans="1:5" hidden="1">
      <c r="A4242" s="3">
        <f t="shared" si="47"/>
        <v>0</v>
      </c>
      <c r="B4242" s="3">
        <f t="shared" si="48"/>
        <v>0</v>
      </c>
      <c r="C4242" s="3">
        <f t="shared" si="46"/>
        <v>0</v>
      </c>
      <c r="D4242" s="3">
        <f>$B$3505*(A4242)+$B$3506*(A4242)^2/2-$B$3504*(A4242)^3/6-(N(D26)*MAX(0,(A4242)-N(E26))^2/2+N(F26)*MAX(0,(A4242)-N(G26))^2/2+N(H26)*MAX(0,(A4242)-N(I26))^2/2+N(J26)*MAX(0,(A4242)-N(K26))^2/2+N(L26)*MAX(0,(A4242)-N(M26))^2/2)+$B$3507</f>
        <v>-57.9427083333333</v>
      </c>
      <c r="E4242" s="3">
        <f>$B$3505*(C4242)+$B$3506*(C4242)^2/2-$B$3504*(C4242)^3/6-(N(D26)*MAX(0,(C4242)-N(E26))^2/2+N(F26)*MAX(0,(C4242)-N(G26))^2/2+N(H26)*MAX(0,(C4242)-N(I26))^2/2+N(J26)*MAX(0,(C4242)-N(K26))^2/2+N(L26)*MAX(0,(C4242)-N(M26))^2/2)+$B$3507</f>
        <v>-57.9427083333333</v>
      </c>
    </row>
    <row r="4243" spans="1:5" hidden="1">
      <c r="A4243" s="3">
        <f t="shared" si="47"/>
        <v>0</v>
      </c>
      <c r="B4243" s="3">
        <f t="shared" si="48"/>
        <v>0</v>
      </c>
      <c r="C4243" s="3">
        <f t="shared" si="46"/>
        <v>0</v>
      </c>
      <c r="D4243" s="3">
        <f>$B$3505*(A4243)+$B$3506*(A4243)^2/2-$B$3504*(A4243)^3/6-(N(D26)*MAX(0,(A4243)-N(E26))^2/2+N(F26)*MAX(0,(A4243)-N(G26))^2/2+N(H26)*MAX(0,(A4243)-N(I26))^2/2+N(J26)*MAX(0,(A4243)-N(K26))^2/2+N(L26)*MAX(0,(A4243)-N(M26))^2/2)+$B$3507</f>
        <v>-57.9427083333333</v>
      </c>
      <c r="E4243" s="3">
        <f>$B$3505*(C4243)+$B$3506*(C4243)^2/2-$B$3504*(C4243)^3/6-(N(D26)*MAX(0,(C4243)-N(E26))^2/2+N(F26)*MAX(0,(C4243)-N(G26))^2/2+N(H26)*MAX(0,(C4243)-N(I26))^2/2+N(J26)*MAX(0,(C4243)-N(K26))^2/2+N(L26)*MAX(0,(C4243)-N(M26))^2/2)+$B$3507</f>
        <v>-57.9427083333333</v>
      </c>
    </row>
    <row r="4244" spans="1:5" hidden="1"/>
    <row r="4245" spans="1:5" hidden="1">
      <c r="A4245" s="3">
        <f>B3555</f>
        <v>0</v>
      </c>
      <c r="B4245" s="3">
        <f>IF(($B$3505*(B3555)+$B$3506*(B3555)^2/2-$B$3504*(B3555)^3/6-(N(D26)*MAX(0,(B3555)-N(E26))^2/2+N(F26)*MAX(0,(B3555)-N(G26))^2/2+N(H26)*MAX(0,(B3555)-N(I26))^2/2+N(J26)*MAX(0,(B3555)-N(K26))^2/2+N(L26)*MAX(0,(B3555)-N(M26))^2/2)+$B$3507)*($B$3505*(B3556)+$B$3506*(B3556)^2/2-$B$3504*(B3556)^3/6-(N(D26)*MAX(0,(B3556)-N(E26))^2/2+N(F26)*MAX(0,(B3556)-N(G26))^2/2+N(H26)*MAX(0,(B3556)-N(I26))^2/2+N(J26)*MAX(0,(B3556)-N(K26))^2/2+N(L26)*MAX(0,(B3556)-N(M26))^2/2)+$B$3507)&lt;=0,B3556,B3555)</f>
        <v>0</v>
      </c>
      <c r="C4245" s="3">
        <f t="shared" ref="C4245:C4289" si="49">(A4245+B4245)/2</f>
        <v>0</v>
      </c>
      <c r="D4245" s="3">
        <f>$B$3505*(A4245)+$B$3506*(A4245)^2/2-$B$3504*(A4245)^3/6-(N(D26)*MAX(0,(A4245)-N(E26))^2/2+N(F26)*MAX(0,(A4245)-N(G26))^2/2+N(H26)*MAX(0,(A4245)-N(I26))^2/2+N(J26)*MAX(0,(A4245)-N(K26))^2/2+N(L26)*MAX(0,(A4245)-N(M26))^2/2)+$B$3507</f>
        <v>-57.9427083333333</v>
      </c>
      <c r="E4245" s="3">
        <f>$B$3505*(C4245)+$B$3506*(C4245)^2/2-$B$3504*(C4245)^3/6-(N(D26)*MAX(0,(C4245)-N(E26))^2/2+N(F26)*MAX(0,(C4245)-N(G26))^2/2+N(H26)*MAX(0,(C4245)-N(I26))^2/2+N(J26)*MAX(0,(C4245)-N(K26))^2/2+N(L26)*MAX(0,(C4245)-N(M26))^2/2)+$B$3507</f>
        <v>-57.9427083333333</v>
      </c>
    </row>
    <row r="4246" spans="1:5" hidden="1">
      <c r="A4246" s="3">
        <f t="shared" ref="A4246:A4289" si="50">IF(D4245*E4245&lt;=0,A4245,C4245)</f>
        <v>0</v>
      </c>
      <c r="B4246" s="3">
        <f t="shared" ref="B4246:B4289" si="51">IF(D4245*E4245&lt;=0,C4245,B4245)</f>
        <v>0</v>
      </c>
      <c r="C4246" s="3">
        <f t="shared" si="49"/>
        <v>0</v>
      </c>
      <c r="D4246" s="3">
        <f>$B$3505*(A4246)+$B$3506*(A4246)^2/2-$B$3504*(A4246)^3/6-(N(D26)*MAX(0,(A4246)-N(E26))^2/2+N(F26)*MAX(0,(A4246)-N(G26))^2/2+N(H26)*MAX(0,(A4246)-N(I26))^2/2+N(J26)*MAX(0,(A4246)-N(K26))^2/2+N(L26)*MAX(0,(A4246)-N(M26))^2/2)+$B$3507</f>
        <v>-57.9427083333333</v>
      </c>
      <c r="E4246" s="3">
        <f>$B$3505*(C4246)+$B$3506*(C4246)^2/2-$B$3504*(C4246)^3/6-(N(D26)*MAX(0,(C4246)-N(E26))^2/2+N(F26)*MAX(0,(C4246)-N(G26))^2/2+N(H26)*MAX(0,(C4246)-N(I26))^2/2+N(J26)*MAX(0,(C4246)-N(K26))^2/2+N(L26)*MAX(0,(C4246)-N(M26))^2/2)+$B$3507</f>
        <v>-57.9427083333333</v>
      </c>
    </row>
    <row r="4247" spans="1:5" hidden="1">
      <c r="A4247" s="3">
        <f t="shared" si="50"/>
        <v>0</v>
      </c>
      <c r="B4247" s="3">
        <f t="shared" si="51"/>
        <v>0</v>
      </c>
      <c r="C4247" s="3">
        <f t="shared" si="49"/>
        <v>0</v>
      </c>
      <c r="D4247" s="3">
        <f>$B$3505*(A4247)+$B$3506*(A4247)^2/2-$B$3504*(A4247)^3/6-(N(D26)*MAX(0,(A4247)-N(E26))^2/2+N(F26)*MAX(0,(A4247)-N(G26))^2/2+N(H26)*MAX(0,(A4247)-N(I26))^2/2+N(J26)*MAX(0,(A4247)-N(K26))^2/2+N(L26)*MAX(0,(A4247)-N(M26))^2/2)+$B$3507</f>
        <v>-57.9427083333333</v>
      </c>
      <c r="E4247" s="3">
        <f>$B$3505*(C4247)+$B$3506*(C4247)^2/2-$B$3504*(C4247)^3/6-(N(D26)*MAX(0,(C4247)-N(E26))^2/2+N(F26)*MAX(0,(C4247)-N(G26))^2/2+N(H26)*MAX(0,(C4247)-N(I26))^2/2+N(J26)*MAX(0,(C4247)-N(K26))^2/2+N(L26)*MAX(0,(C4247)-N(M26))^2/2)+$B$3507</f>
        <v>-57.9427083333333</v>
      </c>
    </row>
    <row r="4248" spans="1:5" hidden="1">
      <c r="A4248" s="3">
        <f t="shared" si="50"/>
        <v>0</v>
      </c>
      <c r="B4248" s="3">
        <f t="shared" si="51"/>
        <v>0</v>
      </c>
      <c r="C4248" s="3">
        <f t="shared" si="49"/>
        <v>0</v>
      </c>
      <c r="D4248" s="3">
        <f>$B$3505*(A4248)+$B$3506*(A4248)^2/2-$B$3504*(A4248)^3/6-(N(D26)*MAX(0,(A4248)-N(E26))^2/2+N(F26)*MAX(0,(A4248)-N(G26))^2/2+N(H26)*MAX(0,(A4248)-N(I26))^2/2+N(J26)*MAX(0,(A4248)-N(K26))^2/2+N(L26)*MAX(0,(A4248)-N(M26))^2/2)+$B$3507</f>
        <v>-57.9427083333333</v>
      </c>
      <c r="E4248" s="3">
        <f>$B$3505*(C4248)+$B$3506*(C4248)^2/2-$B$3504*(C4248)^3/6-(N(D26)*MAX(0,(C4248)-N(E26))^2/2+N(F26)*MAX(0,(C4248)-N(G26))^2/2+N(H26)*MAX(0,(C4248)-N(I26))^2/2+N(J26)*MAX(0,(C4248)-N(K26))^2/2+N(L26)*MAX(0,(C4248)-N(M26))^2/2)+$B$3507</f>
        <v>-57.9427083333333</v>
      </c>
    </row>
    <row r="4249" spans="1:5" hidden="1">
      <c r="A4249" s="3">
        <f t="shared" si="50"/>
        <v>0</v>
      </c>
      <c r="B4249" s="3">
        <f t="shared" si="51"/>
        <v>0</v>
      </c>
      <c r="C4249" s="3">
        <f t="shared" si="49"/>
        <v>0</v>
      </c>
      <c r="D4249" s="3">
        <f>$B$3505*(A4249)+$B$3506*(A4249)^2/2-$B$3504*(A4249)^3/6-(N(D26)*MAX(0,(A4249)-N(E26))^2/2+N(F26)*MAX(0,(A4249)-N(G26))^2/2+N(H26)*MAX(0,(A4249)-N(I26))^2/2+N(J26)*MAX(0,(A4249)-N(K26))^2/2+N(L26)*MAX(0,(A4249)-N(M26))^2/2)+$B$3507</f>
        <v>-57.9427083333333</v>
      </c>
      <c r="E4249" s="3">
        <f>$B$3505*(C4249)+$B$3506*(C4249)^2/2-$B$3504*(C4249)^3/6-(N(D26)*MAX(0,(C4249)-N(E26))^2/2+N(F26)*MAX(0,(C4249)-N(G26))^2/2+N(H26)*MAX(0,(C4249)-N(I26))^2/2+N(J26)*MAX(0,(C4249)-N(K26))^2/2+N(L26)*MAX(0,(C4249)-N(M26))^2/2)+$B$3507</f>
        <v>-57.9427083333333</v>
      </c>
    </row>
    <row r="4250" spans="1:5" hidden="1">
      <c r="A4250" s="3">
        <f t="shared" si="50"/>
        <v>0</v>
      </c>
      <c r="B4250" s="3">
        <f t="shared" si="51"/>
        <v>0</v>
      </c>
      <c r="C4250" s="3">
        <f t="shared" si="49"/>
        <v>0</v>
      </c>
      <c r="D4250" s="3">
        <f>$B$3505*(A4250)+$B$3506*(A4250)^2/2-$B$3504*(A4250)^3/6-(N(D26)*MAX(0,(A4250)-N(E26))^2/2+N(F26)*MAX(0,(A4250)-N(G26))^2/2+N(H26)*MAX(0,(A4250)-N(I26))^2/2+N(J26)*MAX(0,(A4250)-N(K26))^2/2+N(L26)*MAX(0,(A4250)-N(M26))^2/2)+$B$3507</f>
        <v>-57.9427083333333</v>
      </c>
      <c r="E4250" s="3">
        <f>$B$3505*(C4250)+$B$3506*(C4250)^2/2-$B$3504*(C4250)^3/6-(N(D26)*MAX(0,(C4250)-N(E26))^2/2+N(F26)*MAX(0,(C4250)-N(G26))^2/2+N(H26)*MAX(0,(C4250)-N(I26))^2/2+N(J26)*MAX(0,(C4250)-N(K26))^2/2+N(L26)*MAX(0,(C4250)-N(M26))^2/2)+$B$3507</f>
        <v>-57.9427083333333</v>
      </c>
    </row>
    <row r="4251" spans="1:5" hidden="1">
      <c r="A4251" s="3">
        <f t="shared" si="50"/>
        <v>0</v>
      </c>
      <c r="B4251" s="3">
        <f t="shared" si="51"/>
        <v>0</v>
      </c>
      <c r="C4251" s="3">
        <f t="shared" si="49"/>
        <v>0</v>
      </c>
      <c r="D4251" s="3">
        <f>$B$3505*(A4251)+$B$3506*(A4251)^2/2-$B$3504*(A4251)^3/6-(N(D26)*MAX(0,(A4251)-N(E26))^2/2+N(F26)*MAX(0,(A4251)-N(G26))^2/2+N(H26)*MAX(0,(A4251)-N(I26))^2/2+N(J26)*MAX(0,(A4251)-N(K26))^2/2+N(L26)*MAX(0,(A4251)-N(M26))^2/2)+$B$3507</f>
        <v>-57.9427083333333</v>
      </c>
      <c r="E4251" s="3">
        <f>$B$3505*(C4251)+$B$3506*(C4251)^2/2-$B$3504*(C4251)^3/6-(N(D26)*MAX(0,(C4251)-N(E26))^2/2+N(F26)*MAX(0,(C4251)-N(G26))^2/2+N(H26)*MAX(0,(C4251)-N(I26))^2/2+N(J26)*MAX(0,(C4251)-N(K26))^2/2+N(L26)*MAX(0,(C4251)-N(M26))^2/2)+$B$3507</f>
        <v>-57.9427083333333</v>
      </c>
    </row>
    <row r="4252" spans="1:5" hidden="1">
      <c r="A4252" s="3">
        <f t="shared" si="50"/>
        <v>0</v>
      </c>
      <c r="B4252" s="3">
        <f t="shared" si="51"/>
        <v>0</v>
      </c>
      <c r="C4252" s="3">
        <f t="shared" si="49"/>
        <v>0</v>
      </c>
      <c r="D4252" s="3">
        <f>$B$3505*(A4252)+$B$3506*(A4252)^2/2-$B$3504*(A4252)^3/6-(N(D26)*MAX(0,(A4252)-N(E26))^2/2+N(F26)*MAX(0,(A4252)-N(G26))^2/2+N(H26)*MAX(0,(A4252)-N(I26))^2/2+N(J26)*MAX(0,(A4252)-N(K26))^2/2+N(L26)*MAX(0,(A4252)-N(M26))^2/2)+$B$3507</f>
        <v>-57.9427083333333</v>
      </c>
      <c r="E4252" s="3">
        <f>$B$3505*(C4252)+$B$3506*(C4252)^2/2-$B$3504*(C4252)^3/6-(N(D26)*MAX(0,(C4252)-N(E26))^2/2+N(F26)*MAX(0,(C4252)-N(G26))^2/2+N(H26)*MAX(0,(C4252)-N(I26))^2/2+N(J26)*MAX(0,(C4252)-N(K26))^2/2+N(L26)*MAX(0,(C4252)-N(M26))^2/2)+$B$3507</f>
        <v>-57.9427083333333</v>
      </c>
    </row>
    <row r="4253" spans="1:5" hidden="1">
      <c r="A4253" s="3">
        <f t="shared" si="50"/>
        <v>0</v>
      </c>
      <c r="B4253" s="3">
        <f t="shared" si="51"/>
        <v>0</v>
      </c>
      <c r="C4253" s="3">
        <f t="shared" si="49"/>
        <v>0</v>
      </c>
      <c r="D4253" s="3">
        <f>$B$3505*(A4253)+$B$3506*(A4253)^2/2-$B$3504*(A4253)^3/6-(N(D26)*MAX(0,(A4253)-N(E26))^2/2+N(F26)*MAX(0,(A4253)-N(G26))^2/2+N(H26)*MAX(0,(A4253)-N(I26))^2/2+N(J26)*MAX(0,(A4253)-N(K26))^2/2+N(L26)*MAX(0,(A4253)-N(M26))^2/2)+$B$3507</f>
        <v>-57.9427083333333</v>
      </c>
      <c r="E4253" s="3">
        <f>$B$3505*(C4253)+$B$3506*(C4253)^2/2-$B$3504*(C4253)^3/6-(N(D26)*MAX(0,(C4253)-N(E26))^2/2+N(F26)*MAX(0,(C4253)-N(G26))^2/2+N(H26)*MAX(0,(C4253)-N(I26))^2/2+N(J26)*MAX(0,(C4253)-N(K26))^2/2+N(L26)*MAX(0,(C4253)-N(M26))^2/2)+$B$3507</f>
        <v>-57.9427083333333</v>
      </c>
    </row>
    <row r="4254" spans="1:5" hidden="1">
      <c r="A4254" s="3">
        <f t="shared" si="50"/>
        <v>0</v>
      </c>
      <c r="B4254" s="3">
        <f t="shared" si="51"/>
        <v>0</v>
      </c>
      <c r="C4254" s="3">
        <f t="shared" si="49"/>
        <v>0</v>
      </c>
      <c r="D4254" s="3">
        <f>$B$3505*(A4254)+$B$3506*(A4254)^2/2-$B$3504*(A4254)^3/6-(N(D26)*MAX(0,(A4254)-N(E26))^2/2+N(F26)*MAX(0,(A4254)-N(G26))^2/2+N(H26)*MAX(0,(A4254)-N(I26))^2/2+N(J26)*MAX(0,(A4254)-N(K26))^2/2+N(L26)*MAX(0,(A4254)-N(M26))^2/2)+$B$3507</f>
        <v>-57.9427083333333</v>
      </c>
      <c r="E4254" s="3">
        <f>$B$3505*(C4254)+$B$3506*(C4254)^2/2-$B$3504*(C4254)^3/6-(N(D26)*MAX(0,(C4254)-N(E26))^2/2+N(F26)*MAX(0,(C4254)-N(G26))^2/2+N(H26)*MAX(0,(C4254)-N(I26))^2/2+N(J26)*MAX(0,(C4254)-N(K26))^2/2+N(L26)*MAX(0,(C4254)-N(M26))^2/2)+$B$3507</f>
        <v>-57.9427083333333</v>
      </c>
    </row>
    <row r="4255" spans="1:5" hidden="1">
      <c r="A4255" s="3">
        <f t="shared" si="50"/>
        <v>0</v>
      </c>
      <c r="B4255" s="3">
        <f t="shared" si="51"/>
        <v>0</v>
      </c>
      <c r="C4255" s="3">
        <f t="shared" si="49"/>
        <v>0</v>
      </c>
      <c r="D4255" s="3">
        <f>$B$3505*(A4255)+$B$3506*(A4255)^2/2-$B$3504*(A4255)^3/6-(N(D26)*MAX(0,(A4255)-N(E26))^2/2+N(F26)*MAX(0,(A4255)-N(G26))^2/2+N(H26)*MAX(0,(A4255)-N(I26))^2/2+N(J26)*MAX(0,(A4255)-N(K26))^2/2+N(L26)*MAX(0,(A4255)-N(M26))^2/2)+$B$3507</f>
        <v>-57.9427083333333</v>
      </c>
      <c r="E4255" s="3">
        <f>$B$3505*(C4255)+$B$3506*(C4255)^2/2-$B$3504*(C4255)^3/6-(N(D26)*MAX(0,(C4255)-N(E26))^2/2+N(F26)*MAX(0,(C4255)-N(G26))^2/2+N(H26)*MAX(0,(C4255)-N(I26))^2/2+N(J26)*MAX(0,(C4255)-N(K26))^2/2+N(L26)*MAX(0,(C4255)-N(M26))^2/2)+$B$3507</f>
        <v>-57.9427083333333</v>
      </c>
    </row>
    <row r="4256" spans="1:5" hidden="1">
      <c r="A4256" s="3">
        <f t="shared" si="50"/>
        <v>0</v>
      </c>
      <c r="B4256" s="3">
        <f t="shared" si="51"/>
        <v>0</v>
      </c>
      <c r="C4256" s="3">
        <f t="shared" si="49"/>
        <v>0</v>
      </c>
      <c r="D4256" s="3">
        <f>$B$3505*(A4256)+$B$3506*(A4256)^2/2-$B$3504*(A4256)^3/6-(N(D26)*MAX(0,(A4256)-N(E26))^2/2+N(F26)*MAX(0,(A4256)-N(G26))^2/2+N(H26)*MAX(0,(A4256)-N(I26))^2/2+N(J26)*MAX(0,(A4256)-N(K26))^2/2+N(L26)*MAX(0,(A4256)-N(M26))^2/2)+$B$3507</f>
        <v>-57.9427083333333</v>
      </c>
      <c r="E4256" s="3">
        <f>$B$3505*(C4256)+$B$3506*(C4256)^2/2-$B$3504*(C4256)^3/6-(N(D26)*MAX(0,(C4256)-N(E26))^2/2+N(F26)*MAX(0,(C4256)-N(G26))^2/2+N(H26)*MAX(0,(C4256)-N(I26))^2/2+N(J26)*MAX(0,(C4256)-N(K26))^2/2+N(L26)*MAX(0,(C4256)-N(M26))^2/2)+$B$3507</f>
        <v>-57.9427083333333</v>
      </c>
    </row>
    <row r="4257" spans="1:5" hidden="1">
      <c r="A4257" s="3">
        <f t="shared" si="50"/>
        <v>0</v>
      </c>
      <c r="B4257" s="3">
        <f t="shared" si="51"/>
        <v>0</v>
      </c>
      <c r="C4257" s="3">
        <f t="shared" si="49"/>
        <v>0</v>
      </c>
      <c r="D4257" s="3">
        <f>$B$3505*(A4257)+$B$3506*(A4257)^2/2-$B$3504*(A4257)^3/6-(N(D26)*MAX(0,(A4257)-N(E26))^2/2+N(F26)*MAX(0,(A4257)-N(G26))^2/2+N(H26)*MAX(0,(A4257)-N(I26))^2/2+N(J26)*MAX(0,(A4257)-N(K26))^2/2+N(L26)*MAX(0,(A4257)-N(M26))^2/2)+$B$3507</f>
        <v>-57.9427083333333</v>
      </c>
      <c r="E4257" s="3">
        <f>$B$3505*(C4257)+$B$3506*(C4257)^2/2-$B$3504*(C4257)^3/6-(N(D26)*MAX(0,(C4257)-N(E26))^2/2+N(F26)*MAX(0,(C4257)-N(G26))^2/2+N(H26)*MAX(0,(C4257)-N(I26))^2/2+N(J26)*MAX(0,(C4257)-N(K26))^2/2+N(L26)*MAX(0,(C4257)-N(M26))^2/2)+$B$3507</f>
        <v>-57.9427083333333</v>
      </c>
    </row>
    <row r="4258" spans="1:5" hidden="1">
      <c r="A4258" s="3">
        <f t="shared" si="50"/>
        <v>0</v>
      </c>
      <c r="B4258" s="3">
        <f t="shared" si="51"/>
        <v>0</v>
      </c>
      <c r="C4258" s="3">
        <f t="shared" si="49"/>
        <v>0</v>
      </c>
      <c r="D4258" s="3">
        <f>$B$3505*(A4258)+$B$3506*(A4258)^2/2-$B$3504*(A4258)^3/6-(N(D26)*MAX(0,(A4258)-N(E26))^2/2+N(F26)*MAX(0,(A4258)-N(G26))^2/2+N(H26)*MAX(0,(A4258)-N(I26))^2/2+N(J26)*MAX(0,(A4258)-N(K26))^2/2+N(L26)*MAX(0,(A4258)-N(M26))^2/2)+$B$3507</f>
        <v>-57.9427083333333</v>
      </c>
      <c r="E4258" s="3">
        <f>$B$3505*(C4258)+$B$3506*(C4258)^2/2-$B$3504*(C4258)^3/6-(N(D26)*MAX(0,(C4258)-N(E26))^2/2+N(F26)*MAX(0,(C4258)-N(G26))^2/2+N(H26)*MAX(0,(C4258)-N(I26))^2/2+N(J26)*MAX(0,(C4258)-N(K26))^2/2+N(L26)*MAX(0,(C4258)-N(M26))^2/2)+$B$3507</f>
        <v>-57.9427083333333</v>
      </c>
    </row>
    <row r="4259" spans="1:5" hidden="1">
      <c r="A4259" s="3">
        <f t="shared" si="50"/>
        <v>0</v>
      </c>
      <c r="B4259" s="3">
        <f t="shared" si="51"/>
        <v>0</v>
      </c>
      <c r="C4259" s="3">
        <f t="shared" si="49"/>
        <v>0</v>
      </c>
      <c r="D4259" s="3">
        <f>$B$3505*(A4259)+$B$3506*(A4259)^2/2-$B$3504*(A4259)^3/6-(N(D26)*MAX(0,(A4259)-N(E26))^2/2+N(F26)*MAX(0,(A4259)-N(G26))^2/2+N(H26)*MAX(0,(A4259)-N(I26))^2/2+N(J26)*MAX(0,(A4259)-N(K26))^2/2+N(L26)*MAX(0,(A4259)-N(M26))^2/2)+$B$3507</f>
        <v>-57.9427083333333</v>
      </c>
      <c r="E4259" s="3">
        <f>$B$3505*(C4259)+$B$3506*(C4259)^2/2-$B$3504*(C4259)^3/6-(N(D26)*MAX(0,(C4259)-N(E26))^2/2+N(F26)*MAX(0,(C4259)-N(G26))^2/2+N(H26)*MAX(0,(C4259)-N(I26))^2/2+N(J26)*MAX(0,(C4259)-N(K26))^2/2+N(L26)*MAX(0,(C4259)-N(M26))^2/2)+$B$3507</f>
        <v>-57.9427083333333</v>
      </c>
    </row>
    <row r="4260" spans="1:5" hidden="1">
      <c r="A4260" s="3">
        <f t="shared" si="50"/>
        <v>0</v>
      </c>
      <c r="B4260" s="3">
        <f t="shared" si="51"/>
        <v>0</v>
      </c>
      <c r="C4260" s="3">
        <f t="shared" si="49"/>
        <v>0</v>
      </c>
      <c r="D4260" s="3">
        <f>$B$3505*(A4260)+$B$3506*(A4260)^2/2-$B$3504*(A4260)^3/6-(N(D26)*MAX(0,(A4260)-N(E26))^2/2+N(F26)*MAX(0,(A4260)-N(G26))^2/2+N(H26)*MAX(0,(A4260)-N(I26))^2/2+N(J26)*MAX(0,(A4260)-N(K26))^2/2+N(L26)*MAX(0,(A4260)-N(M26))^2/2)+$B$3507</f>
        <v>-57.9427083333333</v>
      </c>
      <c r="E4260" s="3">
        <f>$B$3505*(C4260)+$B$3506*(C4260)^2/2-$B$3504*(C4260)^3/6-(N(D26)*MAX(0,(C4260)-N(E26))^2/2+N(F26)*MAX(0,(C4260)-N(G26))^2/2+N(H26)*MAX(0,(C4260)-N(I26))^2/2+N(J26)*MAX(0,(C4260)-N(K26))^2/2+N(L26)*MAX(0,(C4260)-N(M26))^2/2)+$B$3507</f>
        <v>-57.9427083333333</v>
      </c>
    </row>
    <row r="4261" spans="1:5" hidden="1">
      <c r="A4261" s="3">
        <f t="shared" si="50"/>
        <v>0</v>
      </c>
      <c r="B4261" s="3">
        <f t="shared" si="51"/>
        <v>0</v>
      </c>
      <c r="C4261" s="3">
        <f t="shared" si="49"/>
        <v>0</v>
      </c>
      <c r="D4261" s="3">
        <f>$B$3505*(A4261)+$B$3506*(A4261)^2/2-$B$3504*(A4261)^3/6-(N(D26)*MAX(0,(A4261)-N(E26))^2/2+N(F26)*MAX(0,(A4261)-N(G26))^2/2+N(H26)*MAX(0,(A4261)-N(I26))^2/2+N(J26)*MAX(0,(A4261)-N(K26))^2/2+N(L26)*MAX(0,(A4261)-N(M26))^2/2)+$B$3507</f>
        <v>-57.9427083333333</v>
      </c>
      <c r="E4261" s="3">
        <f>$B$3505*(C4261)+$B$3506*(C4261)^2/2-$B$3504*(C4261)^3/6-(N(D26)*MAX(0,(C4261)-N(E26))^2/2+N(F26)*MAX(0,(C4261)-N(G26))^2/2+N(H26)*MAX(0,(C4261)-N(I26))^2/2+N(J26)*MAX(0,(C4261)-N(K26))^2/2+N(L26)*MAX(0,(C4261)-N(M26))^2/2)+$B$3507</f>
        <v>-57.9427083333333</v>
      </c>
    </row>
    <row r="4262" spans="1:5" hidden="1">
      <c r="A4262" s="3">
        <f t="shared" si="50"/>
        <v>0</v>
      </c>
      <c r="B4262" s="3">
        <f t="shared" si="51"/>
        <v>0</v>
      </c>
      <c r="C4262" s="3">
        <f t="shared" si="49"/>
        <v>0</v>
      </c>
      <c r="D4262" s="3">
        <f>$B$3505*(A4262)+$B$3506*(A4262)^2/2-$B$3504*(A4262)^3/6-(N(D26)*MAX(0,(A4262)-N(E26))^2/2+N(F26)*MAX(0,(A4262)-N(G26))^2/2+N(H26)*MAX(0,(A4262)-N(I26))^2/2+N(J26)*MAX(0,(A4262)-N(K26))^2/2+N(L26)*MAX(0,(A4262)-N(M26))^2/2)+$B$3507</f>
        <v>-57.9427083333333</v>
      </c>
      <c r="E4262" s="3">
        <f>$B$3505*(C4262)+$B$3506*(C4262)^2/2-$B$3504*(C4262)^3/6-(N(D26)*MAX(0,(C4262)-N(E26))^2/2+N(F26)*MAX(0,(C4262)-N(G26))^2/2+N(H26)*MAX(0,(C4262)-N(I26))^2/2+N(J26)*MAX(0,(C4262)-N(K26))^2/2+N(L26)*MAX(0,(C4262)-N(M26))^2/2)+$B$3507</f>
        <v>-57.9427083333333</v>
      </c>
    </row>
    <row r="4263" spans="1:5" hidden="1">
      <c r="A4263" s="3">
        <f t="shared" si="50"/>
        <v>0</v>
      </c>
      <c r="B4263" s="3">
        <f t="shared" si="51"/>
        <v>0</v>
      </c>
      <c r="C4263" s="3">
        <f t="shared" si="49"/>
        <v>0</v>
      </c>
      <c r="D4263" s="3">
        <f>$B$3505*(A4263)+$B$3506*(A4263)^2/2-$B$3504*(A4263)^3/6-(N(D26)*MAX(0,(A4263)-N(E26))^2/2+N(F26)*MAX(0,(A4263)-N(G26))^2/2+N(H26)*MAX(0,(A4263)-N(I26))^2/2+N(J26)*MAX(0,(A4263)-N(K26))^2/2+N(L26)*MAX(0,(A4263)-N(M26))^2/2)+$B$3507</f>
        <v>-57.9427083333333</v>
      </c>
      <c r="E4263" s="3">
        <f>$B$3505*(C4263)+$B$3506*(C4263)^2/2-$B$3504*(C4263)^3/6-(N(D26)*MAX(0,(C4263)-N(E26))^2/2+N(F26)*MAX(0,(C4263)-N(G26))^2/2+N(H26)*MAX(0,(C4263)-N(I26))^2/2+N(J26)*MAX(0,(C4263)-N(K26))^2/2+N(L26)*MAX(0,(C4263)-N(M26))^2/2)+$B$3507</f>
        <v>-57.9427083333333</v>
      </c>
    </row>
    <row r="4264" spans="1:5" hidden="1">
      <c r="A4264" s="3">
        <f t="shared" si="50"/>
        <v>0</v>
      </c>
      <c r="B4264" s="3">
        <f t="shared" si="51"/>
        <v>0</v>
      </c>
      <c r="C4264" s="3">
        <f t="shared" si="49"/>
        <v>0</v>
      </c>
      <c r="D4264" s="3">
        <f>$B$3505*(A4264)+$B$3506*(A4264)^2/2-$B$3504*(A4264)^3/6-(N(D26)*MAX(0,(A4264)-N(E26))^2/2+N(F26)*MAX(0,(A4264)-N(G26))^2/2+N(H26)*MAX(0,(A4264)-N(I26))^2/2+N(J26)*MAX(0,(A4264)-N(K26))^2/2+N(L26)*MAX(0,(A4264)-N(M26))^2/2)+$B$3507</f>
        <v>-57.9427083333333</v>
      </c>
      <c r="E4264" s="3">
        <f>$B$3505*(C4264)+$B$3506*(C4264)^2/2-$B$3504*(C4264)^3/6-(N(D26)*MAX(0,(C4264)-N(E26))^2/2+N(F26)*MAX(0,(C4264)-N(G26))^2/2+N(H26)*MAX(0,(C4264)-N(I26))^2/2+N(J26)*MAX(0,(C4264)-N(K26))^2/2+N(L26)*MAX(0,(C4264)-N(M26))^2/2)+$B$3507</f>
        <v>-57.9427083333333</v>
      </c>
    </row>
    <row r="4265" spans="1:5" hidden="1">
      <c r="A4265" s="3">
        <f t="shared" si="50"/>
        <v>0</v>
      </c>
      <c r="B4265" s="3">
        <f t="shared" si="51"/>
        <v>0</v>
      </c>
      <c r="C4265" s="3">
        <f t="shared" si="49"/>
        <v>0</v>
      </c>
      <c r="D4265" s="3">
        <f>$B$3505*(A4265)+$B$3506*(A4265)^2/2-$B$3504*(A4265)^3/6-(N(D26)*MAX(0,(A4265)-N(E26))^2/2+N(F26)*MAX(0,(A4265)-N(G26))^2/2+N(H26)*MAX(0,(A4265)-N(I26))^2/2+N(J26)*MAX(0,(A4265)-N(K26))^2/2+N(L26)*MAX(0,(A4265)-N(M26))^2/2)+$B$3507</f>
        <v>-57.9427083333333</v>
      </c>
      <c r="E4265" s="3">
        <f>$B$3505*(C4265)+$B$3506*(C4265)^2/2-$B$3504*(C4265)^3/6-(N(D26)*MAX(0,(C4265)-N(E26))^2/2+N(F26)*MAX(0,(C4265)-N(G26))^2/2+N(H26)*MAX(0,(C4265)-N(I26))^2/2+N(J26)*MAX(0,(C4265)-N(K26))^2/2+N(L26)*MAX(0,(C4265)-N(M26))^2/2)+$B$3507</f>
        <v>-57.9427083333333</v>
      </c>
    </row>
    <row r="4266" spans="1:5" hidden="1">
      <c r="A4266" s="3">
        <f t="shared" si="50"/>
        <v>0</v>
      </c>
      <c r="B4266" s="3">
        <f t="shared" si="51"/>
        <v>0</v>
      </c>
      <c r="C4266" s="3">
        <f t="shared" si="49"/>
        <v>0</v>
      </c>
      <c r="D4266" s="3">
        <f>$B$3505*(A4266)+$B$3506*(A4266)^2/2-$B$3504*(A4266)^3/6-(N(D26)*MAX(0,(A4266)-N(E26))^2/2+N(F26)*MAX(0,(A4266)-N(G26))^2/2+N(H26)*MAX(0,(A4266)-N(I26))^2/2+N(J26)*MAX(0,(A4266)-N(K26))^2/2+N(L26)*MAX(0,(A4266)-N(M26))^2/2)+$B$3507</f>
        <v>-57.9427083333333</v>
      </c>
      <c r="E4266" s="3">
        <f>$B$3505*(C4266)+$B$3506*(C4266)^2/2-$B$3504*(C4266)^3/6-(N(D26)*MAX(0,(C4266)-N(E26))^2/2+N(F26)*MAX(0,(C4266)-N(G26))^2/2+N(H26)*MAX(0,(C4266)-N(I26))^2/2+N(J26)*MAX(0,(C4266)-N(K26))^2/2+N(L26)*MAX(0,(C4266)-N(M26))^2/2)+$B$3507</f>
        <v>-57.9427083333333</v>
      </c>
    </row>
    <row r="4267" spans="1:5" hidden="1">
      <c r="A4267" s="3">
        <f t="shared" si="50"/>
        <v>0</v>
      </c>
      <c r="B4267" s="3">
        <f t="shared" si="51"/>
        <v>0</v>
      </c>
      <c r="C4267" s="3">
        <f t="shared" si="49"/>
        <v>0</v>
      </c>
      <c r="D4267" s="3">
        <f>$B$3505*(A4267)+$B$3506*(A4267)^2/2-$B$3504*(A4267)^3/6-(N(D26)*MAX(0,(A4267)-N(E26))^2/2+N(F26)*MAX(0,(A4267)-N(G26))^2/2+N(H26)*MAX(0,(A4267)-N(I26))^2/2+N(J26)*MAX(0,(A4267)-N(K26))^2/2+N(L26)*MAX(0,(A4267)-N(M26))^2/2)+$B$3507</f>
        <v>-57.9427083333333</v>
      </c>
      <c r="E4267" s="3">
        <f>$B$3505*(C4267)+$B$3506*(C4267)^2/2-$B$3504*(C4267)^3/6-(N(D26)*MAX(0,(C4267)-N(E26))^2/2+N(F26)*MAX(0,(C4267)-N(G26))^2/2+N(H26)*MAX(0,(C4267)-N(I26))^2/2+N(J26)*MAX(0,(C4267)-N(K26))^2/2+N(L26)*MAX(0,(C4267)-N(M26))^2/2)+$B$3507</f>
        <v>-57.9427083333333</v>
      </c>
    </row>
    <row r="4268" spans="1:5" hidden="1">
      <c r="A4268" s="3">
        <f t="shared" si="50"/>
        <v>0</v>
      </c>
      <c r="B4268" s="3">
        <f t="shared" si="51"/>
        <v>0</v>
      </c>
      <c r="C4268" s="3">
        <f t="shared" si="49"/>
        <v>0</v>
      </c>
      <c r="D4268" s="3">
        <f>$B$3505*(A4268)+$B$3506*(A4268)^2/2-$B$3504*(A4268)^3/6-(N(D26)*MAX(0,(A4268)-N(E26))^2/2+N(F26)*MAX(0,(A4268)-N(G26))^2/2+N(H26)*MAX(0,(A4268)-N(I26))^2/2+N(J26)*MAX(0,(A4268)-N(K26))^2/2+N(L26)*MAX(0,(A4268)-N(M26))^2/2)+$B$3507</f>
        <v>-57.9427083333333</v>
      </c>
      <c r="E4268" s="3">
        <f>$B$3505*(C4268)+$B$3506*(C4268)^2/2-$B$3504*(C4268)^3/6-(N(D26)*MAX(0,(C4268)-N(E26))^2/2+N(F26)*MAX(0,(C4268)-N(G26))^2/2+N(H26)*MAX(0,(C4268)-N(I26))^2/2+N(J26)*MAX(0,(C4268)-N(K26))^2/2+N(L26)*MAX(0,(C4268)-N(M26))^2/2)+$B$3507</f>
        <v>-57.9427083333333</v>
      </c>
    </row>
    <row r="4269" spans="1:5" hidden="1">
      <c r="A4269" s="3">
        <f t="shared" si="50"/>
        <v>0</v>
      </c>
      <c r="B4269" s="3">
        <f t="shared" si="51"/>
        <v>0</v>
      </c>
      <c r="C4269" s="3">
        <f t="shared" si="49"/>
        <v>0</v>
      </c>
      <c r="D4269" s="3">
        <f>$B$3505*(A4269)+$B$3506*(A4269)^2/2-$B$3504*(A4269)^3/6-(N(D26)*MAX(0,(A4269)-N(E26))^2/2+N(F26)*MAX(0,(A4269)-N(G26))^2/2+N(H26)*MAX(0,(A4269)-N(I26))^2/2+N(J26)*MAX(0,(A4269)-N(K26))^2/2+N(L26)*MAX(0,(A4269)-N(M26))^2/2)+$B$3507</f>
        <v>-57.9427083333333</v>
      </c>
      <c r="E4269" s="3">
        <f>$B$3505*(C4269)+$B$3506*(C4269)^2/2-$B$3504*(C4269)^3/6-(N(D26)*MAX(0,(C4269)-N(E26))^2/2+N(F26)*MAX(0,(C4269)-N(G26))^2/2+N(H26)*MAX(0,(C4269)-N(I26))^2/2+N(J26)*MAX(0,(C4269)-N(K26))^2/2+N(L26)*MAX(0,(C4269)-N(M26))^2/2)+$B$3507</f>
        <v>-57.9427083333333</v>
      </c>
    </row>
    <row r="4270" spans="1:5" hidden="1">
      <c r="A4270" s="3">
        <f t="shared" si="50"/>
        <v>0</v>
      </c>
      <c r="B4270" s="3">
        <f t="shared" si="51"/>
        <v>0</v>
      </c>
      <c r="C4270" s="3">
        <f t="shared" si="49"/>
        <v>0</v>
      </c>
      <c r="D4270" s="3">
        <f>$B$3505*(A4270)+$B$3506*(A4270)^2/2-$B$3504*(A4270)^3/6-(N(D26)*MAX(0,(A4270)-N(E26))^2/2+N(F26)*MAX(0,(A4270)-N(G26))^2/2+N(H26)*MAX(0,(A4270)-N(I26))^2/2+N(J26)*MAX(0,(A4270)-N(K26))^2/2+N(L26)*MAX(0,(A4270)-N(M26))^2/2)+$B$3507</f>
        <v>-57.9427083333333</v>
      </c>
      <c r="E4270" s="3">
        <f>$B$3505*(C4270)+$B$3506*(C4270)^2/2-$B$3504*(C4270)^3/6-(N(D26)*MAX(0,(C4270)-N(E26))^2/2+N(F26)*MAX(0,(C4270)-N(G26))^2/2+N(H26)*MAX(0,(C4270)-N(I26))^2/2+N(J26)*MAX(0,(C4270)-N(K26))^2/2+N(L26)*MAX(0,(C4270)-N(M26))^2/2)+$B$3507</f>
        <v>-57.9427083333333</v>
      </c>
    </row>
    <row r="4271" spans="1:5" hidden="1">
      <c r="A4271" s="3">
        <f t="shared" si="50"/>
        <v>0</v>
      </c>
      <c r="B4271" s="3">
        <f t="shared" si="51"/>
        <v>0</v>
      </c>
      <c r="C4271" s="3">
        <f t="shared" si="49"/>
        <v>0</v>
      </c>
      <c r="D4271" s="3">
        <f>$B$3505*(A4271)+$B$3506*(A4271)^2/2-$B$3504*(A4271)^3/6-(N(D26)*MAX(0,(A4271)-N(E26))^2/2+N(F26)*MAX(0,(A4271)-N(G26))^2/2+N(H26)*MAX(0,(A4271)-N(I26))^2/2+N(J26)*MAX(0,(A4271)-N(K26))^2/2+N(L26)*MAX(0,(A4271)-N(M26))^2/2)+$B$3507</f>
        <v>-57.9427083333333</v>
      </c>
      <c r="E4271" s="3">
        <f>$B$3505*(C4271)+$B$3506*(C4271)^2/2-$B$3504*(C4271)^3/6-(N(D26)*MAX(0,(C4271)-N(E26))^2/2+N(F26)*MAX(0,(C4271)-N(G26))^2/2+N(H26)*MAX(0,(C4271)-N(I26))^2/2+N(J26)*MAX(0,(C4271)-N(K26))^2/2+N(L26)*MAX(0,(C4271)-N(M26))^2/2)+$B$3507</f>
        <v>-57.9427083333333</v>
      </c>
    </row>
    <row r="4272" spans="1:5" hidden="1">
      <c r="A4272" s="3">
        <f t="shared" si="50"/>
        <v>0</v>
      </c>
      <c r="B4272" s="3">
        <f t="shared" si="51"/>
        <v>0</v>
      </c>
      <c r="C4272" s="3">
        <f t="shared" si="49"/>
        <v>0</v>
      </c>
      <c r="D4272" s="3">
        <f>$B$3505*(A4272)+$B$3506*(A4272)^2/2-$B$3504*(A4272)^3/6-(N(D26)*MAX(0,(A4272)-N(E26))^2/2+N(F26)*MAX(0,(A4272)-N(G26))^2/2+N(H26)*MAX(0,(A4272)-N(I26))^2/2+N(J26)*MAX(0,(A4272)-N(K26))^2/2+N(L26)*MAX(0,(A4272)-N(M26))^2/2)+$B$3507</f>
        <v>-57.9427083333333</v>
      </c>
      <c r="E4272" s="3">
        <f>$B$3505*(C4272)+$B$3506*(C4272)^2/2-$B$3504*(C4272)^3/6-(N(D26)*MAX(0,(C4272)-N(E26))^2/2+N(F26)*MAX(0,(C4272)-N(G26))^2/2+N(H26)*MAX(0,(C4272)-N(I26))^2/2+N(J26)*MAX(0,(C4272)-N(K26))^2/2+N(L26)*MAX(0,(C4272)-N(M26))^2/2)+$B$3507</f>
        <v>-57.9427083333333</v>
      </c>
    </row>
    <row r="4273" spans="1:5" hidden="1">
      <c r="A4273" s="3">
        <f t="shared" si="50"/>
        <v>0</v>
      </c>
      <c r="B4273" s="3">
        <f t="shared" si="51"/>
        <v>0</v>
      </c>
      <c r="C4273" s="3">
        <f t="shared" si="49"/>
        <v>0</v>
      </c>
      <c r="D4273" s="3">
        <f>$B$3505*(A4273)+$B$3506*(A4273)^2/2-$B$3504*(A4273)^3/6-(N(D26)*MAX(0,(A4273)-N(E26))^2/2+N(F26)*MAX(0,(A4273)-N(G26))^2/2+N(H26)*MAX(0,(A4273)-N(I26))^2/2+N(J26)*MAX(0,(A4273)-N(K26))^2/2+N(L26)*MAX(0,(A4273)-N(M26))^2/2)+$B$3507</f>
        <v>-57.9427083333333</v>
      </c>
      <c r="E4273" s="3">
        <f>$B$3505*(C4273)+$B$3506*(C4273)^2/2-$B$3504*(C4273)^3/6-(N(D26)*MAX(0,(C4273)-N(E26))^2/2+N(F26)*MAX(0,(C4273)-N(G26))^2/2+N(H26)*MAX(0,(C4273)-N(I26))^2/2+N(J26)*MAX(0,(C4273)-N(K26))^2/2+N(L26)*MAX(0,(C4273)-N(M26))^2/2)+$B$3507</f>
        <v>-57.9427083333333</v>
      </c>
    </row>
    <row r="4274" spans="1:5" hidden="1">
      <c r="A4274" s="3">
        <f t="shared" si="50"/>
        <v>0</v>
      </c>
      <c r="B4274" s="3">
        <f t="shared" si="51"/>
        <v>0</v>
      </c>
      <c r="C4274" s="3">
        <f t="shared" si="49"/>
        <v>0</v>
      </c>
      <c r="D4274" s="3">
        <f>$B$3505*(A4274)+$B$3506*(A4274)^2/2-$B$3504*(A4274)^3/6-(N(D26)*MAX(0,(A4274)-N(E26))^2/2+N(F26)*MAX(0,(A4274)-N(G26))^2/2+N(H26)*MAX(0,(A4274)-N(I26))^2/2+N(J26)*MAX(0,(A4274)-N(K26))^2/2+N(L26)*MAX(0,(A4274)-N(M26))^2/2)+$B$3507</f>
        <v>-57.9427083333333</v>
      </c>
      <c r="E4274" s="3">
        <f>$B$3505*(C4274)+$B$3506*(C4274)^2/2-$B$3504*(C4274)^3/6-(N(D26)*MAX(0,(C4274)-N(E26))^2/2+N(F26)*MAX(0,(C4274)-N(G26))^2/2+N(H26)*MAX(0,(C4274)-N(I26))^2/2+N(J26)*MAX(0,(C4274)-N(K26))^2/2+N(L26)*MAX(0,(C4274)-N(M26))^2/2)+$B$3507</f>
        <v>-57.9427083333333</v>
      </c>
    </row>
    <row r="4275" spans="1:5" hidden="1">
      <c r="A4275" s="3">
        <f t="shared" si="50"/>
        <v>0</v>
      </c>
      <c r="B4275" s="3">
        <f t="shared" si="51"/>
        <v>0</v>
      </c>
      <c r="C4275" s="3">
        <f t="shared" si="49"/>
        <v>0</v>
      </c>
      <c r="D4275" s="3">
        <f>$B$3505*(A4275)+$B$3506*(A4275)^2/2-$B$3504*(A4275)^3/6-(N(D26)*MAX(0,(A4275)-N(E26))^2/2+N(F26)*MAX(0,(A4275)-N(G26))^2/2+N(H26)*MAX(0,(A4275)-N(I26))^2/2+N(J26)*MAX(0,(A4275)-N(K26))^2/2+N(L26)*MAX(0,(A4275)-N(M26))^2/2)+$B$3507</f>
        <v>-57.9427083333333</v>
      </c>
      <c r="E4275" s="3">
        <f>$B$3505*(C4275)+$B$3506*(C4275)^2/2-$B$3504*(C4275)^3/6-(N(D26)*MAX(0,(C4275)-N(E26))^2/2+N(F26)*MAX(0,(C4275)-N(G26))^2/2+N(H26)*MAX(0,(C4275)-N(I26))^2/2+N(J26)*MAX(0,(C4275)-N(K26))^2/2+N(L26)*MAX(0,(C4275)-N(M26))^2/2)+$B$3507</f>
        <v>-57.9427083333333</v>
      </c>
    </row>
    <row r="4276" spans="1:5" hidden="1">
      <c r="A4276" s="3">
        <f t="shared" si="50"/>
        <v>0</v>
      </c>
      <c r="B4276" s="3">
        <f t="shared" si="51"/>
        <v>0</v>
      </c>
      <c r="C4276" s="3">
        <f t="shared" si="49"/>
        <v>0</v>
      </c>
      <c r="D4276" s="3">
        <f>$B$3505*(A4276)+$B$3506*(A4276)^2/2-$B$3504*(A4276)^3/6-(N(D26)*MAX(0,(A4276)-N(E26))^2/2+N(F26)*MAX(0,(A4276)-N(G26))^2/2+N(H26)*MAX(0,(A4276)-N(I26))^2/2+N(J26)*MAX(0,(A4276)-N(K26))^2/2+N(L26)*MAX(0,(A4276)-N(M26))^2/2)+$B$3507</f>
        <v>-57.9427083333333</v>
      </c>
      <c r="E4276" s="3">
        <f>$B$3505*(C4276)+$B$3506*(C4276)^2/2-$B$3504*(C4276)^3/6-(N(D26)*MAX(0,(C4276)-N(E26))^2/2+N(F26)*MAX(0,(C4276)-N(G26))^2/2+N(H26)*MAX(0,(C4276)-N(I26))^2/2+N(J26)*MAX(0,(C4276)-N(K26))^2/2+N(L26)*MAX(0,(C4276)-N(M26))^2/2)+$B$3507</f>
        <v>-57.9427083333333</v>
      </c>
    </row>
    <row r="4277" spans="1:5" hidden="1">
      <c r="A4277" s="3">
        <f t="shared" si="50"/>
        <v>0</v>
      </c>
      <c r="B4277" s="3">
        <f t="shared" si="51"/>
        <v>0</v>
      </c>
      <c r="C4277" s="3">
        <f t="shared" si="49"/>
        <v>0</v>
      </c>
      <c r="D4277" s="3">
        <f>$B$3505*(A4277)+$B$3506*(A4277)^2/2-$B$3504*(A4277)^3/6-(N(D26)*MAX(0,(A4277)-N(E26))^2/2+N(F26)*MAX(0,(A4277)-N(G26))^2/2+N(H26)*MAX(0,(A4277)-N(I26))^2/2+N(J26)*MAX(0,(A4277)-N(K26))^2/2+N(L26)*MAX(0,(A4277)-N(M26))^2/2)+$B$3507</f>
        <v>-57.9427083333333</v>
      </c>
      <c r="E4277" s="3">
        <f>$B$3505*(C4277)+$B$3506*(C4277)^2/2-$B$3504*(C4277)^3/6-(N(D26)*MAX(0,(C4277)-N(E26))^2/2+N(F26)*MAX(0,(C4277)-N(G26))^2/2+N(H26)*MAX(0,(C4277)-N(I26))^2/2+N(J26)*MAX(0,(C4277)-N(K26))^2/2+N(L26)*MAX(0,(C4277)-N(M26))^2/2)+$B$3507</f>
        <v>-57.9427083333333</v>
      </c>
    </row>
    <row r="4278" spans="1:5" hidden="1">
      <c r="A4278" s="3">
        <f t="shared" si="50"/>
        <v>0</v>
      </c>
      <c r="B4278" s="3">
        <f t="shared" si="51"/>
        <v>0</v>
      </c>
      <c r="C4278" s="3">
        <f t="shared" si="49"/>
        <v>0</v>
      </c>
      <c r="D4278" s="3">
        <f>$B$3505*(A4278)+$B$3506*(A4278)^2/2-$B$3504*(A4278)^3/6-(N(D26)*MAX(0,(A4278)-N(E26))^2/2+N(F26)*MAX(0,(A4278)-N(G26))^2/2+N(H26)*MAX(0,(A4278)-N(I26))^2/2+N(J26)*MAX(0,(A4278)-N(K26))^2/2+N(L26)*MAX(0,(A4278)-N(M26))^2/2)+$B$3507</f>
        <v>-57.9427083333333</v>
      </c>
      <c r="E4278" s="3">
        <f>$B$3505*(C4278)+$B$3506*(C4278)^2/2-$B$3504*(C4278)^3/6-(N(D26)*MAX(0,(C4278)-N(E26))^2/2+N(F26)*MAX(0,(C4278)-N(G26))^2/2+N(H26)*MAX(0,(C4278)-N(I26))^2/2+N(J26)*MAX(0,(C4278)-N(K26))^2/2+N(L26)*MAX(0,(C4278)-N(M26))^2/2)+$B$3507</f>
        <v>-57.9427083333333</v>
      </c>
    </row>
    <row r="4279" spans="1:5" hidden="1">
      <c r="A4279" s="3">
        <f t="shared" si="50"/>
        <v>0</v>
      </c>
      <c r="B4279" s="3">
        <f t="shared" si="51"/>
        <v>0</v>
      </c>
      <c r="C4279" s="3">
        <f t="shared" si="49"/>
        <v>0</v>
      </c>
      <c r="D4279" s="3">
        <f>$B$3505*(A4279)+$B$3506*(A4279)^2/2-$B$3504*(A4279)^3/6-(N(D26)*MAX(0,(A4279)-N(E26))^2/2+N(F26)*MAX(0,(A4279)-N(G26))^2/2+N(H26)*MAX(0,(A4279)-N(I26))^2/2+N(J26)*MAX(0,(A4279)-N(K26))^2/2+N(L26)*MAX(0,(A4279)-N(M26))^2/2)+$B$3507</f>
        <v>-57.9427083333333</v>
      </c>
      <c r="E4279" s="3">
        <f>$B$3505*(C4279)+$B$3506*(C4279)^2/2-$B$3504*(C4279)^3/6-(N(D26)*MAX(0,(C4279)-N(E26))^2/2+N(F26)*MAX(0,(C4279)-N(G26))^2/2+N(H26)*MAX(0,(C4279)-N(I26))^2/2+N(J26)*MAX(0,(C4279)-N(K26))^2/2+N(L26)*MAX(0,(C4279)-N(M26))^2/2)+$B$3507</f>
        <v>-57.9427083333333</v>
      </c>
    </row>
    <row r="4280" spans="1:5" hidden="1">
      <c r="A4280" s="3">
        <f t="shared" si="50"/>
        <v>0</v>
      </c>
      <c r="B4280" s="3">
        <f t="shared" si="51"/>
        <v>0</v>
      </c>
      <c r="C4280" s="3">
        <f t="shared" si="49"/>
        <v>0</v>
      </c>
      <c r="D4280" s="3">
        <f>$B$3505*(A4280)+$B$3506*(A4280)^2/2-$B$3504*(A4280)^3/6-(N(D26)*MAX(0,(A4280)-N(E26))^2/2+N(F26)*MAX(0,(A4280)-N(G26))^2/2+N(H26)*MAX(0,(A4280)-N(I26))^2/2+N(J26)*MAX(0,(A4280)-N(K26))^2/2+N(L26)*MAX(0,(A4280)-N(M26))^2/2)+$B$3507</f>
        <v>-57.9427083333333</v>
      </c>
      <c r="E4280" s="3">
        <f>$B$3505*(C4280)+$B$3506*(C4280)^2/2-$B$3504*(C4280)^3/6-(N(D26)*MAX(0,(C4280)-N(E26))^2/2+N(F26)*MAX(0,(C4280)-N(G26))^2/2+N(H26)*MAX(0,(C4280)-N(I26))^2/2+N(J26)*MAX(0,(C4280)-N(K26))^2/2+N(L26)*MAX(0,(C4280)-N(M26))^2/2)+$B$3507</f>
        <v>-57.9427083333333</v>
      </c>
    </row>
    <row r="4281" spans="1:5" hidden="1">
      <c r="A4281" s="3">
        <f t="shared" si="50"/>
        <v>0</v>
      </c>
      <c r="B4281" s="3">
        <f t="shared" si="51"/>
        <v>0</v>
      </c>
      <c r="C4281" s="3">
        <f t="shared" si="49"/>
        <v>0</v>
      </c>
      <c r="D4281" s="3">
        <f>$B$3505*(A4281)+$B$3506*(A4281)^2/2-$B$3504*(A4281)^3/6-(N(D26)*MAX(0,(A4281)-N(E26))^2/2+N(F26)*MAX(0,(A4281)-N(G26))^2/2+N(H26)*MAX(0,(A4281)-N(I26))^2/2+N(J26)*MAX(0,(A4281)-N(K26))^2/2+N(L26)*MAX(0,(A4281)-N(M26))^2/2)+$B$3507</f>
        <v>-57.9427083333333</v>
      </c>
      <c r="E4281" s="3">
        <f>$B$3505*(C4281)+$B$3506*(C4281)^2/2-$B$3504*(C4281)^3/6-(N(D26)*MAX(0,(C4281)-N(E26))^2/2+N(F26)*MAX(0,(C4281)-N(G26))^2/2+N(H26)*MAX(0,(C4281)-N(I26))^2/2+N(J26)*MAX(0,(C4281)-N(K26))^2/2+N(L26)*MAX(0,(C4281)-N(M26))^2/2)+$B$3507</f>
        <v>-57.9427083333333</v>
      </c>
    </row>
    <row r="4282" spans="1:5" hidden="1">
      <c r="A4282" s="3">
        <f t="shared" si="50"/>
        <v>0</v>
      </c>
      <c r="B4282" s="3">
        <f t="shared" si="51"/>
        <v>0</v>
      </c>
      <c r="C4282" s="3">
        <f t="shared" si="49"/>
        <v>0</v>
      </c>
      <c r="D4282" s="3">
        <f>$B$3505*(A4282)+$B$3506*(A4282)^2/2-$B$3504*(A4282)^3/6-(N(D26)*MAX(0,(A4282)-N(E26))^2/2+N(F26)*MAX(0,(A4282)-N(G26))^2/2+N(H26)*MAX(0,(A4282)-N(I26))^2/2+N(J26)*MAX(0,(A4282)-N(K26))^2/2+N(L26)*MAX(0,(A4282)-N(M26))^2/2)+$B$3507</f>
        <v>-57.9427083333333</v>
      </c>
      <c r="E4282" s="3">
        <f>$B$3505*(C4282)+$B$3506*(C4282)^2/2-$B$3504*(C4282)^3/6-(N(D26)*MAX(0,(C4282)-N(E26))^2/2+N(F26)*MAX(0,(C4282)-N(G26))^2/2+N(H26)*MAX(0,(C4282)-N(I26))^2/2+N(J26)*MAX(0,(C4282)-N(K26))^2/2+N(L26)*MAX(0,(C4282)-N(M26))^2/2)+$B$3507</f>
        <v>-57.9427083333333</v>
      </c>
    </row>
    <row r="4283" spans="1:5" hidden="1">
      <c r="A4283" s="3">
        <f t="shared" si="50"/>
        <v>0</v>
      </c>
      <c r="B4283" s="3">
        <f t="shared" si="51"/>
        <v>0</v>
      </c>
      <c r="C4283" s="3">
        <f t="shared" si="49"/>
        <v>0</v>
      </c>
      <c r="D4283" s="3">
        <f>$B$3505*(A4283)+$B$3506*(A4283)^2/2-$B$3504*(A4283)^3/6-(N(D26)*MAX(0,(A4283)-N(E26))^2/2+N(F26)*MAX(0,(A4283)-N(G26))^2/2+N(H26)*MAX(0,(A4283)-N(I26))^2/2+N(J26)*MAX(0,(A4283)-N(K26))^2/2+N(L26)*MAX(0,(A4283)-N(M26))^2/2)+$B$3507</f>
        <v>-57.9427083333333</v>
      </c>
      <c r="E4283" s="3">
        <f>$B$3505*(C4283)+$B$3506*(C4283)^2/2-$B$3504*(C4283)^3/6-(N(D26)*MAX(0,(C4283)-N(E26))^2/2+N(F26)*MAX(0,(C4283)-N(G26))^2/2+N(H26)*MAX(0,(C4283)-N(I26))^2/2+N(J26)*MAX(0,(C4283)-N(K26))^2/2+N(L26)*MAX(0,(C4283)-N(M26))^2/2)+$B$3507</f>
        <v>-57.9427083333333</v>
      </c>
    </row>
    <row r="4284" spans="1:5" hidden="1">
      <c r="A4284" s="3">
        <f t="shared" si="50"/>
        <v>0</v>
      </c>
      <c r="B4284" s="3">
        <f t="shared" si="51"/>
        <v>0</v>
      </c>
      <c r="C4284" s="3">
        <f t="shared" si="49"/>
        <v>0</v>
      </c>
      <c r="D4284" s="3">
        <f>$B$3505*(A4284)+$B$3506*(A4284)^2/2-$B$3504*(A4284)^3/6-(N(D26)*MAX(0,(A4284)-N(E26))^2/2+N(F26)*MAX(0,(A4284)-N(G26))^2/2+N(H26)*MAX(0,(A4284)-N(I26))^2/2+N(J26)*MAX(0,(A4284)-N(K26))^2/2+N(L26)*MAX(0,(A4284)-N(M26))^2/2)+$B$3507</f>
        <v>-57.9427083333333</v>
      </c>
      <c r="E4284" s="3">
        <f>$B$3505*(C4284)+$B$3506*(C4284)^2/2-$B$3504*(C4284)^3/6-(N(D26)*MAX(0,(C4284)-N(E26))^2/2+N(F26)*MAX(0,(C4284)-N(G26))^2/2+N(H26)*MAX(0,(C4284)-N(I26))^2/2+N(J26)*MAX(0,(C4284)-N(K26))^2/2+N(L26)*MAX(0,(C4284)-N(M26))^2/2)+$B$3507</f>
        <v>-57.9427083333333</v>
      </c>
    </row>
    <row r="4285" spans="1:5" hidden="1">
      <c r="A4285" s="3">
        <f t="shared" si="50"/>
        <v>0</v>
      </c>
      <c r="B4285" s="3">
        <f t="shared" si="51"/>
        <v>0</v>
      </c>
      <c r="C4285" s="3">
        <f t="shared" si="49"/>
        <v>0</v>
      </c>
      <c r="D4285" s="3">
        <f>$B$3505*(A4285)+$B$3506*(A4285)^2/2-$B$3504*(A4285)^3/6-(N(D26)*MAX(0,(A4285)-N(E26))^2/2+N(F26)*MAX(0,(A4285)-N(G26))^2/2+N(H26)*MAX(0,(A4285)-N(I26))^2/2+N(J26)*MAX(0,(A4285)-N(K26))^2/2+N(L26)*MAX(0,(A4285)-N(M26))^2/2)+$B$3507</f>
        <v>-57.9427083333333</v>
      </c>
      <c r="E4285" s="3">
        <f>$B$3505*(C4285)+$B$3506*(C4285)^2/2-$B$3504*(C4285)^3/6-(N(D26)*MAX(0,(C4285)-N(E26))^2/2+N(F26)*MAX(0,(C4285)-N(G26))^2/2+N(H26)*MAX(0,(C4285)-N(I26))^2/2+N(J26)*MAX(0,(C4285)-N(K26))^2/2+N(L26)*MAX(0,(C4285)-N(M26))^2/2)+$B$3507</f>
        <v>-57.9427083333333</v>
      </c>
    </row>
    <row r="4286" spans="1:5" hidden="1">
      <c r="A4286" s="3">
        <f t="shared" si="50"/>
        <v>0</v>
      </c>
      <c r="B4286" s="3">
        <f t="shared" si="51"/>
        <v>0</v>
      </c>
      <c r="C4286" s="3">
        <f t="shared" si="49"/>
        <v>0</v>
      </c>
      <c r="D4286" s="3">
        <f>$B$3505*(A4286)+$B$3506*(A4286)^2/2-$B$3504*(A4286)^3/6-(N(D26)*MAX(0,(A4286)-N(E26))^2/2+N(F26)*MAX(0,(A4286)-N(G26))^2/2+N(H26)*MAX(0,(A4286)-N(I26))^2/2+N(J26)*MAX(0,(A4286)-N(K26))^2/2+N(L26)*MAX(0,(A4286)-N(M26))^2/2)+$B$3507</f>
        <v>-57.9427083333333</v>
      </c>
      <c r="E4286" s="3">
        <f>$B$3505*(C4286)+$B$3506*(C4286)^2/2-$B$3504*(C4286)^3/6-(N(D26)*MAX(0,(C4286)-N(E26))^2/2+N(F26)*MAX(0,(C4286)-N(G26))^2/2+N(H26)*MAX(0,(C4286)-N(I26))^2/2+N(J26)*MAX(0,(C4286)-N(K26))^2/2+N(L26)*MAX(0,(C4286)-N(M26))^2/2)+$B$3507</f>
        <v>-57.9427083333333</v>
      </c>
    </row>
    <row r="4287" spans="1:5" hidden="1">
      <c r="A4287" s="3">
        <f t="shared" si="50"/>
        <v>0</v>
      </c>
      <c r="B4287" s="3">
        <f t="shared" si="51"/>
        <v>0</v>
      </c>
      <c r="C4287" s="3">
        <f t="shared" si="49"/>
        <v>0</v>
      </c>
      <c r="D4287" s="3">
        <f>$B$3505*(A4287)+$B$3506*(A4287)^2/2-$B$3504*(A4287)^3/6-(N(D26)*MAX(0,(A4287)-N(E26))^2/2+N(F26)*MAX(0,(A4287)-N(G26))^2/2+N(H26)*MAX(0,(A4287)-N(I26))^2/2+N(J26)*MAX(0,(A4287)-N(K26))^2/2+N(L26)*MAX(0,(A4287)-N(M26))^2/2)+$B$3507</f>
        <v>-57.9427083333333</v>
      </c>
      <c r="E4287" s="3">
        <f>$B$3505*(C4287)+$B$3506*(C4287)^2/2-$B$3504*(C4287)^3/6-(N(D26)*MAX(0,(C4287)-N(E26))^2/2+N(F26)*MAX(0,(C4287)-N(G26))^2/2+N(H26)*MAX(0,(C4287)-N(I26))^2/2+N(J26)*MAX(0,(C4287)-N(K26))^2/2+N(L26)*MAX(0,(C4287)-N(M26))^2/2)+$B$3507</f>
        <v>-57.9427083333333</v>
      </c>
    </row>
    <row r="4288" spans="1:5" hidden="1">
      <c r="A4288" s="3">
        <f t="shared" si="50"/>
        <v>0</v>
      </c>
      <c r="B4288" s="3">
        <f t="shared" si="51"/>
        <v>0</v>
      </c>
      <c r="C4288" s="3">
        <f t="shared" si="49"/>
        <v>0</v>
      </c>
      <c r="D4288" s="3">
        <f>$B$3505*(A4288)+$B$3506*(A4288)^2/2-$B$3504*(A4288)^3/6-(N(D26)*MAX(0,(A4288)-N(E26))^2/2+N(F26)*MAX(0,(A4288)-N(G26))^2/2+N(H26)*MAX(0,(A4288)-N(I26))^2/2+N(J26)*MAX(0,(A4288)-N(K26))^2/2+N(L26)*MAX(0,(A4288)-N(M26))^2/2)+$B$3507</f>
        <v>-57.9427083333333</v>
      </c>
      <c r="E4288" s="3">
        <f>$B$3505*(C4288)+$B$3506*(C4288)^2/2-$B$3504*(C4288)^3/6-(N(D26)*MAX(0,(C4288)-N(E26))^2/2+N(F26)*MAX(0,(C4288)-N(G26))^2/2+N(H26)*MAX(0,(C4288)-N(I26))^2/2+N(J26)*MAX(0,(C4288)-N(K26))^2/2+N(L26)*MAX(0,(C4288)-N(M26))^2/2)+$B$3507</f>
        <v>-57.9427083333333</v>
      </c>
    </row>
    <row r="4289" spans="1:5" hidden="1">
      <c r="A4289" s="3">
        <f t="shared" si="50"/>
        <v>0</v>
      </c>
      <c r="B4289" s="3">
        <f t="shared" si="51"/>
        <v>0</v>
      </c>
      <c r="C4289" s="3">
        <f t="shared" si="49"/>
        <v>0</v>
      </c>
      <c r="D4289" s="3">
        <f>$B$3505*(A4289)+$B$3506*(A4289)^2/2-$B$3504*(A4289)^3/6-(N(D26)*MAX(0,(A4289)-N(E26))^2/2+N(F26)*MAX(0,(A4289)-N(G26))^2/2+N(H26)*MAX(0,(A4289)-N(I26))^2/2+N(J26)*MAX(0,(A4289)-N(K26))^2/2+N(L26)*MAX(0,(A4289)-N(M26))^2/2)+$B$3507</f>
        <v>-57.9427083333333</v>
      </c>
      <c r="E4289" s="3">
        <f>$B$3505*(C4289)+$B$3506*(C4289)^2/2-$B$3504*(C4289)^3/6-(N(D26)*MAX(0,(C4289)-N(E26))^2/2+N(F26)*MAX(0,(C4289)-N(G26))^2/2+N(H26)*MAX(0,(C4289)-N(I26))^2/2+N(J26)*MAX(0,(C4289)-N(K26))^2/2+N(L26)*MAX(0,(C4289)-N(M26))^2/2)+$B$3507</f>
        <v>-57.9427083333333</v>
      </c>
    </row>
    <row r="4290" spans="1:5" hidden="1"/>
    <row r="4291" spans="1:5" hidden="1">
      <c r="A4291" s="3">
        <f>B3556</f>
        <v>0</v>
      </c>
      <c r="B4291" s="3">
        <f>IF(($B$3505*(B3556)+$B$3506*(B3556)^2/2-$B$3504*(B3556)^3/6-(N(D26)*MAX(0,(B3556)-N(E26))^2/2+N(F26)*MAX(0,(B3556)-N(G26))^2/2+N(H26)*MAX(0,(B3556)-N(I26))^2/2+N(J26)*MAX(0,(B3556)-N(K26))^2/2+N(L26)*MAX(0,(B3556)-N(M26))^2/2)+$B$3507)*($B$3505*(B3557)+$B$3506*(B3557)^2/2-$B$3504*(B3557)^3/6-(N(D26)*MAX(0,(B3557)-N(E26))^2/2+N(F26)*MAX(0,(B3557)-N(G26))^2/2+N(H26)*MAX(0,(B3557)-N(I26))^2/2+N(J26)*MAX(0,(B3557)-N(K26))^2/2+N(L26)*MAX(0,(B3557)-N(M26))^2/2)+$B$3507)&lt;=0,B3557,B3556)</f>
        <v>0</v>
      </c>
      <c r="C4291" s="3">
        <f t="shared" ref="C4291:C4335" si="52">(A4291+B4291)/2</f>
        <v>0</v>
      </c>
      <c r="D4291" s="3">
        <f>$B$3505*(A4291)+$B$3506*(A4291)^2/2-$B$3504*(A4291)^3/6-(N(D26)*MAX(0,(A4291)-N(E26))^2/2+N(F26)*MAX(0,(A4291)-N(G26))^2/2+N(H26)*MAX(0,(A4291)-N(I26))^2/2+N(J26)*MAX(0,(A4291)-N(K26))^2/2+N(L26)*MAX(0,(A4291)-N(M26))^2/2)+$B$3507</f>
        <v>-57.9427083333333</v>
      </c>
      <c r="E4291" s="3">
        <f>$B$3505*(C4291)+$B$3506*(C4291)^2/2-$B$3504*(C4291)^3/6-(N(D26)*MAX(0,(C4291)-N(E26))^2/2+N(F26)*MAX(0,(C4291)-N(G26))^2/2+N(H26)*MAX(0,(C4291)-N(I26))^2/2+N(J26)*MAX(0,(C4291)-N(K26))^2/2+N(L26)*MAX(0,(C4291)-N(M26))^2/2)+$B$3507</f>
        <v>-57.9427083333333</v>
      </c>
    </row>
    <row r="4292" spans="1:5" hidden="1">
      <c r="A4292" s="3">
        <f t="shared" ref="A4292:A4335" si="53">IF(D4291*E4291&lt;=0,A4291,C4291)</f>
        <v>0</v>
      </c>
      <c r="B4292" s="3">
        <f t="shared" ref="B4292:B4335" si="54">IF(D4291*E4291&lt;=0,C4291,B4291)</f>
        <v>0</v>
      </c>
      <c r="C4292" s="3">
        <f t="shared" si="52"/>
        <v>0</v>
      </c>
      <c r="D4292" s="3">
        <f>$B$3505*(A4292)+$B$3506*(A4292)^2/2-$B$3504*(A4292)^3/6-(N(D26)*MAX(0,(A4292)-N(E26))^2/2+N(F26)*MAX(0,(A4292)-N(G26))^2/2+N(H26)*MAX(0,(A4292)-N(I26))^2/2+N(J26)*MAX(0,(A4292)-N(K26))^2/2+N(L26)*MAX(0,(A4292)-N(M26))^2/2)+$B$3507</f>
        <v>-57.9427083333333</v>
      </c>
      <c r="E4292" s="3">
        <f>$B$3505*(C4292)+$B$3506*(C4292)^2/2-$B$3504*(C4292)^3/6-(N(D26)*MAX(0,(C4292)-N(E26))^2/2+N(F26)*MAX(0,(C4292)-N(G26))^2/2+N(H26)*MAX(0,(C4292)-N(I26))^2/2+N(J26)*MAX(0,(C4292)-N(K26))^2/2+N(L26)*MAX(0,(C4292)-N(M26))^2/2)+$B$3507</f>
        <v>-57.9427083333333</v>
      </c>
    </row>
    <row r="4293" spans="1:5" hidden="1">
      <c r="A4293" s="3">
        <f t="shared" si="53"/>
        <v>0</v>
      </c>
      <c r="B4293" s="3">
        <f t="shared" si="54"/>
        <v>0</v>
      </c>
      <c r="C4293" s="3">
        <f t="shared" si="52"/>
        <v>0</v>
      </c>
      <c r="D4293" s="3">
        <f>$B$3505*(A4293)+$B$3506*(A4293)^2/2-$B$3504*(A4293)^3/6-(N(D26)*MAX(0,(A4293)-N(E26))^2/2+N(F26)*MAX(0,(A4293)-N(G26))^2/2+N(H26)*MAX(0,(A4293)-N(I26))^2/2+N(J26)*MAX(0,(A4293)-N(K26))^2/2+N(L26)*MAX(0,(A4293)-N(M26))^2/2)+$B$3507</f>
        <v>-57.9427083333333</v>
      </c>
      <c r="E4293" s="3">
        <f>$B$3505*(C4293)+$B$3506*(C4293)^2/2-$B$3504*(C4293)^3/6-(N(D26)*MAX(0,(C4293)-N(E26))^2/2+N(F26)*MAX(0,(C4293)-N(G26))^2/2+N(H26)*MAX(0,(C4293)-N(I26))^2/2+N(J26)*MAX(0,(C4293)-N(K26))^2/2+N(L26)*MAX(0,(C4293)-N(M26))^2/2)+$B$3507</f>
        <v>-57.9427083333333</v>
      </c>
    </row>
    <row r="4294" spans="1:5" hidden="1">
      <c r="A4294" s="3">
        <f t="shared" si="53"/>
        <v>0</v>
      </c>
      <c r="B4294" s="3">
        <f t="shared" si="54"/>
        <v>0</v>
      </c>
      <c r="C4294" s="3">
        <f t="shared" si="52"/>
        <v>0</v>
      </c>
      <c r="D4294" s="3">
        <f>$B$3505*(A4294)+$B$3506*(A4294)^2/2-$B$3504*(A4294)^3/6-(N(D26)*MAX(0,(A4294)-N(E26))^2/2+N(F26)*MAX(0,(A4294)-N(G26))^2/2+N(H26)*MAX(0,(A4294)-N(I26))^2/2+N(J26)*MAX(0,(A4294)-N(K26))^2/2+N(L26)*MAX(0,(A4294)-N(M26))^2/2)+$B$3507</f>
        <v>-57.9427083333333</v>
      </c>
      <c r="E4294" s="3">
        <f>$B$3505*(C4294)+$B$3506*(C4294)^2/2-$B$3504*(C4294)^3/6-(N(D26)*MAX(0,(C4294)-N(E26))^2/2+N(F26)*MAX(0,(C4294)-N(G26))^2/2+N(H26)*MAX(0,(C4294)-N(I26))^2/2+N(J26)*MAX(0,(C4294)-N(K26))^2/2+N(L26)*MAX(0,(C4294)-N(M26))^2/2)+$B$3507</f>
        <v>-57.9427083333333</v>
      </c>
    </row>
    <row r="4295" spans="1:5" hidden="1">
      <c r="A4295" s="3">
        <f t="shared" si="53"/>
        <v>0</v>
      </c>
      <c r="B4295" s="3">
        <f t="shared" si="54"/>
        <v>0</v>
      </c>
      <c r="C4295" s="3">
        <f t="shared" si="52"/>
        <v>0</v>
      </c>
      <c r="D4295" s="3">
        <f>$B$3505*(A4295)+$B$3506*(A4295)^2/2-$B$3504*(A4295)^3/6-(N(D26)*MAX(0,(A4295)-N(E26))^2/2+N(F26)*MAX(0,(A4295)-N(G26))^2/2+N(H26)*MAX(0,(A4295)-N(I26))^2/2+N(J26)*MAX(0,(A4295)-N(K26))^2/2+N(L26)*MAX(0,(A4295)-N(M26))^2/2)+$B$3507</f>
        <v>-57.9427083333333</v>
      </c>
      <c r="E4295" s="3">
        <f>$B$3505*(C4295)+$B$3506*(C4295)^2/2-$B$3504*(C4295)^3/6-(N(D26)*MAX(0,(C4295)-N(E26))^2/2+N(F26)*MAX(0,(C4295)-N(G26))^2/2+N(H26)*MAX(0,(C4295)-N(I26))^2/2+N(J26)*MAX(0,(C4295)-N(K26))^2/2+N(L26)*MAX(0,(C4295)-N(M26))^2/2)+$B$3507</f>
        <v>-57.9427083333333</v>
      </c>
    </row>
    <row r="4296" spans="1:5" hidden="1">
      <c r="A4296" s="3">
        <f t="shared" si="53"/>
        <v>0</v>
      </c>
      <c r="B4296" s="3">
        <f t="shared" si="54"/>
        <v>0</v>
      </c>
      <c r="C4296" s="3">
        <f t="shared" si="52"/>
        <v>0</v>
      </c>
      <c r="D4296" s="3">
        <f>$B$3505*(A4296)+$B$3506*(A4296)^2/2-$B$3504*(A4296)^3/6-(N(D26)*MAX(0,(A4296)-N(E26))^2/2+N(F26)*MAX(0,(A4296)-N(G26))^2/2+N(H26)*MAX(0,(A4296)-N(I26))^2/2+N(J26)*MAX(0,(A4296)-N(K26))^2/2+N(L26)*MAX(0,(A4296)-N(M26))^2/2)+$B$3507</f>
        <v>-57.9427083333333</v>
      </c>
      <c r="E4296" s="3">
        <f>$B$3505*(C4296)+$B$3506*(C4296)^2/2-$B$3504*(C4296)^3/6-(N(D26)*MAX(0,(C4296)-N(E26))^2/2+N(F26)*MAX(0,(C4296)-N(G26))^2/2+N(H26)*MAX(0,(C4296)-N(I26))^2/2+N(J26)*MAX(0,(C4296)-N(K26))^2/2+N(L26)*MAX(0,(C4296)-N(M26))^2/2)+$B$3507</f>
        <v>-57.9427083333333</v>
      </c>
    </row>
    <row r="4297" spans="1:5" hidden="1">
      <c r="A4297" s="3">
        <f t="shared" si="53"/>
        <v>0</v>
      </c>
      <c r="B4297" s="3">
        <f t="shared" si="54"/>
        <v>0</v>
      </c>
      <c r="C4297" s="3">
        <f t="shared" si="52"/>
        <v>0</v>
      </c>
      <c r="D4297" s="3">
        <f>$B$3505*(A4297)+$B$3506*(A4297)^2/2-$B$3504*(A4297)^3/6-(N(D26)*MAX(0,(A4297)-N(E26))^2/2+N(F26)*MAX(0,(A4297)-N(G26))^2/2+N(H26)*MAX(0,(A4297)-N(I26))^2/2+N(J26)*MAX(0,(A4297)-N(K26))^2/2+N(L26)*MAX(0,(A4297)-N(M26))^2/2)+$B$3507</f>
        <v>-57.9427083333333</v>
      </c>
      <c r="E4297" s="3">
        <f>$B$3505*(C4297)+$B$3506*(C4297)^2/2-$B$3504*(C4297)^3/6-(N(D26)*MAX(0,(C4297)-N(E26))^2/2+N(F26)*MAX(0,(C4297)-N(G26))^2/2+N(H26)*MAX(0,(C4297)-N(I26))^2/2+N(J26)*MAX(0,(C4297)-N(K26))^2/2+N(L26)*MAX(0,(C4297)-N(M26))^2/2)+$B$3507</f>
        <v>-57.9427083333333</v>
      </c>
    </row>
    <row r="4298" spans="1:5" hidden="1">
      <c r="A4298" s="3">
        <f t="shared" si="53"/>
        <v>0</v>
      </c>
      <c r="B4298" s="3">
        <f t="shared" si="54"/>
        <v>0</v>
      </c>
      <c r="C4298" s="3">
        <f t="shared" si="52"/>
        <v>0</v>
      </c>
      <c r="D4298" s="3">
        <f>$B$3505*(A4298)+$B$3506*(A4298)^2/2-$B$3504*(A4298)^3/6-(N(D26)*MAX(0,(A4298)-N(E26))^2/2+N(F26)*MAX(0,(A4298)-N(G26))^2/2+N(H26)*MAX(0,(A4298)-N(I26))^2/2+N(J26)*MAX(0,(A4298)-N(K26))^2/2+N(L26)*MAX(0,(A4298)-N(M26))^2/2)+$B$3507</f>
        <v>-57.9427083333333</v>
      </c>
      <c r="E4298" s="3">
        <f>$B$3505*(C4298)+$B$3506*(C4298)^2/2-$B$3504*(C4298)^3/6-(N(D26)*MAX(0,(C4298)-N(E26))^2/2+N(F26)*MAX(0,(C4298)-N(G26))^2/2+N(H26)*MAX(0,(C4298)-N(I26))^2/2+N(J26)*MAX(0,(C4298)-N(K26))^2/2+N(L26)*MAX(0,(C4298)-N(M26))^2/2)+$B$3507</f>
        <v>-57.9427083333333</v>
      </c>
    </row>
    <row r="4299" spans="1:5" hidden="1">
      <c r="A4299" s="3">
        <f t="shared" si="53"/>
        <v>0</v>
      </c>
      <c r="B4299" s="3">
        <f t="shared" si="54"/>
        <v>0</v>
      </c>
      <c r="C4299" s="3">
        <f t="shared" si="52"/>
        <v>0</v>
      </c>
      <c r="D4299" s="3">
        <f>$B$3505*(A4299)+$B$3506*(A4299)^2/2-$B$3504*(A4299)^3/6-(N(D26)*MAX(0,(A4299)-N(E26))^2/2+N(F26)*MAX(0,(A4299)-N(G26))^2/2+N(H26)*MAX(0,(A4299)-N(I26))^2/2+N(J26)*MAX(0,(A4299)-N(K26))^2/2+N(L26)*MAX(0,(A4299)-N(M26))^2/2)+$B$3507</f>
        <v>-57.9427083333333</v>
      </c>
      <c r="E4299" s="3">
        <f>$B$3505*(C4299)+$B$3506*(C4299)^2/2-$B$3504*(C4299)^3/6-(N(D26)*MAX(0,(C4299)-N(E26))^2/2+N(F26)*MAX(0,(C4299)-N(G26))^2/2+N(H26)*MAX(0,(C4299)-N(I26))^2/2+N(J26)*MAX(0,(C4299)-N(K26))^2/2+N(L26)*MAX(0,(C4299)-N(M26))^2/2)+$B$3507</f>
        <v>-57.9427083333333</v>
      </c>
    </row>
    <row r="4300" spans="1:5" hidden="1">
      <c r="A4300" s="3">
        <f t="shared" si="53"/>
        <v>0</v>
      </c>
      <c r="B4300" s="3">
        <f t="shared" si="54"/>
        <v>0</v>
      </c>
      <c r="C4300" s="3">
        <f t="shared" si="52"/>
        <v>0</v>
      </c>
      <c r="D4300" s="3">
        <f>$B$3505*(A4300)+$B$3506*(A4300)^2/2-$B$3504*(A4300)^3/6-(N(D26)*MAX(0,(A4300)-N(E26))^2/2+N(F26)*MAX(0,(A4300)-N(G26))^2/2+N(H26)*MAX(0,(A4300)-N(I26))^2/2+N(J26)*MAX(0,(A4300)-N(K26))^2/2+N(L26)*MAX(0,(A4300)-N(M26))^2/2)+$B$3507</f>
        <v>-57.9427083333333</v>
      </c>
      <c r="E4300" s="3">
        <f>$B$3505*(C4300)+$B$3506*(C4300)^2/2-$B$3504*(C4300)^3/6-(N(D26)*MAX(0,(C4300)-N(E26))^2/2+N(F26)*MAX(0,(C4300)-N(G26))^2/2+N(H26)*MAX(0,(C4300)-N(I26))^2/2+N(J26)*MAX(0,(C4300)-N(K26))^2/2+N(L26)*MAX(0,(C4300)-N(M26))^2/2)+$B$3507</f>
        <v>-57.9427083333333</v>
      </c>
    </row>
    <row r="4301" spans="1:5" hidden="1">
      <c r="A4301" s="3">
        <f t="shared" si="53"/>
        <v>0</v>
      </c>
      <c r="B4301" s="3">
        <f t="shared" si="54"/>
        <v>0</v>
      </c>
      <c r="C4301" s="3">
        <f t="shared" si="52"/>
        <v>0</v>
      </c>
      <c r="D4301" s="3">
        <f>$B$3505*(A4301)+$B$3506*(A4301)^2/2-$B$3504*(A4301)^3/6-(N(D26)*MAX(0,(A4301)-N(E26))^2/2+N(F26)*MAX(0,(A4301)-N(G26))^2/2+N(H26)*MAX(0,(A4301)-N(I26))^2/2+N(J26)*MAX(0,(A4301)-N(K26))^2/2+N(L26)*MAX(0,(A4301)-N(M26))^2/2)+$B$3507</f>
        <v>-57.9427083333333</v>
      </c>
      <c r="E4301" s="3">
        <f>$B$3505*(C4301)+$B$3506*(C4301)^2/2-$B$3504*(C4301)^3/6-(N(D26)*MAX(0,(C4301)-N(E26))^2/2+N(F26)*MAX(0,(C4301)-N(G26))^2/2+N(H26)*MAX(0,(C4301)-N(I26))^2/2+N(J26)*MAX(0,(C4301)-N(K26))^2/2+N(L26)*MAX(0,(C4301)-N(M26))^2/2)+$B$3507</f>
        <v>-57.9427083333333</v>
      </c>
    </row>
    <row r="4302" spans="1:5" hidden="1">
      <c r="A4302" s="3">
        <f t="shared" si="53"/>
        <v>0</v>
      </c>
      <c r="B4302" s="3">
        <f t="shared" si="54"/>
        <v>0</v>
      </c>
      <c r="C4302" s="3">
        <f t="shared" si="52"/>
        <v>0</v>
      </c>
      <c r="D4302" s="3">
        <f>$B$3505*(A4302)+$B$3506*(A4302)^2/2-$B$3504*(A4302)^3/6-(N(D26)*MAX(0,(A4302)-N(E26))^2/2+N(F26)*MAX(0,(A4302)-N(G26))^2/2+N(H26)*MAX(0,(A4302)-N(I26))^2/2+N(J26)*MAX(0,(A4302)-N(K26))^2/2+N(L26)*MAX(0,(A4302)-N(M26))^2/2)+$B$3507</f>
        <v>-57.9427083333333</v>
      </c>
      <c r="E4302" s="3">
        <f>$B$3505*(C4302)+$B$3506*(C4302)^2/2-$B$3504*(C4302)^3/6-(N(D26)*MAX(0,(C4302)-N(E26))^2/2+N(F26)*MAX(0,(C4302)-N(G26))^2/2+N(H26)*MAX(0,(C4302)-N(I26))^2/2+N(J26)*MAX(0,(C4302)-N(K26))^2/2+N(L26)*MAX(0,(C4302)-N(M26))^2/2)+$B$3507</f>
        <v>-57.9427083333333</v>
      </c>
    </row>
    <row r="4303" spans="1:5" hidden="1">
      <c r="A4303" s="3">
        <f t="shared" si="53"/>
        <v>0</v>
      </c>
      <c r="B4303" s="3">
        <f t="shared" si="54"/>
        <v>0</v>
      </c>
      <c r="C4303" s="3">
        <f t="shared" si="52"/>
        <v>0</v>
      </c>
      <c r="D4303" s="3">
        <f>$B$3505*(A4303)+$B$3506*(A4303)^2/2-$B$3504*(A4303)^3/6-(N(D26)*MAX(0,(A4303)-N(E26))^2/2+N(F26)*MAX(0,(A4303)-N(G26))^2/2+N(H26)*MAX(0,(A4303)-N(I26))^2/2+N(J26)*MAX(0,(A4303)-N(K26))^2/2+N(L26)*MAX(0,(A4303)-N(M26))^2/2)+$B$3507</f>
        <v>-57.9427083333333</v>
      </c>
      <c r="E4303" s="3">
        <f>$B$3505*(C4303)+$B$3506*(C4303)^2/2-$B$3504*(C4303)^3/6-(N(D26)*MAX(0,(C4303)-N(E26))^2/2+N(F26)*MAX(0,(C4303)-N(G26))^2/2+N(H26)*MAX(0,(C4303)-N(I26))^2/2+N(J26)*MAX(0,(C4303)-N(K26))^2/2+N(L26)*MAX(0,(C4303)-N(M26))^2/2)+$B$3507</f>
        <v>-57.9427083333333</v>
      </c>
    </row>
    <row r="4304" spans="1:5" hidden="1">
      <c r="A4304" s="3">
        <f t="shared" si="53"/>
        <v>0</v>
      </c>
      <c r="B4304" s="3">
        <f t="shared" si="54"/>
        <v>0</v>
      </c>
      <c r="C4304" s="3">
        <f t="shared" si="52"/>
        <v>0</v>
      </c>
      <c r="D4304" s="3">
        <f>$B$3505*(A4304)+$B$3506*(A4304)^2/2-$B$3504*(A4304)^3/6-(N(D26)*MAX(0,(A4304)-N(E26))^2/2+N(F26)*MAX(0,(A4304)-N(G26))^2/2+N(H26)*MAX(0,(A4304)-N(I26))^2/2+N(J26)*MAX(0,(A4304)-N(K26))^2/2+N(L26)*MAX(0,(A4304)-N(M26))^2/2)+$B$3507</f>
        <v>-57.9427083333333</v>
      </c>
      <c r="E4304" s="3">
        <f>$B$3505*(C4304)+$B$3506*(C4304)^2/2-$B$3504*(C4304)^3/6-(N(D26)*MAX(0,(C4304)-N(E26))^2/2+N(F26)*MAX(0,(C4304)-N(G26))^2/2+N(H26)*MAX(0,(C4304)-N(I26))^2/2+N(J26)*MAX(0,(C4304)-N(K26))^2/2+N(L26)*MAX(0,(C4304)-N(M26))^2/2)+$B$3507</f>
        <v>-57.9427083333333</v>
      </c>
    </row>
    <row r="4305" spans="1:5" hidden="1">
      <c r="A4305" s="3">
        <f t="shared" si="53"/>
        <v>0</v>
      </c>
      <c r="B4305" s="3">
        <f t="shared" si="54"/>
        <v>0</v>
      </c>
      <c r="C4305" s="3">
        <f t="shared" si="52"/>
        <v>0</v>
      </c>
      <c r="D4305" s="3">
        <f>$B$3505*(A4305)+$B$3506*(A4305)^2/2-$B$3504*(A4305)^3/6-(N(D26)*MAX(0,(A4305)-N(E26))^2/2+N(F26)*MAX(0,(A4305)-N(G26))^2/2+N(H26)*MAX(0,(A4305)-N(I26))^2/2+N(J26)*MAX(0,(A4305)-N(K26))^2/2+N(L26)*MAX(0,(A4305)-N(M26))^2/2)+$B$3507</f>
        <v>-57.9427083333333</v>
      </c>
      <c r="E4305" s="3">
        <f>$B$3505*(C4305)+$B$3506*(C4305)^2/2-$B$3504*(C4305)^3/6-(N(D26)*MAX(0,(C4305)-N(E26))^2/2+N(F26)*MAX(0,(C4305)-N(G26))^2/2+N(H26)*MAX(0,(C4305)-N(I26))^2/2+N(J26)*MAX(0,(C4305)-N(K26))^2/2+N(L26)*MAX(0,(C4305)-N(M26))^2/2)+$B$3507</f>
        <v>-57.9427083333333</v>
      </c>
    </row>
    <row r="4306" spans="1:5" hidden="1">
      <c r="A4306" s="3">
        <f t="shared" si="53"/>
        <v>0</v>
      </c>
      <c r="B4306" s="3">
        <f t="shared" si="54"/>
        <v>0</v>
      </c>
      <c r="C4306" s="3">
        <f t="shared" si="52"/>
        <v>0</v>
      </c>
      <c r="D4306" s="3">
        <f>$B$3505*(A4306)+$B$3506*(A4306)^2/2-$B$3504*(A4306)^3/6-(N(D26)*MAX(0,(A4306)-N(E26))^2/2+N(F26)*MAX(0,(A4306)-N(G26))^2/2+N(H26)*MAX(0,(A4306)-N(I26))^2/2+N(J26)*MAX(0,(A4306)-N(K26))^2/2+N(L26)*MAX(0,(A4306)-N(M26))^2/2)+$B$3507</f>
        <v>-57.9427083333333</v>
      </c>
      <c r="E4306" s="3">
        <f>$B$3505*(C4306)+$B$3506*(C4306)^2/2-$B$3504*(C4306)^3/6-(N(D26)*MAX(0,(C4306)-N(E26))^2/2+N(F26)*MAX(0,(C4306)-N(G26))^2/2+N(H26)*MAX(0,(C4306)-N(I26))^2/2+N(J26)*MAX(0,(C4306)-N(K26))^2/2+N(L26)*MAX(0,(C4306)-N(M26))^2/2)+$B$3507</f>
        <v>-57.9427083333333</v>
      </c>
    </row>
    <row r="4307" spans="1:5" hidden="1">
      <c r="A4307" s="3">
        <f t="shared" si="53"/>
        <v>0</v>
      </c>
      <c r="B4307" s="3">
        <f t="shared" si="54"/>
        <v>0</v>
      </c>
      <c r="C4307" s="3">
        <f t="shared" si="52"/>
        <v>0</v>
      </c>
      <c r="D4307" s="3">
        <f>$B$3505*(A4307)+$B$3506*(A4307)^2/2-$B$3504*(A4307)^3/6-(N(D26)*MAX(0,(A4307)-N(E26))^2/2+N(F26)*MAX(0,(A4307)-N(G26))^2/2+N(H26)*MAX(0,(A4307)-N(I26))^2/2+N(J26)*MAX(0,(A4307)-N(K26))^2/2+N(L26)*MAX(0,(A4307)-N(M26))^2/2)+$B$3507</f>
        <v>-57.9427083333333</v>
      </c>
      <c r="E4307" s="3">
        <f>$B$3505*(C4307)+$B$3506*(C4307)^2/2-$B$3504*(C4307)^3/6-(N(D26)*MAX(0,(C4307)-N(E26))^2/2+N(F26)*MAX(0,(C4307)-N(G26))^2/2+N(H26)*MAX(0,(C4307)-N(I26))^2/2+N(J26)*MAX(0,(C4307)-N(K26))^2/2+N(L26)*MAX(0,(C4307)-N(M26))^2/2)+$B$3507</f>
        <v>-57.9427083333333</v>
      </c>
    </row>
    <row r="4308" spans="1:5" hidden="1">
      <c r="A4308" s="3">
        <f t="shared" si="53"/>
        <v>0</v>
      </c>
      <c r="B4308" s="3">
        <f t="shared" si="54"/>
        <v>0</v>
      </c>
      <c r="C4308" s="3">
        <f t="shared" si="52"/>
        <v>0</v>
      </c>
      <c r="D4308" s="3">
        <f>$B$3505*(A4308)+$B$3506*(A4308)^2/2-$B$3504*(A4308)^3/6-(N(D26)*MAX(0,(A4308)-N(E26))^2/2+N(F26)*MAX(0,(A4308)-N(G26))^2/2+N(H26)*MAX(0,(A4308)-N(I26))^2/2+N(J26)*MAX(0,(A4308)-N(K26))^2/2+N(L26)*MAX(0,(A4308)-N(M26))^2/2)+$B$3507</f>
        <v>-57.9427083333333</v>
      </c>
      <c r="E4308" s="3">
        <f>$B$3505*(C4308)+$B$3506*(C4308)^2/2-$B$3504*(C4308)^3/6-(N(D26)*MAX(0,(C4308)-N(E26))^2/2+N(F26)*MAX(0,(C4308)-N(G26))^2/2+N(H26)*MAX(0,(C4308)-N(I26))^2/2+N(J26)*MAX(0,(C4308)-N(K26))^2/2+N(L26)*MAX(0,(C4308)-N(M26))^2/2)+$B$3507</f>
        <v>-57.9427083333333</v>
      </c>
    </row>
    <row r="4309" spans="1:5" hidden="1">
      <c r="A4309" s="3">
        <f t="shared" si="53"/>
        <v>0</v>
      </c>
      <c r="B4309" s="3">
        <f t="shared" si="54"/>
        <v>0</v>
      </c>
      <c r="C4309" s="3">
        <f t="shared" si="52"/>
        <v>0</v>
      </c>
      <c r="D4309" s="3">
        <f>$B$3505*(A4309)+$B$3506*(A4309)^2/2-$B$3504*(A4309)^3/6-(N(D26)*MAX(0,(A4309)-N(E26))^2/2+N(F26)*MAX(0,(A4309)-N(G26))^2/2+N(H26)*MAX(0,(A4309)-N(I26))^2/2+N(J26)*MAX(0,(A4309)-N(K26))^2/2+N(L26)*MAX(0,(A4309)-N(M26))^2/2)+$B$3507</f>
        <v>-57.9427083333333</v>
      </c>
      <c r="E4309" s="3">
        <f>$B$3505*(C4309)+$B$3506*(C4309)^2/2-$B$3504*(C4309)^3/6-(N(D26)*MAX(0,(C4309)-N(E26))^2/2+N(F26)*MAX(0,(C4309)-N(G26))^2/2+N(H26)*MAX(0,(C4309)-N(I26))^2/2+N(J26)*MAX(0,(C4309)-N(K26))^2/2+N(L26)*MAX(0,(C4309)-N(M26))^2/2)+$B$3507</f>
        <v>-57.9427083333333</v>
      </c>
    </row>
    <row r="4310" spans="1:5" hidden="1">
      <c r="A4310" s="3">
        <f t="shared" si="53"/>
        <v>0</v>
      </c>
      <c r="B4310" s="3">
        <f t="shared" si="54"/>
        <v>0</v>
      </c>
      <c r="C4310" s="3">
        <f t="shared" si="52"/>
        <v>0</v>
      </c>
      <c r="D4310" s="3">
        <f>$B$3505*(A4310)+$B$3506*(A4310)^2/2-$B$3504*(A4310)^3/6-(N(D26)*MAX(0,(A4310)-N(E26))^2/2+N(F26)*MAX(0,(A4310)-N(G26))^2/2+N(H26)*MAX(0,(A4310)-N(I26))^2/2+N(J26)*MAX(0,(A4310)-N(K26))^2/2+N(L26)*MAX(0,(A4310)-N(M26))^2/2)+$B$3507</f>
        <v>-57.9427083333333</v>
      </c>
      <c r="E4310" s="3">
        <f>$B$3505*(C4310)+$B$3506*(C4310)^2/2-$B$3504*(C4310)^3/6-(N(D26)*MAX(0,(C4310)-N(E26))^2/2+N(F26)*MAX(0,(C4310)-N(G26))^2/2+N(H26)*MAX(0,(C4310)-N(I26))^2/2+N(J26)*MAX(0,(C4310)-N(K26))^2/2+N(L26)*MAX(0,(C4310)-N(M26))^2/2)+$B$3507</f>
        <v>-57.9427083333333</v>
      </c>
    </row>
    <row r="4311" spans="1:5" hidden="1">
      <c r="A4311" s="3">
        <f t="shared" si="53"/>
        <v>0</v>
      </c>
      <c r="B4311" s="3">
        <f t="shared" si="54"/>
        <v>0</v>
      </c>
      <c r="C4311" s="3">
        <f t="shared" si="52"/>
        <v>0</v>
      </c>
      <c r="D4311" s="3">
        <f>$B$3505*(A4311)+$B$3506*(A4311)^2/2-$B$3504*(A4311)^3/6-(N(D26)*MAX(0,(A4311)-N(E26))^2/2+N(F26)*MAX(0,(A4311)-N(G26))^2/2+N(H26)*MAX(0,(A4311)-N(I26))^2/2+N(J26)*MAX(0,(A4311)-N(K26))^2/2+N(L26)*MAX(0,(A4311)-N(M26))^2/2)+$B$3507</f>
        <v>-57.9427083333333</v>
      </c>
      <c r="E4311" s="3">
        <f>$B$3505*(C4311)+$B$3506*(C4311)^2/2-$B$3504*(C4311)^3/6-(N(D26)*MAX(0,(C4311)-N(E26))^2/2+N(F26)*MAX(0,(C4311)-N(G26))^2/2+N(H26)*MAX(0,(C4311)-N(I26))^2/2+N(J26)*MAX(0,(C4311)-N(K26))^2/2+N(L26)*MAX(0,(C4311)-N(M26))^2/2)+$B$3507</f>
        <v>-57.9427083333333</v>
      </c>
    </row>
    <row r="4312" spans="1:5" hidden="1">
      <c r="A4312" s="3">
        <f t="shared" si="53"/>
        <v>0</v>
      </c>
      <c r="B4312" s="3">
        <f t="shared" si="54"/>
        <v>0</v>
      </c>
      <c r="C4312" s="3">
        <f t="shared" si="52"/>
        <v>0</v>
      </c>
      <c r="D4312" s="3">
        <f>$B$3505*(A4312)+$B$3506*(A4312)^2/2-$B$3504*(A4312)^3/6-(N(D26)*MAX(0,(A4312)-N(E26))^2/2+N(F26)*MAX(0,(A4312)-N(G26))^2/2+N(H26)*MAX(0,(A4312)-N(I26))^2/2+N(J26)*MAX(0,(A4312)-N(K26))^2/2+N(L26)*MAX(0,(A4312)-N(M26))^2/2)+$B$3507</f>
        <v>-57.9427083333333</v>
      </c>
      <c r="E4312" s="3">
        <f>$B$3505*(C4312)+$B$3506*(C4312)^2/2-$B$3504*(C4312)^3/6-(N(D26)*MAX(0,(C4312)-N(E26))^2/2+N(F26)*MAX(0,(C4312)-N(G26))^2/2+N(H26)*MAX(0,(C4312)-N(I26))^2/2+N(J26)*MAX(0,(C4312)-N(K26))^2/2+N(L26)*MAX(0,(C4312)-N(M26))^2/2)+$B$3507</f>
        <v>-57.9427083333333</v>
      </c>
    </row>
    <row r="4313" spans="1:5" hidden="1">
      <c r="A4313" s="3">
        <f t="shared" si="53"/>
        <v>0</v>
      </c>
      <c r="B4313" s="3">
        <f t="shared" si="54"/>
        <v>0</v>
      </c>
      <c r="C4313" s="3">
        <f t="shared" si="52"/>
        <v>0</v>
      </c>
      <c r="D4313" s="3">
        <f>$B$3505*(A4313)+$B$3506*(A4313)^2/2-$B$3504*(A4313)^3/6-(N(D26)*MAX(0,(A4313)-N(E26))^2/2+N(F26)*MAX(0,(A4313)-N(G26))^2/2+N(H26)*MAX(0,(A4313)-N(I26))^2/2+N(J26)*MAX(0,(A4313)-N(K26))^2/2+N(L26)*MAX(0,(A4313)-N(M26))^2/2)+$B$3507</f>
        <v>-57.9427083333333</v>
      </c>
      <c r="E4313" s="3">
        <f>$B$3505*(C4313)+$B$3506*(C4313)^2/2-$B$3504*(C4313)^3/6-(N(D26)*MAX(0,(C4313)-N(E26))^2/2+N(F26)*MAX(0,(C4313)-N(G26))^2/2+N(H26)*MAX(0,(C4313)-N(I26))^2/2+N(J26)*MAX(0,(C4313)-N(K26))^2/2+N(L26)*MAX(0,(C4313)-N(M26))^2/2)+$B$3507</f>
        <v>-57.9427083333333</v>
      </c>
    </row>
    <row r="4314" spans="1:5" hidden="1">
      <c r="A4314" s="3">
        <f t="shared" si="53"/>
        <v>0</v>
      </c>
      <c r="B4314" s="3">
        <f t="shared" si="54"/>
        <v>0</v>
      </c>
      <c r="C4314" s="3">
        <f t="shared" si="52"/>
        <v>0</v>
      </c>
      <c r="D4314" s="3">
        <f>$B$3505*(A4314)+$B$3506*(A4314)^2/2-$B$3504*(A4314)^3/6-(N(D26)*MAX(0,(A4314)-N(E26))^2/2+N(F26)*MAX(0,(A4314)-N(G26))^2/2+N(H26)*MAX(0,(A4314)-N(I26))^2/2+N(J26)*MAX(0,(A4314)-N(K26))^2/2+N(L26)*MAX(0,(A4314)-N(M26))^2/2)+$B$3507</f>
        <v>-57.9427083333333</v>
      </c>
      <c r="E4314" s="3">
        <f>$B$3505*(C4314)+$B$3506*(C4314)^2/2-$B$3504*(C4314)^3/6-(N(D26)*MAX(0,(C4314)-N(E26))^2/2+N(F26)*MAX(0,(C4314)-N(G26))^2/2+N(H26)*MAX(0,(C4314)-N(I26))^2/2+N(J26)*MAX(0,(C4314)-N(K26))^2/2+N(L26)*MAX(0,(C4314)-N(M26))^2/2)+$B$3507</f>
        <v>-57.9427083333333</v>
      </c>
    </row>
    <row r="4315" spans="1:5" hidden="1">
      <c r="A4315" s="3">
        <f t="shared" si="53"/>
        <v>0</v>
      </c>
      <c r="B4315" s="3">
        <f t="shared" si="54"/>
        <v>0</v>
      </c>
      <c r="C4315" s="3">
        <f t="shared" si="52"/>
        <v>0</v>
      </c>
      <c r="D4315" s="3">
        <f>$B$3505*(A4315)+$B$3506*(A4315)^2/2-$B$3504*(A4315)^3/6-(N(D26)*MAX(0,(A4315)-N(E26))^2/2+N(F26)*MAX(0,(A4315)-N(G26))^2/2+N(H26)*MAX(0,(A4315)-N(I26))^2/2+N(J26)*MAX(0,(A4315)-N(K26))^2/2+N(L26)*MAX(0,(A4315)-N(M26))^2/2)+$B$3507</f>
        <v>-57.9427083333333</v>
      </c>
      <c r="E4315" s="3">
        <f>$B$3505*(C4315)+$B$3506*(C4315)^2/2-$B$3504*(C4315)^3/6-(N(D26)*MAX(0,(C4315)-N(E26))^2/2+N(F26)*MAX(0,(C4315)-N(G26))^2/2+N(H26)*MAX(0,(C4315)-N(I26))^2/2+N(J26)*MAX(0,(C4315)-N(K26))^2/2+N(L26)*MAX(0,(C4315)-N(M26))^2/2)+$B$3507</f>
        <v>-57.9427083333333</v>
      </c>
    </row>
    <row r="4316" spans="1:5" hidden="1">
      <c r="A4316" s="3">
        <f t="shared" si="53"/>
        <v>0</v>
      </c>
      <c r="B4316" s="3">
        <f t="shared" si="54"/>
        <v>0</v>
      </c>
      <c r="C4316" s="3">
        <f t="shared" si="52"/>
        <v>0</v>
      </c>
      <c r="D4316" s="3">
        <f>$B$3505*(A4316)+$B$3506*(A4316)^2/2-$B$3504*(A4316)^3/6-(N(D26)*MAX(0,(A4316)-N(E26))^2/2+N(F26)*MAX(0,(A4316)-N(G26))^2/2+N(H26)*MAX(0,(A4316)-N(I26))^2/2+N(J26)*MAX(0,(A4316)-N(K26))^2/2+N(L26)*MAX(0,(A4316)-N(M26))^2/2)+$B$3507</f>
        <v>-57.9427083333333</v>
      </c>
      <c r="E4316" s="3">
        <f>$B$3505*(C4316)+$B$3506*(C4316)^2/2-$B$3504*(C4316)^3/6-(N(D26)*MAX(0,(C4316)-N(E26))^2/2+N(F26)*MAX(0,(C4316)-N(G26))^2/2+N(H26)*MAX(0,(C4316)-N(I26))^2/2+N(J26)*MAX(0,(C4316)-N(K26))^2/2+N(L26)*MAX(0,(C4316)-N(M26))^2/2)+$B$3507</f>
        <v>-57.9427083333333</v>
      </c>
    </row>
    <row r="4317" spans="1:5" hidden="1">
      <c r="A4317" s="3">
        <f t="shared" si="53"/>
        <v>0</v>
      </c>
      <c r="B4317" s="3">
        <f t="shared" si="54"/>
        <v>0</v>
      </c>
      <c r="C4317" s="3">
        <f t="shared" si="52"/>
        <v>0</v>
      </c>
      <c r="D4317" s="3">
        <f>$B$3505*(A4317)+$B$3506*(A4317)^2/2-$B$3504*(A4317)^3/6-(N(D26)*MAX(0,(A4317)-N(E26))^2/2+N(F26)*MAX(0,(A4317)-N(G26))^2/2+N(H26)*MAX(0,(A4317)-N(I26))^2/2+N(J26)*MAX(0,(A4317)-N(K26))^2/2+N(L26)*MAX(0,(A4317)-N(M26))^2/2)+$B$3507</f>
        <v>-57.9427083333333</v>
      </c>
      <c r="E4317" s="3">
        <f>$B$3505*(C4317)+$B$3506*(C4317)^2/2-$B$3504*(C4317)^3/6-(N(D26)*MAX(0,(C4317)-N(E26))^2/2+N(F26)*MAX(0,(C4317)-N(G26))^2/2+N(H26)*MAX(0,(C4317)-N(I26))^2/2+N(J26)*MAX(0,(C4317)-N(K26))^2/2+N(L26)*MAX(0,(C4317)-N(M26))^2/2)+$B$3507</f>
        <v>-57.9427083333333</v>
      </c>
    </row>
    <row r="4318" spans="1:5" hidden="1">
      <c r="A4318" s="3">
        <f t="shared" si="53"/>
        <v>0</v>
      </c>
      <c r="B4318" s="3">
        <f t="shared" si="54"/>
        <v>0</v>
      </c>
      <c r="C4318" s="3">
        <f t="shared" si="52"/>
        <v>0</v>
      </c>
      <c r="D4318" s="3">
        <f>$B$3505*(A4318)+$B$3506*(A4318)^2/2-$B$3504*(A4318)^3/6-(N(D26)*MAX(0,(A4318)-N(E26))^2/2+N(F26)*MAX(0,(A4318)-N(G26))^2/2+N(H26)*MAX(0,(A4318)-N(I26))^2/2+N(J26)*MAX(0,(A4318)-N(K26))^2/2+N(L26)*MAX(0,(A4318)-N(M26))^2/2)+$B$3507</f>
        <v>-57.9427083333333</v>
      </c>
      <c r="E4318" s="3">
        <f>$B$3505*(C4318)+$B$3506*(C4318)^2/2-$B$3504*(C4318)^3/6-(N(D26)*MAX(0,(C4318)-N(E26))^2/2+N(F26)*MAX(0,(C4318)-N(G26))^2/2+N(H26)*MAX(0,(C4318)-N(I26))^2/2+N(J26)*MAX(0,(C4318)-N(K26))^2/2+N(L26)*MAX(0,(C4318)-N(M26))^2/2)+$B$3507</f>
        <v>-57.9427083333333</v>
      </c>
    </row>
    <row r="4319" spans="1:5" hidden="1">
      <c r="A4319" s="3">
        <f t="shared" si="53"/>
        <v>0</v>
      </c>
      <c r="B4319" s="3">
        <f t="shared" si="54"/>
        <v>0</v>
      </c>
      <c r="C4319" s="3">
        <f t="shared" si="52"/>
        <v>0</v>
      </c>
      <c r="D4319" s="3">
        <f>$B$3505*(A4319)+$B$3506*(A4319)^2/2-$B$3504*(A4319)^3/6-(N(D26)*MAX(0,(A4319)-N(E26))^2/2+N(F26)*MAX(0,(A4319)-N(G26))^2/2+N(H26)*MAX(0,(A4319)-N(I26))^2/2+N(J26)*MAX(0,(A4319)-N(K26))^2/2+N(L26)*MAX(0,(A4319)-N(M26))^2/2)+$B$3507</f>
        <v>-57.9427083333333</v>
      </c>
      <c r="E4319" s="3">
        <f>$B$3505*(C4319)+$B$3506*(C4319)^2/2-$B$3504*(C4319)^3/6-(N(D26)*MAX(0,(C4319)-N(E26))^2/2+N(F26)*MAX(0,(C4319)-N(G26))^2/2+N(H26)*MAX(0,(C4319)-N(I26))^2/2+N(J26)*MAX(0,(C4319)-N(K26))^2/2+N(L26)*MAX(0,(C4319)-N(M26))^2/2)+$B$3507</f>
        <v>-57.9427083333333</v>
      </c>
    </row>
    <row r="4320" spans="1:5" hidden="1">
      <c r="A4320" s="3">
        <f t="shared" si="53"/>
        <v>0</v>
      </c>
      <c r="B4320" s="3">
        <f t="shared" si="54"/>
        <v>0</v>
      </c>
      <c r="C4320" s="3">
        <f t="shared" si="52"/>
        <v>0</v>
      </c>
      <c r="D4320" s="3">
        <f>$B$3505*(A4320)+$B$3506*(A4320)^2/2-$B$3504*(A4320)^3/6-(N(D26)*MAX(0,(A4320)-N(E26))^2/2+N(F26)*MAX(0,(A4320)-N(G26))^2/2+N(H26)*MAX(0,(A4320)-N(I26))^2/2+N(J26)*MAX(0,(A4320)-N(K26))^2/2+N(L26)*MAX(0,(A4320)-N(M26))^2/2)+$B$3507</f>
        <v>-57.9427083333333</v>
      </c>
      <c r="E4320" s="3">
        <f>$B$3505*(C4320)+$B$3506*(C4320)^2/2-$B$3504*(C4320)^3/6-(N(D26)*MAX(0,(C4320)-N(E26))^2/2+N(F26)*MAX(0,(C4320)-N(G26))^2/2+N(H26)*MAX(0,(C4320)-N(I26))^2/2+N(J26)*MAX(0,(C4320)-N(K26))^2/2+N(L26)*MAX(0,(C4320)-N(M26))^2/2)+$B$3507</f>
        <v>-57.9427083333333</v>
      </c>
    </row>
    <row r="4321" spans="1:5" hidden="1">
      <c r="A4321" s="3">
        <f t="shared" si="53"/>
        <v>0</v>
      </c>
      <c r="B4321" s="3">
        <f t="shared" si="54"/>
        <v>0</v>
      </c>
      <c r="C4321" s="3">
        <f t="shared" si="52"/>
        <v>0</v>
      </c>
      <c r="D4321" s="3">
        <f>$B$3505*(A4321)+$B$3506*(A4321)^2/2-$B$3504*(A4321)^3/6-(N(D26)*MAX(0,(A4321)-N(E26))^2/2+N(F26)*MAX(0,(A4321)-N(G26))^2/2+N(H26)*MAX(0,(A4321)-N(I26))^2/2+N(J26)*MAX(0,(A4321)-N(K26))^2/2+N(L26)*MAX(0,(A4321)-N(M26))^2/2)+$B$3507</f>
        <v>-57.9427083333333</v>
      </c>
      <c r="E4321" s="3">
        <f>$B$3505*(C4321)+$B$3506*(C4321)^2/2-$B$3504*(C4321)^3/6-(N(D26)*MAX(0,(C4321)-N(E26))^2/2+N(F26)*MAX(0,(C4321)-N(G26))^2/2+N(H26)*MAX(0,(C4321)-N(I26))^2/2+N(J26)*MAX(0,(C4321)-N(K26))^2/2+N(L26)*MAX(0,(C4321)-N(M26))^2/2)+$B$3507</f>
        <v>-57.9427083333333</v>
      </c>
    </row>
    <row r="4322" spans="1:5" hidden="1">
      <c r="A4322" s="3">
        <f t="shared" si="53"/>
        <v>0</v>
      </c>
      <c r="B4322" s="3">
        <f t="shared" si="54"/>
        <v>0</v>
      </c>
      <c r="C4322" s="3">
        <f t="shared" si="52"/>
        <v>0</v>
      </c>
      <c r="D4322" s="3">
        <f>$B$3505*(A4322)+$B$3506*(A4322)^2/2-$B$3504*(A4322)^3/6-(N(D26)*MAX(0,(A4322)-N(E26))^2/2+N(F26)*MAX(0,(A4322)-N(G26))^2/2+N(H26)*MAX(0,(A4322)-N(I26))^2/2+N(J26)*MAX(0,(A4322)-N(K26))^2/2+N(L26)*MAX(0,(A4322)-N(M26))^2/2)+$B$3507</f>
        <v>-57.9427083333333</v>
      </c>
      <c r="E4322" s="3">
        <f>$B$3505*(C4322)+$B$3506*(C4322)^2/2-$B$3504*(C4322)^3/6-(N(D26)*MAX(0,(C4322)-N(E26))^2/2+N(F26)*MAX(0,(C4322)-N(G26))^2/2+N(H26)*MAX(0,(C4322)-N(I26))^2/2+N(J26)*MAX(0,(C4322)-N(K26))^2/2+N(L26)*MAX(0,(C4322)-N(M26))^2/2)+$B$3507</f>
        <v>-57.9427083333333</v>
      </c>
    </row>
    <row r="4323" spans="1:5" hidden="1">
      <c r="A4323" s="3">
        <f t="shared" si="53"/>
        <v>0</v>
      </c>
      <c r="B4323" s="3">
        <f t="shared" si="54"/>
        <v>0</v>
      </c>
      <c r="C4323" s="3">
        <f t="shared" si="52"/>
        <v>0</v>
      </c>
      <c r="D4323" s="3">
        <f>$B$3505*(A4323)+$B$3506*(A4323)^2/2-$B$3504*(A4323)^3/6-(N(D26)*MAX(0,(A4323)-N(E26))^2/2+N(F26)*MAX(0,(A4323)-N(G26))^2/2+N(H26)*MAX(0,(A4323)-N(I26))^2/2+N(J26)*MAX(0,(A4323)-N(K26))^2/2+N(L26)*MAX(0,(A4323)-N(M26))^2/2)+$B$3507</f>
        <v>-57.9427083333333</v>
      </c>
      <c r="E4323" s="3">
        <f>$B$3505*(C4323)+$B$3506*(C4323)^2/2-$B$3504*(C4323)^3/6-(N(D26)*MAX(0,(C4323)-N(E26))^2/2+N(F26)*MAX(0,(C4323)-N(G26))^2/2+N(H26)*MAX(0,(C4323)-N(I26))^2/2+N(J26)*MAX(0,(C4323)-N(K26))^2/2+N(L26)*MAX(0,(C4323)-N(M26))^2/2)+$B$3507</f>
        <v>-57.9427083333333</v>
      </c>
    </row>
    <row r="4324" spans="1:5" hidden="1">
      <c r="A4324" s="3">
        <f t="shared" si="53"/>
        <v>0</v>
      </c>
      <c r="B4324" s="3">
        <f t="shared" si="54"/>
        <v>0</v>
      </c>
      <c r="C4324" s="3">
        <f t="shared" si="52"/>
        <v>0</v>
      </c>
      <c r="D4324" s="3">
        <f>$B$3505*(A4324)+$B$3506*(A4324)^2/2-$B$3504*(A4324)^3/6-(N(D26)*MAX(0,(A4324)-N(E26))^2/2+N(F26)*MAX(0,(A4324)-N(G26))^2/2+N(H26)*MAX(0,(A4324)-N(I26))^2/2+N(J26)*MAX(0,(A4324)-N(K26))^2/2+N(L26)*MAX(0,(A4324)-N(M26))^2/2)+$B$3507</f>
        <v>-57.9427083333333</v>
      </c>
      <c r="E4324" s="3">
        <f>$B$3505*(C4324)+$B$3506*(C4324)^2/2-$B$3504*(C4324)^3/6-(N(D26)*MAX(0,(C4324)-N(E26))^2/2+N(F26)*MAX(0,(C4324)-N(G26))^2/2+N(H26)*MAX(0,(C4324)-N(I26))^2/2+N(J26)*MAX(0,(C4324)-N(K26))^2/2+N(L26)*MAX(0,(C4324)-N(M26))^2/2)+$B$3507</f>
        <v>-57.9427083333333</v>
      </c>
    </row>
    <row r="4325" spans="1:5" hidden="1">
      <c r="A4325" s="3">
        <f t="shared" si="53"/>
        <v>0</v>
      </c>
      <c r="B4325" s="3">
        <f t="shared" si="54"/>
        <v>0</v>
      </c>
      <c r="C4325" s="3">
        <f t="shared" si="52"/>
        <v>0</v>
      </c>
      <c r="D4325" s="3">
        <f>$B$3505*(A4325)+$B$3506*(A4325)^2/2-$B$3504*(A4325)^3/6-(N(D26)*MAX(0,(A4325)-N(E26))^2/2+N(F26)*MAX(0,(A4325)-N(G26))^2/2+N(H26)*MAX(0,(A4325)-N(I26))^2/2+N(J26)*MAX(0,(A4325)-N(K26))^2/2+N(L26)*MAX(0,(A4325)-N(M26))^2/2)+$B$3507</f>
        <v>-57.9427083333333</v>
      </c>
      <c r="E4325" s="3">
        <f>$B$3505*(C4325)+$B$3506*(C4325)^2/2-$B$3504*(C4325)^3/6-(N(D26)*MAX(0,(C4325)-N(E26))^2/2+N(F26)*MAX(0,(C4325)-N(G26))^2/2+N(H26)*MAX(0,(C4325)-N(I26))^2/2+N(J26)*MAX(0,(C4325)-N(K26))^2/2+N(L26)*MAX(0,(C4325)-N(M26))^2/2)+$B$3507</f>
        <v>-57.9427083333333</v>
      </c>
    </row>
    <row r="4326" spans="1:5" hidden="1">
      <c r="A4326" s="3">
        <f t="shared" si="53"/>
        <v>0</v>
      </c>
      <c r="B4326" s="3">
        <f t="shared" si="54"/>
        <v>0</v>
      </c>
      <c r="C4326" s="3">
        <f t="shared" si="52"/>
        <v>0</v>
      </c>
      <c r="D4326" s="3">
        <f>$B$3505*(A4326)+$B$3506*(A4326)^2/2-$B$3504*(A4326)^3/6-(N(D26)*MAX(0,(A4326)-N(E26))^2/2+N(F26)*MAX(0,(A4326)-N(G26))^2/2+N(H26)*MAX(0,(A4326)-N(I26))^2/2+N(J26)*MAX(0,(A4326)-N(K26))^2/2+N(L26)*MAX(0,(A4326)-N(M26))^2/2)+$B$3507</f>
        <v>-57.9427083333333</v>
      </c>
      <c r="E4326" s="3">
        <f>$B$3505*(C4326)+$B$3506*(C4326)^2/2-$B$3504*(C4326)^3/6-(N(D26)*MAX(0,(C4326)-N(E26))^2/2+N(F26)*MAX(0,(C4326)-N(G26))^2/2+N(H26)*MAX(0,(C4326)-N(I26))^2/2+N(J26)*MAX(0,(C4326)-N(K26))^2/2+N(L26)*MAX(0,(C4326)-N(M26))^2/2)+$B$3507</f>
        <v>-57.9427083333333</v>
      </c>
    </row>
    <row r="4327" spans="1:5" hidden="1">
      <c r="A4327" s="3">
        <f t="shared" si="53"/>
        <v>0</v>
      </c>
      <c r="B4327" s="3">
        <f t="shared" si="54"/>
        <v>0</v>
      </c>
      <c r="C4327" s="3">
        <f t="shared" si="52"/>
        <v>0</v>
      </c>
      <c r="D4327" s="3">
        <f>$B$3505*(A4327)+$B$3506*(A4327)^2/2-$B$3504*(A4327)^3/6-(N(D26)*MAX(0,(A4327)-N(E26))^2/2+N(F26)*MAX(0,(A4327)-N(G26))^2/2+N(H26)*MAX(0,(A4327)-N(I26))^2/2+N(J26)*MAX(0,(A4327)-N(K26))^2/2+N(L26)*MAX(0,(A4327)-N(M26))^2/2)+$B$3507</f>
        <v>-57.9427083333333</v>
      </c>
      <c r="E4327" s="3">
        <f>$B$3505*(C4327)+$B$3506*(C4327)^2/2-$B$3504*(C4327)^3/6-(N(D26)*MAX(0,(C4327)-N(E26))^2/2+N(F26)*MAX(0,(C4327)-N(G26))^2/2+N(H26)*MAX(0,(C4327)-N(I26))^2/2+N(J26)*MAX(0,(C4327)-N(K26))^2/2+N(L26)*MAX(0,(C4327)-N(M26))^2/2)+$B$3507</f>
        <v>-57.9427083333333</v>
      </c>
    </row>
    <row r="4328" spans="1:5" hidden="1">
      <c r="A4328" s="3">
        <f t="shared" si="53"/>
        <v>0</v>
      </c>
      <c r="B4328" s="3">
        <f t="shared" si="54"/>
        <v>0</v>
      </c>
      <c r="C4328" s="3">
        <f t="shared" si="52"/>
        <v>0</v>
      </c>
      <c r="D4328" s="3">
        <f>$B$3505*(A4328)+$B$3506*(A4328)^2/2-$B$3504*(A4328)^3/6-(N(D26)*MAX(0,(A4328)-N(E26))^2/2+N(F26)*MAX(0,(A4328)-N(G26))^2/2+N(H26)*MAX(0,(A4328)-N(I26))^2/2+N(J26)*MAX(0,(A4328)-N(K26))^2/2+N(L26)*MAX(0,(A4328)-N(M26))^2/2)+$B$3507</f>
        <v>-57.9427083333333</v>
      </c>
      <c r="E4328" s="3">
        <f>$B$3505*(C4328)+$B$3506*(C4328)^2/2-$B$3504*(C4328)^3/6-(N(D26)*MAX(0,(C4328)-N(E26))^2/2+N(F26)*MAX(0,(C4328)-N(G26))^2/2+N(H26)*MAX(0,(C4328)-N(I26))^2/2+N(J26)*MAX(0,(C4328)-N(K26))^2/2+N(L26)*MAX(0,(C4328)-N(M26))^2/2)+$B$3507</f>
        <v>-57.9427083333333</v>
      </c>
    </row>
    <row r="4329" spans="1:5" hidden="1">
      <c r="A4329" s="3">
        <f t="shared" si="53"/>
        <v>0</v>
      </c>
      <c r="B4329" s="3">
        <f t="shared" si="54"/>
        <v>0</v>
      </c>
      <c r="C4329" s="3">
        <f t="shared" si="52"/>
        <v>0</v>
      </c>
      <c r="D4329" s="3">
        <f>$B$3505*(A4329)+$B$3506*(A4329)^2/2-$B$3504*(A4329)^3/6-(N(D26)*MAX(0,(A4329)-N(E26))^2/2+N(F26)*MAX(0,(A4329)-N(G26))^2/2+N(H26)*MAX(0,(A4329)-N(I26))^2/2+N(J26)*MAX(0,(A4329)-N(K26))^2/2+N(L26)*MAX(0,(A4329)-N(M26))^2/2)+$B$3507</f>
        <v>-57.9427083333333</v>
      </c>
      <c r="E4329" s="3">
        <f>$B$3505*(C4329)+$B$3506*(C4329)^2/2-$B$3504*(C4329)^3/6-(N(D26)*MAX(0,(C4329)-N(E26))^2/2+N(F26)*MAX(0,(C4329)-N(G26))^2/2+N(H26)*MAX(0,(C4329)-N(I26))^2/2+N(J26)*MAX(0,(C4329)-N(K26))^2/2+N(L26)*MAX(0,(C4329)-N(M26))^2/2)+$B$3507</f>
        <v>-57.9427083333333</v>
      </c>
    </row>
    <row r="4330" spans="1:5" hidden="1">
      <c r="A4330" s="3">
        <f t="shared" si="53"/>
        <v>0</v>
      </c>
      <c r="B4330" s="3">
        <f t="shared" si="54"/>
        <v>0</v>
      </c>
      <c r="C4330" s="3">
        <f t="shared" si="52"/>
        <v>0</v>
      </c>
      <c r="D4330" s="3">
        <f>$B$3505*(A4330)+$B$3506*(A4330)^2/2-$B$3504*(A4330)^3/6-(N(D26)*MAX(0,(A4330)-N(E26))^2/2+N(F26)*MAX(0,(A4330)-N(G26))^2/2+N(H26)*MAX(0,(A4330)-N(I26))^2/2+N(J26)*MAX(0,(A4330)-N(K26))^2/2+N(L26)*MAX(0,(A4330)-N(M26))^2/2)+$B$3507</f>
        <v>-57.9427083333333</v>
      </c>
      <c r="E4330" s="3">
        <f>$B$3505*(C4330)+$B$3506*(C4330)^2/2-$B$3504*(C4330)^3/6-(N(D26)*MAX(0,(C4330)-N(E26))^2/2+N(F26)*MAX(0,(C4330)-N(G26))^2/2+N(H26)*MAX(0,(C4330)-N(I26))^2/2+N(J26)*MAX(0,(C4330)-N(K26))^2/2+N(L26)*MAX(0,(C4330)-N(M26))^2/2)+$B$3507</f>
        <v>-57.9427083333333</v>
      </c>
    </row>
    <row r="4331" spans="1:5" hidden="1">
      <c r="A4331" s="3">
        <f t="shared" si="53"/>
        <v>0</v>
      </c>
      <c r="B4331" s="3">
        <f t="shared" si="54"/>
        <v>0</v>
      </c>
      <c r="C4331" s="3">
        <f t="shared" si="52"/>
        <v>0</v>
      </c>
      <c r="D4331" s="3">
        <f>$B$3505*(A4331)+$B$3506*(A4331)^2/2-$B$3504*(A4331)^3/6-(N(D26)*MAX(0,(A4331)-N(E26))^2/2+N(F26)*MAX(0,(A4331)-N(G26))^2/2+N(H26)*MAX(0,(A4331)-N(I26))^2/2+N(J26)*MAX(0,(A4331)-N(K26))^2/2+N(L26)*MAX(0,(A4331)-N(M26))^2/2)+$B$3507</f>
        <v>-57.9427083333333</v>
      </c>
      <c r="E4331" s="3">
        <f>$B$3505*(C4331)+$B$3506*(C4331)^2/2-$B$3504*(C4331)^3/6-(N(D26)*MAX(0,(C4331)-N(E26))^2/2+N(F26)*MAX(0,(C4331)-N(G26))^2/2+N(H26)*MAX(0,(C4331)-N(I26))^2/2+N(J26)*MAX(0,(C4331)-N(K26))^2/2+N(L26)*MAX(0,(C4331)-N(M26))^2/2)+$B$3507</f>
        <v>-57.9427083333333</v>
      </c>
    </row>
    <row r="4332" spans="1:5" hidden="1">
      <c r="A4332" s="3">
        <f t="shared" si="53"/>
        <v>0</v>
      </c>
      <c r="B4332" s="3">
        <f t="shared" si="54"/>
        <v>0</v>
      </c>
      <c r="C4332" s="3">
        <f t="shared" si="52"/>
        <v>0</v>
      </c>
      <c r="D4332" s="3">
        <f>$B$3505*(A4332)+$B$3506*(A4332)^2/2-$B$3504*(A4332)^3/6-(N(D26)*MAX(0,(A4332)-N(E26))^2/2+N(F26)*MAX(0,(A4332)-N(G26))^2/2+N(H26)*MAX(0,(A4332)-N(I26))^2/2+N(J26)*MAX(0,(A4332)-N(K26))^2/2+N(L26)*MAX(0,(A4332)-N(M26))^2/2)+$B$3507</f>
        <v>-57.9427083333333</v>
      </c>
      <c r="E4332" s="3">
        <f>$B$3505*(C4332)+$B$3506*(C4332)^2/2-$B$3504*(C4332)^3/6-(N(D26)*MAX(0,(C4332)-N(E26))^2/2+N(F26)*MAX(0,(C4332)-N(G26))^2/2+N(H26)*MAX(0,(C4332)-N(I26))^2/2+N(J26)*MAX(0,(C4332)-N(K26))^2/2+N(L26)*MAX(0,(C4332)-N(M26))^2/2)+$B$3507</f>
        <v>-57.9427083333333</v>
      </c>
    </row>
    <row r="4333" spans="1:5" hidden="1">
      <c r="A4333" s="3">
        <f t="shared" si="53"/>
        <v>0</v>
      </c>
      <c r="B4333" s="3">
        <f t="shared" si="54"/>
        <v>0</v>
      </c>
      <c r="C4333" s="3">
        <f t="shared" si="52"/>
        <v>0</v>
      </c>
      <c r="D4333" s="3">
        <f>$B$3505*(A4333)+$B$3506*(A4333)^2/2-$B$3504*(A4333)^3/6-(N(D26)*MAX(0,(A4333)-N(E26))^2/2+N(F26)*MAX(0,(A4333)-N(G26))^2/2+N(H26)*MAX(0,(A4333)-N(I26))^2/2+N(J26)*MAX(0,(A4333)-N(K26))^2/2+N(L26)*MAX(0,(A4333)-N(M26))^2/2)+$B$3507</f>
        <v>-57.9427083333333</v>
      </c>
      <c r="E4333" s="3">
        <f>$B$3505*(C4333)+$B$3506*(C4333)^2/2-$B$3504*(C4333)^3/6-(N(D26)*MAX(0,(C4333)-N(E26))^2/2+N(F26)*MAX(0,(C4333)-N(G26))^2/2+N(H26)*MAX(0,(C4333)-N(I26))^2/2+N(J26)*MAX(0,(C4333)-N(K26))^2/2+N(L26)*MAX(0,(C4333)-N(M26))^2/2)+$B$3507</f>
        <v>-57.9427083333333</v>
      </c>
    </row>
    <row r="4334" spans="1:5" hidden="1">
      <c r="A4334" s="3">
        <f t="shared" si="53"/>
        <v>0</v>
      </c>
      <c r="B4334" s="3">
        <f t="shared" si="54"/>
        <v>0</v>
      </c>
      <c r="C4334" s="3">
        <f t="shared" si="52"/>
        <v>0</v>
      </c>
      <c r="D4334" s="3">
        <f>$B$3505*(A4334)+$B$3506*(A4334)^2/2-$B$3504*(A4334)^3/6-(N(D26)*MAX(0,(A4334)-N(E26))^2/2+N(F26)*MAX(0,(A4334)-N(G26))^2/2+N(H26)*MAX(0,(A4334)-N(I26))^2/2+N(J26)*MAX(0,(A4334)-N(K26))^2/2+N(L26)*MAX(0,(A4334)-N(M26))^2/2)+$B$3507</f>
        <v>-57.9427083333333</v>
      </c>
      <c r="E4334" s="3">
        <f>$B$3505*(C4334)+$B$3506*(C4334)^2/2-$B$3504*(C4334)^3/6-(N(D26)*MAX(0,(C4334)-N(E26))^2/2+N(F26)*MAX(0,(C4334)-N(G26))^2/2+N(H26)*MAX(0,(C4334)-N(I26))^2/2+N(J26)*MAX(0,(C4334)-N(K26))^2/2+N(L26)*MAX(0,(C4334)-N(M26))^2/2)+$B$3507</f>
        <v>-57.9427083333333</v>
      </c>
    </row>
    <row r="4335" spans="1:5" hidden="1">
      <c r="A4335" s="3">
        <f t="shared" si="53"/>
        <v>0</v>
      </c>
      <c r="B4335" s="3">
        <f t="shared" si="54"/>
        <v>0</v>
      </c>
      <c r="C4335" s="3">
        <f t="shared" si="52"/>
        <v>0</v>
      </c>
      <c r="D4335" s="3">
        <f>$B$3505*(A4335)+$B$3506*(A4335)^2/2-$B$3504*(A4335)^3/6-(N(D26)*MAX(0,(A4335)-N(E26))^2/2+N(F26)*MAX(0,(A4335)-N(G26))^2/2+N(H26)*MAX(0,(A4335)-N(I26))^2/2+N(J26)*MAX(0,(A4335)-N(K26))^2/2+N(L26)*MAX(0,(A4335)-N(M26))^2/2)+$B$3507</f>
        <v>-57.9427083333333</v>
      </c>
      <c r="E4335" s="3">
        <f>$B$3505*(C4335)+$B$3506*(C4335)^2/2-$B$3504*(C4335)^3/6-(N(D26)*MAX(0,(C4335)-N(E26))^2/2+N(F26)*MAX(0,(C4335)-N(G26))^2/2+N(H26)*MAX(0,(C4335)-N(I26))^2/2+N(J26)*MAX(0,(C4335)-N(K26))^2/2+N(L26)*MAX(0,(C4335)-N(M26))^2/2)+$B$3507</f>
        <v>-57.9427083333333</v>
      </c>
    </row>
    <row r="4336" spans="1:5" hidden="1"/>
    <row r="4337" spans="1:5" hidden="1">
      <c r="A4337" s="3">
        <f>B3557</f>
        <v>0</v>
      </c>
      <c r="B4337" s="3">
        <f>IF(($B$3505*(B3557)+$B$3506*(B3557)^2/2-$B$3504*(B3557)^3/6-(N(D26)*MAX(0,(B3557)-N(E26))^2/2+N(F26)*MAX(0,(B3557)-N(G26))^2/2+N(H26)*MAX(0,(B3557)-N(I26))^2/2+N(J26)*MAX(0,(B3557)-N(K26))^2/2+N(L26)*MAX(0,(B3557)-N(M26))^2/2)+$B$3507)*($B$3505*(B3558)+$B$3506*(B3558)^2/2-$B$3504*(B3558)^3/6-(N(D26)*MAX(0,(B3558)-N(E26))^2/2+N(F26)*MAX(0,(B3558)-N(G26))^2/2+N(H26)*MAX(0,(B3558)-N(I26))^2/2+N(J26)*MAX(0,(B3558)-N(K26))^2/2+N(L26)*MAX(0,(B3558)-N(M26))^2/2)+$B$3507)&lt;=0,B3558,B3557)</f>
        <v>2.4999999999999996</v>
      </c>
      <c r="C4337" s="3">
        <f t="shared" ref="C4337:C4381" si="55">(A4337+B4337)/2</f>
        <v>1.2499999999999998</v>
      </c>
      <c r="D4337" s="3">
        <f>$B$3505*(A4337)+$B$3506*(A4337)^2/2-$B$3504*(A4337)^3/6-(N(D26)*MAX(0,(A4337)-N(E26))^2/2+N(F26)*MAX(0,(A4337)-N(G26))^2/2+N(H26)*MAX(0,(A4337)-N(I26))^2/2+N(J26)*MAX(0,(A4337)-N(K26))^2/2+N(L26)*MAX(0,(A4337)-N(M26))^2/2)+$B$3507</f>
        <v>-57.9427083333333</v>
      </c>
      <c r="E4337" s="3">
        <f>$B$3505*(C4337)+$B$3506*(C4337)^2/2-$B$3504*(C4337)^3/6-(N(D26)*MAX(0,(C4337)-N(E26))^2/2+N(F26)*MAX(0,(C4337)-N(G26))^2/2+N(H26)*MAX(0,(C4337)-N(I26))^2/2+N(J26)*MAX(0,(C4337)-N(K26))^2/2+N(L26)*MAX(0,(C4337)-N(M26))^2/2)+$B$3507</f>
        <v>0</v>
      </c>
    </row>
    <row r="4338" spans="1:5" hidden="1">
      <c r="A4338" s="3">
        <f t="shared" ref="A4338:A4381" si="56">IF(D4337*E4337&lt;=0,A4337,C4337)</f>
        <v>0</v>
      </c>
      <c r="B4338" s="3">
        <f t="shared" ref="B4338:B4381" si="57">IF(D4337*E4337&lt;=0,C4337,B4337)</f>
        <v>1.2499999999999998</v>
      </c>
      <c r="C4338" s="3">
        <f t="shared" si="55"/>
        <v>0.62499999999999989</v>
      </c>
      <c r="D4338" s="3">
        <f>$B$3505*(A4338)+$B$3506*(A4338)^2/2-$B$3504*(A4338)^3/6-(N(D26)*MAX(0,(A4338)-N(E26))^2/2+N(F26)*MAX(0,(A4338)-N(G26))^2/2+N(H26)*MAX(0,(A4338)-N(I26))^2/2+N(J26)*MAX(0,(A4338)-N(K26))^2/2+N(L26)*MAX(0,(A4338)-N(M26))^2/2)+$B$3507</f>
        <v>-57.9427083333333</v>
      </c>
      <c r="E4338" s="3">
        <f>$B$3505*(C4338)+$B$3506*(C4338)^2/2-$B$3504*(C4338)^3/6-(N(D26)*MAX(0,(C4338)-N(E26))^2/2+N(F26)*MAX(0,(C4338)-N(G26))^2/2+N(H26)*MAX(0,(C4338)-N(I26))^2/2+N(J26)*MAX(0,(C4338)-N(K26))^2/2+N(L26)*MAX(0,(C4338)-N(M26))^2/2)+$B$3507</f>
        <v>-39.835611979166643</v>
      </c>
    </row>
    <row r="4339" spans="1:5" hidden="1">
      <c r="A4339" s="3">
        <f t="shared" si="56"/>
        <v>0.62499999999999989</v>
      </c>
      <c r="B4339" s="3">
        <f t="shared" si="57"/>
        <v>1.2499999999999998</v>
      </c>
      <c r="C4339" s="3">
        <f t="shared" si="55"/>
        <v>0.93749999999999978</v>
      </c>
      <c r="D4339" s="3">
        <f>$B$3505*(A4339)+$B$3506*(A4339)^2/2-$B$3504*(A4339)^3/6-(N(D26)*MAX(0,(A4339)-N(E26))^2/2+N(F26)*MAX(0,(A4339)-N(G26))^2/2+N(H26)*MAX(0,(A4339)-N(I26))^2/2+N(J26)*MAX(0,(A4339)-N(K26))^2/2+N(L26)*MAX(0,(A4339)-N(M26))^2/2)+$B$3507</f>
        <v>-39.835611979166643</v>
      </c>
      <c r="E4339" s="3">
        <f>$B$3505*(C4339)+$B$3506*(C4339)^2/2-$B$3504*(C4339)^3/6-(N(D26)*MAX(0,(C4339)-N(E26))^2/2+N(F26)*MAX(0,(C4339)-N(G26))^2/2+N(H26)*MAX(0,(C4339)-N(I26))^2/2+N(J26)*MAX(0,(C4339)-N(K26))^2/2+N(L26)*MAX(0,(C4339)-N(M26))^2/2)+$B$3507</f>
        <v>-21.275838216145821</v>
      </c>
    </row>
    <row r="4340" spans="1:5" hidden="1">
      <c r="A4340" s="3">
        <f t="shared" si="56"/>
        <v>0.93749999999999978</v>
      </c>
      <c r="B4340" s="3">
        <f t="shared" si="57"/>
        <v>1.2499999999999998</v>
      </c>
      <c r="C4340" s="3">
        <f t="shared" si="55"/>
        <v>1.0937499999999998</v>
      </c>
      <c r="D4340" s="3">
        <f>$B$3505*(A4340)+$B$3506*(A4340)^2/2-$B$3504*(A4340)^3/6-(N(D26)*MAX(0,(A4340)-N(E26))^2/2+N(F26)*MAX(0,(A4340)-N(G26))^2/2+N(H26)*MAX(0,(A4340)-N(I26))^2/2+N(J26)*MAX(0,(A4340)-N(K26))^2/2+N(L26)*MAX(0,(A4340)-N(M26))^2/2)+$B$3507</f>
        <v>-21.275838216145821</v>
      </c>
      <c r="E4340" s="3">
        <f>$B$3505*(C4340)+$B$3506*(C4340)^2/2-$B$3504*(C4340)^3/6-(N(D26)*MAX(0,(C4340)-N(E26))^2/2+N(F26)*MAX(0,(C4340)-N(G26))^2/2+N(H26)*MAX(0,(C4340)-N(I26))^2/2+N(J26)*MAX(0,(C4340)-N(K26))^2/2+N(L26)*MAX(0,(C4340)-N(M26))^2/2)+$B$3507</f>
        <v>-10.807673136393227</v>
      </c>
    </row>
    <row r="4341" spans="1:5" hidden="1">
      <c r="A4341" s="3">
        <f t="shared" si="56"/>
        <v>1.0937499999999998</v>
      </c>
      <c r="B4341" s="3">
        <f t="shared" si="57"/>
        <v>1.2499999999999998</v>
      </c>
      <c r="C4341" s="3">
        <f t="shared" si="55"/>
        <v>1.1718749999999998</v>
      </c>
      <c r="D4341" s="3">
        <f>$B$3505*(A4341)+$B$3506*(A4341)^2/2-$B$3504*(A4341)^3/6-(N(D26)*MAX(0,(A4341)-N(E26))^2/2+N(F26)*MAX(0,(A4341)-N(G26))^2/2+N(H26)*MAX(0,(A4341)-N(I26))^2/2+N(J26)*MAX(0,(A4341)-N(K26))^2/2+N(L26)*MAX(0,(A4341)-N(M26))^2/2)+$B$3507</f>
        <v>-10.807673136393227</v>
      </c>
      <c r="E4341" s="3">
        <f>$B$3505*(C4341)+$B$3506*(C4341)^2/2-$B$3504*(C4341)^3/6-(N(D26)*MAX(0,(C4341)-N(E26))^2/2+N(F26)*MAX(0,(C4341)-N(G26))^2/2+N(H26)*MAX(0,(C4341)-N(I26))^2/2+N(J26)*MAX(0,(C4341)-N(K26))^2/2+N(L26)*MAX(0,(C4341)-N(M26))^2/2)+$B$3507</f>
        <v>-5.4250558217366489</v>
      </c>
    </row>
    <row r="4342" spans="1:5" hidden="1">
      <c r="A4342" s="3">
        <f t="shared" si="56"/>
        <v>1.1718749999999998</v>
      </c>
      <c r="B4342" s="3">
        <f t="shared" si="57"/>
        <v>1.2499999999999998</v>
      </c>
      <c r="C4342" s="3">
        <f t="shared" si="55"/>
        <v>1.2109374999999998</v>
      </c>
      <c r="D4342" s="3">
        <f>$B$3505*(A4342)+$B$3506*(A4342)^2/2-$B$3504*(A4342)^3/6-(N(D26)*MAX(0,(A4342)-N(E26))^2/2+N(F26)*MAX(0,(A4342)-N(G26))^2/2+N(H26)*MAX(0,(A4342)-N(I26))^2/2+N(J26)*MAX(0,(A4342)-N(K26))^2/2+N(L26)*MAX(0,(A4342)-N(M26))^2/2)+$B$3507</f>
        <v>-5.4250558217366489</v>
      </c>
      <c r="E4342" s="3">
        <f>$B$3505*(C4342)+$B$3506*(C4342)^2/2-$B$3504*(C4342)^3/6-(N(D26)*MAX(0,(C4342)-N(E26))^2/2+N(F26)*MAX(0,(C4342)-N(G26))^2/2+N(H26)*MAX(0,(C4342)-N(I26))^2/2+N(J26)*MAX(0,(C4342)-N(K26))^2/2+N(L26)*MAX(0,(C4342)-N(M26))^2/2)+$B$3507</f>
        <v>-2.7151803175608222</v>
      </c>
    </row>
    <row r="4343" spans="1:5" hidden="1">
      <c r="A4343" s="3">
        <f t="shared" si="56"/>
        <v>1.2109374999999998</v>
      </c>
      <c r="B4343" s="3">
        <f t="shared" si="57"/>
        <v>1.2499999999999998</v>
      </c>
      <c r="C4343" s="3">
        <f t="shared" si="55"/>
        <v>1.2304687499999998</v>
      </c>
      <c r="D4343" s="3">
        <f>$B$3505*(A4343)+$B$3506*(A4343)^2/2-$B$3504*(A4343)^3/6-(N(D26)*MAX(0,(A4343)-N(E26))^2/2+N(F26)*MAX(0,(A4343)-N(G26))^2/2+N(H26)*MAX(0,(A4343)-N(I26))^2/2+N(J26)*MAX(0,(A4343)-N(K26))^2/2+N(L26)*MAX(0,(A4343)-N(M26))^2/2)+$B$3507</f>
        <v>-2.7151803175608222</v>
      </c>
      <c r="E4343" s="3">
        <f>$B$3505*(C4343)+$B$3506*(C4343)^2/2-$B$3504*(C4343)^3/6-(N(D26)*MAX(0,(C4343)-N(E26))^2/2+N(F26)*MAX(0,(C4343)-N(G26))^2/2+N(H26)*MAX(0,(C4343)-N(I26))^2/2+N(J26)*MAX(0,(C4343)-N(K26))^2/2+N(L26)*MAX(0,(C4343)-N(M26))^2/2)+$B$3507</f>
        <v>-1.3579217096169742</v>
      </c>
    </row>
    <row r="4344" spans="1:5" hidden="1">
      <c r="A4344" s="3">
        <f t="shared" si="56"/>
        <v>1.2304687499999998</v>
      </c>
      <c r="B4344" s="3">
        <f t="shared" si="57"/>
        <v>1.2499999999999998</v>
      </c>
      <c r="C4344" s="3">
        <f t="shared" si="55"/>
        <v>1.2402343749999998</v>
      </c>
      <c r="D4344" s="3">
        <f>$B$3505*(A4344)+$B$3506*(A4344)^2/2-$B$3504*(A4344)^3/6-(N(D26)*MAX(0,(A4344)-N(E26))^2/2+N(F26)*MAX(0,(A4344)-N(G26))^2/2+N(H26)*MAX(0,(A4344)-N(I26))^2/2+N(J26)*MAX(0,(A4344)-N(K26))^2/2+N(L26)*MAX(0,(A4344)-N(M26))^2/2)+$B$3507</f>
        <v>-1.3579217096169742</v>
      </c>
      <c r="E4344" s="3">
        <f>$B$3505*(C4344)+$B$3506*(C4344)^2/2-$B$3504*(C4344)^3/6-(N(D26)*MAX(0,(C4344)-N(E26))^2/2+N(F26)*MAX(0,(C4344)-N(G26))^2/2+N(H26)*MAX(0,(C4344)-N(I26))^2/2+N(J26)*MAX(0,(C4344)-N(K26))^2/2+N(L26)*MAX(0,(C4344)-N(M26))^2/2)+$B$3507</f>
        <v>-0.6790022986630504</v>
      </c>
    </row>
    <row r="4345" spans="1:5" hidden="1">
      <c r="A4345" s="3">
        <f t="shared" si="56"/>
        <v>1.2402343749999998</v>
      </c>
      <c r="B4345" s="3">
        <f t="shared" si="57"/>
        <v>1.2499999999999998</v>
      </c>
      <c r="C4345" s="3">
        <f t="shared" si="55"/>
        <v>1.2451171874999998</v>
      </c>
      <c r="D4345" s="3">
        <f>$B$3505*(A4345)+$B$3506*(A4345)^2/2-$B$3504*(A4345)^3/6-(N(D26)*MAX(0,(A4345)-N(E26))^2/2+N(F26)*MAX(0,(A4345)-N(G26))^2/2+N(H26)*MAX(0,(A4345)-N(I26))^2/2+N(J26)*MAX(0,(A4345)-N(K26))^2/2+N(L26)*MAX(0,(A4345)-N(M26))^2/2)+$B$3507</f>
        <v>-0.6790022986630504</v>
      </c>
      <c r="E4345" s="3">
        <f>$B$3505*(C4345)+$B$3506*(C4345)^2/2-$B$3504*(C4345)^3/6-(N(D26)*MAX(0,(C4345)-N(E26))^2/2+N(F26)*MAX(0,(C4345)-N(G26))^2/2+N(H26)*MAX(0,(C4345)-N(I26))^2/2+N(J26)*MAX(0,(C4345)-N(K26))^2/2+N(L26)*MAX(0,(C4345)-N(M26))^2/2)+$B$3507</f>
        <v>-0.3395063298133465</v>
      </c>
    </row>
    <row r="4346" spans="1:5" hidden="1">
      <c r="A4346" s="3">
        <f t="shared" si="56"/>
        <v>1.2451171874999998</v>
      </c>
      <c r="B4346" s="3">
        <f t="shared" si="57"/>
        <v>1.2499999999999998</v>
      </c>
      <c r="C4346" s="3">
        <f t="shared" si="55"/>
        <v>1.2475585937499998</v>
      </c>
      <c r="D4346" s="3">
        <f>$B$3505*(A4346)+$B$3506*(A4346)^2/2-$B$3504*(A4346)^3/6-(N(D26)*MAX(0,(A4346)-N(E26))^2/2+N(F26)*MAX(0,(A4346)-N(G26))^2/2+N(H26)*MAX(0,(A4346)-N(I26))^2/2+N(J26)*MAX(0,(A4346)-N(K26))^2/2+N(L26)*MAX(0,(A4346)-N(M26))^2/2)+$B$3507</f>
        <v>-0.3395063298133465</v>
      </c>
      <c r="E4346" s="3">
        <f>$B$3505*(C4346)+$B$3506*(C4346)^2/2-$B$3504*(C4346)^3/6-(N(D26)*MAX(0,(C4346)-N(E26))^2/2+N(F26)*MAX(0,(C4346)-N(G26))^2/2+N(H26)*MAX(0,(C4346)-N(I26))^2/2+N(J26)*MAX(0,(C4346)-N(K26))^2/2+N(L26)*MAX(0,(C4346)-N(M26))^2/2)+$B$3507</f>
        <v>-0.16975381246689381</v>
      </c>
    </row>
    <row r="4347" spans="1:5" hidden="1">
      <c r="A4347" s="3">
        <f t="shared" si="56"/>
        <v>1.2475585937499998</v>
      </c>
      <c r="B4347" s="3">
        <f t="shared" si="57"/>
        <v>1.2499999999999998</v>
      </c>
      <c r="C4347" s="3">
        <f t="shared" si="55"/>
        <v>1.2487792968749998</v>
      </c>
      <c r="D4347" s="3">
        <f>$B$3505*(A4347)+$B$3506*(A4347)^2/2-$B$3504*(A4347)^3/6-(N(D26)*MAX(0,(A4347)-N(E26))^2/2+N(F26)*MAX(0,(A4347)-N(G26))^2/2+N(H26)*MAX(0,(A4347)-N(I26))^2/2+N(J26)*MAX(0,(A4347)-N(K26))^2/2+N(L26)*MAX(0,(A4347)-N(M26))^2/2)+$B$3507</f>
        <v>-0.16975381246689381</v>
      </c>
      <c r="E4347" s="3">
        <f>$B$3505*(C4347)+$B$3506*(C4347)^2/2-$B$3504*(C4347)^3/6-(N(D26)*MAX(0,(C4347)-N(E26))^2/2+N(F26)*MAX(0,(C4347)-N(G26))^2/2+N(H26)*MAX(0,(C4347)-N(I26))^2/2+N(J26)*MAX(0,(C4347)-N(K26))^2/2+N(L26)*MAX(0,(C4347)-N(M26))^2/2)+$B$3507</f>
        <v>-8.487698717847536E-2</v>
      </c>
    </row>
    <row r="4348" spans="1:5" hidden="1">
      <c r="A4348" s="3">
        <f t="shared" si="56"/>
        <v>1.2487792968749998</v>
      </c>
      <c r="B4348" s="3">
        <f t="shared" si="57"/>
        <v>1.2499999999999998</v>
      </c>
      <c r="C4348" s="3">
        <f t="shared" si="55"/>
        <v>1.2493896484374998</v>
      </c>
      <c r="D4348" s="3">
        <f>$B$3505*(A4348)+$B$3506*(A4348)^2/2-$B$3504*(A4348)^3/6-(N(D26)*MAX(0,(A4348)-N(E26))^2/2+N(F26)*MAX(0,(A4348)-N(G26))^2/2+N(H26)*MAX(0,(A4348)-N(I26))^2/2+N(J26)*MAX(0,(A4348)-N(K26))^2/2+N(L26)*MAX(0,(A4348)-N(M26))^2/2)+$B$3507</f>
        <v>-8.487698717847536E-2</v>
      </c>
      <c r="E4348" s="3">
        <f>$B$3505*(C4348)+$B$3506*(C4348)^2/2-$B$3504*(C4348)^3/6-(N(D26)*MAX(0,(C4348)-N(E26))^2/2+N(F26)*MAX(0,(C4348)-N(G26))^2/2+N(H26)*MAX(0,(C4348)-N(I26))^2/2+N(J26)*MAX(0,(C4348)-N(K26))^2/2+N(L26)*MAX(0,(C4348)-N(M26))^2/2)+$B$3507</f>
        <v>-4.2438503707359132E-2</v>
      </c>
    </row>
    <row r="4349" spans="1:5" hidden="1">
      <c r="A4349" s="3">
        <f t="shared" si="56"/>
        <v>1.2493896484374998</v>
      </c>
      <c r="B4349" s="3">
        <f t="shared" si="57"/>
        <v>1.2499999999999998</v>
      </c>
      <c r="C4349" s="3">
        <f t="shared" si="55"/>
        <v>1.2496948242187498</v>
      </c>
      <c r="D4349" s="3">
        <f>$B$3505*(A4349)+$B$3506*(A4349)^2/2-$B$3504*(A4349)^3/6-(N(D26)*MAX(0,(A4349)-N(E26))^2/2+N(F26)*MAX(0,(A4349)-N(G26))^2/2+N(H26)*MAX(0,(A4349)-N(I26))^2/2+N(J26)*MAX(0,(A4349)-N(K26))^2/2+N(L26)*MAX(0,(A4349)-N(M26))^2/2)+$B$3507</f>
        <v>-4.2438503707359132E-2</v>
      </c>
      <c r="E4349" s="3">
        <f>$B$3505*(C4349)+$B$3506*(C4349)^2/2-$B$3504*(C4349)^3/6-(N(D26)*MAX(0,(C4349)-N(E26))^2/2+N(F26)*MAX(0,(C4349)-N(G26))^2/2+N(H26)*MAX(0,(C4349)-N(I26))^2/2+N(J26)*MAX(0,(C4349)-N(K26))^2/2+N(L26)*MAX(0,(C4349)-N(M26))^2/2)+$B$3507</f>
        <v>-2.1219253118445636E-2</v>
      </c>
    </row>
    <row r="4350" spans="1:5" hidden="1">
      <c r="A4350" s="3">
        <f t="shared" si="56"/>
        <v>1.2496948242187498</v>
      </c>
      <c r="B4350" s="3">
        <f t="shared" si="57"/>
        <v>1.2499999999999998</v>
      </c>
      <c r="C4350" s="3">
        <f t="shared" si="55"/>
        <v>1.2498474121093748</v>
      </c>
      <c r="D4350" s="3">
        <f>$B$3505*(A4350)+$B$3506*(A4350)^2/2-$B$3504*(A4350)^3/6-(N(D26)*MAX(0,(A4350)-N(E26))^2/2+N(F26)*MAX(0,(A4350)-N(G26))^2/2+N(H26)*MAX(0,(A4350)-N(I26))^2/2+N(J26)*MAX(0,(A4350)-N(K26))^2/2+N(L26)*MAX(0,(A4350)-N(M26))^2/2)+$B$3507</f>
        <v>-2.1219253118445636E-2</v>
      </c>
      <c r="E4350" s="3">
        <f>$B$3505*(C4350)+$B$3506*(C4350)^2/2-$B$3504*(C4350)^3/6-(N(D26)*MAX(0,(C4350)-N(E26))^2/2+N(F26)*MAX(0,(C4350)-N(G26))^2/2+N(H26)*MAX(0,(C4350)-N(I26))^2/2+N(J26)*MAX(0,(C4350)-N(K26))^2/2+N(L26)*MAX(0,(C4350)-N(M26))^2/2)+$B$3507</f>
        <v>-1.0609626717311471E-2</v>
      </c>
    </row>
    <row r="4351" spans="1:5" hidden="1">
      <c r="A4351" s="3">
        <f t="shared" si="56"/>
        <v>1.2498474121093748</v>
      </c>
      <c r="B4351" s="3">
        <f t="shared" si="57"/>
        <v>1.2499999999999998</v>
      </c>
      <c r="C4351" s="3">
        <f t="shared" si="55"/>
        <v>1.2499237060546873</v>
      </c>
      <c r="D4351" s="3">
        <f>$B$3505*(A4351)+$B$3506*(A4351)^2/2-$B$3504*(A4351)^3/6-(N(D26)*MAX(0,(A4351)-N(E26))^2/2+N(F26)*MAX(0,(A4351)-N(G26))^2/2+N(H26)*MAX(0,(A4351)-N(I26))^2/2+N(J26)*MAX(0,(A4351)-N(K26))^2/2+N(L26)*MAX(0,(A4351)-N(M26))^2/2)+$B$3507</f>
        <v>-1.0609626717311471E-2</v>
      </c>
      <c r="E4351" s="3">
        <f>$B$3505*(C4351)+$B$3506*(C4351)^2/2-$B$3504*(C4351)^3/6-(N(D26)*MAX(0,(C4351)-N(E26))^2/2+N(F26)*MAX(0,(C4351)-N(G26))^2/2+N(H26)*MAX(0,(C4351)-N(I26))^2/2+N(J26)*MAX(0,(C4351)-N(K26))^2/2+N(L26)*MAX(0,(C4351)-N(M26))^2/2)+$B$3507</f>
        <v>-5.304813378415929E-3</v>
      </c>
    </row>
    <row r="4352" spans="1:5" hidden="1">
      <c r="A4352" s="3">
        <f t="shared" si="56"/>
        <v>1.2499237060546873</v>
      </c>
      <c r="B4352" s="3">
        <f t="shared" si="57"/>
        <v>1.2499999999999998</v>
      </c>
      <c r="C4352" s="3">
        <f t="shared" si="55"/>
        <v>1.2499618530273435</v>
      </c>
      <c r="D4352" s="3">
        <f>$B$3505*(A4352)+$B$3506*(A4352)^2/2-$B$3504*(A4352)^3/6-(N(D26)*MAX(0,(A4352)-N(E26))^2/2+N(F26)*MAX(0,(A4352)-N(G26))^2/2+N(H26)*MAX(0,(A4352)-N(I26))^2/2+N(J26)*MAX(0,(A4352)-N(K26))^2/2+N(L26)*MAX(0,(A4352)-N(M26))^2/2)+$B$3507</f>
        <v>-5.304813378415929E-3</v>
      </c>
      <c r="E4352" s="3">
        <f>$B$3505*(C4352)+$B$3506*(C4352)^2/2-$B$3504*(C4352)^3/6-(N(D26)*MAX(0,(C4352)-N(E26))^2/2+N(F26)*MAX(0,(C4352)-N(G26))^2/2+N(H26)*MAX(0,(C4352)-N(I26))^2/2+N(J26)*MAX(0,(C4352)-N(K26))^2/2+N(L26)*MAX(0,(C4352)-N(M26))^2/2)+$B$3507</f>
        <v>-2.6524066916664424E-3</v>
      </c>
    </row>
    <row r="4353" spans="1:5" hidden="1">
      <c r="A4353" s="3">
        <f t="shared" si="56"/>
        <v>1.2499618530273435</v>
      </c>
      <c r="B4353" s="3">
        <f t="shared" si="57"/>
        <v>1.2499999999999998</v>
      </c>
      <c r="C4353" s="3">
        <f t="shared" si="55"/>
        <v>1.2499809265136717</v>
      </c>
      <c r="D4353" s="3">
        <f>$B$3505*(A4353)+$B$3506*(A4353)^2/2-$B$3504*(A4353)^3/6-(N(D26)*MAX(0,(A4353)-N(E26))^2/2+N(F26)*MAX(0,(A4353)-N(G26))^2/2+N(H26)*MAX(0,(A4353)-N(I26))^2/2+N(J26)*MAX(0,(A4353)-N(K26))^2/2+N(L26)*MAX(0,(A4353)-N(M26))^2/2)+$B$3507</f>
        <v>-2.6524066916664424E-3</v>
      </c>
      <c r="E4353" s="3">
        <f>$B$3505*(C4353)+$B$3506*(C4353)^2/2-$B$3504*(C4353)^3/6-(N(D26)*MAX(0,(C4353)-N(E26))^2/2+N(F26)*MAX(0,(C4353)-N(G26))^2/2+N(H26)*MAX(0,(C4353)-N(I26))^2/2+N(J26)*MAX(0,(C4353)-N(K26))^2/2+N(L26)*MAX(0,(C4353)-N(M26))^2/2)+$B$3507</f>
        <v>-1.3262033461387546E-3</v>
      </c>
    </row>
    <row r="4354" spans="1:5" hidden="1">
      <c r="A4354" s="3">
        <f t="shared" si="56"/>
        <v>1.2499809265136717</v>
      </c>
      <c r="B4354" s="3">
        <f t="shared" si="57"/>
        <v>1.2499999999999998</v>
      </c>
      <c r="C4354" s="3">
        <f t="shared" si="55"/>
        <v>1.2499904632568357</v>
      </c>
      <c r="D4354" s="3">
        <f>$B$3505*(A4354)+$B$3506*(A4354)^2/2-$B$3504*(A4354)^3/6-(N(D26)*MAX(0,(A4354)-N(E26))^2/2+N(F26)*MAX(0,(A4354)-N(G26))^2/2+N(H26)*MAX(0,(A4354)-N(I26))^2/2+N(J26)*MAX(0,(A4354)-N(K26))^2/2+N(L26)*MAX(0,(A4354)-N(M26))^2/2)+$B$3507</f>
        <v>-1.3262033461387546E-3</v>
      </c>
      <c r="E4354" s="3">
        <f>$B$3505*(C4354)+$B$3506*(C4354)^2/2-$B$3504*(C4354)^3/6-(N(D26)*MAX(0,(C4354)-N(E26))^2/2+N(F26)*MAX(0,(C4354)-N(G26))^2/2+N(H26)*MAX(0,(C4354)-N(I26))^2/2+N(J26)*MAX(0,(C4354)-N(K26))^2/2+N(L26)*MAX(0,(C4354)-N(M26))^2/2)+$B$3507</f>
        <v>-6.6310167309779899E-4</v>
      </c>
    </row>
    <row r="4355" spans="1:5" hidden="1">
      <c r="A4355" s="3">
        <f t="shared" si="56"/>
        <v>1.2499904632568357</v>
      </c>
      <c r="B4355" s="3">
        <f t="shared" si="57"/>
        <v>1.2499999999999998</v>
      </c>
      <c r="C4355" s="3">
        <f t="shared" si="55"/>
        <v>1.2499952316284177</v>
      </c>
      <c r="D4355" s="3">
        <f>$B$3505*(A4355)+$B$3506*(A4355)^2/2-$B$3504*(A4355)^3/6-(N(D26)*MAX(0,(A4355)-N(E26))^2/2+N(F26)*MAX(0,(A4355)-N(G26))^2/2+N(H26)*MAX(0,(A4355)-N(I26))^2/2+N(J26)*MAX(0,(A4355)-N(K26))^2/2+N(L26)*MAX(0,(A4355)-N(M26))^2/2)+$B$3507</f>
        <v>-6.6310167309779899E-4</v>
      </c>
      <c r="E4355" s="3">
        <f>$B$3505*(C4355)+$B$3506*(C4355)^2/2-$B$3504*(C4355)^3/6-(N(D26)*MAX(0,(C4355)-N(E26))^2/2+N(F26)*MAX(0,(C4355)-N(G26))^2/2+N(H26)*MAX(0,(C4355)-N(I26))^2/2+N(J26)*MAX(0,(C4355)-N(K26))^2/2+N(L26)*MAX(0,(C4355)-N(M26))^2/2)+$B$3507</f>
        <v>-3.315508365488995E-4</v>
      </c>
    </row>
    <row r="4356" spans="1:5" hidden="1">
      <c r="A4356" s="3">
        <f t="shared" si="56"/>
        <v>1.2499952316284177</v>
      </c>
      <c r="B4356" s="3">
        <f t="shared" si="57"/>
        <v>1.2499999999999998</v>
      </c>
      <c r="C4356" s="3">
        <f t="shared" si="55"/>
        <v>1.2499976158142088</v>
      </c>
      <c r="D4356" s="3">
        <f>$B$3505*(A4356)+$B$3506*(A4356)^2/2-$B$3504*(A4356)^3/6-(N(D26)*MAX(0,(A4356)-N(E26))^2/2+N(F26)*MAX(0,(A4356)-N(G26))^2/2+N(H26)*MAX(0,(A4356)-N(I26))^2/2+N(J26)*MAX(0,(A4356)-N(K26))^2/2+N(L26)*MAX(0,(A4356)-N(M26))^2/2)+$B$3507</f>
        <v>-3.315508365488995E-4</v>
      </c>
      <c r="E4356" s="3">
        <f>$B$3505*(C4356)+$B$3506*(C4356)^2/2-$B$3504*(C4356)^3/6-(N(D26)*MAX(0,(C4356)-N(E26))^2/2+N(F26)*MAX(0,(C4356)-N(G26))^2/2+N(H26)*MAX(0,(C4356)-N(I26))^2/2+N(J26)*MAX(0,(C4356)-N(K26))^2/2+N(L26)*MAX(0,(C4356)-N(M26))^2/2)+$B$3507</f>
        <v>-1.6577541826734432E-4</v>
      </c>
    </row>
    <row r="4357" spans="1:5" hidden="1">
      <c r="A4357" s="3">
        <f t="shared" si="56"/>
        <v>1.2499976158142088</v>
      </c>
      <c r="B4357" s="3">
        <f t="shared" si="57"/>
        <v>1.2499999999999998</v>
      </c>
      <c r="C4357" s="3">
        <f t="shared" si="55"/>
        <v>1.2499988079071043</v>
      </c>
      <c r="D4357" s="3">
        <f>$B$3505*(A4357)+$B$3506*(A4357)^2/2-$B$3504*(A4357)^3/6-(N(D26)*MAX(0,(A4357)-N(E26))^2/2+N(F26)*MAX(0,(A4357)-N(G26))^2/2+N(H26)*MAX(0,(A4357)-N(I26))^2/2+N(J26)*MAX(0,(A4357)-N(K26))^2/2+N(L26)*MAX(0,(A4357)-N(M26))^2/2)+$B$3507</f>
        <v>-1.6577541826734432E-4</v>
      </c>
      <c r="E4357" s="3">
        <f>$B$3505*(C4357)+$B$3506*(C4357)^2/2-$B$3504*(C4357)^3/6-(N(D26)*MAX(0,(C4357)-N(E26))^2/2+N(F26)*MAX(0,(C4357)-N(G26))^2/2+N(H26)*MAX(0,(C4357)-N(I26))^2/2+N(J26)*MAX(0,(C4357)-N(K26))^2/2+N(L26)*MAX(0,(C4357)-N(M26))^2/2)+$B$3507</f>
        <v>-8.2887709140777588E-5</v>
      </c>
    </row>
    <row r="4358" spans="1:5" hidden="1">
      <c r="A4358" s="3">
        <f t="shared" si="56"/>
        <v>1.2499988079071043</v>
      </c>
      <c r="B4358" s="3">
        <f t="shared" si="57"/>
        <v>1.2499999999999998</v>
      </c>
      <c r="C4358" s="3">
        <f t="shared" si="55"/>
        <v>1.249999403953552</v>
      </c>
      <c r="D4358" s="3">
        <f>$B$3505*(A4358)+$B$3506*(A4358)^2/2-$B$3504*(A4358)^3/6-(N(D26)*MAX(0,(A4358)-N(E26))^2/2+N(F26)*MAX(0,(A4358)-N(G26))^2/2+N(H26)*MAX(0,(A4358)-N(I26))^2/2+N(J26)*MAX(0,(A4358)-N(K26))^2/2+N(L26)*MAX(0,(A4358)-N(M26))^2/2)+$B$3507</f>
        <v>-8.2887709140777588E-5</v>
      </c>
      <c r="E4358" s="3">
        <f>$B$3505*(C4358)+$B$3506*(C4358)^2/2-$B$3504*(C4358)^3/6-(N(D26)*MAX(0,(C4358)-N(E26))^2/2+N(F26)*MAX(0,(C4358)-N(G26))^2/2+N(H26)*MAX(0,(C4358)-N(I26))^2/2+N(J26)*MAX(0,(C4358)-N(K26))^2/2+N(L26)*MAX(0,(C4358)-N(M26))^2/2)+$B$3507</f>
        <v>-4.1443854570388794E-5</v>
      </c>
    </row>
    <row r="4359" spans="1:5" hidden="1">
      <c r="A4359" s="3">
        <f t="shared" si="56"/>
        <v>1.249999403953552</v>
      </c>
      <c r="B4359" s="3">
        <f t="shared" si="57"/>
        <v>1.2499999999999998</v>
      </c>
      <c r="C4359" s="3">
        <f t="shared" si="55"/>
        <v>1.2499997019767759</v>
      </c>
      <c r="D4359" s="3">
        <f>$B$3505*(A4359)+$B$3506*(A4359)^2/2-$B$3504*(A4359)^3/6-(N(D26)*MAX(0,(A4359)-N(E26))^2/2+N(F26)*MAX(0,(A4359)-N(G26))^2/2+N(H26)*MAX(0,(A4359)-N(I26))^2/2+N(J26)*MAX(0,(A4359)-N(K26))^2/2+N(L26)*MAX(0,(A4359)-N(M26))^2/2)+$B$3507</f>
        <v>-4.1443854570388794E-5</v>
      </c>
      <c r="E4359" s="3">
        <f>$B$3505*(C4359)+$B$3506*(C4359)^2/2-$B$3504*(C4359)^3/6-(N(D26)*MAX(0,(C4359)-N(E26))^2/2+N(F26)*MAX(0,(C4359)-N(G26))^2/2+N(H26)*MAX(0,(C4359)-N(I26))^2/2+N(J26)*MAX(0,(C4359)-N(K26))^2/2+N(L26)*MAX(0,(C4359)-N(M26))^2/2)+$B$3507</f>
        <v>-2.0721927285194397E-5</v>
      </c>
    </row>
    <row r="4360" spans="1:5" hidden="1">
      <c r="A4360" s="3">
        <f t="shared" si="56"/>
        <v>1.2499997019767759</v>
      </c>
      <c r="B4360" s="3">
        <f t="shared" si="57"/>
        <v>1.2499999999999998</v>
      </c>
      <c r="C4360" s="3">
        <f t="shared" si="55"/>
        <v>1.2499998509883878</v>
      </c>
      <c r="D4360" s="3">
        <f>$B$3505*(A4360)+$B$3506*(A4360)^2/2-$B$3504*(A4360)^3/6-(N(D26)*MAX(0,(A4360)-N(E26))^2/2+N(F26)*MAX(0,(A4360)-N(G26))^2/2+N(H26)*MAX(0,(A4360)-N(I26))^2/2+N(J26)*MAX(0,(A4360)-N(K26))^2/2+N(L26)*MAX(0,(A4360)-N(M26))^2/2)+$B$3507</f>
        <v>-2.0721927285194397E-5</v>
      </c>
      <c r="E4360" s="3">
        <f>$B$3505*(C4360)+$B$3506*(C4360)^2/2-$B$3504*(C4360)^3/6-(N(D26)*MAX(0,(C4360)-N(E26))^2/2+N(F26)*MAX(0,(C4360)-N(G26))^2/2+N(H26)*MAX(0,(C4360)-N(I26))^2/2+N(J26)*MAX(0,(C4360)-N(K26))^2/2+N(L26)*MAX(0,(C4360)-N(M26))^2/2)+$B$3507</f>
        <v>-1.0360963628386344E-5</v>
      </c>
    </row>
    <row r="4361" spans="1:5" hidden="1">
      <c r="A4361" s="3">
        <f t="shared" si="56"/>
        <v>1.2499998509883878</v>
      </c>
      <c r="B4361" s="3">
        <f t="shared" si="57"/>
        <v>1.2499999999999998</v>
      </c>
      <c r="C4361" s="3">
        <f t="shared" si="55"/>
        <v>1.2499999254941938</v>
      </c>
      <c r="D4361" s="3">
        <f>$B$3505*(A4361)+$B$3506*(A4361)^2/2-$B$3504*(A4361)^3/6-(N(D26)*MAX(0,(A4361)-N(E26))^2/2+N(F26)*MAX(0,(A4361)-N(G26))^2/2+N(H26)*MAX(0,(A4361)-N(I26))^2/2+N(J26)*MAX(0,(A4361)-N(K26))^2/2+N(L26)*MAX(0,(A4361)-N(M26))^2/2)+$B$3507</f>
        <v>-1.0360963628386344E-5</v>
      </c>
      <c r="E4361" s="3">
        <f>$B$3505*(C4361)+$B$3506*(C4361)^2/2-$B$3504*(C4361)^3/6-(N(D26)*MAX(0,(C4361)-N(E26))^2/2+N(F26)*MAX(0,(C4361)-N(G26))^2/2+N(H26)*MAX(0,(C4361)-N(I26))^2/2+N(J26)*MAX(0,(C4361)-N(K26))^2/2+N(L26)*MAX(0,(C4361)-N(M26))^2/2)+$B$3507</f>
        <v>-5.1804818212985992E-6</v>
      </c>
    </row>
    <row r="4362" spans="1:5" hidden="1">
      <c r="A4362" s="3">
        <f t="shared" si="56"/>
        <v>1.2499999254941938</v>
      </c>
      <c r="B4362" s="3">
        <f t="shared" si="57"/>
        <v>1.2499999999999998</v>
      </c>
      <c r="C4362" s="3">
        <f t="shared" si="55"/>
        <v>1.2499999627470968</v>
      </c>
      <c r="D4362" s="3">
        <f>$B$3505*(A4362)+$B$3506*(A4362)^2/2-$B$3504*(A4362)^3/6-(N(D26)*MAX(0,(A4362)-N(E26))^2/2+N(F26)*MAX(0,(A4362)-N(G26))^2/2+N(H26)*MAX(0,(A4362)-N(I26))^2/2+N(J26)*MAX(0,(A4362)-N(K26))^2/2+N(L26)*MAX(0,(A4362)-N(M26))^2/2)+$B$3507</f>
        <v>-5.1804818212985992E-6</v>
      </c>
      <c r="E4362" s="3">
        <f>$B$3505*(C4362)+$B$3506*(C4362)^2/2-$B$3504*(C4362)^3/6-(N(D26)*MAX(0,(C4362)-N(E26))^2/2+N(F26)*MAX(0,(C4362)-N(G26))^2/2+N(H26)*MAX(0,(C4362)-N(I26))^2/2+N(J26)*MAX(0,(C4362)-N(K26))^2/2+N(L26)*MAX(0,(C4362)-N(M26))^2/2)+$B$3507</f>
        <v>-2.5902409106492996E-6</v>
      </c>
    </row>
    <row r="4363" spans="1:5" hidden="1">
      <c r="A4363" s="3">
        <f t="shared" si="56"/>
        <v>1.2499999627470968</v>
      </c>
      <c r="B4363" s="3">
        <f t="shared" si="57"/>
        <v>1.2499999999999998</v>
      </c>
      <c r="C4363" s="3">
        <f t="shared" si="55"/>
        <v>1.2499999813735483</v>
      </c>
      <c r="D4363" s="3">
        <f>$B$3505*(A4363)+$B$3506*(A4363)^2/2-$B$3504*(A4363)^3/6-(N(D26)*MAX(0,(A4363)-N(E26))^2/2+N(F26)*MAX(0,(A4363)-N(G26))^2/2+N(H26)*MAX(0,(A4363)-N(I26))^2/2+N(J26)*MAX(0,(A4363)-N(K26))^2/2+N(L26)*MAX(0,(A4363)-N(M26))^2/2)+$B$3507</f>
        <v>-2.5902409106492996E-6</v>
      </c>
      <c r="E4363" s="3">
        <f>$B$3505*(C4363)+$B$3506*(C4363)^2/2-$B$3504*(C4363)^3/6-(N(D26)*MAX(0,(C4363)-N(E26))^2/2+N(F26)*MAX(0,(C4363)-N(G26))^2/2+N(H26)*MAX(0,(C4363)-N(I26))^2/2+N(J26)*MAX(0,(C4363)-N(K26))^2/2+N(L26)*MAX(0,(C4363)-N(M26))^2/2)+$B$3507</f>
        <v>-1.2951204553246498E-6</v>
      </c>
    </row>
    <row r="4364" spans="1:5" hidden="1">
      <c r="A4364" s="3">
        <f t="shared" si="56"/>
        <v>1.2499999813735483</v>
      </c>
      <c r="B4364" s="3">
        <f t="shared" si="57"/>
        <v>1.2499999999999998</v>
      </c>
      <c r="C4364" s="3">
        <f t="shared" si="55"/>
        <v>1.249999990686774</v>
      </c>
      <c r="D4364" s="3">
        <f>$B$3505*(A4364)+$B$3506*(A4364)^2/2-$B$3504*(A4364)^3/6-(N(D26)*MAX(0,(A4364)-N(E26))^2/2+N(F26)*MAX(0,(A4364)-N(G26))^2/2+N(H26)*MAX(0,(A4364)-N(I26))^2/2+N(J26)*MAX(0,(A4364)-N(K26))^2/2+N(L26)*MAX(0,(A4364)-N(M26))^2/2)+$B$3507</f>
        <v>-1.2951204553246498E-6</v>
      </c>
      <c r="E4364" s="3">
        <f>$B$3505*(C4364)+$B$3506*(C4364)^2/2-$B$3504*(C4364)^3/6-(N(D26)*MAX(0,(C4364)-N(E26))^2/2+N(F26)*MAX(0,(C4364)-N(G26))^2/2+N(H26)*MAX(0,(C4364)-N(I26))^2/2+N(J26)*MAX(0,(C4364)-N(K26))^2/2+N(L26)*MAX(0,(C4364)-N(M26))^2/2)+$B$3507</f>
        <v>-6.4756022766232491E-7</v>
      </c>
    </row>
    <row r="4365" spans="1:5" hidden="1">
      <c r="A4365" s="3">
        <f t="shared" si="56"/>
        <v>1.249999990686774</v>
      </c>
      <c r="B4365" s="3">
        <f t="shared" si="57"/>
        <v>1.2499999999999998</v>
      </c>
      <c r="C4365" s="3">
        <f t="shared" si="55"/>
        <v>1.2499999953433869</v>
      </c>
      <c r="D4365" s="3">
        <f>$B$3505*(A4365)+$B$3506*(A4365)^2/2-$B$3504*(A4365)^3/6-(N(D26)*MAX(0,(A4365)-N(E26))^2/2+N(F26)*MAX(0,(A4365)-N(G26))^2/2+N(H26)*MAX(0,(A4365)-N(I26))^2/2+N(J26)*MAX(0,(A4365)-N(K26))^2/2+N(L26)*MAX(0,(A4365)-N(M26))^2/2)+$B$3507</f>
        <v>-6.4756022766232491E-7</v>
      </c>
      <c r="E4365" s="3">
        <f>$B$3505*(C4365)+$B$3506*(C4365)^2/2-$B$3504*(C4365)^3/6-(N(D26)*MAX(0,(C4365)-N(E26))^2/2+N(F26)*MAX(0,(C4365)-N(G26))^2/2+N(H26)*MAX(0,(C4365)-N(I26))^2/2+N(J26)*MAX(0,(C4365)-N(K26))^2/2+N(L26)*MAX(0,(C4365)-N(M26))^2/2)+$B$3507</f>
        <v>-3.2378009962030774E-7</v>
      </c>
    </row>
    <row r="4366" spans="1:5" hidden="1">
      <c r="A4366" s="3">
        <f t="shared" si="56"/>
        <v>1.2499999953433869</v>
      </c>
      <c r="B4366" s="3">
        <f t="shared" si="57"/>
        <v>1.2499999999999998</v>
      </c>
      <c r="C4366" s="3">
        <f t="shared" si="55"/>
        <v>1.2499999976716933</v>
      </c>
      <c r="D4366" s="3">
        <f>$B$3505*(A4366)+$B$3506*(A4366)^2/2-$B$3504*(A4366)^3/6-(N(D26)*MAX(0,(A4366)-N(E26))^2/2+N(F26)*MAX(0,(A4366)-N(G26))^2/2+N(H26)*MAX(0,(A4366)-N(I26))^2/2+N(J26)*MAX(0,(A4366)-N(K26))^2/2+N(L26)*MAX(0,(A4366)-N(M26))^2/2)+$B$3507</f>
        <v>-3.2378009962030774E-7</v>
      </c>
      <c r="E4366" s="3">
        <f>$B$3505*(C4366)+$B$3506*(C4366)^2/2-$B$3504*(C4366)^3/6-(N(D26)*MAX(0,(C4366)-N(E26))^2/2+N(F26)*MAX(0,(C4366)-N(G26))^2/2+N(H26)*MAX(0,(C4366)-N(I26))^2/2+N(J26)*MAX(0,(C4366)-N(K26))^2/2+N(L26)*MAX(0,(C4366)-N(M26))^2/2)+$B$3507</f>
        <v>-1.6189004270472651E-7</v>
      </c>
    </row>
    <row r="4367" spans="1:5" hidden="1">
      <c r="A4367" s="3">
        <f t="shared" si="56"/>
        <v>1.2499999976716933</v>
      </c>
      <c r="B4367" s="3">
        <f t="shared" si="57"/>
        <v>1.2499999999999998</v>
      </c>
      <c r="C4367" s="3">
        <f t="shared" si="55"/>
        <v>1.2499999988358466</v>
      </c>
      <c r="D4367" s="3">
        <f>$B$3505*(A4367)+$B$3506*(A4367)^2/2-$B$3504*(A4367)^3/6-(N(D26)*MAX(0,(A4367)-N(E26))^2/2+N(F26)*MAX(0,(A4367)-N(G26))^2/2+N(H26)*MAX(0,(A4367)-N(I26))^2/2+N(J26)*MAX(0,(A4367)-N(K26))^2/2+N(L26)*MAX(0,(A4367)-N(M26))^2/2)+$B$3507</f>
        <v>-1.6189004270472651E-7</v>
      </c>
      <c r="E4367" s="3">
        <f>$B$3505*(C4367)+$B$3506*(C4367)^2/2-$B$3504*(C4367)^3/6-(N(D26)*MAX(0,(C4367)-N(E26))^2/2+N(F26)*MAX(0,(C4367)-N(G26))^2/2+N(H26)*MAX(0,(C4367)-N(I26))^2/2+N(J26)*MAX(0,(C4367)-N(K26))^2/2+N(L26)*MAX(0,(C4367)-N(M26))^2/2)+$B$3507</f>
        <v>-8.0945014246935898E-8</v>
      </c>
    </row>
    <row r="4368" spans="1:5" hidden="1">
      <c r="A4368" s="3">
        <f t="shared" si="56"/>
        <v>1.2499999988358466</v>
      </c>
      <c r="B4368" s="3">
        <f t="shared" si="57"/>
        <v>1.2499999999999998</v>
      </c>
      <c r="C4368" s="3">
        <f t="shared" si="55"/>
        <v>1.2499999994179232</v>
      </c>
      <c r="D4368" s="3">
        <f>$B$3505*(A4368)+$B$3506*(A4368)^2/2-$B$3504*(A4368)^3/6-(N(D26)*MAX(0,(A4368)-N(E26))^2/2+N(F26)*MAX(0,(A4368)-N(G26))^2/2+N(H26)*MAX(0,(A4368)-N(I26))^2/2+N(J26)*MAX(0,(A4368)-N(K26))^2/2+N(L26)*MAX(0,(A4368)-N(M26))^2/2)+$B$3507</f>
        <v>-8.0945014246935898E-8</v>
      </c>
      <c r="E4368" s="3">
        <f>$B$3505*(C4368)+$B$3506*(C4368)^2/2-$B$3504*(C4368)^3/6-(N(D26)*MAX(0,(C4368)-N(E26))^2/2+N(F26)*MAX(0,(C4368)-N(G26))^2/2+N(H26)*MAX(0,(C4368)-N(I26))^2/2+N(J26)*MAX(0,(C4368)-N(K26))^2/2+N(L26)*MAX(0,(C4368)-N(M26))^2/2)+$B$3507</f>
        <v>-4.0472500018040591E-8</v>
      </c>
    </row>
    <row r="4369" spans="1:5" hidden="1">
      <c r="A4369" s="3">
        <f t="shared" si="56"/>
        <v>1.2499999994179232</v>
      </c>
      <c r="B4369" s="3">
        <f t="shared" si="57"/>
        <v>1.2499999999999998</v>
      </c>
      <c r="C4369" s="3">
        <f t="shared" si="55"/>
        <v>1.2499999997089615</v>
      </c>
      <c r="D4369" s="3">
        <f>$B$3505*(A4369)+$B$3506*(A4369)^2/2-$B$3504*(A4369)^3/6-(N(D26)*MAX(0,(A4369)-N(E26))^2/2+N(F26)*MAX(0,(A4369)-N(G26))^2/2+N(H26)*MAX(0,(A4369)-N(I26))^2/2+N(J26)*MAX(0,(A4369)-N(K26))^2/2+N(L26)*MAX(0,(A4369)-N(M26))^2/2)+$B$3507</f>
        <v>-4.0472500018040591E-8</v>
      </c>
      <c r="E4369" s="3">
        <f>$B$3505*(C4369)+$B$3506*(C4369)^2/2-$B$3504*(C4369)^3/6-(N(D26)*MAX(0,(C4369)-N(E26))^2/2+N(F26)*MAX(0,(C4369)-N(G26))^2/2+N(H26)*MAX(0,(C4369)-N(I26))^2/2+N(J26)*MAX(0,(C4369)-N(K26))^2/2+N(L26)*MAX(0,(C4369)-N(M26))^2/2)+$B$3507</f>
        <v>-2.0236242903592938E-8</v>
      </c>
    </row>
    <row r="4370" spans="1:5" hidden="1">
      <c r="A4370" s="3">
        <f t="shared" si="56"/>
        <v>1.2499999997089615</v>
      </c>
      <c r="B4370" s="3">
        <f t="shared" si="57"/>
        <v>1.2499999999999998</v>
      </c>
      <c r="C4370" s="3">
        <f t="shared" si="55"/>
        <v>1.2499999998544806</v>
      </c>
      <c r="D4370" s="3">
        <f>$B$3505*(A4370)+$B$3506*(A4370)^2/2-$B$3504*(A4370)^3/6-(N(D26)*MAX(0,(A4370)-N(E26))^2/2+N(F26)*MAX(0,(A4370)-N(G26))^2/2+N(H26)*MAX(0,(A4370)-N(I26))^2/2+N(J26)*MAX(0,(A4370)-N(K26))^2/2+N(L26)*MAX(0,(A4370)-N(M26))^2/2)+$B$3507</f>
        <v>-2.0236242903592938E-8</v>
      </c>
      <c r="E4370" s="3">
        <f>$B$3505*(C4370)+$B$3506*(C4370)^2/2-$B$3504*(C4370)^3/6-(N(D26)*MAX(0,(C4370)-N(E26))^2/2+N(F26)*MAX(0,(C4370)-N(G26))^2/2+N(H26)*MAX(0,(C4370)-N(I26))^2/2+N(J26)*MAX(0,(C4370)-N(K26))^2/2+N(L26)*MAX(0,(C4370)-N(M26))^2/2)+$B$3507</f>
        <v>-1.0118114346369111E-8</v>
      </c>
    </row>
    <row r="4371" spans="1:5" hidden="1">
      <c r="A4371" s="3">
        <f t="shared" si="56"/>
        <v>1.2499999998544806</v>
      </c>
      <c r="B4371" s="3">
        <f t="shared" si="57"/>
        <v>1.2499999999999998</v>
      </c>
      <c r="C4371" s="3">
        <f t="shared" si="55"/>
        <v>1.2499999999272402</v>
      </c>
      <c r="D4371" s="3">
        <f>$B$3505*(A4371)+$B$3506*(A4371)^2/2-$B$3504*(A4371)^3/6-(N(D26)*MAX(0,(A4371)-N(E26))^2/2+N(F26)*MAX(0,(A4371)-N(G26))^2/2+N(H26)*MAX(0,(A4371)-N(I26))^2/2+N(J26)*MAX(0,(A4371)-N(K26))^2/2+N(L26)*MAX(0,(A4371)-N(M26))^2/2)+$B$3507</f>
        <v>-1.0118114346369111E-8</v>
      </c>
      <c r="E4371" s="3">
        <f>$B$3505*(C4371)+$B$3506*(C4371)^2/2-$B$3504*(C4371)^3/6-(N(D26)*MAX(0,(C4371)-N(E26))^2/2+N(F26)*MAX(0,(C4371)-N(G26))^2/2+N(H26)*MAX(0,(C4371)-N(I26))^2/2+N(J26)*MAX(0,(C4371)-N(K26))^2/2+N(L26)*MAX(0,(C4371)-N(M26))^2/2)+$B$3507</f>
        <v>-5.0590500677571981E-9</v>
      </c>
    </row>
    <row r="4372" spans="1:5" hidden="1">
      <c r="A4372" s="3">
        <f t="shared" si="56"/>
        <v>1.2499999999272402</v>
      </c>
      <c r="B4372" s="3">
        <f t="shared" si="57"/>
        <v>1.2499999999999998</v>
      </c>
      <c r="C4372" s="3">
        <f t="shared" si="55"/>
        <v>1.24999999996362</v>
      </c>
      <c r="D4372" s="3">
        <f>$B$3505*(A4372)+$B$3506*(A4372)^2/2-$B$3504*(A4372)^3/6-(N(D26)*MAX(0,(A4372)-N(E26))^2/2+N(F26)*MAX(0,(A4372)-N(G26))^2/2+N(H26)*MAX(0,(A4372)-N(I26))^2/2+N(J26)*MAX(0,(A4372)-N(K26))^2/2+N(L26)*MAX(0,(A4372)-N(M26))^2/2)+$B$3507</f>
        <v>-5.0590500677571981E-9</v>
      </c>
      <c r="E4372" s="3">
        <f>$B$3505*(C4372)+$B$3506*(C4372)^2/2-$B$3504*(C4372)^3/6-(N(D26)*MAX(0,(C4372)-N(E26))^2/2+N(F26)*MAX(0,(C4372)-N(G26))^2/2+N(H26)*MAX(0,(C4372)-N(I26))^2/2+N(J26)*MAX(0,(C4372)-N(K26))^2/2+N(L26)*MAX(0,(C4372)-N(M26))^2/2)+$B$3507</f>
        <v>-2.5295179284512415E-9</v>
      </c>
    </row>
    <row r="4373" spans="1:5" hidden="1">
      <c r="A4373" s="3">
        <f t="shared" si="56"/>
        <v>1.24999999996362</v>
      </c>
      <c r="B4373" s="3">
        <f t="shared" si="57"/>
        <v>1.2499999999999998</v>
      </c>
      <c r="C4373" s="3">
        <f t="shared" si="55"/>
        <v>1.2499999999818099</v>
      </c>
      <c r="D4373" s="3">
        <f>$B$3505*(A4373)+$B$3506*(A4373)^2/2-$B$3504*(A4373)^3/6-(N(D26)*MAX(0,(A4373)-N(E26))^2/2+N(F26)*MAX(0,(A4373)-N(G26))^2/2+N(H26)*MAX(0,(A4373)-N(I26))^2/2+N(J26)*MAX(0,(A4373)-N(K26))^2/2+N(L26)*MAX(0,(A4373)-N(M26))^2/2)+$B$3507</f>
        <v>-2.5295179284512415E-9</v>
      </c>
      <c r="E4373" s="3">
        <f>$B$3505*(C4373)+$B$3506*(C4373)^2/2-$B$3504*(C4373)^3/6-(N(D26)*MAX(0,(C4373)-N(E26))^2/2+N(F26)*MAX(0,(C4373)-N(G26))^2/2+N(H26)*MAX(0,(C4373)-N(I26))^2/2+N(J26)*MAX(0,(C4373)-N(K26))^2/2+N(L26)*MAX(0,(C4373)-N(M26))^2/2)+$B$3507</f>
        <v>-1.2647518587982631E-9</v>
      </c>
    </row>
    <row r="4374" spans="1:5" hidden="1">
      <c r="A4374" s="3">
        <f t="shared" si="56"/>
        <v>1.2499999999818099</v>
      </c>
      <c r="B4374" s="3">
        <f t="shared" si="57"/>
        <v>1.2499999999999998</v>
      </c>
      <c r="C4374" s="3">
        <f t="shared" si="55"/>
        <v>1.2499999999909048</v>
      </c>
      <c r="D4374" s="3">
        <f>$B$3505*(A4374)+$B$3506*(A4374)^2/2-$B$3504*(A4374)^3/6-(N(D26)*MAX(0,(A4374)-N(E26))^2/2+N(F26)*MAX(0,(A4374)-N(G26))^2/2+N(H26)*MAX(0,(A4374)-N(I26))^2/2+N(J26)*MAX(0,(A4374)-N(K26))^2/2+N(L26)*MAX(0,(A4374)-N(M26))^2/2)+$B$3507</f>
        <v>-1.2647518587982631E-9</v>
      </c>
      <c r="E4374" s="3">
        <f>$B$3505*(C4374)+$B$3506*(C4374)^2/2-$B$3504*(C4374)^3/6-(N(D26)*MAX(0,(C4374)-N(E26))^2/2+N(F26)*MAX(0,(C4374)-N(G26))^2/2+N(H26)*MAX(0,(C4374)-N(I26))^2/2+N(J26)*MAX(0,(C4374)-N(K26))^2/2+N(L26)*MAX(0,(C4374)-N(M26))^2/2)+$B$3507</f>
        <v>-6.3236882397177396E-10</v>
      </c>
    </row>
    <row r="4375" spans="1:5" hidden="1">
      <c r="A4375" s="3">
        <f t="shared" si="56"/>
        <v>1.2499999999909048</v>
      </c>
      <c r="B4375" s="3">
        <f t="shared" si="57"/>
        <v>1.2499999999999998</v>
      </c>
      <c r="C4375" s="3">
        <f t="shared" si="55"/>
        <v>1.2499999999954523</v>
      </c>
      <c r="D4375" s="3">
        <f>$B$3505*(A4375)+$B$3506*(A4375)^2/2-$B$3504*(A4375)^3/6-(N(D26)*MAX(0,(A4375)-N(E26))^2/2+N(F26)*MAX(0,(A4375)-N(G26))^2/2+N(H26)*MAX(0,(A4375)-N(I26))^2/2+N(J26)*MAX(0,(A4375)-N(K26))^2/2+N(L26)*MAX(0,(A4375)-N(M26))^2/2)+$B$3507</f>
        <v>-6.3236882397177396E-10</v>
      </c>
      <c r="E4375" s="3">
        <f>$B$3505*(C4375)+$B$3506*(C4375)^2/2-$B$3504*(C4375)^3/6-(N(D26)*MAX(0,(C4375)-N(E26))^2/2+N(F26)*MAX(0,(C4375)-N(G26))^2/2+N(H26)*MAX(0,(C4375)-N(I26))^2/2+N(J26)*MAX(0,(C4375)-N(K26))^2/2+N(L26)*MAX(0,(C4375)-N(M26))^2/2)+$B$3507</f>
        <v>-3.1617730655852938E-10</v>
      </c>
    </row>
    <row r="4376" spans="1:5" hidden="1">
      <c r="A4376" s="3">
        <f t="shared" si="56"/>
        <v>1.2499999999954523</v>
      </c>
      <c r="B4376" s="3">
        <f t="shared" si="57"/>
        <v>1.2499999999999998</v>
      </c>
      <c r="C4376" s="3">
        <f t="shared" si="55"/>
        <v>1.249999999997726</v>
      </c>
      <c r="D4376" s="3">
        <f>$B$3505*(A4376)+$B$3506*(A4376)^2/2-$B$3504*(A4376)^3/6-(N(D26)*MAX(0,(A4376)-N(E26))^2/2+N(F26)*MAX(0,(A4376)-N(G26))^2/2+N(H26)*MAX(0,(A4376)-N(I26))^2/2+N(J26)*MAX(0,(A4376)-N(K26))^2/2+N(L26)*MAX(0,(A4376)-N(M26))^2/2)+$B$3507</f>
        <v>-3.1617730655852938E-10</v>
      </c>
      <c r="E4376" s="3">
        <f>$B$3505*(C4376)+$B$3506*(C4376)^2/2-$B$3504*(C4376)^3/6-(N(D26)*MAX(0,(C4376)-N(E26))^2/2+N(F26)*MAX(0,(C4376)-N(G26))^2/2+N(H26)*MAX(0,(C4376)-N(I26))^2/2+N(J26)*MAX(0,(C4376)-N(K26))^2/2+N(L26)*MAX(0,(C4376)-N(M26))^2/2)+$B$3507</f>
        <v>-1.5808154785190709E-10</v>
      </c>
    </row>
    <row r="4377" spans="1:5" hidden="1">
      <c r="A4377" s="3">
        <f t="shared" si="56"/>
        <v>1.249999999997726</v>
      </c>
      <c r="B4377" s="3">
        <f t="shared" si="57"/>
        <v>1.2499999999999998</v>
      </c>
      <c r="C4377" s="3">
        <f t="shared" si="55"/>
        <v>1.2499999999988629</v>
      </c>
      <c r="D4377" s="3">
        <f>$B$3505*(A4377)+$B$3506*(A4377)^2/2-$B$3504*(A4377)^3/6-(N(D26)*MAX(0,(A4377)-N(E26))^2/2+N(F26)*MAX(0,(A4377)-N(G26))^2/2+N(H26)*MAX(0,(A4377)-N(I26))^2/2+N(J26)*MAX(0,(A4377)-N(K26))^2/2+N(L26)*MAX(0,(A4377)-N(M26))^2/2)+$B$3507</f>
        <v>-1.5808154785190709E-10</v>
      </c>
      <c r="E4377" s="3">
        <f>$B$3505*(C4377)+$B$3506*(C4377)^2/2-$B$3504*(C4377)^3/6-(N(D26)*MAX(0,(C4377)-N(E26))^2/2+N(F26)*MAX(0,(C4377)-N(G26))^2/2+N(H26)*MAX(0,(C4377)-N(I26))^2/2+N(J26)*MAX(0,(C4377)-N(K26))^2/2+N(L26)*MAX(0,(C4377)-N(M26))^2/2)+$B$3507</f>
        <v>-7.9040773925953545E-11</v>
      </c>
    </row>
    <row r="4378" spans="1:5" hidden="1">
      <c r="A4378" s="3">
        <f t="shared" si="56"/>
        <v>1.2499999999988629</v>
      </c>
      <c r="B4378" s="3">
        <f t="shared" si="57"/>
        <v>1.2499999999999998</v>
      </c>
      <c r="C4378" s="3">
        <f t="shared" si="55"/>
        <v>1.2499999999994313</v>
      </c>
      <c r="D4378" s="3">
        <f>$B$3505*(A4378)+$B$3506*(A4378)^2/2-$B$3504*(A4378)^3/6-(N(D26)*MAX(0,(A4378)-N(E26))^2/2+N(F26)*MAX(0,(A4378)-N(G26))^2/2+N(H26)*MAX(0,(A4378)-N(I26))^2/2+N(J26)*MAX(0,(A4378)-N(K26))^2/2+N(L26)*MAX(0,(A4378)-N(M26))^2/2)+$B$3507</f>
        <v>-7.9040773925953545E-11</v>
      </c>
      <c r="E4378" s="3">
        <f>$B$3505*(C4378)+$B$3506*(C4378)^2/2-$B$3504*(C4378)^3/6-(N(D26)*MAX(0,(C4378)-N(E26))^2/2+N(F26)*MAX(0,(C4378)-N(G26))^2/2+N(H26)*MAX(0,(C4378)-N(I26))^2/2+N(J26)*MAX(0,(C4378)-N(K26))^2/2+N(L26)*MAX(0,(C4378)-N(M26))^2/2)+$B$3507</f>
        <v>-3.9520386962976772E-11</v>
      </c>
    </row>
    <row r="4379" spans="1:5" hidden="1">
      <c r="A4379" s="3">
        <f t="shared" si="56"/>
        <v>1.2499999999994313</v>
      </c>
      <c r="B4379" s="3">
        <f t="shared" si="57"/>
        <v>1.2499999999999998</v>
      </c>
      <c r="C4379" s="3">
        <f t="shared" si="55"/>
        <v>1.2499999999997156</v>
      </c>
      <c r="D4379" s="3">
        <f>$B$3505*(A4379)+$B$3506*(A4379)^2/2-$B$3504*(A4379)^3/6-(N(D26)*MAX(0,(A4379)-N(E26))^2/2+N(F26)*MAX(0,(A4379)-N(G26))^2/2+N(H26)*MAX(0,(A4379)-N(I26))^2/2+N(J26)*MAX(0,(A4379)-N(K26))^2/2+N(L26)*MAX(0,(A4379)-N(M26))^2/2)+$B$3507</f>
        <v>-3.9520386962976772E-11</v>
      </c>
      <c r="E4379" s="3">
        <f>$B$3505*(C4379)+$B$3506*(C4379)^2/2-$B$3504*(C4379)^3/6-(N(D26)*MAX(0,(C4379)-N(E26))^2/2+N(F26)*MAX(0,(C4379)-N(G26))^2/2+N(H26)*MAX(0,(C4379)-N(I26))^2/2+N(J26)*MAX(0,(C4379)-N(K26))^2/2+N(L26)*MAX(0,(C4379)-N(M26))^2/2)+$B$3507</f>
        <v>-1.9767298908845987E-11</v>
      </c>
    </row>
    <row r="4380" spans="1:5" hidden="1">
      <c r="A4380" s="3">
        <f t="shared" si="56"/>
        <v>1.2499999999997156</v>
      </c>
      <c r="B4380" s="3">
        <f t="shared" si="57"/>
        <v>1.2499999999999998</v>
      </c>
      <c r="C4380" s="3">
        <f t="shared" si="55"/>
        <v>1.2499999999998577</v>
      </c>
      <c r="D4380" s="3">
        <f>$B$3505*(A4380)+$B$3506*(A4380)^2/2-$B$3504*(A4380)^3/6-(N(D26)*MAX(0,(A4380)-N(E26))^2/2+N(F26)*MAX(0,(A4380)-N(G26))^2/2+N(H26)*MAX(0,(A4380)-N(I26))^2/2+N(J26)*MAX(0,(A4380)-N(K26))^2/2+N(L26)*MAX(0,(A4380)-N(M26))^2/2)+$B$3507</f>
        <v>-1.9767298908845987E-11</v>
      </c>
      <c r="E4380" s="3">
        <f>$B$3505*(C4380)+$B$3506*(C4380)^2/2-$B$3504*(C4380)^3/6-(N(D26)*MAX(0,(C4380)-N(E26))^2/2+N(F26)*MAX(0,(C4380)-N(G26))^2/2+N(H26)*MAX(0,(C4380)-N(I26))^2/2+N(J26)*MAX(0,(C4380)-N(K26))^2/2+N(L26)*MAX(0,(C4380)-N(M26))^2/2)+$B$3507</f>
        <v>-9.8765440270653926E-12</v>
      </c>
    </row>
    <row r="4381" spans="1:5" hidden="1">
      <c r="A4381" s="3">
        <f t="shared" si="56"/>
        <v>1.2499999999998577</v>
      </c>
      <c r="B4381" s="3">
        <f t="shared" si="57"/>
        <v>1.2499999999999998</v>
      </c>
      <c r="C4381" s="3">
        <f t="shared" si="55"/>
        <v>1.2499999999999287</v>
      </c>
      <c r="D4381" s="3">
        <f>$B$3505*(A4381)+$B$3506*(A4381)^2/2-$B$3504*(A4381)^3/6-(N(D26)*MAX(0,(A4381)-N(E26))^2/2+N(F26)*MAX(0,(A4381)-N(G26))^2/2+N(H26)*MAX(0,(A4381)-N(I26))^2/2+N(J26)*MAX(0,(A4381)-N(K26))^2/2+N(L26)*MAX(0,(A4381)-N(M26))^2/2)+$B$3507</f>
        <v>-9.8765440270653926E-12</v>
      </c>
      <c r="E4381" s="3">
        <f>$B$3505*(C4381)+$B$3506*(C4381)^2/2-$B$3504*(C4381)^3/6-(N(D26)*MAX(0,(C4381)-N(E26))^2/2+N(F26)*MAX(0,(C4381)-N(G26))^2/2+N(H26)*MAX(0,(C4381)-N(I26))^2/2+N(J26)*MAX(0,(C4381)-N(K26))^2/2+N(L26)*MAX(0,(C4381)-N(M26))^2/2)+$B$3507</f>
        <v>-4.9453774408902973E-12</v>
      </c>
    </row>
    <row r="4382" spans="1:5" hidden="1"/>
    <row r="4383" spans="1:5" hidden="1">
      <c r="A4383" s="3">
        <f>B3558</f>
        <v>2.4999999999999996</v>
      </c>
      <c r="B4383" s="3">
        <f>IF(($B$3505*(B3558)+$B$3506*(B3558)^2/2-$B$3504*(B3558)^3/6-(N(D26)*MAX(0,(B3558)-N(E26))^2/2+N(F26)*MAX(0,(B3558)-N(G26))^2/2+N(H26)*MAX(0,(B3558)-N(I26))^2/2+N(J26)*MAX(0,(B3558)-N(K26))^2/2+N(L26)*MAX(0,(B3558)-N(M26))^2/2)+$B$3507)*($B$3505*(B3559)+$B$3506*(B3559)^2/2-$B$3504*(B3559)^3/6-(N(D26)*MAX(0,(B3559)-N(E26))^2/2+N(F26)*MAX(0,(B3559)-N(G26))^2/2+N(H26)*MAX(0,(B3559)-N(I26))^2/2+N(J26)*MAX(0,(B3559)-N(K26))^2/2+N(L26)*MAX(0,(B3559)-N(M26))^2/2)+$B$3507)&lt;=0,B3559,B3558)</f>
        <v>2.4999999999999996</v>
      </c>
      <c r="C4383" s="3">
        <f t="shared" ref="C4383:C4427" si="58">(A4383+B4383)/2</f>
        <v>2.4999999999999996</v>
      </c>
      <c r="D4383" s="3">
        <f>$B$3505*(A4383)+$B$3506*(A4383)^2/2-$B$3504*(A4383)^3/6-(N(D26)*MAX(0,(A4383)-N(E26))^2/2+N(F26)*MAX(0,(A4383)-N(G26))^2/2+N(H26)*MAX(0,(A4383)-N(I26))^2/2+N(J26)*MAX(0,(A4383)-N(K26))^2/2+N(L26)*MAX(0,(A4383)-N(M26))^2/2)+$B$3507</f>
        <v>57.942708333333357</v>
      </c>
      <c r="E4383" s="3">
        <f>$B$3505*(C4383)+$B$3506*(C4383)^2/2-$B$3504*(C4383)^3/6-(N(D26)*MAX(0,(C4383)-N(E26))^2/2+N(F26)*MAX(0,(C4383)-N(G26))^2/2+N(H26)*MAX(0,(C4383)-N(I26))^2/2+N(J26)*MAX(0,(C4383)-N(K26))^2/2+N(L26)*MAX(0,(C4383)-N(M26))^2/2)+$B$3507</f>
        <v>57.942708333333357</v>
      </c>
    </row>
    <row r="4384" spans="1:5" hidden="1">
      <c r="A4384" s="3">
        <f t="shared" ref="A4384:A4427" si="59">IF(D4383*E4383&lt;=0,A4383,C4383)</f>
        <v>2.4999999999999996</v>
      </c>
      <c r="B4384" s="3">
        <f t="shared" ref="B4384:B4427" si="60">IF(D4383*E4383&lt;=0,C4383,B4383)</f>
        <v>2.4999999999999996</v>
      </c>
      <c r="C4384" s="3">
        <f t="shared" si="58"/>
        <v>2.4999999999999996</v>
      </c>
      <c r="D4384" s="3">
        <f>$B$3505*(A4384)+$B$3506*(A4384)^2/2-$B$3504*(A4384)^3/6-(N(D26)*MAX(0,(A4384)-N(E26))^2/2+N(F26)*MAX(0,(A4384)-N(G26))^2/2+N(H26)*MAX(0,(A4384)-N(I26))^2/2+N(J26)*MAX(0,(A4384)-N(K26))^2/2+N(L26)*MAX(0,(A4384)-N(M26))^2/2)+$B$3507</f>
        <v>57.942708333333357</v>
      </c>
      <c r="E4384" s="3">
        <f>$B$3505*(C4384)+$B$3506*(C4384)^2/2-$B$3504*(C4384)^3/6-(N(D26)*MAX(0,(C4384)-N(E26))^2/2+N(F26)*MAX(0,(C4384)-N(G26))^2/2+N(H26)*MAX(0,(C4384)-N(I26))^2/2+N(J26)*MAX(0,(C4384)-N(K26))^2/2+N(L26)*MAX(0,(C4384)-N(M26))^2/2)+$B$3507</f>
        <v>57.942708333333357</v>
      </c>
    </row>
    <row r="4385" spans="1:5" hidden="1">
      <c r="A4385" s="3">
        <f t="shared" si="59"/>
        <v>2.4999999999999996</v>
      </c>
      <c r="B4385" s="3">
        <f t="shared" si="60"/>
        <v>2.4999999999999996</v>
      </c>
      <c r="C4385" s="3">
        <f t="shared" si="58"/>
        <v>2.4999999999999996</v>
      </c>
      <c r="D4385" s="3">
        <f>$B$3505*(A4385)+$B$3506*(A4385)^2/2-$B$3504*(A4385)^3/6-(N(D26)*MAX(0,(A4385)-N(E26))^2/2+N(F26)*MAX(0,(A4385)-N(G26))^2/2+N(H26)*MAX(0,(A4385)-N(I26))^2/2+N(J26)*MAX(0,(A4385)-N(K26))^2/2+N(L26)*MAX(0,(A4385)-N(M26))^2/2)+$B$3507</f>
        <v>57.942708333333357</v>
      </c>
      <c r="E4385" s="3">
        <f>$B$3505*(C4385)+$B$3506*(C4385)^2/2-$B$3504*(C4385)^3/6-(N(D26)*MAX(0,(C4385)-N(E26))^2/2+N(F26)*MAX(0,(C4385)-N(G26))^2/2+N(H26)*MAX(0,(C4385)-N(I26))^2/2+N(J26)*MAX(0,(C4385)-N(K26))^2/2+N(L26)*MAX(0,(C4385)-N(M26))^2/2)+$B$3507</f>
        <v>57.942708333333357</v>
      </c>
    </row>
    <row r="4386" spans="1:5" hidden="1">
      <c r="A4386" s="3">
        <f t="shared" si="59"/>
        <v>2.4999999999999996</v>
      </c>
      <c r="B4386" s="3">
        <f t="shared" si="60"/>
        <v>2.4999999999999996</v>
      </c>
      <c r="C4386" s="3">
        <f t="shared" si="58"/>
        <v>2.4999999999999996</v>
      </c>
      <c r="D4386" s="3">
        <f>$B$3505*(A4386)+$B$3506*(A4386)^2/2-$B$3504*(A4386)^3/6-(N(D26)*MAX(0,(A4386)-N(E26))^2/2+N(F26)*MAX(0,(A4386)-N(G26))^2/2+N(H26)*MAX(0,(A4386)-N(I26))^2/2+N(J26)*MAX(0,(A4386)-N(K26))^2/2+N(L26)*MAX(0,(A4386)-N(M26))^2/2)+$B$3507</f>
        <v>57.942708333333357</v>
      </c>
      <c r="E4386" s="3">
        <f>$B$3505*(C4386)+$B$3506*(C4386)^2/2-$B$3504*(C4386)^3/6-(N(D26)*MAX(0,(C4386)-N(E26))^2/2+N(F26)*MAX(0,(C4386)-N(G26))^2/2+N(H26)*MAX(0,(C4386)-N(I26))^2/2+N(J26)*MAX(0,(C4386)-N(K26))^2/2+N(L26)*MAX(0,(C4386)-N(M26))^2/2)+$B$3507</f>
        <v>57.942708333333357</v>
      </c>
    </row>
    <row r="4387" spans="1:5" hidden="1">
      <c r="A4387" s="3">
        <f t="shared" si="59"/>
        <v>2.4999999999999996</v>
      </c>
      <c r="B4387" s="3">
        <f t="shared" si="60"/>
        <v>2.4999999999999996</v>
      </c>
      <c r="C4387" s="3">
        <f t="shared" si="58"/>
        <v>2.4999999999999996</v>
      </c>
      <c r="D4387" s="3">
        <f>$B$3505*(A4387)+$B$3506*(A4387)^2/2-$B$3504*(A4387)^3/6-(N(D26)*MAX(0,(A4387)-N(E26))^2/2+N(F26)*MAX(0,(A4387)-N(G26))^2/2+N(H26)*MAX(0,(A4387)-N(I26))^2/2+N(J26)*MAX(0,(A4387)-N(K26))^2/2+N(L26)*MAX(0,(A4387)-N(M26))^2/2)+$B$3507</f>
        <v>57.942708333333357</v>
      </c>
      <c r="E4387" s="3">
        <f>$B$3505*(C4387)+$B$3506*(C4387)^2/2-$B$3504*(C4387)^3/6-(N(D26)*MAX(0,(C4387)-N(E26))^2/2+N(F26)*MAX(0,(C4387)-N(G26))^2/2+N(H26)*MAX(0,(C4387)-N(I26))^2/2+N(J26)*MAX(0,(C4387)-N(K26))^2/2+N(L26)*MAX(0,(C4387)-N(M26))^2/2)+$B$3507</f>
        <v>57.942708333333357</v>
      </c>
    </row>
    <row r="4388" spans="1:5" hidden="1">
      <c r="A4388" s="3">
        <f t="shared" si="59"/>
        <v>2.4999999999999996</v>
      </c>
      <c r="B4388" s="3">
        <f t="shared" si="60"/>
        <v>2.4999999999999996</v>
      </c>
      <c r="C4388" s="3">
        <f t="shared" si="58"/>
        <v>2.4999999999999996</v>
      </c>
      <c r="D4388" s="3">
        <f>$B$3505*(A4388)+$B$3506*(A4388)^2/2-$B$3504*(A4388)^3/6-(N(D26)*MAX(0,(A4388)-N(E26))^2/2+N(F26)*MAX(0,(A4388)-N(G26))^2/2+N(H26)*MAX(0,(A4388)-N(I26))^2/2+N(J26)*MAX(0,(A4388)-N(K26))^2/2+N(L26)*MAX(0,(A4388)-N(M26))^2/2)+$B$3507</f>
        <v>57.942708333333357</v>
      </c>
      <c r="E4388" s="3">
        <f>$B$3505*(C4388)+$B$3506*(C4388)^2/2-$B$3504*(C4388)^3/6-(N(D26)*MAX(0,(C4388)-N(E26))^2/2+N(F26)*MAX(0,(C4388)-N(G26))^2/2+N(H26)*MAX(0,(C4388)-N(I26))^2/2+N(J26)*MAX(0,(C4388)-N(K26))^2/2+N(L26)*MAX(0,(C4388)-N(M26))^2/2)+$B$3507</f>
        <v>57.942708333333357</v>
      </c>
    </row>
    <row r="4389" spans="1:5" hidden="1">
      <c r="A4389" s="3">
        <f t="shared" si="59"/>
        <v>2.4999999999999996</v>
      </c>
      <c r="B4389" s="3">
        <f t="shared" si="60"/>
        <v>2.4999999999999996</v>
      </c>
      <c r="C4389" s="3">
        <f t="shared" si="58"/>
        <v>2.4999999999999996</v>
      </c>
      <c r="D4389" s="3">
        <f>$B$3505*(A4389)+$B$3506*(A4389)^2/2-$B$3504*(A4389)^3/6-(N(D26)*MAX(0,(A4389)-N(E26))^2/2+N(F26)*MAX(0,(A4389)-N(G26))^2/2+N(H26)*MAX(0,(A4389)-N(I26))^2/2+N(J26)*MAX(0,(A4389)-N(K26))^2/2+N(L26)*MAX(0,(A4389)-N(M26))^2/2)+$B$3507</f>
        <v>57.942708333333357</v>
      </c>
      <c r="E4389" s="3">
        <f>$B$3505*(C4389)+$B$3506*(C4389)^2/2-$B$3504*(C4389)^3/6-(N(D26)*MAX(0,(C4389)-N(E26))^2/2+N(F26)*MAX(0,(C4389)-N(G26))^2/2+N(H26)*MAX(0,(C4389)-N(I26))^2/2+N(J26)*MAX(0,(C4389)-N(K26))^2/2+N(L26)*MAX(0,(C4389)-N(M26))^2/2)+$B$3507</f>
        <v>57.942708333333357</v>
      </c>
    </row>
    <row r="4390" spans="1:5" hidden="1">
      <c r="A4390" s="3">
        <f t="shared" si="59"/>
        <v>2.4999999999999996</v>
      </c>
      <c r="B4390" s="3">
        <f t="shared" si="60"/>
        <v>2.4999999999999996</v>
      </c>
      <c r="C4390" s="3">
        <f t="shared" si="58"/>
        <v>2.4999999999999996</v>
      </c>
      <c r="D4390" s="3">
        <f>$B$3505*(A4390)+$B$3506*(A4390)^2/2-$B$3504*(A4390)^3/6-(N(D26)*MAX(0,(A4390)-N(E26))^2/2+N(F26)*MAX(0,(A4390)-N(G26))^2/2+N(H26)*MAX(0,(A4390)-N(I26))^2/2+N(J26)*MAX(0,(A4390)-N(K26))^2/2+N(L26)*MAX(0,(A4390)-N(M26))^2/2)+$B$3507</f>
        <v>57.942708333333357</v>
      </c>
      <c r="E4390" s="3">
        <f>$B$3505*(C4390)+$B$3506*(C4390)^2/2-$B$3504*(C4390)^3/6-(N(D26)*MAX(0,(C4390)-N(E26))^2/2+N(F26)*MAX(0,(C4390)-N(G26))^2/2+N(H26)*MAX(0,(C4390)-N(I26))^2/2+N(J26)*MAX(0,(C4390)-N(K26))^2/2+N(L26)*MAX(0,(C4390)-N(M26))^2/2)+$B$3507</f>
        <v>57.942708333333357</v>
      </c>
    </row>
    <row r="4391" spans="1:5" hidden="1">
      <c r="A4391" s="3">
        <f t="shared" si="59"/>
        <v>2.4999999999999996</v>
      </c>
      <c r="B4391" s="3">
        <f t="shared" si="60"/>
        <v>2.4999999999999996</v>
      </c>
      <c r="C4391" s="3">
        <f t="shared" si="58"/>
        <v>2.4999999999999996</v>
      </c>
      <c r="D4391" s="3">
        <f>$B$3505*(A4391)+$B$3506*(A4391)^2/2-$B$3504*(A4391)^3/6-(N(D26)*MAX(0,(A4391)-N(E26))^2/2+N(F26)*MAX(0,(A4391)-N(G26))^2/2+N(H26)*MAX(0,(A4391)-N(I26))^2/2+N(J26)*MAX(0,(A4391)-N(K26))^2/2+N(L26)*MAX(0,(A4391)-N(M26))^2/2)+$B$3507</f>
        <v>57.942708333333357</v>
      </c>
      <c r="E4391" s="3">
        <f>$B$3505*(C4391)+$B$3506*(C4391)^2/2-$B$3504*(C4391)^3/6-(N(D26)*MAX(0,(C4391)-N(E26))^2/2+N(F26)*MAX(0,(C4391)-N(G26))^2/2+N(H26)*MAX(0,(C4391)-N(I26))^2/2+N(J26)*MAX(0,(C4391)-N(K26))^2/2+N(L26)*MAX(0,(C4391)-N(M26))^2/2)+$B$3507</f>
        <v>57.942708333333357</v>
      </c>
    </row>
    <row r="4392" spans="1:5" hidden="1">
      <c r="A4392" s="3">
        <f t="shared" si="59"/>
        <v>2.4999999999999996</v>
      </c>
      <c r="B4392" s="3">
        <f t="shared" si="60"/>
        <v>2.4999999999999996</v>
      </c>
      <c r="C4392" s="3">
        <f t="shared" si="58"/>
        <v>2.4999999999999996</v>
      </c>
      <c r="D4392" s="3">
        <f>$B$3505*(A4392)+$B$3506*(A4392)^2/2-$B$3504*(A4392)^3/6-(N(D26)*MAX(0,(A4392)-N(E26))^2/2+N(F26)*MAX(0,(A4392)-N(G26))^2/2+N(H26)*MAX(0,(A4392)-N(I26))^2/2+N(J26)*MAX(0,(A4392)-N(K26))^2/2+N(L26)*MAX(0,(A4392)-N(M26))^2/2)+$B$3507</f>
        <v>57.942708333333357</v>
      </c>
      <c r="E4392" s="3">
        <f>$B$3505*(C4392)+$B$3506*(C4392)^2/2-$B$3504*(C4392)^3/6-(N(D26)*MAX(0,(C4392)-N(E26))^2/2+N(F26)*MAX(0,(C4392)-N(G26))^2/2+N(H26)*MAX(0,(C4392)-N(I26))^2/2+N(J26)*MAX(0,(C4392)-N(K26))^2/2+N(L26)*MAX(0,(C4392)-N(M26))^2/2)+$B$3507</f>
        <v>57.942708333333357</v>
      </c>
    </row>
    <row r="4393" spans="1:5" hidden="1">
      <c r="A4393" s="3">
        <f t="shared" si="59"/>
        <v>2.4999999999999996</v>
      </c>
      <c r="B4393" s="3">
        <f t="shared" si="60"/>
        <v>2.4999999999999996</v>
      </c>
      <c r="C4393" s="3">
        <f t="shared" si="58"/>
        <v>2.4999999999999996</v>
      </c>
      <c r="D4393" s="3">
        <f>$B$3505*(A4393)+$B$3506*(A4393)^2/2-$B$3504*(A4393)^3/6-(N(D26)*MAX(0,(A4393)-N(E26))^2/2+N(F26)*MAX(0,(A4393)-N(G26))^2/2+N(H26)*MAX(0,(A4393)-N(I26))^2/2+N(J26)*MAX(0,(A4393)-N(K26))^2/2+N(L26)*MAX(0,(A4393)-N(M26))^2/2)+$B$3507</f>
        <v>57.942708333333357</v>
      </c>
      <c r="E4393" s="3">
        <f>$B$3505*(C4393)+$B$3506*(C4393)^2/2-$B$3504*(C4393)^3/6-(N(D26)*MAX(0,(C4393)-N(E26))^2/2+N(F26)*MAX(0,(C4393)-N(G26))^2/2+N(H26)*MAX(0,(C4393)-N(I26))^2/2+N(J26)*MAX(0,(C4393)-N(K26))^2/2+N(L26)*MAX(0,(C4393)-N(M26))^2/2)+$B$3507</f>
        <v>57.942708333333357</v>
      </c>
    </row>
    <row r="4394" spans="1:5" hidden="1">
      <c r="A4394" s="3">
        <f t="shared" si="59"/>
        <v>2.4999999999999996</v>
      </c>
      <c r="B4394" s="3">
        <f t="shared" si="60"/>
        <v>2.4999999999999996</v>
      </c>
      <c r="C4394" s="3">
        <f t="shared" si="58"/>
        <v>2.4999999999999996</v>
      </c>
      <c r="D4394" s="3">
        <f>$B$3505*(A4394)+$B$3506*(A4394)^2/2-$B$3504*(A4394)^3/6-(N(D26)*MAX(0,(A4394)-N(E26))^2/2+N(F26)*MAX(0,(A4394)-N(G26))^2/2+N(H26)*MAX(0,(A4394)-N(I26))^2/2+N(J26)*MAX(0,(A4394)-N(K26))^2/2+N(L26)*MAX(0,(A4394)-N(M26))^2/2)+$B$3507</f>
        <v>57.942708333333357</v>
      </c>
      <c r="E4394" s="3">
        <f>$B$3505*(C4394)+$B$3506*(C4394)^2/2-$B$3504*(C4394)^3/6-(N(D26)*MAX(0,(C4394)-N(E26))^2/2+N(F26)*MAX(0,(C4394)-N(G26))^2/2+N(H26)*MAX(0,(C4394)-N(I26))^2/2+N(J26)*MAX(0,(C4394)-N(K26))^2/2+N(L26)*MAX(0,(C4394)-N(M26))^2/2)+$B$3507</f>
        <v>57.942708333333357</v>
      </c>
    </row>
    <row r="4395" spans="1:5" hidden="1">
      <c r="A4395" s="3">
        <f t="shared" si="59"/>
        <v>2.4999999999999996</v>
      </c>
      <c r="B4395" s="3">
        <f t="shared" si="60"/>
        <v>2.4999999999999996</v>
      </c>
      <c r="C4395" s="3">
        <f t="shared" si="58"/>
        <v>2.4999999999999996</v>
      </c>
      <c r="D4395" s="3">
        <f>$B$3505*(A4395)+$B$3506*(A4395)^2/2-$B$3504*(A4395)^3/6-(N(D26)*MAX(0,(A4395)-N(E26))^2/2+N(F26)*MAX(0,(A4395)-N(G26))^2/2+N(H26)*MAX(0,(A4395)-N(I26))^2/2+N(J26)*MAX(0,(A4395)-N(K26))^2/2+N(L26)*MAX(0,(A4395)-N(M26))^2/2)+$B$3507</f>
        <v>57.942708333333357</v>
      </c>
      <c r="E4395" s="3">
        <f>$B$3505*(C4395)+$B$3506*(C4395)^2/2-$B$3504*(C4395)^3/6-(N(D26)*MAX(0,(C4395)-N(E26))^2/2+N(F26)*MAX(0,(C4395)-N(G26))^2/2+N(H26)*MAX(0,(C4395)-N(I26))^2/2+N(J26)*MAX(0,(C4395)-N(K26))^2/2+N(L26)*MAX(0,(C4395)-N(M26))^2/2)+$B$3507</f>
        <v>57.942708333333357</v>
      </c>
    </row>
    <row r="4396" spans="1:5" hidden="1">
      <c r="A4396" s="3">
        <f t="shared" si="59"/>
        <v>2.4999999999999996</v>
      </c>
      <c r="B4396" s="3">
        <f t="shared" si="60"/>
        <v>2.4999999999999996</v>
      </c>
      <c r="C4396" s="3">
        <f t="shared" si="58"/>
        <v>2.4999999999999996</v>
      </c>
      <c r="D4396" s="3">
        <f>$B$3505*(A4396)+$B$3506*(A4396)^2/2-$B$3504*(A4396)^3/6-(N(D26)*MAX(0,(A4396)-N(E26))^2/2+N(F26)*MAX(0,(A4396)-N(G26))^2/2+N(H26)*MAX(0,(A4396)-N(I26))^2/2+N(J26)*MAX(0,(A4396)-N(K26))^2/2+N(L26)*MAX(0,(A4396)-N(M26))^2/2)+$B$3507</f>
        <v>57.942708333333357</v>
      </c>
      <c r="E4396" s="3">
        <f>$B$3505*(C4396)+$B$3506*(C4396)^2/2-$B$3504*(C4396)^3/6-(N(D26)*MAX(0,(C4396)-N(E26))^2/2+N(F26)*MAX(0,(C4396)-N(G26))^2/2+N(H26)*MAX(0,(C4396)-N(I26))^2/2+N(J26)*MAX(0,(C4396)-N(K26))^2/2+N(L26)*MAX(0,(C4396)-N(M26))^2/2)+$B$3507</f>
        <v>57.942708333333357</v>
      </c>
    </row>
    <row r="4397" spans="1:5" hidden="1">
      <c r="A4397" s="3">
        <f t="shared" si="59"/>
        <v>2.4999999999999996</v>
      </c>
      <c r="B4397" s="3">
        <f t="shared" si="60"/>
        <v>2.4999999999999996</v>
      </c>
      <c r="C4397" s="3">
        <f t="shared" si="58"/>
        <v>2.4999999999999996</v>
      </c>
      <c r="D4397" s="3">
        <f>$B$3505*(A4397)+$B$3506*(A4397)^2/2-$B$3504*(A4397)^3/6-(N(D26)*MAX(0,(A4397)-N(E26))^2/2+N(F26)*MAX(0,(A4397)-N(G26))^2/2+N(H26)*MAX(0,(A4397)-N(I26))^2/2+N(J26)*MAX(0,(A4397)-N(K26))^2/2+N(L26)*MAX(0,(A4397)-N(M26))^2/2)+$B$3507</f>
        <v>57.942708333333357</v>
      </c>
      <c r="E4397" s="3">
        <f>$B$3505*(C4397)+$B$3506*(C4397)^2/2-$B$3504*(C4397)^3/6-(N(D26)*MAX(0,(C4397)-N(E26))^2/2+N(F26)*MAX(0,(C4397)-N(G26))^2/2+N(H26)*MAX(0,(C4397)-N(I26))^2/2+N(J26)*MAX(0,(C4397)-N(K26))^2/2+N(L26)*MAX(0,(C4397)-N(M26))^2/2)+$B$3507</f>
        <v>57.942708333333357</v>
      </c>
    </row>
    <row r="4398" spans="1:5" hidden="1">
      <c r="A4398" s="3">
        <f t="shared" si="59"/>
        <v>2.4999999999999996</v>
      </c>
      <c r="B4398" s="3">
        <f t="shared" si="60"/>
        <v>2.4999999999999996</v>
      </c>
      <c r="C4398" s="3">
        <f t="shared" si="58"/>
        <v>2.4999999999999996</v>
      </c>
      <c r="D4398" s="3">
        <f>$B$3505*(A4398)+$B$3506*(A4398)^2/2-$B$3504*(A4398)^3/6-(N(D26)*MAX(0,(A4398)-N(E26))^2/2+N(F26)*MAX(0,(A4398)-N(G26))^2/2+N(H26)*MAX(0,(A4398)-N(I26))^2/2+N(J26)*MAX(0,(A4398)-N(K26))^2/2+N(L26)*MAX(0,(A4398)-N(M26))^2/2)+$B$3507</f>
        <v>57.942708333333357</v>
      </c>
      <c r="E4398" s="3">
        <f>$B$3505*(C4398)+$B$3506*(C4398)^2/2-$B$3504*(C4398)^3/6-(N(D26)*MAX(0,(C4398)-N(E26))^2/2+N(F26)*MAX(0,(C4398)-N(G26))^2/2+N(H26)*MAX(0,(C4398)-N(I26))^2/2+N(J26)*MAX(0,(C4398)-N(K26))^2/2+N(L26)*MAX(0,(C4398)-N(M26))^2/2)+$B$3507</f>
        <v>57.942708333333357</v>
      </c>
    </row>
    <row r="4399" spans="1:5" hidden="1">
      <c r="A4399" s="3">
        <f t="shared" si="59"/>
        <v>2.4999999999999996</v>
      </c>
      <c r="B4399" s="3">
        <f t="shared" si="60"/>
        <v>2.4999999999999996</v>
      </c>
      <c r="C4399" s="3">
        <f t="shared" si="58"/>
        <v>2.4999999999999996</v>
      </c>
      <c r="D4399" s="3">
        <f>$B$3505*(A4399)+$B$3506*(A4399)^2/2-$B$3504*(A4399)^3/6-(N(D26)*MAX(0,(A4399)-N(E26))^2/2+N(F26)*MAX(0,(A4399)-N(G26))^2/2+N(H26)*MAX(0,(A4399)-N(I26))^2/2+N(J26)*MAX(0,(A4399)-N(K26))^2/2+N(L26)*MAX(0,(A4399)-N(M26))^2/2)+$B$3507</f>
        <v>57.942708333333357</v>
      </c>
      <c r="E4399" s="3">
        <f>$B$3505*(C4399)+$B$3506*(C4399)^2/2-$B$3504*(C4399)^3/6-(N(D26)*MAX(0,(C4399)-N(E26))^2/2+N(F26)*MAX(0,(C4399)-N(G26))^2/2+N(H26)*MAX(0,(C4399)-N(I26))^2/2+N(J26)*MAX(0,(C4399)-N(K26))^2/2+N(L26)*MAX(0,(C4399)-N(M26))^2/2)+$B$3507</f>
        <v>57.942708333333357</v>
      </c>
    </row>
    <row r="4400" spans="1:5" hidden="1">
      <c r="A4400" s="3">
        <f t="shared" si="59"/>
        <v>2.4999999999999996</v>
      </c>
      <c r="B4400" s="3">
        <f t="shared" si="60"/>
        <v>2.4999999999999996</v>
      </c>
      <c r="C4400" s="3">
        <f t="shared" si="58"/>
        <v>2.4999999999999996</v>
      </c>
      <c r="D4400" s="3">
        <f>$B$3505*(A4400)+$B$3506*(A4400)^2/2-$B$3504*(A4400)^3/6-(N(D26)*MAX(0,(A4400)-N(E26))^2/2+N(F26)*MAX(0,(A4400)-N(G26))^2/2+N(H26)*MAX(0,(A4400)-N(I26))^2/2+N(J26)*MAX(0,(A4400)-N(K26))^2/2+N(L26)*MAX(0,(A4400)-N(M26))^2/2)+$B$3507</f>
        <v>57.942708333333357</v>
      </c>
      <c r="E4400" s="3">
        <f>$B$3505*(C4400)+$B$3506*(C4400)^2/2-$B$3504*(C4400)^3/6-(N(D26)*MAX(0,(C4400)-N(E26))^2/2+N(F26)*MAX(0,(C4400)-N(G26))^2/2+N(H26)*MAX(0,(C4400)-N(I26))^2/2+N(J26)*MAX(0,(C4400)-N(K26))^2/2+N(L26)*MAX(0,(C4400)-N(M26))^2/2)+$B$3507</f>
        <v>57.942708333333357</v>
      </c>
    </row>
    <row r="4401" spans="1:5" hidden="1">
      <c r="A4401" s="3">
        <f t="shared" si="59"/>
        <v>2.4999999999999996</v>
      </c>
      <c r="B4401" s="3">
        <f t="shared" si="60"/>
        <v>2.4999999999999996</v>
      </c>
      <c r="C4401" s="3">
        <f t="shared" si="58"/>
        <v>2.4999999999999996</v>
      </c>
      <c r="D4401" s="3">
        <f>$B$3505*(A4401)+$B$3506*(A4401)^2/2-$B$3504*(A4401)^3/6-(N(D26)*MAX(0,(A4401)-N(E26))^2/2+N(F26)*MAX(0,(A4401)-N(G26))^2/2+N(H26)*MAX(0,(A4401)-N(I26))^2/2+N(J26)*MAX(0,(A4401)-N(K26))^2/2+N(L26)*MAX(0,(A4401)-N(M26))^2/2)+$B$3507</f>
        <v>57.942708333333357</v>
      </c>
      <c r="E4401" s="3">
        <f>$B$3505*(C4401)+$B$3506*(C4401)^2/2-$B$3504*(C4401)^3/6-(N(D26)*MAX(0,(C4401)-N(E26))^2/2+N(F26)*MAX(0,(C4401)-N(G26))^2/2+N(H26)*MAX(0,(C4401)-N(I26))^2/2+N(J26)*MAX(0,(C4401)-N(K26))^2/2+N(L26)*MAX(0,(C4401)-N(M26))^2/2)+$B$3507</f>
        <v>57.942708333333357</v>
      </c>
    </row>
    <row r="4402" spans="1:5" hidden="1">
      <c r="A4402" s="3">
        <f t="shared" si="59"/>
        <v>2.4999999999999996</v>
      </c>
      <c r="B4402" s="3">
        <f t="shared" si="60"/>
        <v>2.4999999999999996</v>
      </c>
      <c r="C4402" s="3">
        <f t="shared" si="58"/>
        <v>2.4999999999999996</v>
      </c>
      <c r="D4402" s="3">
        <f>$B$3505*(A4402)+$B$3506*(A4402)^2/2-$B$3504*(A4402)^3/6-(N(D26)*MAX(0,(A4402)-N(E26))^2/2+N(F26)*MAX(0,(A4402)-N(G26))^2/2+N(H26)*MAX(0,(A4402)-N(I26))^2/2+N(J26)*MAX(0,(A4402)-N(K26))^2/2+N(L26)*MAX(0,(A4402)-N(M26))^2/2)+$B$3507</f>
        <v>57.942708333333357</v>
      </c>
      <c r="E4402" s="3">
        <f>$B$3505*(C4402)+$B$3506*(C4402)^2/2-$B$3504*(C4402)^3/6-(N(D26)*MAX(0,(C4402)-N(E26))^2/2+N(F26)*MAX(0,(C4402)-N(G26))^2/2+N(H26)*MAX(0,(C4402)-N(I26))^2/2+N(J26)*MAX(0,(C4402)-N(K26))^2/2+N(L26)*MAX(0,(C4402)-N(M26))^2/2)+$B$3507</f>
        <v>57.942708333333357</v>
      </c>
    </row>
    <row r="4403" spans="1:5" hidden="1">
      <c r="A4403" s="3">
        <f t="shared" si="59"/>
        <v>2.4999999999999996</v>
      </c>
      <c r="B4403" s="3">
        <f t="shared" si="60"/>
        <v>2.4999999999999996</v>
      </c>
      <c r="C4403" s="3">
        <f t="shared" si="58"/>
        <v>2.4999999999999996</v>
      </c>
      <c r="D4403" s="3">
        <f>$B$3505*(A4403)+$B$3506*(A4403)^2/2-$B$3504*(A4403)^3/6-(N(D26)*MAX(0,(A4403)-N(E26))^2/2+N(F26)*MAX(0,(A4403)-N(G26))^2/2+N(H26)*MAX(0,(A4403)-N(I26))^2/2+N(J26)*MAX(0,(A4403)-N(K26))^2/2+N(L26)*MAX(0,(A4403)-N(M26))^2/2)+$B$3507</f>
        <v>57.942708333333357</v>
      </c>
      <c r="E4403" s="3">
        <f>$B$3505*(C4403)+$B$3506*(C4403)^2/2-$B$3504*(C4403)^3/6-(N(D26)*MAX(0,(C4403)-N(E26))^2/2+N(F26)*MAX(0,(C4403)-N(G26))^2/2+N(H26)*MAX(0,(C4403)-N(I26))^2/2+N(J26)*MAX(0,(C4403)-N(K26))^2/2+N(L26)*MAX(0,(C4403)-N(M26))^2/2)+$B$3507</f>
        <v>57.942708333333357</v>
      </c>
    </row>
    <row r="4404" spans="1:5" hidden="1">
      <c r="A4404" s="3">
        <f t="shared" si="59"/>
        <v>2.4999999999999996</v>
      </c>
      <c r="B4404" s="3">
        <f t="shared" si="60"/>
        <v>2.4999999999999996</v>
      </c>
      <c r="C4404" s="3">
        <f t="shared" si="58"/>
        <v>2.4999999999999996</v>
      </c>
      <c r="D4404" s="3">
        <f>$B$3505*(A4404)+$B$3506*(A4404)^2/2-$B$3504*(A4404)^3/6-(N(D26)*MAX(0,(A4404)-N(E26))^2/2+N(F26)*MAX(0,(A4404)-N(G26))^2/2+N(H26)*MAX(0,(A4404)-N(I26))^2/2+N(J26)*MAX(0,(A4404)-N(K26))^2/2+N(L26)*MAX(0,(A4404)-N(M26))^2/2)+$B$3507</f>
        <v>57.942708333333357</v>
      </c>
      <c r="E4404" s="3">
        <f>$B$3505*(C4404)+$B$3506*(C4404)^2/2-$B$3504*(C4404)^3/6-(N(D26)*MAX(0,(C4404)-N(E26))^2/2+N(F26)*MAX(0,(C4404)-N(G26))^2/2+N(H26)*MAX(0,(C4404)-N(I26))^2/2+N(J26)*MAX(0,(C4404)-N(K26))^2/2+N(L26)*MAX(0,(C4404)-N(M26))^2/2)+$B$3507</f>
        <v>57.942708333333357</v>
      </c>
    </row>
    <row r="4405" spans="1:5" hidden="1">
      <c r="A4405" s="3">
        <f t="shared" si="59"/>
        <v>2.4999999999999996</v>
      </c>
      <c r="B4405" s="3">
        <f t="shared" si="60"/>
        <v>2.4999999999999996</v>
      </c>
      <c r="C4405" s="3">
        <f t="shared" si="58"/>
        <v>2.4999999999999996</v>
      </c>
      <c r="D4405" s="3">
        <f>$B$3505*(A4405)+$B$3506*(A4405)^2/2-$B$3504*(A4405)^3/6-(N(D26)*MAX(0,(A4405)-N(E26))^2/2+N(F26)*MAX(0,(A4405)-N(G26))^2/2+N(H26)*MAX(0,(A4405)-N(I26))^2/2+N(J26)*MAX(0,(A4405)-N(K26))^2/2+N(L26)*MAX(0,(A4405)-N(M26))^2/2)+$B$3507</f>
        <v>57.942708333333357</v>
      </c>
      <c r="E4405" s="3">
        <f>$B$3505*(C4405)+$B$3506*(C4405)^2/2-$B$3504*(C4405)^3/6-(N(D26)*MAX(0,(C4405)-N(E26))^2/2+N(F26)*MAX(0,(C4405)-N(G26))^2/2+N(H26)*MAX(0,(C4405)-N(I26))^2/2+N(J26)*MAX(0,(C4405)-N(K26))^2/2+N(L26)*MAX(0,(C4405)-N(M26))^2/2)+$B$3507</f>
        <v>57.942708333333357</v>
      </c>
    </row>
    <row r="4406" spans="1:5" hidden="1">
      <c r="A4406" s="3">
        <f t="shared" si="59"/>
        <v>2.4999999999999996</v>
      </c>
      <c r="B4406" s="3">
        <f t="shared" si="60"/>
        <v>2.4999999999999996</v>
      </c>
      <c r="C4406" s="3">
        <f t="shared" si="58"/>
        <v>2.4999999999999996</v>
      </c>
      <c r="D4406" s="3">
        <f>$B$3505*(A4406)+$B$3506*(A4406)^2/2-$B$3504*(A4406)^3/6-(N(D26)*MAX(0,(A4406)-N(E26))^2/2+N(F26)*MAX(0,(A4406)-N(G26))^2/2+N(H26)*MAX(0,(A4406)-N(I26))^2/2+N(J26)*MAX(0,(A4406)-N(K26))^2/2+N(L26)*MAX(0,(A4406)-N(M26))^2/2)+$B$3507</f>
        <v>57.942708333333357</v>
      </c>
      <c r="E4406" s="3">
        <f>$B$3505*(C4406)+$B$3506*(C4406)^2/2-$B$3504*(C4406)^3/6-(N(D26)*MAX(0,(C4406)-N(E26))^2/2+N(F26)*MAX(0,(C4406)-N(G26))^2/2+N(H26)*MAX(0,(C4406)-N(I26))^2/2+N(J26)*MAX(0,(C4406)-N(K26))^2/2+N(L26)*MAX(0,(C4406)-N(M26))^2/2)+$B$3507</f>
        <v>57.942708333333357</v>
      </c>
    </row>
    <row r="4407" spans="1:5" hidden="1">
      <c r="A4407" s="3">
        <f t="shared" si="59"/>
        <v>2.4999999999999996</v>
      </c>
      <c r="B4407" s="3">
        <f t="shared" si="60"/>
        <v>2.4999999999999996</v>
      </c>
      <c r="C4407" s="3">
        <f t="shared" si="58"/>
        <v>2.4999999999999996</v>
      </c>
      <c r="D4407" s="3">
        <f>$B$3505*(A4407)+$B$3506*(A4407)^2/2-$B$3504*(A4407)^3/6-(N(D26)*MAX(0,(A4407)-N(E26))^2/2+N(F26)*MAX(0,(A4407)-N(G26))^2/2+N(H26)*MAX(0,(A4407)-N(I26))^2/2+N(J26)*MAX(0,(A4407)-N(K26))^2/2+N(L26)*MAX(0,(A4407)-N(M26))^2/2)+$B$3507</f>
        <v>57.942708333333357</v>
      </c>
      <c r="E4407" s="3">
        <f>$B$3505*(C4407)+$B$3506*(C4407)^2/2-$B$3504*(C4407)^3/6-(N(D26)*MAX(0,(C4407)-N(E26))^2/2+N(F26)*MAX(0,(C4407)-N(G26))^2/2+N(H26)*MAX(0,(C4407)-N(I26))^2/2+N(J26)*MAX(0,(C4407)-N(K26))^2/2+N(L26)*MAX(0,(C4407)-N(M26))^2/2)+$B$3507</f>
        <v>57.942708333333357</v>
      </c>
    </row>
    <row r="4408" spans="1:5" hidden="1">
      <c r="A4408" s="3">
        <f t="shared" si="59"/>
        <v>2.4999999999999996</v>
      </c>
      <c r="B4408" s="3">
        <f t="shared" si="60"/>
        <v>2.4999999999999996</v>
      </c>
      <c r="C4408" s="3">
        <f t="shared" si="58"/>
        <v>2.4999999999999996</v>
      </c>
      <c r="D4408" s="3">
        <f>$B$3505*(A4408)+$B$3506*(A4408)^2/2-$B$3504*(A4408)^3/6-(N(D26)*MAX(0,(A4408)-N(E26))^2/2+N(F26)*MAX(0,(A4408)-N(G26))^2/2+N(H26)*MAX(0,(A4408)-N(I26))^2/2+N(J26)*MAX(0,(A4408)-N(K26))^2/2+N(L26)*MAX(0,(A4408)-N(M26))^2/2)+$B$3507</f>
        <v>57.942708333333357</v>
      </c>
      <c r="E4408" s="3">
        <f>$B$3505*(C4408)+$B$3506*(C4408)^2/2-$B$3504*(C4408)^3/6-(N(D26)*MAX(0,(C4408)-N(E26))^2/2+N(F26)*MAX(0,(C4408)-N(G26))^2/2+N(H26)*MAX(0,(C4408)-N(I26))^2/2+N(J26)*MAX(0,(C4408)-N(K26))^2/2+N(L26)*MAX(0,(C4408)-N(M26))^2/2)+$B$3507</f>
        <v>57.942708333333357</v>
      </c>
    </row>
    <row r="4409" spans="1:5" hidden="1">
      <c r="A4409" s="3">
        <f t="shared" si="59"/>
        <v>2.4999999999999996</v>
      </c>
      <c r="B4409" s="3">
        <f t="shared" si="60"/>
        <v>2.4999999999999996</v>
      </c>
      <c r="C4409" s="3">
        <f t="shared" si="58"/>
        <v>2.4999999999999996</v>
      </c>
      <c r="D4409" s="3">
        <f>$B$3505*(A4409)+$B$3506*(A4409)^2/2-$B$3504*(A4409)^3/6-(N(D26)*MAX(0,(A4409)-N(E26))^2/2+N(F26)*MAX(0,(A4409)-N(G26))^2/2+N(H26)*MAX(0,(A4409)-N(I26))^2/2+N(J26)*MAX(0,(A4409)-N(K26))^2/2+N(L26)*MAX(0,(A4409)-N(M26))^2/2)+$B$3507</f>
        <v>57.942708333333357</v>
      </c>
      <c r="E4409" s="3">
        <f>$B$3505*(C4409)+$B$3506*(C4409)^2/2-$B$3504*(C4409)^3/6-(N(D26)*MAX(0,(C4409)-N(E26))^2/2+N(F26)*MAX(0,(C4409)-N(G26))^2/2+N(H26)*MAX(0,(C4409)-N(I26))^2/2+N(J26)*MAX(0,(C4409)-N(K26))^2/2+N(L26)*MAX(0,(C4409)-N(M26))^2/2)+$B$3507</f>
        <v>57.942708333333357</v>
      </c>
    </row>
    <row r="4410" spans="1:5" hidden="1">
      <c r="A4410" s="3">
        <f t="shared" si="59"/>
        <v>2.4999999999999996</v>
      </c>
      <c r="B4410" s="3">
        <f t="shared" si="60"/>
        <v>2.4999999999999996</v>
      </c>
      <c r="C4410" s="3">
        <f t="shared" si="58"/>
        <v>2.4999999999999996</v>
      </c>
      <c r="D4410" s="3">
        <f>$B$3505*(A4410)+$B$3506*(A4410)^2/2-$B$3504*(A4410)^3/6-(N(D26)*MAX(0,(A4410)-N(E26))^2/2+N(F26)*MAX(0,(A4410)-N(G26))^2/2+N(H26)*MAX(0,(A4410)-N(I26))^2/2+N(J26)*MAX(0,(A4410)-N(K26))^2/2+N(L26)*MAX(0,(A4410)-N(M26))^2/2)+$B$3507</f>
        <v>57.942708333333357</v>
      </c>
      <c r="E4410" s="3">
        <f>$B$3505*(C4410)+$B$3506*(C4410)^2/2-$B$3504*(C4410)^3/6-(N(D26)*MAX(0,(C4410)-N(E26))^2/2+N(F26)*MAX(0,(C4410)-N(G26))^2/2+N(H26)*MAX(0,(C4410)-N(I26))^2/2+N(J26)*MAX(0,(C4410)-N(K26))^2/2+N(L26)*MAX(0,(C4410)-N(M26))^2/2)+$B$3507</f>
        <v>57.942708333333357</v>
      </c>
    </row>
    <row r="4411" spans="1:5" hidden="1">
      <c r="A4411" s="3">
        <f t="shared" si="59"/>
        <v>2.4999999999999996</v>
      </c>
      <c r="B4411" s="3">
        <f t="shared" si="60"/>
        <v>2.4999999999999996</v>
      </c>
      <c r="C4411" s="3">
        <f t="shared" si="58"/>
        <v>2.4999999999999996</v>
      </c>
      <c r="D4411" s="3">
        <f>$B$3505*(A4411)+$B$3506*(A4411)^2/2-$B$3504*(A4411)^3/6-(N(D26)*MAX(0,(A4411)-N(E26))^2/2+N(F26)*MAX(0,(A4411)-N(G26))^2/2+N(H26)*MAX(0,(A4411)-N(I26))^2/2+N(J26)*MAX(0,(A4411)-N(K26))^2/2+N(L26)*MAX(0,(A4411)-N(M26))^2/2)+$B$3507</f>
        <v>57.942708333333357</v>
      </c>
      <c r="E4411" s="3">
        <f>$B$3505*(C4411)+$B$3506*(C4411)^2/2-$B$3504*(C4411)^3/6-(N(D26)*MAX(0,(C4411)-N(E26))^2/2+N(F26)*MAX(0,(C4411)-N(G26))^2/2+N(H26)*MAX(0,(C4411)-N(I26))^2/2+N(J26)*MAX(0,(C4411)-N(K26))^2/2+N(L26)*MAX(0,(C4411)-N(M26))^2/2)+$B$3507</f>
        <v>57.942708333333357</v>
      </c>
    </row>
    <row r="4412" spans="1:5" hidden="1">
      <c r="A4412" s="3">
        <f t="shared" si="59"/>
        <v>2.4999999999999996</v>
      </c>
      <c r="B4412" s="3">
        <f t="shared" si="60"/>
        <v>2.4999999999999996</v>
      </c>
      <c r="C4412" s="3">
        <f t="shared" si="58"/>
        <v>2.4999999999999996</v>
      </c>
      <c r="D4412" s="3">
        <f>$B$3505*(A4412)+$B$3506*(A4412)^2/2-$B$3504*(A4412)^3/6-(N(D26)*MAX(0,(A4412)-N(E26))^2/2+N(F26)*MAX(0,(A4412)-N(G26))^2/2+N(H26)*MAX(0,(A4412)-N(I26))^2/2+N(J26)*MAX(0,(A4412)-N(K26))^2/2+N(L26)*MAX(0,(A4412)-N(M26))^2/2)+$B$3507</f>
        <v>57.942708333333357</v>
      </c>
      <c r="E4412" s="3">
        <f>$B$3505*(C4412)+$B$3506*(C4412)^2/2-$B$3504*(C4412)^3/6-(N(D26)*MAX(0,(C4412)-N(E26))^2/2+N(F26)*MAX(0,(C4412)-N(G26))^2/2+N(H26)*MAX(0,(C4412)-N(I26))^2/2+N(J26)*MAX(0,(C4412)-N(K26))^2/2+N(L26)*MAX(0,(C4412)-N(M26))^2/2)+$B$3507</f>
        <v>57.942708333333357</v>
      </c>
    </row>
    <row r="4413" spans="1:5" hidden="1">
      <c r="A4413" s="3">
        <f t="shared" si="59"/>
        <v>2.4999999999999996</v>
      </c>
      <c r="B4413" s="3">
        <f t="shared" si="60"/>
        <v>2.4999999999999996</v>
      </c>
      <c r="C4413" s="3">
        <f t="shared" si="58"/>
        <v>2.4999999999999996</v>
      </c>
      <c r="D4413" s="3">
        <f>$B$3505*(A4413)+$B$3506*(A4413)^2/2-$B$3504*(A4413)^3/6-(N(D26)*MAX(0,(A4413)-N(E26))^2/2+N(F26)*MAX(0,(A4413)-N(G26))^2/2+N(H26)*MAX(0,(A4413)-N(I26))^2/2+N(J26)*MAX(0,(A4413)-N(K26))^2/2+N(L26)*MAX(0,(A4413)-N(M26))^2/2)+$B$3507</f>
        <v>57.942708333333357</v>
      </c>
      <c r="E4413" s="3">
        <f>$B$3505*(C4413)+$B$3506*(C4413)^2/2-$B$3504*(C4413)^3/6-(N(D26)*MAX(0,(C4413)-N(E26))^2/2+N(F26)*MAX(0,(C4413)-N(G26))^2/2+N(H26)*MAX(0,(C4413)-N(I26))^2/2+N(J26)*MAX(0,(C4413)-N(K26))^2/2+N(L26)*MAX(0,(C4413)-N(M26))^2/2)+$B$3507</f>
        <v>57.942708333333357</v>
      </c>
    </row>
    <row r="4414" spans="1:5" hidden="1">
      <c r="A4414" s="3">
        <f t="shared" si="59"/>
        <v>2.4999999999999996</v>
      </c>
      <c r="B4414" s="3">
        <f t="shared" si="60"/>
        <v>2.4999999999999996</v>
      </c>
      <c r="C4414" s="3">
        <f t="shared" si="58"/>
        <v>2.4999999999999996</v>
      </c>
      <c r="D4414" s="3">
        <f>$B$3505*(A4414)+$B$3506*(A4414)^2/2-$B$3504*(A4414)^3/6-(N(D26)*MAX(0,(A4414)-N(E26))^2/2+N(F26)*MAX(0,(A4414)-N(G26))^2/2+N(H26)*MAX(0,(A4414)-N(I26))^2/2+N(J26)*MAX(0,(A4414)-N(K26))^2/2+N(L26)*MAX(0,(A4414)-N(M26))^2/2)+$B$3507</f>
        <v>57.942708333333357</v>
      </c>
      <c r="E4414" s="3">
        <f>$B$3505*(C4414)+$B$3506*(C4414)^2/2-$B$3504*(C4414)^3/6-(N(D26)*MAX(0,(C4414)-N(E26))^2/2+N(F26)*MAX(0,(C4414)-N(G26))^2/2+N(H26)*MAX(0,(C4414)-N(I26))^2/2+N(J26)*MAX(0,(C4414)-N(K26))^2/2+N(L26)*MAX(0,(C4414)-N(M26))^2/2)+$B$3507</f>
        <v>57.942708333333357</v>
      </c>
    </row>
    <row r="4415" spans="1:5" hidden="1">
      <c r="A4415" s="3">
        <f t="shared" si="59"/>
        <v>2.4999999999999996</v>
      </c>
      <c r="B4415" s="3">
        <f t="shared" si="60"/>
        <v>2.4999999999999996</v>
      </c>
      <c r="C4415" s="3">
        <f t="shared" si="58"/>
        <v>2.4999999999999996</v>
      </c>
      <c r="D4415" s="3">
        <f>$B$3505*(A4415)+$B$3506*(A4415)^2/2-$B$3504*(A4415)^3/6-(N(D26)*MAX(0,(A4415)-N(E26))^2/2+N(F26)*MAX(0,(A4415)-N(G26))^2/2+N(H26)*MAX(0,(A4415)-N(I26))^2/2+N(J26)*MAX(0,(A4415)-N(K26))^2/2+N(L26)*MAX(0,(A4415)-N(M26))^2/2)+$B$3507</f>
        <v>57.942708333333357</v>
      </c>
      <c r="E4415" s="3">
        <f>$B$3505*(C4415)+$B$3506*(C4415)^2/2-$B$3504*(C4415)^3/6-(N(D26)*MAX(0,(C4415)-N(E26))^2/2+N(F26)*MAX(0,(C4415)-N(G26))^2/2+N(H26)*MAX(0,(C4415)-N(I26))^2/2+N(J26)*MAX(0,(C4415)-N(K26))^2/2+N(L26)*MAX(0,(C4415)-N(M26))^2/2)+$B$3507</f>
        <v>57.942708333333357</v>
      </c>
    </row>
    <row r="4416" spans="1:5" hidden="1">
      <c r="A4416" s="3">
        <f t="shared" si="59"/>
        <v>2.4999999999999996</v>
      </c>
      <c r="B4416" s="3">
        <f t="shared" si="60"/>
        <v>2.4999999999999996</v>
      </c>
      <c r="C4416" s="3">
        <f t="shared" si="58"/>
        <v>2.4999999999999996</v>
      </c>
      <c r="D4416" s="3">
        <f>$B$3505*(A4416)+$B$3506*(A4416)^2/2-$B$3504*(A4416)^3/6-(N(D26)*MAX(0,(A4416)-N(E26))^2/2+N(F26)*MAX(0,(A4416)-N(G26))^2/2+N(H26)*MAX(0,(A4416)-N(I26))^2/2+N(J26)*MAX(0,(A4416)-N(K26))^2/2+N(L26)*MAX(0,(A4416)-N(M26))^2/2)+$B$3507</f>
        <v>57.942708333333357</v>
      </c>
      <c r="E4416" s="3">
        <f>$B$3505*(C4416)+$B$3506*(C4416)^2/2-$B$3504*(C4416)^3/6-(N(D26)*MAX(0,(C4416)-N(E26))^2/2+N(F26)*MAX(0,(C4416)-N(G26))^2/2+N(H26)*MAX(0,(C4416)-N(I26))^2/2+N(J26)*MAX(0,(C4416)-N(K26))^2/2+N(L26)*MAX(0,(C4416)-N(M26))^2/2)+$B$3507</f>
        <v>57.942708333333357</v>
      </c>
    </row>
    <row r="4417" spans="1:5" hidden="1">
      <c r="A4417" s="3">
        <f t="shared" si="59"/>
        <v>2.4999999999999996</v>
      </c>
      <c r="B4417" s="3">
        <f t="shared" si="60"/>
        <v>2.4999999999999996</v>
      </c>
      <c r="C4417" s="3">
        <f t="shared" si="58"/>
        <v>2.4999999999999996</v>
      </c>
      <c r="D4417" s="3">
        <f>$B$3505*(A4417)+$B$3506*(A4417)^2/2-$B$3504*(A4417)^3/6-(N(D26)*MAX(0,(A4417)-N(E26))^2/2+N(F26)*MAX(0,(A4417)-N(G26))^2/2+N(H26)*MAX(0,(A4417)-N(I26))^2/2+N(J26)*MAX(0,(A4417)-N(K26))^2/2+N(L26)*MAX(0,(A4417)-N(M26))^2/2)+$B$3507</f>
        <v>57.942708333333357</v>
      </c>
      <c r="E4417" s="3">
        <f>$B$3505*(C4417)+$B$3506*(C4417)^2/2-$B$3504*(C4417)^3/6-(N(D26)*MAX(0,(C4417)-N(E26))^2/2+N(F26)*MAX(0,(C4417)-N(G26))^2/2+N(H26)*MAX(0,(C4417)-N(I26))^2/2+N(J26)*MAX(0,(C4417)-N(K26))^2/2+N(L26)*MAX(0,(C4417)-N(M26))^2/2)+$B$3507</f>
        <v>57.942708333333357</v>
      </c>
    </row>
    <row r="4418" spans="1:5" hidden="1">
      <c r="A4418" s="3">
        <f t="shared" si="59"/>
        <v>2.4999999999999996</v>
      </c>
      <c r="B4418" s="3">
        <f t="shared" si="60"/>
        <v>2.4999999999999996</v>
      </c>
      <c r="C4418" s="3">
        <f t="shared" si="58"/>
        <v>2.4999999999999996</v>
      </c>
      <c r="D4418" s="3">
        <f>$B$3505*(A4418)+$B$3506*(A4418)^2/2-$B$3504*(A4418)^3/6-(N(D26)*MAX(0,(A4418)-N(E26))^2/2+N(F26)*MAX(0,(A4418)-N(G26))^2/2+N(H26)*MAX(0,(A4418)-N(I26))^2/2+N(J26)*MAX(0,(A4418)-N(K26))^2/2+N(L26)*MAX(0,(A4418)-N(M26))^2/2)+$B$3507</f>
        <v>57.942708333333357</v>
      </c>
      <c r="E4418" s="3">
        <f>$B$3505*(C4418)+$B$3506*(C4418)^2/2-$B$3504*(C4418)^3/6-(N(D26)*MAX(0,(C4418)-N(E26))^2/2+N(F26)*MAX(0,(C4418)-N(G26))^2/2+N(H26)*MAX(0,(C4418)-N(I26))^2/2+N(J26)*MAX(0,(C4418)-N(K26))^2/2+N(L26)*MAX(0,(C4418)-N(M26))^2/2)+$B$3507</f>
        <v>57.942708333333357</v>
      </c>
    </row>
    <row r="4419" spans="1:5" hidden="1">
      <c r="A4419" s="3">
        <f t="shared" si="59"/>
        <v>2.4999999999999996</v>
      </c>
      <c r="B4419" s="3">
        <f t="shared" si="60"/>
        <v>2.4999999999999996</v>
      </c>
      <c r="C4419" s="3">
        <f t="shared" si="58"/>
        <v>2.4999999999999996</v>
      </c>
      <c r="D4419" s="3">
        <f>$B$3505*(A4419)+$B$3506*(A4419)^2/2-$B$3504*(A4419)^3/6-(N(D26)*MAX(0,(A4419)-N(E26))^2/2+N(F26)*MAX(0,(A4419)-N(G26))^2/2+N(H26)*MAX(0,(A4419)-N(I26))^2/2+N(J26)*MAX(0,(A4419)-N(K26))^2/2+N(L26)*MAX(0,(A4419)-N(M26))^2/2)+$B$3507</f>
        <v>57.942708333333357</v>
      </c>
      <c r="E4419" s="3">
        <f>$B$3505*(C4419)+$B$3506*(C4419)^2/2-$B$3504*(C4419)^3/6-(N(D26)*MAX(0,(C4419)-N(E26))^2/2+N(F26)*MAX(0,(C4419)-N(G26))^2/2+N(H26)*MAX(0,(C4419)-N(I26))^2/2+N(J26)*MAX(0,(C4419)-N(K26))^2/2+N(L26)*MAX(0,(C4419)-N(M26))^2/2)+$B$3507</f>
        <v>57.942708333333357</v>
      </c>
    </row>
    <row r="4420" spans="1:5" hidden="1">
      <c r="A4420" s="3">
        <f t="shared" si="59"/>
        <v>2.4999999999999996</v>
      </c>
      <c r="B4420" s="3">
        <f t="shared" si="60"/>
        <v>2.4999999999999996</v>
      </c>
      <c r="C4420" s="3">
        <f t="shared" si="58"/>
        <v>2.4999999999999996</v>
      </c>
      <c r="D4420" s="3">
        <f>$B$3505*(A4420)+$B$3506*(A4420)^2/2-$B$3504*(A4420)^3/6-(N(D26)*MAX(0,(A4420)-N(E26))^2/2+N(F26)*MAX(0,(A4420)-N(G26))^2/2+N(H26)*MAX(0,(A4420)-N(I26))^2/2+N(J26)*MAX(0,(A4420)-N(K26))^2/2+N(L26)*MAX(0,(A4420)-N(M26))^2/2)+$B$3507</f>
        <v>57.942708333333357</v>
      </c>
      <c r="E4420" s="3">
        <f>$B$3505*(C4420)+$B$3506*(C4420)^2/2-$B$3504*(C4420)^3/6-(N(D26)*MAX(0,(C4420)-N(E26))^2/2+N(F26)*MAX(0,(C4420)-N(G26))^2/2+N(H26)*MAX(0,(C4420)-N(I26))^2/2+N(J26)*MAX(0,(C4420)-N(K26))^2/2+N(L26)*MAX(0,(C4420)-N(M26))^2/2)+$B$3507</f>
        <v>57.942708333333357</v>
      </c>
    </row>
    <row r="4421" spans="1:5" hidden="1">
      <c r="A4421" s="3">
        <f t="shared" si="59"/>
        <v>2.4999999999999996</v>
      </c>
      <c r="B4421" s="3">
        <f t="shared" si="60"/>
        <v>2.4999999999999996</v>
      </c>
      <c r="C4421" s="3">
        <f t="shared" si="58"/>
        <v>2.4999999999999996</v>
      </c>
      <c r="D4421" s="3">
        <f>$B$3505*(A4421)+$B$3506*(A4421)^2/2-$B$3504*(A4421)^3/6-(N(D26)*MAX(0,(A4421)-N(E26))^2/2+N(F26)*MAX(0,(A4421)-N(G26))^2/2+N(H26)*MAX(0,(A4421)-N(I26))^2/2+N(J26)*MAX(0,(A4421)-N(K26))^2/2+N(L26)*MAX(0,(A4421)-N(M26))^2/2)+$B$3507</f>
        <v>57.942708333333357</v>
      </c>
      <c r="E4421" s="3">
        <f>$B$3505*(C4421)+$B$3506*(C4421)^2/2-$B$3504*(C4421)^3/6-(N(D26)*MAX(0,(C4421)-N(E26))^2/2+N(F26)*MAX(0,(C4421)-N(G26))^2/2+N(H26)*MAX(0,(C4421)-N(I26))^2/2+N(J26)*MAX(0,(C4421)-N(K26))^2/2+N(L26)*MAX(0,(C4421)-N(M26))^2/2)+$B$3507</f>
        <v>57.942708333333357</v>
      </c>
    </row>
    <row r="4422" spans="1:5" hidden="1">
      <c r="A4422" s="3">
        <f t="shared" si="59"/>
        <v>2.4999999999999996</v>
      </c>
      <c r="B4422" s="3">
        <f t="shared" si="60"/>
        <v>2.4999999999999996</v>
      </c>
      <c r="C4422" s="3">
        <f t="shared" si="58"/>
        <v>2.4999999999999996</v>
      </c>
      <c r="D4422" s="3">
        <f>$B$3505*(A4422)+$B$3506*(A4422)^2/2-$B$3504*(A4422)^3/6-(N(D26)*MAX(0,(A4422)-N(E26))^2/2+N(F26)*MAX(0,(A4422)-N(G26))^2/2+N(H26)*MAX(0,(A4422)-N(I26))^2/2+N(J26)*MAX(0,(A4422)-N(K26))^2/2+N(L26)*MAX(0,(A4422)-N(M26))^2/2)+$B$3507</f>
        <v>57.942708333333357</v>
      </c>
      <c r="E4422" s="3">
        <f>$B$3505*(C4422)+$B$3506*(C4422)^2/2-$B$3504*(C4422)^3/6-(N(D26)*MAX(0,(C4422)-N(E26))^2/2+N(F26)*MAX(0,(C4422)-N(G26))^2/2+N(H26)*MAX(0,(C4422)-N(I26))^2/2+N(J26)*MAX(0,(C4422)-N(K26))^2/2+N(L26)*MAX(0,(C4422)-N(M26))^2/2)+$B$3507</f>
        <v>57.942708333333357</v>
      </c>
    </row>
    <row r="4423" spans="1:5" hidden="1">
      <c r="A4423" s="3">
        <f t="shared" si="59"/>
        <v>2.4999999999999996</v>
      </c>
      <c r="B4423" s="3">
        <f t="shared" si="60"/>
        <v>2.4999999999999996</v>
      </c>
      <c r="C4423" s="3">
        <f t="shared" si="58"/>
        <v>2.4999999999999996</v>
      </c>
      <c r="D4423" s="3">
        <f>$B$3505*(A4423)+$B$3506*(A4423)^2/2-$B$3504*(A4423)^3/6-(N(D26)*MAX(0,(A4423)-N(E26))^2/2+N(F26)*MAX(0,(A4423)-N(G26))^2/2+N(H26)*MAX(0,(A4423)-N(I26))^2/2+N(J26)*MAX(0,(A4423)-N(K26))^2/2+N(L26)*MAX(0,(A4423)-N(M26))^2/2)+$B$3507</f>
        <v>57.942708333333357</v>
      </c>
      <c r="E4423" s="3">
        <f>$B$3505*(C4423)+$B$3506*(C4423)^2/2-$B$3504*(C4423)^3/6-(N(D26)*MAX(0,(C4423)-N(E26))^2/2+N(F26)*MAX(0,(C4423)-N(G26))^2/2+N(H26)*MAX(0,(C4423)-N(I26))^2/2+N(J26)*MAX(0,(C4423)-N(K26))^2/2+N(L26)*MAX(0,(C4423)-N(M26))^2/2)+$B$3507</f>
        <v>57.942708333333357</v>
      </c>
    </row>
    <row r="4424" spans="1:5" hidden="1">
      <c r="A4424" s="3">
        <f t="shared" si="59"/>
        <v>2.4999999999999996</v>
      </c>
      <c r="B4424" s="3">
        <f t="shared" si="60"/>
        <v>2.4999999999999996</v>
      </c>
      <c r="C4424" s="3">
        <f t="shared" si="58"/>
        <v>2.4999999999999996</v>
      </c>
      <c r="D4424" s="3">
        <f>$B$3505*(A4424)+$B$3506*(A4424)^2/2-$B$3504*(A4424)^3/6-(N(D26)*MAX(0,(A4424)-N(E26))^2/2+N(F26)*MAX(0,(A4424)-N(G26))^2/2+N(H26)*MAX(0,(A4424)-N(I26))^2/2+N(J26)*MAX(0,(A4424)-N(K26))^2/2+N(L26)*MAX(0,(A4424)-N(M26))^2/2)+$B$3507</f>
        <v>57.942708333333357</v>
      </c>
      <c r="E4424" s="3">
        <f>$B$3505*(C4424)+$B$3506*(C4424)^2/2-$B$3504*(C4424)^3/6-(N(D26)*MAX(0,(C4424)-N(E26))^2/2+N(F26)*MAX(0,(C4424)-N(G26))^2/2+N(H26)*MAX(0,(C4424)-N(I26))^2/2+N(J26)*MAX(0,(C4424)-N(K26))^2/2+N(L26)*MAX(0,(C4424)-N(M26))^2/2)+$B$3507</f>
        <v>57.942708333333357</v>
      </c>
    </row>
    <row r="4425" spans="1:5" hidden="1">
      <c r="A4425" s="3">
        <f t="shared" si="59"/>
        <v>2.4999999999999996</v>
      </c>
      <c r="B4425" s="3">
        <f t="shared" si="60"/>
        <v>2.4999999999999996</v>
      </c>
      <c r="C4425" s="3">
        <f t="shared" si="58"/>
        <v>2.4999999999999996</v>
      </c>
      <c r="D4425" s="3">
        <f>$B$3505*(A4425)+$B$3506*(A4425)^2/2-$B$3504*(A4425)^3/6-(N(D26)*MAX(0,(A4425)-N(E26))^2/2+N(F26)*MAX(0,(A4425)-N(G26))^2/2+N(H26)*MAX(0,(A4425)-N(I26))^2/2+N(J26)*MAX(0,(A4425)-N(K26))^2/2+N(L26)*MAX(0,(A4425)-N(M26))^2/2)+$B$3507</f>
        <v>57.942708333333357</v>
      </c>
      <c r="E4425" s="3">
        <f>$B$3505*(C4425)+$B$3506*(C4425)^2/2-$B$3504*(C4425)^3/6-(N(D26)*MAX(0,(C4425)-N(E26))^2/2+N(F26)*MAX(0,(C4425)-N(G26))^2/2+N(H26)*MAX(0,(C4425)-N(I26))^2/2+N(J26)*MAX(0,(C4425)-N(K26))^2/2+N(L26)*MAX(0,(C4425)-N(M26))^2/2)+$B$3507</f>
        <v>57.942708333333357</v>
      </c>
    </row>
    <row r="4426" spans="1:5" hidden="1">
      <c r="A4426" s="3">
        <f t="shared" si="59"/>
        <v>2.4999999999999996</v>
      </c>
      <c r="B4426" s="3">
        <f t="shared" si="60"/>
        <v>2.4999999999999996</v>
      </c>
      <c r="C4426" s="3">
        <f t="shared" si="58"/>
        <v>2.4999999999999996</v>
      </c>
      <c r="D4426" s="3">
        <f>$B$3505*(A4426)+$B$3506*(A4426)^2/2-$B$3504*(A4426)^3/6-(N(D26)*MAX(0,(A4426)-N(E26))^2/2+N(F26)*MAX(0,(A4426)-N(G26))^2/2+N(H26)*MAX(0,(A4426)-N(I26))^2/2+N(J26)*MAX(0,(A4426)-N(K26))^2/2+N(L26)*MAX(0,(A4426)-N(M26))^2/2)+$B$3507</f>
        <v>57.942708333333357</v>
      </c>
      <c r="E4426" s="3">
        <f>$B$3505*(C4426)+$B$3506*(C4426)^2/2-$B$3504*(C4426)^3/6-(N(D26)*MAX(0,(C4426)-N(E26))^2/2+N(F26)*MAX(0,(C4426)-N(G26))^2/2+N(H26)*MAX(0,(C4426)-N(I26))^2/2+N(J26)*MAX(0,(C4426)-N(K26))^2/2+N(L26)*MAX(0,(C4426)-N(M26))^2/2)+$B$3507</f>
        <v>57.942708333333357</v>
      </c>
    </row>
    <row r="4427" spans="1:5" hidden="1">
      <c r="A4427" s="3">
        <f t="shared" si="59"/>
        <v>2.4999999999999996</v>
      </c>
      <c r="B4427" s="3">
        <f t="shared" si="60"/>
        <v>2.4999999999999996</v>
      </c>
      <c r="C4427" s="3">
        <f t="shared" si="58"/>
        <v>2.4999999999999996</v>
      </c>
      <c r="D4427" s="3">
        <f>$B$3505*(A4427)+$B$3506*(A4427)^2/2-$B$3504*(A4427)^3/6-(N(D26)*MAX(0,(A4427)-N(E26))^2/2+N(F26)*MAX(0,(A4427)-N(G26))^2/2+N(H26)*MAX(0,(A4427)-N(I26))^2/2+N(J26)*MAX(0,(A4427)-N(K26))^2/2+N(L26)*MAX(0,(A4427)-N(M26))^2/2)+$B$3507</f>
        <v>57.942708333333357</v>
      </c>
      <c r="E4427" s="3">
        <f>$B$3505*(C4427)+$B$3506*(C4427)^2/2-$B$3504*(C4427)^3/6-(N(D26)*MAX(0,(C4427)-N(E26))^2/2+N(F26)*MAX(0,(C4427)-N(G26))^2/2+N(H26)*MAX(0,(C4427)-N(I26))^2/2+N(J26)*MAX(0,(C4427)-N(K26))^2/2+N(L26)*MAX(0,(C4427)-N(M26))^2/2)+$B$3507</f>
        <v>57.942708333333357</v>
      </c>
    </row>
    <row r="4428" spans="1:5" hidden="1"/>
    <row r="4429" spans="1:5" hidden="1"/>
    <row r="4430" spans="1:5" hidden="1"/>
    <row r="4431" spans="1:5" hidden="1"/>
    <row r="4432" spans="1:5" hidden="1"/>
    <row r="4433" hidden="1"/>
    <row r="4434" hidden="1"/>
    <row r="4435" hidden="1"/>
    <row r="4436" hidden="1"/>
    <row r="4437" hidden="1"/>
    <row r="4438" hidden="1"/>
    <row r="4439" hidden="1"/>
    <row r="4440" hidden="1"/>
    <row r="4441" hidden="1"/>
    <row r="4442" hidden="1"/>
    <row r="4443" hidden="1"/>
    <row r="4444" hidden="1"/>
    <row r="4445" hidden="1"/>
    <row r="4446" hidden="1"/>
    <row r="4447" hidden="1"/>
    <row r="4448" hidden="1"/>
    <row r="4449" hidden="1"/>
    <row r="4450" hidden="1"/>
    <row r="4451" hidden="1"/>
    <row r="4452" hidden="1"/>
    <row r="4453" hidden="1"/>
    <row r="4454" hidden="1"/>
    <row r="4455" hidden="1"/>
    <row r="4456" hidden="1"/>
    <row r="4457" hidden="1"/>
    <row r="4458" hidden="1"/>
    <row r="4459" hidden="1"/>
    <row r="4460" hidden="1"/>
    <row r="4461" hidden="1"/>
    <row r="4462" hidden="1"/>
    <row r="4463" hidden="1"/>
    <row r="4464" hidden="1"/>
    <row r="4465" hidden="1"/>
    <row r="4466" hidden="1"/>
    <row r="4467" hidden="1"/>
    <row r="4468" hidden="1"/>
    <row r="4469" hidden="1"/>
    <row r="4470" hidden="1"/>
    <row r="4471" hidden="1"/>
    <row r="4472" hidden="1"/>
    <row r="4473" hidden="1"/>
    <row r="4474" hidden="1"/>
    <row r="4475" hidden="1"/>
    <row r="4476" hidden="1"/>
    <row r="4477" hidden="1"/>
    <row r="4478" hidden="1"/>
    <row r="4479" hidden="1"/>
    <row r="4480" hidden="1"/>
    <row r="4481" hidden="1"/>
    <row r="4482" hidden="1"/>
    <row r="4483" hidden="1"/>
    <row r="4484" hidden="1"/>
    <row r="4485" hidden="1"/>
    <row r="4486" hidden="1"/>
    <row r="4487" hidden="1"/>
    <row r="4488" hidden="1"/>
    <row r="4489" hidden="1"/>
    <row r="4490" hidden="1"/>
    <row r="4491" hidden="1"/>
    <row r="4492" hidden="1"/>
    <row r="4493" hidden="1"/>
    <row r="4494" hidden="1"/>
    <row r="4495" hidden="1"/>
    <row r="4496" hidden="1"/>
    <row r="4497" spans="1:2" hidden="1"/>
    <row r="4498" spans="1:2" hidden="1"/>
    <row r="4499" spans="1:2" hidden="1"/>
    <row r="4500" spans="1:2" hidden="1"/>
    <row r="4501" spans="1:2" hidden="1">
      <c r="A4501" s="3" t="s">
        <v>397</v>
      </c>
    </row>
    <row r="4502" spans="1:2" hidden="1">
      <c r="A4502" s="3" t="s">
        <v>398</v>
      </c>
    </row>
    <row r="4503" spans="1:2" hidden="1">
      <c r="A4503" s="3" t="s">
        <v>50</v>
      </c>
      <c r="B4503" s="3">
        <f>IF($B$4512,B27,1)</f>
        <v>10</v>
      </c>
    </row>
    <row r="4504" spans="1:2" hidden="1">
      <c r="A4504" s="3" t="s">
        <v>59</v>
      </c>
      <c r="B4504" s="3">
        <f>N(N27)</f>
        <v>0</v>
      </c>
    </row>
    <row r="4505" spans="1:2" hidden="1">
      <c r="A4505" s="3" t="s">
        <v>399</v>
      </c>
      <c r="B4505" s="3">
        <f>IF($B$4512,IF(C27="Cantilever Supported",-(N(D27)*N(E27)+N(F27)*N(G27)+N(H27)*N(I27)+N(J27)*N(K27)+N(L27)*N(M27))-$B$4504*$B$4503^2/2,IF(C27="Fixed-Fixed",-(N(D27)*N(E27)*($B$4503-N(E27))^2/$B$4503^2+N(F27)*N(G27)*($B$4503-N(G27))^2/$B$4503^2+N(H27)*N(I27)*($B$4503-N(I27))^2/$B$4503^2+N(J27)*N(K27)*($B$4503-N(K27))^2/$B$4503^2+N(L27)*N(M27)*($B$4503-N(M27))^2/$B$4503^2)-$B$4504*$B$4503^2/12,0)),0)</f>
        <v>0</v>
      </c>
    </row>
    <row r="4506" spans="1:2" hidden="1">
      <c r="A4506" s="3" t="s">
        <v>63</v>
      </c>
      <c r="B4506" s="3">
        <f>B4511</f>
        <v>55.624999999999993</v>
      </c>
    </row>
    <row r="4507" spans="1:2" hidden="1">
      <c r="B4507" s="3">
        <f>IF(C27="Simply Supported",-($B$4505*$B$4503^2/2+$B$4506*$B$4503^3/6-$B$4504*$B$4503^4/24-(N(D27)*MAX(0,$B$4503-N(E27))^3/6+N(F27)*MAX(0,$B$4503-N(G27))^3/6+N(H27)*MAX(0,$B$4503-N(I27))^3/6+N(J27)*MAX(0,$B$4503-N(K27))^3/6+N(L27)*MAX(0,$B$4503-N(M27))^3/6))/$B$4503,0)</f>
        <v>-695.31249999999989</v>
      </c>
    </row>
    <row r="4508" spans="1:2" hidden="1">
      <c r="A4508" s="3" t="s">
        <v>400</v>
      </c>
      <c r="B4508" s="3">
        <f>MAX(D4541:D4559,E4541:E4558)</f>
        <v>2317.708333333333</v>
      </c>
    </row>
    <row r="4509" spans="1:2" hidden="1">
      <c r="B4509" s="3">
        <f>IF(MAX(D4541:D4559)&gt;=MAX(E4541:E4558),INDEX(B4541:B4559,MATCH(B4508,D4541:D4559,0)),INDEX(C4541:C4558,MATCH(B4508,E4541:E4558,0)))</f>
        <v>5</v>
      </c>
    </row>
    <row r="4510" spans="1:2" hidden="1">
      <c r="B4510" s="3">
        <f>IF(B7084,D13*B26/2*B7093*B27*INT((B6+1)^2/4)/(2*(B6+1)),0)</f>
        <v>278.12499999999994</v>
      </c>
    </row>
    <row r="4511" spans="1:2" hidden="1">
      <c r="B4511" s="3">
        <f>IF(B7084,B6*D13*B26/2*B7093/2,0)</f>
        <v>55.624999999999993</v>
      </c>
    </row>
    <row r="4512" spans="1:2" hidden="1">
      <c r="A4512" s="3" t="s">
        <v>401</v>
      </c>
      <c r="B4512" s="3" t="b">
        <f>AND(B7083,AND(ISNUMBER(B27),B27&gt;0,OR(C27="Cantilever Supported",C27="Simply Supported",C27="Fixed-Fixed"),OR(N27="",AND(ISNUMBER(N27),N27&gt;=0)),OR(D27="",AND(ISNUMBER(D27),D27&gt;=0)),OR(N(D27)=0,AND(ISNUMBER(E27),E27&gt;=0,E27&lt;=B27)),OR(F27="",AND(ISNUMBER(F27),F27&gt;=0)),OR(N(F27)=0,AND(ISNUMBER(G27),G27&gt;=0,G27&lt;=B27)),OR(H27="",AND(ISNUMBER(H27),H27&gt;=0)),OR(N(H27)=0,AND(ISNUMBER(I27),I27&gt;=0,I27&lt;=B27)),OR(J27="",AND(ISNUMBER(J27),J27&gt;=0)),OR(N(J27)=0,AND(ISNUMBER(K27),K27&gt;=0,K27&lt;=B27)),OR(L27="",AND(ISNUMBER(L27),L27&gt;=0)),OR(N(L27)=0,AND(ISNUMBER(M27),M27&gt;=0,M27&lt;=B27))))</f>
        <v>1</v>
      </c>
    </row>
    <row r="4513" spans="1:2" hidden="1">
      <c r="A4513" s="3" t="s">
        <v>402</v>
      </c>
      <c r="B4513" s="3">
        <f>IF(AND($B$4512,C27="Fixed-Fixed"),-(N(D27)*N(E27)^2*($B$4503-N(E27))/$B$4503^2+N(F27)*N(G27)^2*($B$4503-N(G27))/$B$4503^2+N(H27)*N(I27)^2*($B$4503-N(I27))/$B$4503^2+N(J27)*N(K27)^2*($B$4503-N(K27))/$B$4503^2+N(L27)*N(M27)^2*($B$4503-N(M27))/$B$4503^2)-$B$4504*$B$4503^2/12,0)</f>
        <v>0</v>
      </c>
    </row>
    <row r="4514" spans="1:2" hidden="1"/>
    <row r="4515" spans="1:2" hidden="1"/>
    <row r="4516" spans="1:2" hidden="1"/>
    <row r="4517" spans="1:2" hidden="1"/>
    <row r="4518" spans="1:2" hidden="1"/>
    <row r="4519" spans="1:2" hidden="1"/>
    <row r="4520" spans="1:2" hidden="1"/>
    <row r="4521" spans="1:2" hidden="1">
      <c r="A4521" s="3">
        <f>0</f>
        <v>0</v>
      </c>
      <c r="B4521" s="3">
        <f>SMALL(A4521:A4527,1)</f>
        <v>0</v>
      </c>
    </row>
    <row r="4522" spans="1:2" hidden="1">
      <c r="A4522" s="3">
        <f>IF(N(D27)=0,0,N(E27))</f>
        <v>5</v>
      </c>
      <c r="B4522" s="3">
        <f>SMALL(A4521:A4527,2)</f>
        <v>0</v>
      </c>
    </row>
    <row r="4523" spans="1:2" hidden="1">
      <c r="A4523" s="3">
        <f>IF(N(F27)=0,0,N(G27))</f>
        <v>0</v>
      </c>
      <c r="B4523" s="3">
        <f>SMALL(A4521:A4527,3)</f>
        <v>0</v>
      </c>
    </row>
    <row r="4524" spans="1:2" hidden="1">
      <c r="A4524" s="3">
        <f>IF(N(H27)=0,0,N(I27))</f>
        <v>0</v>
      </c>
      <c r="B4524" s="3">
        <f>SMALL(A4521:A4527,4)</f>
        <v>0</v>
      </c>
    </row>
    <row r="4525" spans="1:2" hidden="1">
      <c r="A4525" s="3">
        <f>IF(N(J27)=0,0,N(K27))</f>
        <v>0</v>
      </c>
      <c r="B4525" s="3">
        <f>SMALL(A4521:A4527,5)</f>
        <v>0</v>
      </c>
    </row>
    <row r="4526" spans="1:2" hidden="1">
      <c r="A4526" s="3">
        <f>IF(N(L27)=0,0,N(M27))</f>
        <v>0</v>
      </c>
      <c r="B4526" s="3">
        <f>SMALL(A4521:A4527,6)</f>
        <v>5</v>
      </c>
    </row>
    <row r="4527" spans="1:2" hidden="1">
      <c r="A4527" s="3">
        <f>$B$4503</f>
        <v>10</v>
      </c>
      <c r="B4527" s="3">
        <f>SMALL(A4521:A4527,7)</f>
        <v>10</v>
      </c>
    </row>
    <row r="4528" spans="1:2" hidden="1"/>
    <row r="4529" spans="1:7" hidden="1"/>
    <row r="4530" spans="1:7" hidden="1"/>
    <row r="4531" spans="1:7" hidden="1">
      <c r="A4531" s="3">
        <f t="shared" ref="A4531:A4536" si="61">B4521</f>
        <v>0</v>
      </c>
      <c r="B4531" s="3">
        <f t="shared" ref="B4531:B4536" si="62">B4522</f>
        <v>0</v>
      </c>
      <c r="C4531" s="3">
        <f t="shared" ref="C4531:C4536" si="63">-$B$4504/2</f>
        <v>0</v>
      </c>
      <c r="D4531" s="3">
        <f>$B$4506-(IF(N(E27)&lt;=A4531,N(D27),0)+IF(N(G27)&lt;=A4531,N(F27),0)+IF(N(I27)&lt;=A4531,N(H27),0)+IF(N(K27)&lt;=A4531,N(J27),0)+IF(N(M27)&lt;=A4531,N(L27),0))</f>
        <v>55.624999999999993</v>
      </c>
      <c r="E4531" s="3">
        <f>$B$4505+(IF(N(E27)&lt;=A4531,N(D27)*N(E27),0)+IF(N(G27)&lt;=A4531,N(F27)*N(G27),0)+IF(N(I27)&lt;=A4531,N(H27)*N(I27),0)+IF(N(K27)&lt;=A4531,N(J27)*N(K27),0)+IF(N(M27)&lt;=A4531,N(L27)*N(M27),0))</f>
        <v>0</v>
      </c>
      <c r="F4531" s="3">
        <f t="shared" ref="F4531:F4536" si="64">IFERROR(MAX(A4531,MIN(B4531,IF(C4531=0,IF(D4531=0,A4531,-E4531/D4531),(-D4531+SQRT(D4531^2-4*C4531*E4531))/(2*C4531)))),A4531)</f>
        <v>0</v>
      </c>
      <c r="G4531" s="3">
        <f t="shared" ref="G4531:G4536" si="65">IFERROR(MAX(A4531,MIN(B4531,IF(C4531=0,IF(D4531=0,A4531,-E4531/D4531),(-D4531-SQRT(D4531^2-4*C4531*E4531))/(2*C4531)))),A4531)</f>
        <v>0</v>
      </c>
    </row>
    <row r="4532" spans="1:7" hidden="1">
      <c r="A4532" s="3">
        <f t="shared" si="61"/>
        <v>0</v>
      </c>
      <c r="B4532" s="3">
        <f t="shared" si="62"/>
        <v>0</v>
      </c>
      <c r="C4532" s="3">
        <f t="shared" si="63"/>
        <v>0</v>
      </c>
      <c r="D4532" s="3">
        <f>$B$4506-(IF(N(E27)&lt;=A4532,N(D27),0)+IF(N(G27)&lt;=A4532,N(F27),0)+IF(N(I27)&lt;=A4532,N(H27),0)+IF(N(K27)&lt;=A4532,N(J27),0)+IF(N(M27)&lt;=A4532,N(L27),0))</f>
        <v>55.624999999999993</v>
      </c>
      <c r="E4532" s="3">
        <f>$B$4505+(IF(N(E27)&lt;=A4532,N(D27)*N(E27),0)+IF(N(G27)&lt;=A4532,N(F27)*N(G27),0)+IF(N(I27)&lt;=A4532,N(H27)*N(I27),0)+IF(N(K27)&lt;=A4532,N(J27)*N(K27),0)+IF(N(M27)&lt;=A4532,N(L27)*N(M27),0))</f>
        <v>0</v>
      </c>
      <c r="F4532" s="3">
        <f t="shared" si="64"/>
        <v>0</v>
      </c>
      <c r="G4532" s="3">
        <f t="shared" si="65"/>
        <v>0</v>
      </c>
    </row>
    <row r="4533" spans="1:7" hidden="1">
      <c r="A4533" s="3">
        <f t="shared" si="61"/>
        <v>0</v>
      </c>
      <c r="B4533" s="3">
        <f t="shared" si="62"/>
        <v>0</v>
      </c>
      <c r="C4533" s="3">
        <f t="shared" si="63"/>
        <v>0</v>
      </c>
      <c r="D4533" s="3">
        <f>$B$4506-(IF(N(E27)&lt;=A4533,N(D27),0)+IF(N(G27)&lt;=A4533,N(F27),0)+IF(N(I27)&lt;=A4533,N(H27),0)+IF(N(K27)&lt;=A4533,N(J27),0)+IF(N(M27)&lt;=A4533,N(L27),0))</f>
        <v>55.624999999999993</v>
      </c>
      <c r="E4533" s="3">
        <f>$B$4505+(IF(N(E27)&lt;=A4533,N(D27)*N(E27),0)+IF(N(G27)&lt;=A4533,N(F27)*N(G27),0)+IF(N(I27)&lt;=A4533,N(H27)*N(I27),0)+IF(N(K27)&lt;=A4533,N(J27)*N(K27),0)+IF(N(M27)&lt;=A4533,N(L27)*N(M27),0))</f>
        <v>0</v>
      </c>
      <c r="F4533" s="3">
        <f t="shared" si="64"/>
        <v>0</v>
      </c>
      <c r="G4533" s="3">
        <f t="shared" si="65"/>
        <v>0</v>
      </c>
    </row>
    <row r="4534" spans="1:7" hidden="1">
      <c r="A4534" s="3">
        <f t="shared" si="61"/>
        <v>0</v>
      </c>
      <c r="B4534" s="3">
        <f t="shared" si="62"/>
        <v>0</v>
      </c>
      <c r="C4534" s="3">
        <f t="shared" si="63"/>
        <v>0</v>
      </c>
      <c r="D4534" s="3">
        <f>$B$4506-(IF(N(E27)&lt;=A4534,N(D27),0)+IF(N(G27)&lt;=A4534,N(F27),0)+IF(N(I27)&lt;=A4534,N(H27),0)+IF(N(K27)&lt;=A4534,N(J27),0)+IF(N(M27)&lt;=A4534,N(L27),0))</f>
        <v>55.624999999999993</v>
      </c>
      <c r="E4534" s="3">
        <f>$B$4505+(IF(N(E27)&lt;=A4534,N(D27)*N(E27),0)+IF(N(G27)&lt;=A4534,N(F27)*N(G27),0)+IF(N(I27)&lt;=A4534,N(H27)*N(I27),0)+IF(N(K27)&lt;=A4534,N(J27)*N(K27),0)+IF(N(M27)&lt;=A4534,N(L27)*N(M27),0))</f>
        <v>0</v>
      </c>
      <c r="F4534" s="3">
        <f t="shared" si="64"/>
        <v>0</v>
      </c>
      <c r="G4534" s="3">
        <f t="shared" si="65"/>
        <v>0</v>
      </c>
    </row>
    <row r="4535" spans="1:7" hidden="1">
      <c r="A4535" s="3">
        <f t="shared" si="61"/>
        <v>0</v>
      </c>
      <c r="B4535" s="3">
        <f t="shared" si="62"/>
        <v>5</v>
      </c>
      <c r="C4535" s="3">
        <f t="shared" si="63"/>
        <v>0</v>
      </c>
      <c r="D4535" s="3">
        <f>$B$4506-(IF(N(E27)&lt;=A4535,N(D27),0)+IF(N(G27)&lt;=A4535,N(F27),0)+IF(N(I27)&lt;=A4535,N(H27),0)+IF(N(K27)&lt;=A4535,N(J27),0)+IF(N(M27)&lt;=A4535,N(L27),0))</f>
        <v>55.624999999999993</v>
      </c>
      <c r="E4535" s="3">
        <f>$B$4505+(IF(N(E27)&lt;=A4535,N(D27)*N(E27),0)+IF(N(G27)&lt;=A4535,N(F27)*N(G27),0)+IF(N(I27)&lt;=A4535,N(H27)*N(I27),0)+IF(N(K27)&lt;=A4535,N(J27)*N(K27),0)+IF(N(M27)&lt;=A4535,N(L27)*N(M27),0))</f>
        <v>0</v>
      </c>
      <c r="F4535" s="3">
        <f t="shared" si="64"/>
        <v>0</v>
      </c>
      <c r="G4535" s="3">
        <f t="shared" si="65"/>
        <v>0</v>
      </c>
    </row>
    <row r="4536" spans="1:7" hidden="1">
      <c r="A4536" s="3">
        <f t="shared" si="61"/>
        <v>5</v>
      </c>
      <c r="B4536" s="3">
        <f t="shared" si="62"/>
        <v>10</v>
      </c>
      <c r="C4536" s="3">
        <f t="shared" si="63"/>
        <v>0</v>
      </c>
      <c r="D4536" s="3">
        <f>$B$4506-(IF(N(E27)&lt;=A4536,N(D27),0)+IF(N(G27)&lt;=A4536,N(F27),0)+IF(N(I27)&lt;=A4536,N(H27),0)+IF(N(K27)&lt;=A4536,N(J27),0)+IF(N(M27)&lt;=A4536,N(L27),0))</f>
        <v>-55.624999999999993</v>
      </c>
      <c r="E4536" s="3">
        <f>$B$4505+(IF(N(E27)&lt;=A4536,N(D27)*N(E27),0)+IF(N(G27)&lt;=A4536,N(F27)*N(G27),0)+IF(N(I27)&lt;=A4536,N(H27)*N(I27),0)+IF(N(K27)&lt;=A4536,N(J27)*N(K27),0)+IF(N(M27)&lt;=A4536,N(L27)*N(M27),0))</f>
        <v>556.24999999999989</v>
      </c>
      <c r="F4536" s="3">
        <f t="shared" si="64"/>
        <v>10</v>
      </c>
      <c r="G4536" s="3">
        <f t="shared" si="65"/>
        <v>10</v>
      </c>
    </row>
    <row r="4537" spans="1:7" hidden="1"/>
    <row r="4538" spans="1:7" hidden="1"/>
    <row r="4539" spans="1:7" hidden="1"/>
    <row r="4540" spans="1:7" hidden="1"/>
    <row r="4541" spans="1:7" hidden="1">
      <c r="A4541" s="3">
        <f t="shared" ref="A4541:A4547" si="66">B4521</f>
        <v>0</v>
      </c>
      <c r="B4541" s="3">
        <f>SMALL($A$4541:$A$4559,1)</f>
        <v>0</v>
      </c>
      <c r="C4541" s="3">
        <f>C4645</f>
        <v>0</v>
      </c>
      <c r="D4541" s="3">
        <f>ABS($B$4505*(B4541)^2/2+$B$4506*(B4541)^3/6-$B$4504*(B4541)^4/24-(N(D27)*MAX(0,(B4541)-N(E27))^3/6+N(F27)*MAX(0,(B4541)-N(G27))^3/6+N(H27)*MAX(0,(B4541)-N(I27))^3/6+N(J27)*MAX(0,(B4541)-N(K27))^3/6+N(L27)*MAX(0,(B4541)-N(M27))^3/6)+$B$4507*(B4541))</f>
        <v>0</v>
      </c>
      <c r="E4541" s="3">
        <f>ABS($B$4505*(C4541)^2/2+$B$4506*(C4541)^3/6-$B$4504*(C4541)^4/24-(N(D27)*MAX(0,(C4541)-N(E27))^3/6+N(F27)*MAX(0,(C4541)-N(G27))^3/6+N(H27)*MAX(0,(C4541)-N(I27))^3/6+N(J27)*MAX(0,(C4541)-N(K27))^3/6+N(L27)*MAX(0,(C4541)-N(M27))^3/6)+$B$4507*(C4541))</f>
        <v>0</v>
      </c>
      <c r="F4541" s="3">
        <f>ABS($B$4505+$B$4506*(B4541)-$B$4504*(B4541)^2/2-(N(D27)*MAX(0,(B4541)-N(E27))+N(F27)*MAX(0,(B4541)-N(G27))+N(H27)*MAX(0,(B4541)-N(I27))+N(J27)*MAX(0,(B4541)-N(K27))+N(L27)*MAX(0,(B4541)-N(M27))))</f>
        <v>0</v>
      </c>
    </row>
    <row r="4542" spans="1:7" hidden="1">
      <c r="A4542" s="3">
        <f t="shared" si="66"/>
        <v>0</v>
      </c>
      <c r="B4542" s="3">
        <f>SMALL($A$4541:$A$4559,2)</f>
        <v>0</v>
      </c>
      <c r="C4542" s="3">
        <f>C4691</f>
        <v>0</v>
      </c>
      <c r="D4542" s="3">
        <f>ABS($B$4505*(B4542)^2/2+$B$4506*(B4542)^3/6-$B$4504*(B4542)^4/24-(N(D27)*MAX(0,(B4542)-N(E27))^3/6+N(F27)*MAX(0,(B4542)-N(G27))^3/6+N(H27)*MAX(0,(B4542)-N(I27))^3/6+N(J27)*MAX(0,(B4542)-N(K27))^3/6+N(L27)*MAX(0,(B4542)-N(M27))^3/6)+$B$4507*(B4542))</f>
        <v>0</v>
      </c>
      <c r="E4542" s="3">
        <f>ABS($B$4505*(C4542)^2/2+$B$4506*(C4542)^3/6-$B$4504*(C4542)^4/24-(N(D27)*MAX(0,(C4542)-N(E27))^3/6+N(F27)*MAX(0,(C4542)-N(G27))^3/6+N(H27)*MAX(0,(C4542)-N(I27))^3/6+N(J27)*MAX(0,(C4542)-N(K27))^3/6+N(L27)*MAX(0,(C4542)-N(M27))^3/6)+$B$4507*(C4542))</f>
        <v>0</v>
      </c>
      <c r="F4542" s="3">
        <f>ABS($B$4505+$B$4506*(B4542)-$B$4504*(B4542)^2/2-(N(D27)*MAX(0,(B4542)-N(E27))+N(F27)*MAX(0,(B4542)-N(G27))+N(H27)*MAX(0,(B4542)-N(I27))+N(J27)*MAX(0,(B4542)-N(K27))+N(L27)*MAX(0,(B4542)-N(M27))))</f>
        <v>0</v>
      </c>
    </row>
    <row r="4543" spans="1:7" hidden="1">
      <c r="A4543" s="3">
        <f t="shared" si="66"/>
        <v>0</v>
      </c>
      <c r="B4543" s="3">
        <f>SMALL($A$4541:$A$4559,3)</f>
        <v>0</v>
      </c>
      <c r="C4543" s="3">
        <f>C4737</f>
        <v>0</v>
      </c>
      <c r="D4543" s="3">
        <f>ABS($B$4505*(B4543)^2/2+$B$4506*(B4543)^3/6-$B$4504*(B4543)^4/24-(N(D27)*MAX(0,(B4543)-N(E27))^3/6+N(F27)*MAX(0,(B4543)-N(G27))^3/6+N(H27)*MAX(0,(B4543)-N(I27))^3/6+N(J27)*MAX(0,(B4543)-N(K27))^3/6+N(L27)*MAX(0,(B4543)-N(M27))^3/6)+$B$4507*(B4543))</f>
        <v>0</v>
      </c>
      <c r="E4543" s="3">
        <f>ABS($B$4505*(C4543)^2/2+$B$4506*(C4543)^3/6-$B$4504*(C4543)^4/24-(N(D27)*MAX(0,(C4543)-N(E27))^3/6+N(F27)*MAX(0,(C4543)-N(G27))^3/6+N(H27)*MAX(0,(C4543)-N(I27))^3/6+N(J27)*MAX(0,(C4543)-N(K27))^3/6+N(L27)*MAX(0,(C4543)-N(M27))^3/6)+$B$4507*(C4543))</f>
        <v>0</v>
      </c>
      <c r="F4543" s="3">
        <f>ABS($B$4505+$B$4506*(B4543)-$B$4504*(B4543)^2/2-(N(D27)*MAX(0,(B4543)-N(E27))+N(F27)*MAX(0,(B4543)-N(G27))+N(H27)*MAX(0,(B4543)-N(I27))+N(J27)*MAX(0,(B4543)-N(K27))+N(L27)*MAX(0,(B4543)-N(M27))))</f>
        <v>0</v>
      </c>
    </row>
    <row r="4544" spans="1:7" hidden="1">
      <c r="A4544" s="3">
        <f t="shared" si="66"/>
        <v>0</v>
      </c>
      <c r="B4544" s="3">
        <f>SMALL($A$4541:$A$4559,4)</f>
        <v>0</v>
      </c>
      <c r="C4544" s="3">
        <f>C4783</f>
        <v>0</v>
      </c>
      <c r="D4544" s="3">
        <f>ABS($B$4505*(B4544)^2/2+$B$4506*(B4544)^3/6-$B$4504*(B4544)^4/24-(N(D27)*MAX(0,(B4544)-N(E27))^3/6+N(F27)*MAX(0,(B4544)-N(G27))^3/6+N(H27)*MAX(0,(B4544)-N(I27))^3/6+N(J27)*MAX(0,(B4544)-N(K27))^3/6+N(L27)*MAX(0,(B4544)-N(M27))^3/6)+$B$4507*(B4544))</f>
        <v>0</v>
      </c>
      <c r="E4544" s="3">
        <f>ABS($B$4505*(C4544)^2/2+$B$4506*(C4544)^3/6-$B$4504*(C4544)^4/24-(N(D27)*MAX(0,(C4544)-N(E27))^3/6+N(F27)*MAX(0,(C4544)-N(G27))^3/6+N(H27)*MAX(0,(C4544)-N(I27))^3/6+N(J27)*MAX(0,(C4544)-N(K27))^3/6+N(L27)*MAX(0,(C4544)-N(M27))^3/6)+$B$4507*(C4544))</f>
        <v>0</v>
      </c>
      <c r="F4544" s="3">
        <f>ABS($B$4505+$B$4506*(B4544)-$B$4504*(B4544)^2/2-(N(D27)*MAX(0,(B4544)-N(E27))+N(F27)*MAX(0,(B4544)-N(G27))+N(H27)*MAX(0,(B4544)-N(I27))+N(J27)*MAX(0,(B4544)-N(K27))+N(L27)*MAX(0,(B4544)-N(M27))))</f>
        <v>0</v>
      </c>
    </row>
    <row r="4545" spans="1:6" hidden="1">
      <c r="A4545" s="3">
        <f t="shared" si="66"/>
        <v>0</v>
      </c>
      <c r="B4545" s="3">
        <f>SMALL($A$4541:$A$4559,5)</f>
        <v>0</v>
      </c>
      <c r="C4545" s="3">
        <f>C4829</f>
        <v>0</v>
      </c>
      <c r="D4545" s="3">
        <f>ABS($B$4505*(B4545)^2/2+$B$4506*(B4545)^3/6-$B$4504*(B4545)^4/24-(N(D27)*MAX(0,(B4545)-N(E27))^3/6+N(F27)*MAX(0,(B4545)-N(G27))^3/6+N(H27)*MAX(0,(B4545)-N(I27))^3/6+N(J27)*MAX(0,(B4545)-N(K27))^3/6+N(L27)*MAX(0,(B4545)-N(M27))^3/6)+$B$4507*(B4545))</f>
        <v>0</v>
      </c>
      <c r="E4545" s="3">
        <f>ABS($B$4505*(C4545)^2/2+$B$4506*(C4545)^3/6-$B$4504*(C4545)^4/24-(N(D27)*MAX(0,(C4545)-N(E27))^3/6+N(F27)*MAX(0,(C4545)-N(G27))^3/6+N(H27)*MAX(0,(C4545)-N(I27))^3/6+N(J27)*MAX(0,(C4545)-N(K27))^3/6+N(L27)*MAX(0,(C4545)-N(M27))^3/6)+$B$4507*(C4545))</f>
        <v>0</v>
      </c>
      <c r="F4545" s="3">
        <f>ABS($B$4505+$B$4506*(B4545)-$B$4504*(B4545)^2/2-(N(D27)*MAX(0,(B4545)-N(E27))+N(F27)*MAX(0,(B4545)-N(G27))+N(H27)*MAX(0,(B4545)-N(I27))+N(J27)*MAX(0,(B4545)-N(K27))+N(L27)*MAX(0,(B4545)-N(M27))))</f>
        <v>0</v>
      </c>
    </row>
    <row r="4546" spans="1:6" hidden="1">
      <c r="A4546" s="3">
        <f t="shared" si="66"/>
        <v>5</v>
      </c>
      <c r="B4546" s="3">
        <f>SMALL($A$4541:$A$4559,6)</f>
        <v>0</v>
      </c>
      <c r="C4546" s="3">
        <f>C4875</f>
        <v>0</v>
      </c>
      <c r="D4546" s="3">
        <f>ABS($B$4505*(B4546)^2/2+$B$4506*(B4546)^3/6-$B$4504*(B4546)^4/24-(N(D27)*MAX(0,(B4546)-N(E27))^3/6+N(F27)*MAX(0,(B4546)-N(G27))^3/6+N(H27)*MAX(0,(B4546)-N(I27))^3/6+N(J27)*MAX(0,(B4546)-N(K27))^3/6+N(L27)*MAX(0,(B4546)-N(M27))^3/6)+$B$4507*(B4546))</f>
        <v>0</v>
      </c>
      <c r="E4546" s="3">
        <f>ABS($B$4505*(C4546)^2/2+$B$4506*(C4546)^3/6-$B$4504*(C4546)^4/24-(N(D27)*MAX(0,(C4546)-N(E27))^3/6+N(F27)*MAX(0,(C4546)-N(G27))^3/6+N(H27)*MAX(0,(C4546)-N(I27))^3/6+N(J27)*MAX(0,(C4546)-N(K27))^3/6+N(L27)*MAX(0,(C4546)-N(M27))^3/6)+$B$4507*(C4546))</f>
        <v>0</v>
      </c>
      <c r="F4546" s="3">
        <f>ABS($B$4505+$B$4506*(B4546)-$B$4504*(B4546)^2/2-(N(D27)*MAX(0,(B4546)-N(E27))+N(F27)*MAX(0,(B4546)-N(G27))+N(H27)*MAX(0,(B4546)-N(I27))+N(J27)*MAX(0,(B4546)-N(K27))+N(L27)*MAX(0,(B4546)-N(M27))))</f>
        <v>0</v>
      </c>
    </row>
    <row r="4547" spans="1:6" hidden="1">
      <c r="A4547" s="3">
        <f t="shared" si="66"/>
        <v>10</v>
      </c>
      <c r="B4547" s="3">
        <f>SMALL($A$4541:$A$4559,7)</f>
        <v>0</v>
      </c>
      <c r="C4547" s="3">
        <f>C4921</f>
        <v>0</v>
      </c>
      <c r="D4547" s="3">
        <f>ABS($B$4505*(B4547)^2/2+$B$4506*(B4547)^3/6-$B$4504*(B4547)^4/24-(N(D27)*MAX(0,(B4547)-N(E27))^3/6+N(F27)*MAX(0,(B4547)-N(G27))^3/6+N(H27)*MAX(0,(B4547)-N(I27))^3/6+N(J27)*MAX(0,(B4547)-N(K27))^3/6+N(L27)*MAX(0,(B4547)-N(M27))^3/6)+$B$4507*(B4547))</f>
        <v>0</v>
      </c>
      <c r="E4547" s="3">
        <f>ABS($B$4505*(C4547)^2/2+$B$4506*(C4547)^3/6-$B$4504*(C4547)^4/24-(N(D27)*MAX(0,(C4547)-N(E27))^3/6+N(F27)*MAX(0,(C4547)-N(G27))^3/6+N(H27)*MAX(0,(C4547)-N(I27))^3/6+N(J27)*MAX(0,(C4547)-N(K27))^3/6+N(L27)*MAX(0,(C4547)-N(M27))^3/6)+$B$4507*(C4547))</f>
        <v>0</v>
      </c>
      <c r="F4547" s="3">
        <f>ABS($B$4505+$B$4506*(B4547)-$B$4504*(B4547)^2/2-(N(D27)*MAX(0,(B4547)-N(E27))+N(F27)*MAX(0,(B4547)-N(G27))+N(H27)*MAX(0,(B4547)-N(I27))+N(J27)*MAX(0,(B4547)-N(K27))+N(L27)*MAX(0,(B4547)-N(M27))))</f>
        <v>0</v>
      </c>
    </row>
    <row r="4548" spans="1:6" hidden="1">
      <c r="A4548" s="3">
        <f>F4531</f>
        <v>0</v>
      </c>
      <c r="B4548" s="3">
        <f>SMALL($A$4541:$A$4559,8)</f>
        <v>0</v>
      </c>
      <c r="C4548" s="3">
        <f>C4967</f>
        <v>0</v>
      </c>
      <c r="D4548" s="3">
        <f>ABS($B$4505*(B4548)^2/2+$B$4506*(B4548)^3/6-$B$4504*(B4548)^4/24-(N(D27)*MAX(0,(B4548)-N(E27))^3/6+N(F27)*MAX(0,(B4548)-N(G27))^3/6+N(H27)*MAX(0,(B4548)-N(I27))^3/6+N(J27)*MAX(0,(B4548)-N(K27))^3/6+N(L27)*MAX(0,(B4548)-N(M27))^3/6)+$B$4507*(B4548))</f>
        <v>0</v>
      </c>
      <c r="E4548" s="3">
        <f>ABS($B$4505*(C4548)^2/2+$B$4506*(C4548)^3/6-$B$4504*(C4548)^4/24-(N(D27)*MAX(0,(C4548)-N(E27))^3/6+N(F27)*MAX(0,(C4548)-N(G27))^3/6+N(H27)*MAX(0,(C4548)-N(I27))^3/6+N(J27)*MAX(0,(C4548)-N(K27))^3/6+N(L27)*MAX(0,(C4548)-N(M27))^3/6)+$B$4507*(C4548))</f>
        <v>0</v>
      </c>
      <c r="F4548" s="3">
        <f>ABS($B$4505+$B$4506*(B4548)-$B$4504*(B4548)^2/2-(N(D27)*MAX(0,(B4548)-N(E27))+N(F27)*MAX(0,(B4548)-N(G27))+N(H27)*MAX(0,(B4548)-N(I27))+N(J27)*MAX(0,(B4548)-N(K27))+N(L27)*MAX(0,(B4548)-N(M27))))</f>
        <v>0</v>
      </c>
    </row>
    <row r="4549" spans="1:6" hidden="1">
      <c r="A4549" s="3">
        <f>G4531</f>
        <v>0</v>
      </c>
      <c r="B4549" s="3">
        <f>SMALL($A$4541:$A$4559,9)</f>
        <v>0</v>
      </c>
      <c r="C4549" s="3">
        <f>C5013</f>
        <v>0</v>
      </c>
      <c r="D4549" s="3">
        <f>ABS($B$4505*(B4549)^2/2+$B$4506*(B4549)^3/6-$B$4504*(B4549)^4/24-(N(D27)*MAX(0,(B4549)-N(E27))^3/6+N(F27)*MAX(0,(B4549)-N(G27))^3/6+N(H27)*MAX(0,(B4549)-N(I27))^3/6+N(J27)*MAX(0,(B4549)-N(K27))^3/6+N(L27)*MAX(0,(B4549)-N(M27))^3/6)+$B$4507*(B4549))</f>
        <v>0</v>
      </c>
      <c r="E4549" s="3">
        <f>ABS($B$4505*(C4549)^2/2+$B$4506*(C4549)^3/6-$B$4504*(C4549)^4/24-(N(D27)*MAX(0,(C4549)-N(E27))^3/6+N(F27)*MAX(0,(C4549)-N(G27))^3/6+N(H27)*MAX(0,(C4549)-N(I27))^3/6+N(J27)*MAX(0,(C4549)-N(K27))^3/6+N(L27)*MAX(0,(C4549)-N(M27))^3/6)+$B$4507*(C4549))</f>
        <v>0</v>
      </c>
      <c r="F4549" s="3">
        <f>ABS($B$4505+$B$4506*(B4549)-$B$4504*(B4549)^2/2-(N(D27)*MAX(0,(B4549)-N(E27))+N(F27)*MAX(0,(B4549)-N(G27))+N(H27)*MAX(0,(B4549)-N(I27))+N(J27)*MAX(0,(B4549)-N(K27))+N(L27)*MAX(0,(B4549)-N(M27))))</f>
        <v>0</v>
      </c>
    </row>
    <row r="4550" spans="1:6" hidden="1">
      <c r="A4550" s="3">
        <f>F4532</f>
        <v>0</v>
      </c>
      <c r="B4550" s="3">
        <f>SMALL($A$4541:$A$4559,10)</f>
        <v>0</v>
      </c>
      <c r="C4550" s="3">
        <f>C5059</f>
        <v>0</v>
      </c>
      <c r="D4550" s="3">
        <f>ABS($B$4505*(B4550)^2/2+$B$4506*(B4550)^3/6-$B$4504*(B4550)^4/24-(N(D27)*MAX(0,(B4550)-N(E27))^3/6+N(F27)*MAX(0,(B4550)-N(G27))^3/6+N(H27)*MAX(0,(B4550)-N(I27))^3/6+N(J27)*MAX(0,(B4550)-N(K27))^3/6+N(L27)*MAX(0,(B4550)-N(M27))^3/6)+$B$4507*(B4550))</f>
        <v>0</v>
      </c>
      <c r="E4550" s="3">
        <f>ABS($B$4505*(C4550)^2/2+$B$4506*(C4550)^3/6-$B$4504*(C4550)^4/24-(N(D27)*MAX(0,(C4550)-N(E27))^3/6+N(F27)*MAX(0,(C4550)-N(G27))^3/6+N(H27)*MAX(0,(C4550)-N(I27))^3/6+N(J27)*MAX(0,(C4550)-N(K27))^3/6+N(L27)*MAX(0,(C4550)-N(M27))^3/6)+$B$4507*(C4550))</f>
        <v>0</v>
      </c>
      <c r="F4550" s="3">
        <f>ABS($B$4505+$B$4506*(B4550)-$B$4504*(B4550)^2/2-(N(D27)*MAX(0,(B4550)-N(E27))+N(F27)*MAX(0,(B4550)-N(G27))+N(H27)*MAX(0,(B4550)-N(I27))+N(J27)*MAX(0,(B4550)-N(K27))+N(L27)*MAX(0,(B4550)-N(M27))))</f>
        <v>0</v>
      </c>
    </row>
    <row r="4551" spans="1:6" hidden="1">
      <c r="A4551" s="3">
        <f>G4532</f>
        <v>0</v>
      </c>
      <c r="B4551" s="3">
        <f>SMALL($A$4541:$A$4559,11)</f>
        <v>0</v>
      </c>
      <c r="C4551" s="3">
        <f>C5105</f>
        <v>0</v>
      </c>
      <c r="D4551" s="3">
        <f>ABS($B$4505*(B4551)^2/2+$B$4506*(B4551)^3/6-$B$4504*(B4551)^4/24-(N(D27)*MAX(0,(B4551)-N(E27))^3/6+N(F27)*MAX(0,(B4551)-N(G27))^3/6+N(H27)*MAX(0,(B4551)-N(I27))^3/6+N(J27)*MAX(0,(B4551)-N(K27))^3/6+N(L27)*MAX(0,(B4551)-N(M27))^3/6)+$B$4507*(B4551))</f>
        <v>0</v>
      </c>
      <c r="E4551" s="3">
        <f>ABS($B$4505*(C4551)^2/2+$B$4506*(C4551)^3/6-$B$4504*(C4551)^4/24-(N(D27)*MAX(0,(C4551)-N(E27))^3/6+N(F27)*MAX(0,(C4551)-N(G27))^3/6+N(H27)*MAX(0,(C4551)-N(I27))^3/6+N(J27)*MAX(0,(C4551)-N(K27))^3/6+N(L27)*MAX(0,(C4551)-N(M27))^3/6)+$B$4507*(C4551))</f>
        <v>0</v>
      </c>
      <c r="F4551" s="3">
        <f>ABS($B$4505+$B$4506*(B4551)-$B$4504*(B4551)^2/2-(N(D27)*MAX(0,(B4551)-N(E27))+N(F27)*MAX(0,(B4551)-N(G27))+N(H27)*MAX(0,(B4551)-N(I27))+N(J27)*MAX(0,(B4551)-N(K27))+N(L27)*MAX(0,(B4551)-N(M27))))</f>
        <v>0</v>
      </c>
    </row>
    <row r="4552" spans="1:6" hidden="1">
      <c r="A4552" s="3">
        <f>F4533</f>
        <v>0</v>
      </c>
      <c r="B4552" s="3">
        <f>SMALL($A$4541:$A$4559,12)</f>
        <v>0</v>
      </c>
      <c r="C4552" s="3">
        <f>C5151</f>
        <v>0</v>
      </c>
      <c r="D4552" s="3">
        <f>ABS($B$4505*(B4552)^2/2+$B$4506*(B4552)^3/6-$B$4504*(B4552)^4/24-(N(D27)*MAX(0,(B4552)-N(E27))^3/6+N(F27)*MAX(0,(B4552)-N(G27))^3/6+N(H27)*MAX(0,(B4552)-N(I27))^3/6+N(J27)*MAX(0,(B4552)-N(K27))^3/6+N(L27)*MAX(0,(B4552)-N(M27))^3/6)+$B$4507*(B4552))</f>
        <v>0</v>
      </c>
      <c r="E4552" s="3">
        <f>ABS($B$4505*(C4552)^2/2+$B$4506*(C4552)^3/6-$B$4504*(C4552)^4/24-(N(D27)*MAX(0,(C4552)-N(E27))^3/6+N(F27)*MAX(0,(C4552)-N(G27))^3/6+N(H27)*MAX(0,(C4552)-N(I27))^3/6+N(J27)*MAX(0,(C4552)-N(K27))^3/6+N(L27)*MAX(0,(C4552)-N(M27))^3/6)+$B$4507*(C4552))</f>
        <v>0</v>
      </c>
      <c r="F4552" s="3">
        <f>ABS($B$4505+$B$4506*(B4552)-$B$4504*(B4552)^2/2-(N(D27)*MAX(0,(B4552)-N(E27))+N(F27)*MAX(0,(B4552)-N(G27))+N(H27)*MAX(0,(B4552)-N(I27))+N(J27)*MAX(0,(B4552)-N(K27))+N(L27)*MAX(0,(B4552)-N(M27))))</f>
        <v>0</v>
      </c>
    </row>
    <row r="4553" spans="1:6" hidden="1">
      <c r="A4553" s="3">
        <f>G4533</f>
        <v>0</v>
      </c>
      <c r="B4553" s="3">
        <f>SMALL($A$4541:$A$4559,13)</f>
        <v>0</v>
      </c>
      <c r="C4553" s="3">
        <f>C5197</f>
        <v>0</v>
      </c>
      <c r="D4553" s="3">
        <f>ABS($B$4505*(B4553)^2/2+$B$4506*(B4553)^3/6-$B$4504*(B4553)^4/24-(N(D27)*MAX(0,(B4553)-N(E27))^3/6+N(F27)*MAX(0,(B4553)-N(G27))^3/6+N(H27)*MAX(0,(B4553)-N(I27))^3/6+N(J27)*MAX(0,(B4553)-N(K27))^3/6+N(L27)*MAX(0,(B4553)-N(M27))^3/6)+$B$4507*(B4553))</f>
        <v>0</v>
      </c>
      <c r="E4553" s="3">
        <f>ABS($B$4505*(C4553)^2/2+$B$4506*(C4553)^3/6-$B$4504*(C4553)^4/24-(N(D27)*MAX(0,(C4553)-N(E27))^3/6+N(F27)*MAX(0,(C4553)-N(G27))^3/6+N(H27)*MAX(0,(C4553)-N(I27))^3/6+N(J27)*MAX(0,(C4553)-N(K27))^3/6+N(L27)*MAX(0,(C4553)-N(M27))^3/6)+$B$4507*(C4553))</f>
        <v>0</v>
      </c>
      <c r="F4553" s="3">
        <f>ABS($B$4505+$B$4506*(B4553)-$B$4504*(B4553)^2/2-(N(D27)*MAX(0,(B4553)-N(E27))+N(F27)*MAX(0,(B4553)-N(G27))+N(H27)*MAX(0,(B4553)-N(I27))+N(J27)*MAX(0,(B4553)-N(K27))+N(L27)*MAX(0,(B4553)-N(M27))))</f>
        <v>0</v>
      </c>
    </row>
    <row r="4554" spans="1:6" hidden="1">
      <c r="A4554" s="3">
        <f>F4534</f>
        <v>0</v>
      </c>
      <c r="B4554" s="3">
        <f>SMALL($A$4541:$A$4559,14)</f>
        <v>0</v>
      </c>
      <c r="C4554" s="3">
        <f>C5243</f>
        <v>0</v>
      </c>
      <c r="D4554" s="3">
        <f>ABS($B$4505*(B4554)^2/2+$B$4506*(B4554)^3/6-$B$4504*(B4554)^4/24-(N(D27)*MAX(0,(B4554)-N(E27))^3/6+N(F27)*MAX(0,(B4554)-N(G27))^3/6+N(H27)*MAX(0,(B4554)-N(I27))^3/6+N(J27)*MAX(0,(B4554)-N(K27))^3/6+N(L27)*MAX(0,(B4554)-N(M27))^3/6)+$B$4507*(B4554))</f>
        <v>0</v>
      </c>
      <c r="E4554" s="3">
        <f>ABS($B$4505*(C4554)^2/2+$B$4506*(C4554)^3/6-$B$4504*(C4554)^4/24-(N(D27)*MAX(0,(C4554)-N(E27))^3/6+N(F27)*MAX(0,(C4554)-N(G27))^3/6+N(H27)*MAX(0,(C4554)-N(I27))^3/6+N(J27)*MAX(0,(C4554)-N(K27))^3/6+N(L27)*MAX(0,(C4554)-N(M27))^3/6)+$B$4507*(C4554))</f>
        <v>0</v>
      </c>
      <c r="F4554" s="3">
        <f>ABS($B$4505+$B$4506*(B4554)-$B$4504*(B4554)^2/2-(N(D27)*MAX(0,(B4554)-N(E27))+N(F27)*MAX(0,(B4554)-N(G27))+N(H27)*MAX(0,(B4554)-N(I27))+N(J27)*MAX(0,(B4554)-N(K27))+N(L27)*MAX(0,(B4554)-N(M27))))</f>
        <v>0</v>
      </c>
    </row>
    <row r="4555" spans="1:6" hidden="1">
      <c r="A4555" s="3">
        <f>G4534</f>
        <v>0</v>
      </c>
      <c r="B4555" s="3">
        <f>SMALL($A$4541:$A$4559,15)</f>
        <v>0</v>
      </c>
      <c r="C4555" s="3">
        <f>C5289</f>
        <v>4.9999999999998579</v>
      </c>
      <c r="D4555" s="3">
        <f>ABS($B$4505*(B4555)^2/2+$B$4506*(B4555)^3/6-$B$4504*(B4555)^4/24-(N(D27)*MAX(0,(B4555)-N(E27))^3/6+N(F27)*MAX(0,(B4555)-N(G27))^3/6+N(H27)*MAX(0,(B4555)-N(I27))^3/6+N(J27)*MAX(0,(B4555)-N(K27))^3/6+N(L27)*MAX(0,(B4555)-N(M27))^3/6)+$B$4507*(B4555))</f>
        <v>0</v>
      </c>
      <c r="E4555" s="3">
        <f>ABS($B$4505*(C4555)^2/2+$B$4506*(C4555)^3/6-$B$4504*(C4555)^4/24-(N(D27)*MAX(0,(C4555)-N(E27))^3/6+N(F27)*MAX(0,(C4555)-N(G27))^3/6+N(H27)*MAX(0,(C4555)-N(I27))^3/6+N(J27)*MAX(0,(C4555)-N(K27))^3/6+N(L27)*MAX(0,(C4555)-N(M27))^3/6)+$B$4507*(C4555))</f>
        <v>2317.708333333333</v>
      </c>
      <c r="F4555" s="3">
        <f>ABS($B$4505+$B$4506*(B4555)-$B$4504*(B4555)^2/2-(N(D27)*MAX(0,(B4555)-N(E27))+N(F27)*MAX(0,(B4555)-N(G27))+N(H27)*MAX(0,(B4555)-N(I27))+N(J27)*MAX(0,(B4555)-N(K27))+N(L27)*MAX(0,(B4555)-N(M27))))</f>
        <v>0</v>
      </c>
    </row>
    <row r="4556" spans="1:6" hidden="1">
      <c r="A4556" s="3">
        <f>F4535</f>
        <v>0</v>
      </c>
      <c r="B4556" s="3">
        <f>SMALL($A$4541:$A$4559,16)</f>
        <v>5</v>
      </c>
      <c r="C4556" s="3">
        <f>C5335</f>
        <v>5.0000000000001421</v>
      </c>
      <c r="D4556" s="3">
        <f>ABS($B$4505*(B4556)^2/2+$B$4506*(B4556)^3/6-$B$4504*(B4556)^4/24-(N(D27)*MAX(0,(B4556)-N(E27))^3/6+N(F27)*MAX(0,(B4556)-N(G27))^3/6+N(H27)*MAX(0,(B4556)-N(I27))^3/6+N(J27)*MAX(0,(B4556)-N(K27))^3/6+N(L27)*MAX(0,(B4556)-N(M27))^3/6)+$B$4507*(B4556))</f>
        <v>2317.708333333333</v>
      </c>
      <c r="E4556" s="3">
        <f>ABS($B$4505*(C4556)^2/2+$B$4506*(C4556)^3/6-$B$4504*(C4556)^4/24-(N(D27)*MAX(0,(C4556)-N(E27))^3/6+N(F27)*MAX(0,(C4556)-N(G27))^3/6+N(H27)*MAX(0,(C4556)-N(I27))^3/6+N(J27)*MAX(0,(C4556)-N(K27))^3/6+N(L27)*MAX(0,(C4556)-N(M27))^3/6)+$B$4507*(C4556))</f>
        <v>2317.708333333333</v>
      </c>
      <c r="F4556" s="3">
        <f>ABS($B$4505+$B$4506*(B4556)-$B$4504*(B4556)^2/2-(N(D27)*MAX(0,(B4556)-N(E27))+N(F27)*MAX(0,(B4556)-N(G27))+N(H27)*MAX(0,(B4556)-N(I27))+N(J27)*MAX(0,(B4556)-N(K27))+N(L27)*MAX(0,(B4556)-N(M27))))</f>
        <v>278.12499999999994</v>
      </c>
    </row>
    <row r="4557" spans="1:6" hidden="1">
      <c r="A4557" s="3">
        <f>G4535</f>
        <v>0</v>
      </c>
      <c r="B4557" s="3">
        <f>SMALL($A$4541:$A$4559,17)</f>
        <v>10</v>
      </c>
      <c r="C4557" s="3">
        <f>C5381</f>
        <v>10</v>
      </c>
      <c r="D4557" s="3">
        <f>ABS($B$4505*(B4557)^2/2+$B$4506*(B4557)^3/6-$B$4504*(B4557)^4/24-(N(D27)*MAX(0,(B4557)-N(E27))^3/6+N(F27)*MAX(0,(B4557)-N(G27))^3/6+N(H27)*MAX(0,(B4557)-N(I27))^3/6+N(J27)*MAX(0,(B4557)-N(K27))^3/6+N(L27)*MAX(0,(B4557)-N(M27))^3/6)+$B$4507*(B4557))</f>
        <v>0</v>
      </c>
      <c r="E4557" s="3">
        <f>ABS($B$4505*(C4557)^2/2+$B$4506*(C4557)^3/6-$B$4504*(C4557)^4/24-(N(D27)*MAX(0,(C4557)-N(E27))^3/6+N(F27)*MAX(0,(C4557)-N(G27))^3/6+N(H27)*MAX(0,(C4557)-N(I27))^3/6+N(J27)*MAX(0,(C4557)-N(K27))^3/6+N(L27)*MAX(0,(C4557)-N(M27))^3/6)+$B$4507*(C4557))</f>
        <v>0</v>
      </c>
      <c r="F4557" s="3">
        <f>ABS($B$4505+$B$4506*(B4557)-$B$4504*(B4557)^2/2-(N(D27)*MAX(0,(B4557)-N(E27))+N(F27)*MAX(0,(B4557)-N(G27))+N(H27)*MAX(0,(B4557)-N(I27))+N(J27)*MAX(0,(B4557)-N(K27))+N(L27)*MAX(0,(B4557)-N(M27))))</f>
        <v>0</v>
      </c>
    </row>
    <row r="4558" spans="1:6" hidden="1">
      <c r="A4558" s="3">
        <f>F4536</f>
        <v>10</v>
      </c>
      <c r="B4558" s="3">
        <f>SMALL($A$4541:$A$4559,18)</f>
        <v>10</v>
      </c>
      <c r="C4558" s="3">
        <f>C5427</f>
        <v>10</v>
      </c>
      <c r="D4558" s="3">
        <f>ABS($B$4505*(B4558)^2/2+$B$4506*(B4558)^3/6-$B$4504*(B4558)^4/24-(N(D27)*MAX(0,(B4558)-N(E27))^3/6+N(F27)*MAX(0,(B4558)-N(G27))^3/6+N(H27)*MAX(0,(B4558)-N(I27))^3/6+N(J27)*MAX(0,(B4558)-N(K27))^3/6+N(L27)*MAX(0,(B4558)-N(M27))^3/6)+$B$4507*(B4558))</f>
        <v>0</v>
      </c>
      <c r="E4558" s="3">
        <f>ABS($B$4505*(C4558)^2/2+$B$4506*(C4558)^3/6-$B$4504*(C4558)^4/24-(N(D27)*MAX(0,(C4558)-N(E27))^3/6+N(F27)*MAX(0,(C4558)-N(G27))^3/6+N(H27)*MAX(0,(C4558)-N(I27))^3/6+N(J27)*MAX(0,(C4558)-N(K27))^3/6+N(L27)*MAX(0,(C4558)-N(M27))^3/6)+$B$4507*(C4558))</f>
        <v>0</v>
      </c>
      <c r="F4558" s="3">
        <f>ABS($B$4505+$B$4506*(B4558)-$B$4504*(B4558)^2/2-(N(D27)*MAX(0,(B4558)-N(E27))+N(F27)*MAX(0,(B4558)-N(G27))+N(H27)*MAX(0,(B4558)-N(I27))+N(J27)*MAX(0,(B4558)-N(K27))+N(L27)*MAX(0,(B4558)-N(M27))))</f>
        <v>0</v>
      </c>
    </row>
    <row r="4559" spans="1:6" hidden="1">
      <c r="A4559" s="3">
        <f>G4536</f>
        <v>10</v>
      </c>
      <c r="B4559" s="3">
        <f>SMALL($A$4541:$A$4559,19)</f>
        <v>10</v>
      </c>
      <c r="D4559" s="3">
        <f>ABS($B$4505*(B4559)^2/2+$B$4506*(B4559)^3/6-$B$4504*(B4559)^4/24-(N(D27)*MAX(0,(B4559)-N(E27))^3/6+N(F27)*MAX(0,(B4559)-N(G27))^3/6+N(H27)*MAX(0,(B4559)-N(I27))^3/6+N(J27)*MAX(0,(B4559)-N(K27))^3/6+N(L27)*MAX(0,(B4559)-N(M27))^3/6)+$B$4507*(B4559))</f>
        <v>0</v>
      </c>
      <c r="F4559" s="3">
        <f>ABS($B$4505+$B$4506*(B4559)-$B$4504*(B4559)^2/2-(N(D27)*MAX(0,(B4559)-N(E27))+N(F27)*MAX(0,(B4559)-N(G27))+N(H27)*MAX(0,(B4559)-N(I27))+N(J27)*MAX(0,(B4559)-N(K27))+N(L27)*MAX(0,(B4559)-N(M27))))</f>
        <v>0</v>
      </c>
    </row>
    <row r="4560" spans="1:6" hidden="1"/>
    <row r="4561" spans="1:2" hidden="1"/>
    <row r="4562" spans="1:2" hidden="1"/>
    <row r="4563" spans="1:2" hidden="1"/>
    <row r="4564" spans="1:2" hidden="1"/>
    <row r="4565" spans="1:2" hidden="1"/>
    <row r="4566" spans="1:2" hidden="1">
      <c r="A4566" s="3">
        <f t="shared" ref="A4566:A4571" si="67">IFERROR(MAX(A4531,MIN(B4531,D4531/$B$4504)),A4531)</f>
        <v>0</v>
      </c>
      <c r="B4566" s="3">
        <f>ABS($B$4505+$B$4506*(A4566)-$B$4504*(A4566)^2/2-(N(D27)*MAX(0,(A4566)-N(E27))+N(F27)*MAX(0,(A4566)-N(G27))+N(H27)*MAX(0,(A4566)-N(I27))+N(J27)*MAX(0,(A4566)-N(K27))+N(L27)*MAX(0,(A4566)-N(M27))))</f>
        <v>0</v>
      </c>
    </row>
    <row r="4567" spans="1:2" hidden="1">
      <c r="A4567" s="3">
        <f t="shared" si="67"/>
        <v>0</v>
      </c>
      <c r="B4567" s="3">
        <f>ABS($B$4505+$B$4506*(A4567)-$B$4504*(A4567)^2/2-(N(D27)*MAX(0,(A4567)-N(E27))+N(F27)*MAX(0,(A4567)-N(G27))+N(H27)*MAX(0,(A4567)-N(I27))+N(J27)*MAX(0,(A4567)-N(K27))+N(L27)*MAX(0,(A4567)-N(M27))))</f>
        <v>0</v>
      </c>
    </row>
    <row r="4568" spans="1:2" hidden="1">
      <c r="A4568" s="3">
        <f t="shared" si="67"/>
        <v>0</v>
      </c>
      <c r="B4568" s="3">
        <f>ABS($B$4505+$B$4506*(A4568)-$B$4504*(A4568)^2/2-(N(D27)*MAX(0,(A4568)-N(E27))+N(F27)*MAX(0,(A4568)-N(G27))+N(H27)*MAX(0,(A4568)-N(I27))+N(J27)*MAX(0,(A4568)-N(K27))+N(L27)*MAX(0,(A4568)-N(M27))))</f>
        <v>0</v>
      </c>
    </row>
    <row r="4569" spans="1:2" hidden="1">
      <c r="A4569" s="3">
        <f t="shared" si="67"/>
        <v>0</v>
      </c>
      <c r="B4569" s="3">
        <f>ABS($B$4505+$B$4506*(A4569)-$B$4504*(A4569)^2/2-(N(D27)*MAX(0,(A4569)-N(E27))+N(F27)*MAX(0,(A4569)-N(G27))+N(H27)*MAX(0,(A4569)-N(I27))+N(J27)*MAX(0,(A4569)-N(K27))+N(L27)*MAX(0,(A4569)-N(M27))))</f>
        <v>0</v>
      </c>
    </row>
    <row r="4570" spans="1:2" hidden="1">
      <c r="A4570" s="3">
        <f t="shared" si="67"/>
        <v>0</v>
      </c>
      <c r="B4570" s="3">
        <f>ABS($B$4505+$B$4506*(A4570)-$B$4504*(A4570)^2/2-(N(D27)*MAX(0,(A4570)-N(E27))+N(F27)*MAX(0,(A4570)-N(G27))+N(H27)*MAX(0,(A4570)-N(I27))+N(J27)*MAX(0,(A4570)-N(K27))+N(L27)*MAX(0,(A4570)-N(M27))))</f>
        <v>0</v>
      </c>
    </row>
    <row r="4571" spans="1:2" hidden="1">
      <c r="A4571" s="3">
        <f t="shared" si="67"/>
        <v>5</v>
      </c>
      <c r="B4571" s="3">
        <f>ABS($B$4505+$B$4506*(A4571)-$B$4504*(A4571)^2/2-(N(D27)*MAX(0,(A4571)-N(E27))+N(F27)*MAX(0,(A4571)-N(G27))+N(H27)*MAX(0,(A4571)-N(I27))+N(J27)*MAX(0,(A4571)-N(K27))+N(L27)*MAX(0,(A4571)-N(M27))))</f>
        <v>278.12499999999994</v>
      </c>
    </row>
    <row r="4572" spans="1:2" hidden="1"/>
    <row r="4573" spans="1:2" hidden="1"/>
    <row r="4574" spans="1:2" hidden="1"/>
    <row r="4575" spans="1:2" hidden="1"/>
    <row r="4576" spans="1:2" hidden="1"/>
    <row r="4577" hidden="1"/>
    <row r="4578" hidden="1"/>
    <row r="4579" hidden="1"/>
    <row r="4580" hidden="1"/>
    <row r="4581" hidden="1"/>
    <row r="4582" hidden="1"/>
    <row r="4583" hidden="1"/>
    <row r="4584" hidden="1"/>
    <row r="4585" hidden="1"/>
    <row r="4586" hidden="1"/>
    <row r="4587" hidden="1"/>
    <row r="4588" hidden="1"/>
    <row r="4589" hidden="1"/>
    <row r="4590" hidden="1"/>
    <row r="4591" hidden="1"/>
    <row r="4592" hidden="1"/>
    <row r="4593" spans="1:5" hidden="1"/>
    <row r="4594" spans="1:5" hidden="1"/>
    <row r="4595" spans="1:5" hidden="1"/>
    <row r="4596" spans="1:5" hidden="1"/>
    <row r="4597" spans="1:5" hidden="1"/>
    <row r="4598" spans="1:5" hidden="1"/>
    <row r="4599" spans="1:5" hidden="1"/>
    <row r="4600" spans="1:5" hidden="1"/>
    <row r="4601" spans="1:5" hidden="1">
      <c r="A4601" s="3">
        <f>B4541</f>
        <v>0</v>
      </c>
      <c r="B4601" s="3">
        <f>IF(($B$4505*(B4541)+$B$4506*(B4541)^2/2-$B$4504*(B4541)^3/6-(N(D27)*MAX(0,(B4541)-N(E27))^2/2+N(F27)*MAX(0,(B4541)-N(G27))^2/2+N(H27)*MAX(0,(B4541)-N(I27))^2/2+N(J27)*MAX(0,(B4541)-N(K27))^2/2+N(L27)*MAX(0,(B4541)-N(M27))^2/2)+$B$4507)*($B$4505*(B4542)+$B$4506*(B4542)^2/2-$B$4504*(B4542)^3/6-(N(D27)*MAX(0,(B4542)-N(E27))^2/2+N(F27)*MAX(0,(B4542)-N(G27))^2/2+N(H27)*MAX(0,(B4542)-N(I27))^2/2+N(J27)*MAX(0,(B4542)-N(K27))^2/2+N(L27)*MAX(0,(B4542)-N(M27))^2/2)+$B$4507)&lt;=0,B4542,B4541)</f>
        <v>0</v>
      </c>
      <c r="C4601" s="3">
        <f t="shared" ref="C4601:C4645" si="68">(A4601+B4601)/2</f>
        <v>0</v>
      </c>
      <c r="D4601" s="3">
        <f>$B$4505*(A4601)+$B$4506*(A4601)^2/2-$B$4504*(A4601)^3/6-(N(D27)*MAX(0,(A4601)-N(E27))^2/2+N(F27)*MAX(0,(A4601)-N(G27))^2/2+N(H27)*MAX(0,(A4601)-N(I27))^2/2+N(J27)*MAX(0,(A4601)-N(K27))^2/2+N(L27)*MAX(0,(A4601)-N(M27))^2/2)+$B$4507</f>
        <v>-695.31249999999989</v>
      </c>
      <c r="E4601" s="3">
        <f>$B$4505*(C4601)+$B$4506*(C4601)^2/2-$B$4504*(C4601)^3/6-(N(D27)*MAX(0,(C4601)-N(E27))^2/2+N(F27)*MAX(0,(C4601)-N(G27))^2/2+N(H27)*MAX(0,(C4601)-N(I27))^2/2+N(J27)*MAX(0,(C4601)-N(K27))^2/2+N(L27)*MAX(0,(C4601)-N(M27))^2/2)+$B$4507</f>
        <v>-695.31249999999989</v>
      </c>
    </row>
    <row r="4602" spans="1:5" hidden="1">
      <c r="A4602" s="3">
        <f t="shared" ref="A4602:A4645" si="69">IF(D4601*E4601&lt;=0,A4601,C4601)</f>
        <v>0</v>
      </c>
      <c r="B4602" s="3">
        <f t="shared" ref="B4602:B4645" si="70">IF(D4601*E4601&lt;=0,C4601,B4601)</f>
        <v>0</v>
      </c>
      <c r="C4602" s="3">
        <f t="shared" si="68"/>
        <v>0</v>
      </c>
      <c r="D4602" s="3">
        <f>$B$4505*(A4602)+$B$4506*(A4602)^2/2-$B$4504*(A4602)^3/6-(N(D27)*MAX(0,(A4602)-N(E27))^2/2+N(F27)*MAX(0,(A4602)-N(G27))^2/2+N(H27)*MAX(0,(A4602)-N(I27))^2/2+N(J27)*MAX(0,(A4602)-N(K27))^2/2+N(L27)*MAX(0,(A4602)-N(M27))^2/2)+$B$4507</f>
        <v>-695.31249999999989</v>
      </c>
      <c r="E4602" s="3">
        <f>$B$4505*(C4602)+$B$4506*(C4602)^2/2-$B$4504*(C4602)^3/6-(N(D27)*MAX(0,(C4602)-N(E27))^2/2+N(F27)*MAX(0,(C4602)-N(G27))^2/2+N(H27)*MAX(0,(C4602)-N(I27))^2/2+N(J27)*MAX(0,(C4602)-N(K27))^2/2+N(L27)*MAX(0,(C4602)-N(M27))^2/2)+$B$4507</f>
        <v>-695.31249999999989</v>
      </c>
    </row>
    <row r="4603" spans="1:5" hidden="1">
      <c r="A4603" s="3">
        <f t="shared" si="69"/>
        <v>0</v>
      </c>
      <c r="B4603" s="3">
        <f t="shared" si="70"/>
        <v>0</v>
      </c>
      <c r="C4603" s="3">
        <f t="shared" si="68"/>
        <v>0</v>
      </c>
      <c r="D4603" s="3">
        <f>$B$4505*(A4603)+$B$4506*(A4603)^2/2-$B$4504*(A4603)^3/6-(N(D27)*MAX(0,(A4603)-N(E27))^2/2+N(F27)*MAX(0,(A4603)-N(G27))^2/2+N(H27)*MAX(0,(A4603)-N(I27))^2/2+N(J27)*MAX(0,(A4603)-N(K27))^2/2+N(L27)*MAX(0,(A4603)-N(M27))^2/2)+$B$4507</f>
        <v>-695.31249999999989</v>
      </c>
      <c r="E4603" s="3">
        <f>$B$4505*(C4603)+$B$4506*(C4603)^2/2-$B$4504*(C4603)^3/6-(N(D27)*MAX(0,(C4603)-N(E27))^2/2+N(F27)*MAX(0,(C4603)-N(G27))^2/2+N(H27)*MAX(0,(C4603)-N(I27))^2/2+N(J27)*MAX(0,(C4603)-N(K27))^2/2+N(L27)*MAX(0,(C4603)-N(M27))^2/2)+$B$4507</f>
        <v>-695.31249999999989</v>
      </c>
    </row>
    <row r="4604" spans="1:5" hidden="1">
      <c r="A4604" s="3">
        <f t="shared" si="69"/>
        <v>0</v>
      </c>
      <c r="B4604" s="3">
        <f t="shared" si="70"/>
        <v>0</v>
      </c>
      <c r="C4604" s="3">
        <f t="shared" si="68"/>
        <v>0</v>
      </c>
      <c r="D4604" s="3">
        <f>$B$4505*(A4604)+$B$4506*(A4604)^2/2-$B$4504*(A4604)^3/6-(N(D27)*MAX(0,(A4604)-N(E27))^2/2+N(F27)*MAX(0,(A4604)-N(G27))^2/2+N(H27)*MAX(0,(A4604)-N(I27))^2/2+N(J27)*MAX(0,(A4604)-N(K27))^2/2+N(L27)*MAX(0,(A4604)-N(M27))^2/2)+$B$4507</f>
        <v>-695.31249999999989</v>
      </c>
      <c r="E4604" s="3">
        <f>$B$4505*(C4604)+$B$4506*(C4604)^2/2-$B$4504*(C4604)^3/6-(N(D27)*MAX(0,(C4604)-N(E27))^2/2+N(F27)*MAX(0,(C4604)-N(G27))^2/2+N(H27)*MAX(0,(C4604)-N(I27))^2/2+N(J27)*MAX(0,(C4604)-N(K27))^2/2+N(L27)*MAX(0,(C4604)-N(M27))^2/2)+$B$4507</f>
        <v>-695.31249999999989</v>
      </c>
    </row>
    <row r="4605" spans="1:5" hidden="1">
      <c r="A4605" s="3">
        <f t="shared" si="69"/>
        <v>0</v>
      </c>
      <c r="B4605" s="3">
        <f t="shared" si="70"/>
        <v>0</v>
      </c>
      <c r="C4605" s="3">
        <f t="shared" si="68"/>
        <v>0</v>
      </c>
      <c r="D4605" s="3">
        <f>$B$4505*(A4605)+$B$4506*(A4605)^2/2-$B$4504*(A4605)^3/6-(N(D27)*MAX(0,(A4605)-N(E27))^2/2+N(F27)*MAX(0,(A4605)-N(G27))^2/2+N(H27)*MAX(0,(A4605)-N(I27))^2/2+N(J27)*MAX(0,(A4605)-N(K27))^2/2+N(L27)*MAX(0,(A4605)-N(M27))^2/2)+$B$4507</f>
        <v>-695.31249999999989</v>
      </c>
      <c r="E4605" s="3">
        <f>$B$4505*(C4605)+$B$4506*(C4605)^2/2-$B$4504*(C4605)^3/6-(N(D27)*MAX(0,(C4605)-N(E27))^2/2+N(F27)*MAX(0,(C4605)-N(G27))^2/2+N(H27)*MAX(0,(C4605)-N(I27))^2/2+N(J27)*MAX(0,(C4605)-N(K27))^2/2+N(L27)*MAX(0,(C4605)-N(M27))^2/2)+$B$4507</f>
        <v>-695.31249999999989</v>
      </c>
    </row>
    <row r="4606" spans="1:5" hidden="1">
      <c r="A4606" s="3">
        <f t="shared" si="69"/>
        <v>0</v>
      </c>
      <c r="B4606" s="3">
        <f t="shared" si="70"/>
        <v>0</v>
      </c>
      <c r="C4606" s="3">
        <f t="shared" si="68"/>
        <v>0</v>
      </c>
      <c r="D4606" s="3">
        <f>$B$4505*(A4606)+$B$4506*(A4606)^2/2-$B$4504*(A4606)^3/6-(N(D27)*MAX(0,(A4606)-N(E27))^2/2+N(F27)*MAX(0,(A4606)-N(G27))^2/2+N(H27)*MAX(0,(A4606)-N(I27))^2/2+N(J27)*MAX(0,(A4606)-N(K27))^2/2+N(L27)*MAX(0,(A4606)-N(M27))^2/2)+$B$4507</f>
        <v>-695.31249999999989</v>
      </c>
      <c r="E4606" s="3">
        <f>$B$4505*(C4606)+$B$4506*(C4606)^2/2-$B$4504*(C4606)^3/6-(N(D27)*MAX(0,(C4606)-N(E27))^2/2+N(F27)*MAX(0,(C4606)-N(G27))^2/2+N(H27)*MAX(0,(C4606)-N(I27))^2/2+N(J27)*MAX(0,(C4606)-N(K27))^2/2+N(L27)*MAX(0,(C4606)-N(M27))^2/2)+$B$4507</f>
        <v>-695.31249999999989</v>
      </c>
    </row>
    <row r="4607" spans="1:5" hidden="1">
      <c r="A4607" s="3">
        <f t="shared" si="69"/>
        <v>0</v>
      </c>
      <c r="B4607" s="3">
        <f t="shared" si="70"/>
        <v>0</v>
      </c>
      <c r="C4607" s="3">
        <f t="shared" si="68"/>
        <v>0</v>
      </c>
      <c r="D4607" s="3">
        <f>$B$4505*(A4607)+$B$4506*(A4607)^2/2-$B$4504*(A4607)^3/6-(N(D27)*MAX(0,(A4607)-N(E27))^2/2+N(F27)*MAX(0,(A4607)-N(G27))^2/2+N(H27)*MAX(0,(A4607)-N(I27))^2/2+N(J27)*MAX(0,(A4607)-N(K27))^2/2+N(L27)*MAX(0,(A4607)-N(M27))^2/2)+$B$4507</f>
        <v>-695.31249999999989</v>
      </c>
      <c r="E4607" s="3">
        <f>$B$4505*(C4607)+$B$4506*(C4607)^2/2-$B$4504*(C4607)^3/6-(N(D27)*MAX(0,(C4607)-N(E27))^2/2+N(F27)*MAX(0,(C4607)-N(G27))^2/2+N(H27)*MAX(0,(C4607)-N(I27))^2/2+N(J27)*MAX(0,(C4607)-N(K27))^2/2+N(L27)*MAX(0,(C4607)-N(M27))^2/2)+$B$4507</f>
        <v>-695.31249999999989</v>
      </c>
    </row>
    <row r="4608" spans="1:5" hidden="1">
      <c r="A4608" s="3">
        <f t="shared" si="69"/>
        <v>0</v>
      </c>
      <c r="B4608" s="3">
        <f t="shared" si="70"/>
        <v>0</v>
      </c>
      <c r="C4608" s="3">
        <f t="shared" si="68"/>
        <v>0</v>
      </c>
      <c r="D4608" s="3">
        <f>$B$4505*(A4608)+$B$4506*(A4608)^2/2-$B$4504*(A4608)^3/6-(N(D27)*MAX(0,(A4608)-N(E27))^2/2+N(F27)*MAX(0,(A4608)-N(G27))^2/2+N(H27)*MAX(0,(A4608)-N(I27))^2/2+N(J27)*MAX(0,(A4608)-N(K27))^2/2+N(L27)*MAX(0,(A4608)-N(M27))^2/2)+$B$4507</f>
        <v>-695.31249999999989</v>
      </c>
      <c r="E4608" s="3">
        <f>$B$4505*(C4608)+$B$4506*(C4608)^2/2-$B$4504*(C4608)^3/6-(N(D27)*MAX(0,(C4608)-N(E27))^2/2+N(F27)*MAX(0,(C4608)-N(G27))^2/2+N(H27)*MAX(0,(C4608)-N(I27))^2/2+N(J27)*MAX(0,(C4608)-N(K27))^2/2+N(L27)*MAX(0,(C4608)-N(M27))^2/2)+$B$4507</f>
        <v>-695.31249999999989</v>
      </c>
    </row>
    <row r="4609" spans="1:5" hidden="1">
      <c r="A4609" s="3">
        <f t="shared" si="69"/>
        <v>0</v>
      </c>
      <c r="B4609" s="3">
        <f t="shared" si="70"/>
        <v>0</v>
      </c>
      <c r="C4609" s="3">
        <f t="shared" si="68"/>
        <v>0</v>
      </c>
      <c r="D4609" s="3">
        <f>$B$4505*(A4609)+$B$4506*(A4609)^2/2-$B$4504*(A4609)^3/6-(N(D27)*MAX(0,(A4609)-N(E27))^2/2+N(F27)*MAX(0,(A4609)-N(G27))^2/2+N(H27)*MAX(0,(A4609)-N(I27))^2/2+N(J27)*MAX(0,(A4609)-N(K27))^2/2+N(L27)*MAX(0,(A4609)-N(M27))^2/2)+$B$4507</f>
        <v>-695.31249999999989</v>
      </c>
      <c r="E4609" s="3">
        <f>$B$4505*(C4609)+$B$4506*(C4609)^2/2-$B$4504*(C4609)^3/6-(N(D27)*MAX(0,(C4609)-N(E27))^2/2+N(F27)*MAX(0,(C4609)-N(G27))^2/2+N(H27)*MAX(0,(C4609)-N(I27))^2/2+N(J27)*MAX(0,(C4609)-N(K27))^2/2+N(L27)*MAX(0,(C4609)-N(M27))^2/2)+$B$4507</f>
        <v>-695.31249999999989</v>
      </c>
    </row>
    <row r="4610" spans="1:5" hidden="1">
      <c r="A4610" s="3">
        <f t="shared" si="69"/>
        <v>0</v>
      </c>
      <c r="B4610" s="3">
        <f t="shared" si="70"/>
        <v>0</v>
      </c>
      <c r="C4610" s="3">
        <f t="shared" si="68"/>
        <v>0</v>
      </c>
      <c r="D4610" s="3">
        <f>$B$4505*(A4610)+$B$4506*(A4610)^2/2-$B$4504*(A4610)^3/6-(N(D27)*MAX(0,(A4610)-N(E27))^2/2+N(F27)*MAX(0,(A4610)-N(G27))^2/2+N(H27)*MAX(0,(A4610)-N(I27))^2/2+N(J27)*MAX(0,(A4610)-N(K27))^2/2+N(L27)*MAX(0,(A4610)-N(M27))^2/2)+$B$4507</f>
        <v>-695.31249999999989</v>
      </c>
      <c r="E4610" s="3">
        <f>$B$4505*(C4610)+$B$4506*(C4610)^2/2-$B$4504*(C4610)^3/6-(N(D27)*MAX(0,(C4610)-N(E27))^2/2+N(F27)*MAX(0,(C4610)-N(G27))^2/2+N(H27)*MAX(0,(C4610)-N(I27))^2/2+N(J27)*MAX(0,(C4610)-N(K27))^2/2+N(L27)*MAX(0,(C4610)-N(M27))^2/2)+$B$4507</f>
        <v>-695.31249999999989</v>
      </c>
    </row>
    <row r="4611" spans="1:5" hidden="1">
      <c r="A4611" s="3">
        <f t="shared" si="69"/>
        <v>0</v>
      </c>
      <c r="B4611" s="3">
        <f t="shared" si="70"/>
        <v>0</v>
      </c>
      <c r="C4611" s="3">
        <f t="shared" si="68"/>
        <v>0</v>
      </c>
      <c r="D4611" s="3">
        <f>$B$4505*(A4611)+$B$4506*(A4611)^2/2-$B$4504*(A4611)^3/6-(N(D27)*MAX(0,(A4611)-N(E27))^2/2+N(F27)*MAX(0,(A4611)-N(G27))^2/2+N(H27)*MAX(0,(A4611)-N(I27))^2/2+N(J27)*MAX(0,(A4611)-N(K27))^2/2+N(L27)*MAX(0,(A4611)-N(M27))^2/2)+$B$4507</f>
        <v>-695.31249999999989</v>
      </c>
      <c r="E4611" s="3">
        <f>$B$4505*(C4611)+$B$4506*(C4611)^2/2-$B$4504*(C4611)^3/6-(N(D27)*MAX(0,(C4611)-N(E27))^2/2+N(F27)*MAX(0,(C4611)-N(G27))^2/2+N(H27)*MAX(0,(C4611)-N(I27))^2/2+N(J27)*MAX(0,(C4611)-N(K27))^2/2+N(L27)*MAX(0,(C4611)-N(M27))^2/2)+$B$4507</f>
        <v>-695.31249999999989</v>
      </c>
    </row>
    <row r="4612" spans="1:5" hidden="1">
      <c r="A4612" s="3">
        <f t="shared" si="69"/>
        <v>0</v>
      </c>
      <c r="B4612" s="3">
        <f t="shared" si="70"/>
        <v>0</v>
      </c>
      <c r="C4612" s="3">
        <f t="shared" si="68"/>
        <v>0</v>
      </c>
      <c r="D4612" s="3">
        <f>$B$4505*(A4612)+$B$4506*(A4612)^2/2-$B$4504*(A4612)^3/6-(N(D27)*MAX(0,(A4612)-N(E27))^2/2+N(F27)*MAX(0,(A4612)-N(G27))^2/2+N(H27)*MAX(0,(A4612)-N(I27))^2/2+N(J27)*MAX(0,(A4612)-N(K27))^2/2+N(L27)*MAX(0,(A4612)-N(M27))^2/2)+$B$4507</f>
        <v>-695.31249999999989</v>
      </c>
      <c r="E4612" s="3">
        <f>$B$4505*(C4612)+$B$4506*(C4612)^2/2-$B$4504*(C4612)^3/6-(N(D27)*MAX(0,(C4612)-N(E27))^2/2+N(F27)*MAX(0,(C4612)-N(G27))^2/2+N(H27)*MAX(0,(C4612)-N(I27))^2/2+N(J27)*MAX(0,(C4612)-N(K27))^2/2+N(L27)*MAX(0,(C4612)-N(M27))^2/2)+$B$4507</f>
        <v>-695.31249999999989</v>
      </c>
    </row>
    <row r="4613" spans="1:5" hidden="1">
      <c r="A4613" s="3">
        <f t="shared" si="69"/>
        <v>0</v>
      </c>
      <c r="B4613" s="3">
        <f t="shared" si="70"/>
        <v>0</v>
      </c>
      <c r="C4613" s="3">
        <f t="shared" si="68"/>
        <v>0</v>
      </c>
      <c r="D4613" s="3">
        <f>$B$4505*(A4613)+$B$4506*(A4613)^2/2-$B$4504*(A4613)^3/6-(N(D27)*MAX(0,(A4613)-N(E27))^2/2+N(F27)*MAX(0,(A4613)-N(G27))^2/2+N(H27)*MAX(0,(A4613)-N(I27))^2/2+N(J27)*MAX(0,(A4613)-N(K27))^2/2+N(L27)*MAX(0,(A4613)-N(M27))^2/2)+$B$4507</f>
        <v>-695.31249999999989</v>
      </c>
      <c r="E4613" s="3">
        <f>$B$4505*(C4613)+$B$4506*(C4613)^2/2-$B$4504*(C4613)^3/6-(N(D27)*MAX(0,(C4613)-N(E27))^2/2+N(F27)*MAX(0,(C4613)-N(G27))^2/2+N(H27)*MAX(0,(C4613)-N(I27))^2/2+N(J27)*MAX(0,(C4613)-N(K27))^2/2+N(L27)*MAX(0,(C4613)-N(M27))^2/2)+$B$4507</f>
        <v>-695.31249999999989</v>
      </c>
    </row>
    <row r="4614" spans="1:5" hidden="1">
      <c r="A4614" s="3">
        <f t="shared" si="69"/>
        <v>0</v>
      </c>
      <c r="B4614" s="3">
        <f t="shared" si="70"/>
        <v>0</v>
      </c>
      <c r="C4614" s="3">
        <f t="shared" si="68"/>
        <v>0</v>
      </c>
      <c r="D4614" s="3">
        <f>$B$4505*(A4614)+$B$4506*(A4614)^2/2-$B$4504*(A4614)^3/6-(N(D27)*MAX(0,(A4614)-N(E27))^2/2+N(F27)*MAX(0,(A4614)-N(G27))^2/2+N(H27)*MAX(0,(A4614)-N(I27))^2/2+N(J27)*MAX(0,(A4614)-N(K27))^2/2+N(L27)*MAX(0,(A4614)-N(M27))^2/2)+$B$4507</f>
        <v>-695.31249999999989</v>
      </c>
      <c r="E4614" s="3">
        <f>$B$4505*(C4614)+$B$4506*(C4614)^2/2-$B$4504*(C4614)^3/6-(N(D27)*MAX(0,(C4614)-N(E27))^2/2+N(F27)*MAX(0,(C4614)-N(G27))^2/2+N(H27)*MAX(0,(C4614)-N(I27))^2/2+N(J27)*MAX(0,(C4614)-N(K27))^2/2+N(L27)*MAX(0,(C4614)-N(M27))^2/2)+$B$4507</f>
        <v>-695.31249999999989</v>
      </c>
    </row>
    <row r="4615" spans="1:5" hidden="1">
      <c r="A4615" s="3">
        <f t="shared" si="69"/>
        <v>0</v>
      </c>
      <c r="B4615" s="3">
        <f t="shared" si="70"/>
        <v>0</v>
      </c>
      <c r="C4615" s="3">
        <f t="shared" si="68"/>
        <v>0</v>
      </c>
      <c r="D4615" s="3">
        <f>$B$4505*(A4615)+$B$4506*(A4615)^2/2-$B$4504*(A4615)^3/6-(N(D27)*MAX(0,(A4615)-N(E27))^2/2+N(F27)*MAX(0,(A4615)-N(G27))^2/2+N(H27)*MAX(0,(A4615)-N(I27))^2/2+N(J27)*MAX(0,(A4615)-N(K27))^2/2+N(L27)*MAX(0,(A4615)-N(M27))^2/2)+$B$4507</f>
        <v>-695.31249999999989</v>
      </c>
      <c r="E4615" s="3">
        <f>$B$4505*(C4615)+$B$4506*(C4615)^2/2-$B$4504*(C4615)^3/6-(N(D27)*MAX(0,(C4615)-N(E27))^2/2+N(F27)*MAX(0,(C4615)-N(G27))^2/2+N(H27)*MAX(0,(C4615)-N(I27))^2/2+N(J27)*MAX(0,(C4615)-N(K27))^2/2+N(L27)*MAX(0,(C4615)-N(M27))^2/2)+$B$4507</f>
        <v>-695.31249999999989</v>
      </c>
    </row>
    <row r="4616" spans="1:5" hidden="1">
      <c r="A4616" s="3">
        <f t="shared" si="69"/>
        <v>0</v>
      </c>
      <c r="B4616" s="3">
        <f t="shared" si="70"/>
        <v>0</v>
      </c>
      <c r="C4616" s="3">
        <f t="shared" si="68"/>
        <v>0</v>
      </c>
      <c r="D4616" s="3">
        <f>$B$4505*(A4616)+$B$4506*(A4616)^2/2-$B$4504*(A4616)^3/6-(N(D27)*MAX(0,(A4616)-N(E27))^2/2+N(F27)*MAX(0,(A4616)-N(G27))^2/2+N(H27)*MAX(0,(A4616)-N(I27))^2/2+N(J27)*MAX(0,(A4616)-N(K27))^2/2+N(L27)*MAX(0,(A4616)-N(M27))^2/2)+$B$4507</f>
        <v>-695.31249999999989</v>
      </c>
      <c r="E4616" s="3">
        <f>$B$4505*(C4616)+$B$4506*(C4616)^2/2-$B$4504*(C4616)^3/6-(N(D27)*MAX(0,(C4616)-N(E27))^2/2+N(F27)*MAX(0,(C4616)-N(G27))^2/2+N(H27)*MAX(0,(C4616)-N(I27))^2/2+N(J27)*MAX(0,(C4616)-N(K27))^2/2+N(L27)*MAX(0,(C4616)-N(M27))^2/2)+$B$4507</f>
        <v>-695.31249999999989</v>
      </c>
    </row>
    <row r="4617" spans="1:5" hidden="1">
      <c r="A4617" s="3">
        <f t="shared" si="69"/>
        <v>0</v>
      </c>
      <c r="B4617" s="3">
        <f t="shared" si="70"/>
        <v>0</v>
      </c>
      <c r="C4617" s="3">
        <f t="shared" si="68"/>
        <v>0</v>
      </c>
      <c r="D4617" s="3">
        <f>$B$4505*(A4617)+$B$4506*(A4617)^2/2-$B$4504*(A4617)^3/6-(N(D27)*MAX(0,(A4617)-N(E27))^2/2+N(F27)*MAX(0,(A4617)-N(G27))^2/2+N(H27)*MAX(0,(A4617)-N(I27))^2/2+N(J27)*MAX(0,(A4617)-N(K27))^2/2+N(L27)*MAX(0,(A4617)-N(M27))^2/2)+$B$4507</f>
        <v>-695.31249999999989</v>
      </c>
      <c r="E4617" s="3">
        <f>$B$4505*(C4617)+$B$4506*(C4617)^2/2-$B$4504*(C4617)^3/6-(N(D27)*MAX(0,(C4617)-N(E27))^2/2+N(F27)*MAX(0,(C4617)-N(G27))^2/2+N(H27)*MAX(0,(C4617)-N(I27))^2/2+N(J27)*MAX(0,(C4617)-N(K27))^2/2+N(L27)*MAX(0,(C4617)-N(M27))^2/2)+$B$4507</f>
        <v>-695.31249999999989</v>
      </c>
    </row>
    <row r="4618" spans="1:5" hidden="1">
      <c r="A4618" s="3">
        <f t="shared" si="69"/>
        <v>0</v>
      </c>
      <c r="B4618" s="3">
        <f t="shared" si="70"/>
        <v>0</v>
      </c>
      <c r="C4618" s="3">
        <f t="shared" si="68"/>
        <v>0</v>
      </c>
      <c r="D4618" s="3">
        <f>$B$4505*(A4618)+$B$4506*(A4618)^2/2-$B$4504*(A4618)^3/6-(N(D27)*MAX(0,(A4618)-N(E27))^2/2+N(F27)*MAX(0,(A4618)-N(G27))^2/2+N(H27)*MAX(0,(A4618)-N(I27))^2/2+N(J27)*MAX(0,(A4618)-N(K27))^2/2+N(L27)*MAX(0,(A4618)-N(M27))^2/2)+$B$4507</f>
        <v>-695.31249999999989</v>
      </c>
      <c r="E4618" s="3">
        <f>$B$4505*(C4618)+$B$4506*(C4618)^2/2-$B$4504*(C4618)^3/6-(N(D27)*MAX(0,(C4618)-N(E27))^2/2+N(F27)*MAX(0,(C4618)-N(G27))^2/2+N(H27)*MAX(0,(C4618)-N(I27))^2/2+N(J27)*MAX(0,(C4618)-N(K27))^2/2+N(L27)*MAX(0,(C4618)-N(M27))^2/2)+$B$4507</f>
        <v>-695.31249999999989</v>
      </c>
    </row>
    <row r="4619" spans="1:5" hidden="1">
      <c r="A4619" s="3">
        <f t="shared" si="69"/>
        <v>0</v>
      </c>
      <c r="B4619" s="3">
        <f t="shared" si="70"/>
        <v>0</v>
      </c>
      <c r="C4619" s="3">
        <f t="shared" si="68"/>
        <v>0</v>
      </c>
      <c r="D4619" s="3">
        <f>$B$4505*(A4619)+$B$4506*(A4619)^2/2-$B$4504*(A4619)^3/6-(N(D27)*MAX(0,(A4619)-N(E27))^2/2+N(F27)*MAX(0,(A4619)-N(G27))^2/2+N(H27)*MAX(0,(A4619)-N(I27))^2/2+N(J27)*MAX(0,(A4619)-N(K27))^2/2+N(L27)*MAX(0,(A4619)-N(M27))^2/2)+$B$4507</f>
        <v>-695.31249999999989</v>
      </c>
      <c r="E4619" s="3">
        <f>$B$4505*(C4619)+$B$4506*(C4619)^2/2-$B$4504*(C4619)^3/6-(N(D27)*MAX(0,(C4619)-N(E27))^2/2+N(F27)*MAX(0,(C4619)-N(G27))^2/2+N(H27)*MAX(0,(C4619)-N(I27))^2/2+N(J27)*MAX(0,(C4619)-N(K27))^2/2+N(L27)*MAX(0,(C4619)-N(M27))^2/2)+$B$4507</f>
        <v>-695.31249999999989</v>
      </c>
    </row>
    <row r="4620" spans="1:5" hidden="1">
      <c r="A4620" s="3">
        <f t="shared" si="69"/>
        <v>0</v>
      </c>
      <c r="B4620" s="3">
        <f t="shared" si="70"/>
        <v>0</v>
      </c>
      <c r="C4620" s="3">
        <f t="shared" si="68"/>
        <v>0</v>
      </c>
      <c r="D4620" s="3">
        <f>$B$4505*(A4620)+$B$4506*(A4620)^2/2-$B$4504*(A4620)^3/6-(N(D27)*MAX(0,(A4620)-N(E27))^2/2+N(F27)*MAX(0,(A4620)-N(G27))^2/2+N(H27)*MAX(0,(A4620)-N(I27))^2/2+N(J27)*MAX(0,(A4620)-N(K27))^2/2+N(L27)*MAX(0,(A4620)-N(M27))^2/2)+$B$4507</f>
        <v>-695.31249999999989</v>
      </c>
      <c r="E4620" s="3">
        <f>$B$4505*(C4620)+$B$4506*(C4620)^2/2-$B$4504*(C4620)^3/6-(N(D27)*MAX(0,(C4620)-N(E27))^2/2+N(F27)*MAX(0,(C4620)-N(G27))^2/2+N(H27)*MAX(0,(C4620)-N(I27))^2/2+N(J27)*MAX(0,(C4620)-N(K27))^2/2+N(L27)*MAX(0,(C4620)-N(M27))^2/2)+$B$4507</f>
        <v>-695.31249999999989</v>
      </c>
    </row>
    <row r="4621" spans="1:5" hidden="1">
      <c r="A4621" s="3">
        <f t="shared" si="69"/>
        <v>0</v>
      </c>
      <c r="B4621" s="3">
        <f t="shared" si="70"/>
        <v>0</v>
      </c>
      <c r="C4621" s="3">
        <f t="shared" si="68"/>
        <v>0</v>
      </c>
      <c r="D4621" s="3">
        <f>$B$4505*(A4621)+$B$4506*(A4621)^2/2-$B$4504*(A4621)^3/6-(N(D27)*MAX(0,(A4621)-N(E27))^2/2+N(F27)*MAX(0,(A4621)-N(G27))^2/2+N(H27)*MAX(0,(A4621)-N(I27))^2/2+N(J27)*MAX(0,(A4621)-N(K27))^2/2+N(L27)*MAX(0,(A4621)-N(M27))^2/2)+$B$4507</f>
        <v>-695.31249999999989</v>
      </c>
      <c r="E4621" s="3">
        <f>$B$4505*(C4621)+$B$4506*(C4621)^2/2-$B$4504*(C4621)^3/6-(N(D27)*MAX(0,(C4621)-N(E27))^2/2+N(F27)*MAX(0,(C4621)-N(G27))^2/2+N(H27)*MAX(0,(C4621)-N(I27))^2/2+N(J27)*MAX(0,(C4621)-N(K27))^2/2+N(L27)*MAX(0,(C4621)-N(M27))^2/2)+$B$4507</f>
        <v>-695.31249999999989</v>
      </c>
    </row>
    <row r="4622" spans="1:5" hidden="1">
      <c r="A4622" s="3">
        <f t="shared" si="69"/>
        <v>0</v>
      </c>
      <c r="B4622" s="3">
        <f t="shared" si="70"/>
        <v>0</v>
      </c>
      <c r="C4622" s="3">
        <f t="shared" si="68"/>
        <v>0</v>
      </c>
      <c r="D4622" s="3">
        <f>$B$4505*(A4622)+$B$4506*(A4622)^2/2-$B$4504*(A4622)^3/6-(N(D27)*MAX(0,(A4622)-N(E27))^2/2+N(F27)*MAX(0,(A4622)-N(G27))^2/2+N(H27)*MAX(0,(A4622)-N(I27))^2/2+N(J27)*MAX(0,(A4622)-N(K27))^2/2+N(L27)*MAX(0,(A4622)-N(M27))^2/2)+$B$4507</f>
        <v>-695.31249999999989</v>
      </c>
      <c r="E4622" s="3">
        <f>$B$4505*(C4622)+$B$4506*(C4622)^2/2-$B$4504*(C4622)^3/6-(N(D27)*MAX(0,(C4622)-N(E27))^2/2+N(F27)*MAX(0,(C4622)-N(G27))^2/2+N(H27)*MAX(0,(C4622)-N(I27))^2/2+N(J27)*MAX(0,(C4622)-N(K27))^2/2+N(L27)*MAX(0,(C4622)-N(M27))^2/2)+$B$4507</f>
        <v>-695.31249999999989</v>
      </c>
    </row>
    <row r="4623" spans="1:5" hidden="1">
      <c r="A4623" s="3">
        <f t="shared" si="69"/>
        <v>0</v>
      </c>
      <c r="B4623" s="3">
        <f t="shared" si="70"/>
        <v>0</v>
      </c>
      <c r="C4623" s="3">
        <f t="shared" si="68"/>
        <v>0</v>
      </c>
      <c r="D4623" s="3">
        <f>$B$4505*(A4623)+$B$4506*(A4623)^2/2-$B$4504*(A4623)^3/6-(N(D27)*MAX(0,(A4623)-N(E27))^2/2+N(F27)*MAX(0,(A4623)-N(G27))^2/2+N(H27)*MAX(0,(A4623)-N(I27))^2/2+N(J27)*MAX(0,(A4623)-N(K27))^2/2+N(L27)*MAX(0,(A4623)-N(M27))^2/2)+$B$4507</f>
        <v>-695.31249999999989</v>
      </c>
      <c r="E4623" s="3">
        <f>$B$4505*(C4623)+$B$4506*(C4623)^2/2-$B$4504*(C4623)^3/6-(N(D27)*MAX(0,(C4623)-N(E27))^2/2+N(F27)*MAX(0,(C4623)-N(G27))^2/2+N(H27)*MAX(0,(C4623)-N(I27))^2/2+N(J27)*MAX(0,(C4623)-N(K27))^2/2+N(L27)*MAX(0,(C4623)-N(M27))^2/2)+$B$4507</f>
        <v>-695.31249999999989</v>
      </c>
    </row>
    <row r="4624" spans="1:5" hidden="1">
      <c r="A4624" s="3">
        <f t="shared" si="69"/>
        <v>0</v>
      </c>
      <c r="B4624" s="3">
        <f t="shared" si="70"/>
        <v>0</v>
      </c>
      <c r="C4624" s="3">
        <f t="shared" si="68"/>
        <v>0</v>
      </c>
      <c r="D4624" s="3">
        <f>$B$4505*(A4624)+$B$4506*(A4624)^2/2-$B$4504*(A4624)^3/6-(N(D27)*MAX(0,(A4624)-N(E27))^2/2+N(F27)*MAX(0,(A4624)-N(G27))^2/2+N(H27)*MAX(0,(A4624)-N(I27))^2/2+N(J27)*MAX(0,(A4624)-N(K27))^2/2+N(L27)*MAX(0,(A4624)-N(M27))^2/2)+$B$4507</f>
        <v>-695.31249999999989</v>
      </c>
      <c r="E4624" s="3">
        <f>$B$4505*(C4624)+$B$4506*(C4624)^2/2-$B$4504*(C4624)^3/6-(N(D27)*MAX(0,(C4624)-N(E27))^2/2+N(F27)*MAX(0,(C4624)-N(G27))^2/2+N(H27)*MAX(0,(C4624)-N(I27))^2/2+N(J27)*MAX(0,(C4624)-N(K27))^2/2+N(L27)*MAX(0,(C4624)-N(M27))^2/2)+$B$4507</f>
        <v>-695.31249999999989</v>
      </c>
    </row>
    <row r="4625" spans="1:5" hidden="1">
      <c r="A4625" s="3">
        <f t="shared" si="69"/>
        <v>0</v>
      </c>
      <c r="B4625" s="3">
        <f t="shared" si="70"/>
        <v>0</v>
      </c>
      <c r="C4625" s="3">
        <f t="shared" si="68"/>
        <v>0</v>
      </c>
      <c r="D4625" s="3">
        <f>$B$4505*(A4625)+$B$4506*(A4625)^2/2-$B$4504*(A4625)^3/6-(N(D27)*MAX(0,(A4625)-N(E27))^2/2+N(F27)*MAX(0,(A4625)-N(G27))^2/2+N(H27)*MAX(0,(A4625)-N(I27))^2/2+N(J27)*MAX(0,(A4625)-N(K27))^2/2+N(L27)*MAX(0,(A4625)-N(M27))^2/2)+$B$4507</f>
        <v>-695.31249999999989</v>
      </c>
      <c r="E4625" s="3">
        <f>$B$4505*(C4625)+$B$4506*(C4625)^2/2-$B$4504*(C4625)^3/6-(N(D27)*MAX(0,(C4625)-N(E27))^2/2+N(F27)*MAX(0,(C4625)-N(G27))^2/2+N(H27)*MAX(0,(C4625)-N(I27))^2/2+N(J27)*MAX(0,(C4625)-N(K27))^2/2+N(L27)*MAX(0,(C4625)-N(M27))^2/2)+$B$4507</f>
        <v>-695.31249999999989</v>
      </c>
    </row>
    <row r="4626" spans="1:5" hidden="1">
      <c r="A4626" s="3">
        <f t="shared" si="69"/>
        <v>0</v>
      </c>
      <c r="B4626" s="3">
        <f t="shared" si="70"/>
        <v>0</v>
      </c>
      <c r="C4626" s="3">
        <f t="shared" si="68"/>
        <v>0</v>
      </c>
      <c r="D4626" s="3">
        <f>$B$4505*(A4626)+$B$4506*(A4626)^2/2-$B$4504*(A4626)^3/6-(N(D27)*MAX(0,(A4626)-N(E27))^2/2+N(F27)*MAX(0,(A4626)-N(G27))^2/2+N(H27)*MAX(0,(A4626)-N(I27))^2/2+N(J27)*MAX(0,(A4626)-N(K27))^2/2+N(L27)*MAX(0,(A4626)-N(M27))^2/2)+$B$4507</f>
        <v>-695.31249999999989</v>
      </c>
      <c r="E4626" s="3">
        <f>$B$4505*(C4626)+$B$4506*(C4626)^2/2-$B$4504*(C4626)^3/6-(N(D27)*MAX(0,(C4626)-N(E27))^2/2+N(F27)*MAX(0,(C4626)-N(G27))^2/2+N(H27)*MAX(0,(C4626)-N(I27))^2/2+N(J27)*MAX(0,(C4626)-N(K27))^2/2+N(L27)*MAX(0,(C4626)-N(M27))^2/2)+$B$4507</f>
        <v>-695.31249999999989</v>
      </c>
    </row>
    <row r="4627" spans="1:5" hidden="1">
      <c r="A4627" s="3">
        <f t="shared" si="69"/>
        <v>0</v>
      </c>
      <c r="B4627" s="3">
        <f t="shared" si="70"/>
        <v>0</v>
      </c>
      <c r="C4627" s="3">
        <f t="shared" si="68"/>
        <v>0</v>
      </c>
      <c r="D4627" s="3">
        <f>$B$4505*(A4627)+$B$4506*(A4627)^2/2-$B$4504*(A4627)^3/6-(N(D27)*MAX(0,(A4627)-N(E27))^2/2+N(F27)*MAX(0,(A4627)-N(G27))^2/2+N(H27)*MAX(0,(A4627)-N(I27))^2/2+N(J27)*MAX(0,(A4627)-N(K27))^2/2+N(L27)*MAX(0,(A4627)-N(M27))^2/2)+$B$4507</f>
        <v>-695.31249999999989</v>
      </c>
      <c r="E4627" s="3">
        <f>$B$4505*(C4627)+$B$4506*(C4627)^2/2-$B$4504*(C4627)^3/6-(N(D27)*MAX(0,(C4627)-N(E27))^2/2+N(F27)*MAX(0,(C4627)-N(G27))^2/2+N(H27)*MAX(0,(C4627)-N(I27))^2/2+N(J27)*MAX(0,(C4627)-N(K27))^2/2+N(L27)*MAX(0,(C4627)-N(M27))^2/2)+$B$4507</f>
        <v>-695.31249999999989</v>
      </c>
    </row>
    <row r="4628" spans="1:5" hidden="1">
      <c r="A4628" s="3">
        <f t="shared" si="69"/>
        <v>0</v>
      </c>
      <c r="B4628" s="3">
        <f t="shared" si="70"/>
        <v>0</v>
      </c>
      <c r="C4628" s="3">
        <f t="shared" si="68"/>
        <v>0</v>
      </c>
      <c r="D4628" s="3">
        <f>$B$4505*(A4628)+$B$4506*(A4628)^2/2-$B$4504*(A4628)^3/6-(N(D27)*MAX(0,(A4628)-N(E27))^2/2+N(F27)*MAX(0,(A4628)-N(G27))^2/2+N(H27)*MAX(0,(A4628)-N(I27))^2/2+N(J27)*MAX(0,(A4628)-N(K27))^2/2+N(L27)*MAX(0,(A4628)-N(M27))^2/2)+$B$4507</f>
        <v>-695.31249999999989</v>
      </c>
      <c r="E4628" s="3">
        <f>$B$4505*(C4628)+$B$4506*(C4628)^2/2-$B$4504*(C4628)^3/6-(N(D27)*MAX(0,(C4628)-N(E27))^2/2+N(F27)*MAX(0,(C4628)-N(G27))^2/2+N(H27)*MAX(0,(C4628)-N(I27))^2/2+N(J27)*MAX(0,(C4628)-N(K27))^2/2+N(L27)*MAX(0,(C4628)-N(M27))^2/2)+$B$4507</f>
        <v>-695.31249999999989</v>
      </c>
    </row>
    <row r="4629" spans="1:5" hidden="1">
      <c r="A4629" s="3">
        <f t="shared" si="69"/>
        <v>0</v>
      </c>
      <c r="B4629" s="3">
        <f t="shared" si="70"/>
        <v>0</v>
      </c>
      <c r="C4629" s="3">
        <f t="shared" si="68"/>
        <v>0</v>
      </c>
      <c r="D4629" s="3">
        <f>$B$4505*(A4629)+$B$4506*(A4629)^2/2-$B$4504*(A4629)^3/6-(N(D27)*MAX(0,(A4629)-N(E27))^2/2+N(F27)*MAX(0,(A4629)-N(G27))^2/2+N(H27)*MAX(0,(A4629)-N(I27))^2/2+N(J27)*MAX(0,(A4629)-N(K27))^2/2+N(L27)*MAX(0,(A4629)-N(M27))^2/2)+$B$4507</f>
        <v>-695.31249999999989</v>
      </c>
      <c r="E4629" s="3">
        <f>$B$4505*(C4629)+$B$4506*(C4629)^2/2-$B$4504*(C4629)^3/6-(N(D27)*MAX(0,(C4629)-N(E27))^2/2+N(F27)*MAX(0,(C4629)-N(G27))^2/2+N(H27)*MAX(0,(C4629)-N(I27))^2/2+N(J27)*MAX(0,(C4629)-N(K27))^2/2+N(L27)*MAX(0,(C4629)-N(M27))^2/2)+$B$4507</f>
        <v>-695.31249999999989</v>
      </c>
    </row>
    <row r="4630" spans="1:5" hidden="1">
      <c r="A4630" s="3">
        <f t="shared" si="69"/>
        <v>0</v>
      </c>
      <c r="B4630" s="3">
        <f t="shared" si="70"/>
        <v>0</v>
      </c>
      <c r="C4630" s="3">
        <f t="shared" si="68"/>
        <v>0</v>
      </c>
      <c r="D4630" s="3">
        <f>$B$4505*(A4630)+$B$4506*(A4630)^2/2-$B$4504*(A4630)^3/6-(N(D27)*MAX(0,(A4630)-N(E27))^2/2+N(F27)*MAX(0,(A4630)-N(G27))^2/2+N(H27)*MAX(0,(A4630)-N(I27))^2/2+N(J27)*MAX(0,(A4630)-N(K27))^2/2+N(L27)*MAX(0,(A4630)-N(M27))^2/2)+$B$4507</f>
        <v>-695.31249999999989</v>
      </c>
      <c r="E4630" s="3">
        <f>$B$4505*(C4630)+$B$4506*(C4630)^2/2-$B$4504*(C4630)^3/6-(N(D27)*MAX(0,(C4630)-N(E27))^2/2+N(F27)*MAX(0,(C4630)-N(G27))^2/2+N(H27)*MAX(0,(C4630)-N(I27))^2/2+N(J27)*MAX(0,(C4630)-N(K27))^2/2+N(L27)*MAX(0,(C4630)-N(M27))^2/2)+$B$4507</f>
        <v>-695.31249999999989</v>
      </c>
    </row>
    <row r="4631" spans="1:5" hidden="1">
      <c r="A4631" s="3">
        <f t="shared" si="69"/>
        <v>0</v>
      </c>
      <c r="B4631" s="3">
        <f t="shared" si="70"/>
        <v>0</v>
      </c>
      <c r="C4631" s="3">
        <f t="shared" si="68"/>
        <v>0</v>
      </c>
      <c r="D4631" s="3">
        <f>$B$4505*(A4631)+$B$4506*(A4631)^2/2-$B$4504*(A4631)^3/6-(N(D27)*MAX(0,(A4631)-N(E27))^2/2+N(F27)*MAX(0,(A4631)-N(G27))^2/2+N(H27)*MAX(0,(A4631)-N(I27))^2/2+N(J27)*MAX(0,(A4631)-N(K27))^2/2+N(L27)*MAX(0,(A4631)-N(M27))^2/2)+$B$4507</f>
        <v>-695.31249999999989</v>
      </c>
      <c r="E4631" s="3">
        <f>$B$4505*(C4631)+$B$4506*(C4631)^2/2-$B$4504*(C4631)^3/6-(N(D27)*MAX(0,(C4631)-N(E27))^2/2+N(F27)*MAX(0,(C4631)-N(G27))^2/2+N(H27)*MAX(0,(C4631)-N(I27))^2/2+N(J27)*MAX(0,(C4631)-N(K27))^2/2+N(L27)*MAX(0,(C4631)-N(M27))^2/2)+$B$4507</f>
        <v>-695.31249999999989</v>
      </c>
    </row>
    <row r="4632" spans="1:5" hidden="1">
      <c r="A4632" s="3">
        <f t="shared" si="69"/>
        <v>0</v>
      </c>
      <c r="B4632" s="3">
        <f t="shared" si="70"/>
        <v>0</v>
      </c>
      <c r="C4632" s="3">
        <f t="shared" si="68"/>
        <v>0</v>
      </c>
      <c r="D4632" s="3">
        <f>$B$4505*(A4632)+$B$4506*(A4632)^2/2-$B$4504*(A4632)^3/6-(N(D27)*MAX(0,(A4632)-N(E27))^2/2+N(F27)*MAX(0,(A4632)-N(G27))^2/2+N(H27)*MAX(0,(A4632)-N(I27))^2/2+N(J27)*MAX(0,(A4632)-N(K27))^2/2+N(L27)*MAX(0,(A4632)-N(M27))^2/2)+$B$4507</f>
        <v>-695.31249999999989</v>
      </c>
      <c r="E4632" s="3">
        <f>$B$4505*(C4632)+$B$4506*(C4632)^2/2-$B$4504*(C4632)^3/6-(N(D27)*MAX(0,(C4632)-N(E27))^2/2+N(F27)*MAX(0,(C4632)-N(G27))^2/2+N(H27)*MAX(0,(C4632)-N(I27))^2/2+N(J27)*MAX(0,(C4632)-N(K27))^2/2+N(L27)*MAX(0,(C4632)-N(M27))^2/2)+$B$4507</f>
        <v>-695.31249999999989</v>
      </c>
    </row>
    <row r="4633" spans="1:5" hidden="1">
      <c r="A4633" s="3">
        <f t="shared" si="69"/>
        <v>0</v>
      </c>
      <c r="B4633" s="3">
        <f t="shared" si="70"/>
        <v>0</v>
      </c>
      <c r="C4633" s="3">
        <f t="shared" si="68"/>
        <v>0</v>
      </c>
      <c r="D4633" s="3">
        <f>$B$4505*(A4633)+$B$4506*(A4633)^2/2-$B$4504*(A4633)^3/6-(N(D27)*MAX(0,(A4633)-N(E27))^2/2+N(F27)*MAX(0,(A4633)-N(G27))^2/2+N(H27)*MAX(0,(A4633)-N(I27))^2/2+N(J27)*MAX(0,(A4633)-N(K27))^2/2+N(L27)*MAX(0,(A4633)-N(M27))^2/2)+$B$4507</f>
        <v>-695.31249999999989</v>
      </c>
      <c r="E4633" s="3">
        <f>$B$4505*(C4633)+$B$4506*(C4633)^2/2-$B$4504*(C4633)^3/6-(N(D27)*MAX(0,(C4633)-N(E27))^2/2+N(F27)*MAX(0,(C4633)-N(G27))^2/2+N(H27)*MAX(0,(C4633)-N(I27))^2/2+N(J27)*MAX(0,(C4633)-N(K27))^2/2+N(L27)*MAX(0,(C4633)-N(M27))^2/2)+$B$4507</f>
        <v>-695.31249999999989</v>
      </c>
    </row>
    <row r="4634" spans="1:5" hidden="1">
      <c r="A4634" s="3">
        <f t="shared" si="69"/>
        <v>0</v>
      </c>
      <c r="B4634" s="3">
        <f t="shared" si="70"/>
        <v>0</v>
      </c>
      <c r="C4634" s="3">
        <f t="shared" si="68"/>
        <v>0</v>
      </c>
      <c r="D4634" s="3">
        <f>$B$4505*(A4634)+$B$4506*(A4634)^2/2-$B$4504*(A4634)^3/6-(N(D27)*MAX(0,(A4634)-N(E27))^2/2+N(F27)*MAX(0,(A4634)-N(G27))^2/2+N(H27)*MAX(0,(A4634)-N(I27))^2/2+N(J27)*MAX(0,(A4634)-N(K27))^2/2+N(L27)*MAX(0,(A4634)-N(M27))^2/2)+$B$4507</f>
        <v>-695.31249999999989</v>
      </c>
      <c r="E4634" s="3">
        <f>$B$4505*(C4634)+$B$4506*(C4634)^2/2-$B$4504*(C4634)^3/6-(N(D27)*MAX(0,(C4634)-N(E27))^2/2+N(F27)*MAX(0,(C4634)-N(G27))^2/2+N(H27)*MAX(0,(C4634)-N(I27))^2/2+N(J27)*MAX(0,(C4634)-N(K27))^2/2+N(L27)*MAX(0,(C4634)-N(M27))^2/2)+$B$4507</f>
        <v>-695.31249999999989</v>
      </c>
    </row>
    <row r="4635" spans="1:5" hidden="1">
      <c r="A4635" s="3">
        <f t="shared" si="69"/>
        <v>0</v>
      </c>
      <c r="B4635" s="3">
        <f t="shared" si="70"/>
        <v>0</v>
      </c>
      <c r="C4635" s="3">
        <f t="shared" si="68"/>
        <v>0</v>
      </c>
      <c r="D4635" s="3">
        <f>$B$4505*(A4635)+$B$4506*(A4635)^2/2-$B$4504*(A4635)^3/6-(N(D27)*MAX(0,(A4635)-N(E27))^2/2+N(F27)*MAX(0,(A4635)-N(G27))^2/2+N(H27)*MAX(0,(A4635)-N(I27))^2/2+N(J27)*MAX(0,(A4635)-N(K27))^2/2+N(L27)*MAX(0,(A4635)-N(M27))^2/2)+$B$4507</f>
        <v>-695.31249999999989</v>
      </c>
      <c r="E4635" s="3">
        <f>$B$4505*(C4635)+$B$4506*(C4635)^2/2-$B$4504*(C4635)^3/6-(N(D27)*MAX(0,(C4635)-N(E27))^2/2+N(F27)*MAX(0,(C4635)-N(G27))^2/2+N(H27)*MAX(0,(C4635)-N(I27))^2/2+N(J27)*MAX(0,(C4635)-N(K27))^2/2+N(L27)*MAX(0,(C4635)-N(M27))^2/2)+$B$4507</f>
        <v>-695.31249999999989</v>
      </c>
    </row>
    <row r="4636" spans="1:5" hidden="1">
      <c r="A4636" s="3">
        <f t="shared" si="69"/>
        <v>0</v>
      </c>
      <c r="B4636" s="3">
        <f t="shared" si="70"/>
        <v>0</v>
      </c>
      <c r="C4636" s="3">
        <f t="shared" si="68"/>
        <v>0</v>
      </c>
      <c r="D4636" s="3">
        <f>$B$4505*(A4636)+$B$4506*(A4636)^2/2-$B$4504*(A4636)^3/6-(N(D27)*MAX(0,(A4636)-N(E27))^2/2+N(F27)*MAX(0,(A4636)-N(G27))^2/2+N(H27)*MAX(0,(A4636)-N(I27))^2/2+N(J27)*MAX(0,(A4636)-N(K27))^2/2+N(L27)*MAX(0,(A4636)-N(M27))^2/2)+$B$4507</f>
        <v>-695.31249999999989</v>
      </c>
      <c r="E4636" s="3">
        <f>$B$4505*(C4636)+$B$4506*(C4636)^2/2-$B$4504*(C4636)^3/6-(N(D27)*MAX(0,(C4636)-N(E27))^2/2+N(F27)*MAX(0,(C4636)-N(G27))^2/2+N(H27)*MAX(0,(C4636)-N(I27))^2/2+N(J27)*MAX(0,(C4636)-N(K27))^2/2+N(L27)*MAX(0,(C4636)-N(M27))^2/2)+$B$4507</f>
        <v>-695.31249999999989</v>
      </c>
    </row>
    <row r="4637" spans="1:5" hidden="1">
      <c r="A4637" s="3">
        <f t="shared" si="69"/>
        <v>0</v>
      </c>
      <c r="B4637" s="3">
        <f t="shared" si="70"/>
        <v>0</v>
      </c>
      <c r="C4637" s="3">
        <f t="shared" si="68"/>
        <v>0</v>
      </c>
      <c r="D4637" s="3">
        <f>$B$4505*(A4637)+$B$4506*(A4637)^2/2-$B$4504*(A4637)^3/6-(N(D27)*MAX(0,(A4637)-N(E27))^2/2+N(F27)*MAX(0,(A4637)-N(G27))^2/2+N(H27)*MAX(0,(A4637)-N(I27))^2/2+N(J27)*MAX(0,(A4637)-N(K27))^2/2+N(L27)*MAX(0,(A4637)-N(M27))^2/2)+$B$4507</f>
        <v>-695.31249999999989</v>
      </c>
      <c r="E4637" s="3">
        <f>$B$4505*(C4637)+$B$4506*(C4637)^2/2-$B$4504*(C4637)^3/6-(N(D27)*MAX(0,(C4637)-N(E27))^2/2+N(F27)*MAX(0,(C4637)-N(G27))^2/2+N(H27)*MAX(0,(C4637)-N(I27))^2/2+N(J27)*MAX(0,(C4637)-N(K27))^2/2+N(L27)*MAX(0,(C4637)-N(M27))^2/2)+$B$4507</f>
        <v>-695.31249999999989</v>
      </c>
    </row>
    <row r="4638" spans="1:5" hidden="1">
      <c r="A4638" s="3">
        <f t="shared" si="69"/>
        <v>0</v>
      </c>
      <c r="B4638" s="3">
        <f t="shared" si="70"/>
        <v>0</v>
      </c>
      <c r="C4638" s="3">
        <f t="shared" si="68"/>
        <v>0</v>
      </c>
      <c r="D4638" s="3">
        <f>$B$4505*(A4638)+$B$4506*(A4638)^2/2-$B$4504*(A4638)^3/6-(N(D27)*MAX(0,(A4638)-N(E27))^2/2+N(F27)*MAX(0,(A4638)-N(G27))^2/2+N(H27)*MAX(0,(A4638)-N(I27))^2/2+N(J27)*MAX(0,(A4638)-N(K27))^2/2+N(L27)*MAX(0,(A4638)-N(M27))^2/2)+$B$4507</f>
        <v>-695.31249999999989</v>
      </c>
      <c r="E4638" s="3">
        <f>$B$4505*(C4638)+$B$4506*(C4638)^2/2-$B$4504*(C4638)^3/6-(N(D27)*MAX(0,(C4638)-N(E27))^2/2+N(F27)*MAX(0,(C4638)-N(G27))^2/2+N(H27)*MAX(0,(C4638)-N(I27))^2/2+N(J27)*MAX(0,(C4638)-N(K27))^2/2+N(L27)*MAX(0,(C4638)-N(M27))^2/2)+$B$4507</f>
        <v>-695.31249999999989</v>
      </c>
    </row>
    <row r="4639" spans="1:5" hidden="1">
      <c r="A4639" s="3">
        <f t="shared" si="69"/>
        <v>0</v>
      </c>
      <c r="B4639" s="3">
        <f t="shared" si="70"/>
        <v>0</v>
      </c>
      <c r="C4639" s="3">
        <f t="shared" si="68"/>
        <v>0</v>
      </c>
      <c r="D4639" s="3">
        <f>$B$4505*(A4639)+$B$4506*(A4639)^2/2-$B$4504*(A4639)^3/6-(N(D27)*MAX(0,(A4639)-N(E27))^2/2+N(F27)*MAX(0,(A4639)-N(G27))^2/2+N(H27)*MAX(0,(A4639)-N(I27))^2/2+N(J27)*MAX(0,(A4639)-N(K27))^2/2+N(L27)*MAX(0,(A4639)-N(M27))^2/2)+$B$4507</f>
        <v>-695.31249999999989</v>
      </c>
      <c r="E4639" s="3">
        <f>$B$4505*(C4639)+$B$4506*(C4639)^2/2-$B$4504*(C4639)^3/6-(N(D27)*MAX(0,(C4639)-N(E27))^2/2+N(F27)*MAX(0,(C4639)-N(G27))^2/2+N(H27)*MAX(0,(C4639)-N(I27))^2/2+N(J27)*MAX(0,(C4639)-N(K27))^2/2+N(L27)*MAX(0,(C4639)-N(M27))^2/2)+$B$4507</f>
        <v>-695.31249999999989</v>
      </c>
    </row>
    <row r="4640" spans="1:5" hidden="1">
      <c r="A4640" s="3">
        <f t="shared" si="69"/>
        <v>0</v>
      </c>
      <c r="B4640" s="3">
        <f t="shared" si="70"/>
        <v>0</v>
      </c>
      <c r="C4640" s="3">
        <f t="shared" si="68"/>
        <v>0</v>
      </c>
      <c r="D4640" s="3">
        <f>$B$4505*(A4640)+$B$4506*(A4640)^2/2-$B$4504*(A4640)^3/6-(N(D27)*MAX(0,(A4640)-N(E27))^2/2+N(F27)*MAX(0,(A4640)-N(G27))^2/2+N(H27)*MAX(0,(A4640)-N(I27))^2/2+N(J27)*MAX(0,(A4640)-N(K27))^2/2+N(L27)*MAX(0,(A4640)-N(M27))^2/2)+$B$4507</f>
        <v>-695.31249999999989</v>
      </c>
      <c r="E4640" s="3">
        <f>$B$4505*(C4640)+$B$4506*(C4640)^2/2-$B$4504*(C4640)^3/6-(N(D27)*MAX(0,(C4640)-N(E27))^2/2+N(F27)*MAX(0,(C4640)-N(G27))^2/2+N(H27)*MAX(0,(C4640)-N(I27))^2/2+N(J27)*MAX(0,(C4640)-N(K27))^2/2+N(L27)*MAX(0,(C4640)-N(M27))^2/2)+$B$4507</f>
        <v>-695.31249999999989</v>
      </c>
    </row>
    <row r="4641" spans="1:5" hidden="1">
      <c r="A4641" s="3">
        <f t="shared" si="69"/>
        <v>0</v>
      </c>
      <c r="B4641" s="3">
        <f t="shared" si="70"/>
        <v>0</v>
      </c>
      <c r="C4641" s="3">
        <f t="shared" si="68"/>
        <v>0</v>
      </c>
      <c r="D4641" s="3">
        <f>$B$4505*(A4641)+$B$4506*(A4641)^2/2-$B$4504*(A4641)^3/6-(N(D27)*MAX(0,(A4641)-N(E27))^2/2+N(F27)*MAX(0,(A4641)-N(G27))^2/2+N(H27)*MAX(0,(A4641)-N(I27))^2/2+N(J27)*MAX(0,(A4641)-N(K27))^2/2+N(L27)*MAX(0,(A4641)-N(M27))^2/2)+$B$4507</f>
        <v>-695.31249999999989</v>
      </c>
      <c r="E4641" s="3">
        <f>$B$4505*(C4641)+$B$4506*(C4641)^2/2-$B$4504*(C4641)^3/6-(N(D27)*MAX(0,(C4641)-N(E27))^2/2+N(F27)*MAX(0,(C4641)-N(G27))^2/2+N(H27)*MAX(0,(C4641)-N(I27))^2/2+N(J27)*MAX(0,(C4641)-N(K27))^2/2+N(L27)*MAX(0,(C4641)-N(M27))^2/2)+$B$4507</f>
        <v>-695.31249999999989</v>
      </c>
    </row>
    <row r="4642" spans="1:5" hidden="1">
      <c r="A4642" s="3">
        <f t="shared" si="69"/>
        <v>0</v>
      </c>
      <c r="B4642" s="3">
        <f t="shared" si="70"/>
        <v>0</v>
      </c>
      <c r="C4642" s="3">
        <f t="shared" si="68"/>
        <v>0</v>
      </c>
      <c r="D4642" s="3">
        <f>$B$4505*(A4642)+$B$4506*(A4642)^2/2-$B$4504*(A4642)^3/6-(N(D27)*MAX(0,(A4642)-N(E27))^2/2+N(F27)*MAX(0,(A4642)-N(G27))^2/2+N(H27)*MAX(0,(A4642)-N(I27))^2/2+N(J27)*MAX(0,(A4642)-N(K27))^2/2+N(L27)*MAX(0,(A4642)-N(M27))^2/2)+$B$4507</f>
        <v>-695.31249999999989</v>
      </c>
      <c r="E4642" s="3">
        <f>$B$4505*(C4642)+$B$4506*(C4642)^2/2-$B$4504*(C4642)^3/6-(N(D27)*MAX(0,(C4642)-N(E27))^2/2+N(F27)*MAX(0,(C4642)-N(G27))^2/2+N(H27)*MAX(0,(C4642)-N(I27))^2/2+N(J27)*MAX(0,(C4642)-N(K27))^2/2+N(L27)*MAX(0,(C4642)-N(M27))^2/2)+$B$4507</f>
        <v>-695.31249999999989</v>
      </c>
    </row>
    <row r="4643" spans="1:5" hidden="1">
      <c r="A4643" s="3">
        <f t="shared" si="69"/>
        <v>0</v>
      </c>
      <c r="B4643" s="3">
        <f t="shared" si="70"/>
        <v>0</v>
      </c>
      <c r="C4643" s="3">
        <f t="shared" si="68"/>
        <v>0</v>
      </c>
      <c r="D4643" s="3">
        <f>$B$4505*(A4643)+$B$4506*(A4643)^2/2-$B$4504*(A4643)^3/6-(N(D27)*MAX(0,(A4643)-N(E27))^2/2+N(F27)*MAX(0,(A4643)-N(G27))^2/2+N(H27)*MAX(0,(A4643)-N(I27))^2/2+N(J27)*MAX(0,(A4643)-N(K27))^2/2+N(L27)*MAX(0,(A4643)-N(M27))^2/2)+$B$4507</f>
        <v>-695.31249999999989</v>
      </c>
      <c r="E4643" s="3">
        <f>$B$4505*(C4643)+$B$4506*(C4643)^2/2-$B$4504*(C4643)^3/6-(N(D27)*MAX(0,(C4643)-N(E27))^2/2+N(F27)*MAX(0,(C4643)-N(G27))^2/2+N(H27)*MAX(0,(C4643)-N(I27))^2/2+N(J27)*MAX(0,(C4643)-N(K27))^2/2+N(L27)*MAX(0,(C4643)-N(M27))^2/2)+$B$4507</f>
        <v>-695.31249999999989</v>
      </c>
    </row>
    <row r="4644" spans="1:5" hidden="1">
      <c r="A4644" s="3">
        <f t="shared" si="69"/>
        <v>0</v>
      </c>
      <c r="B4644" s="3">
        <f t="shared" si="70"/>
        <v>0</v>
      </c>
      <c r="C4644" s="3">
        <f t="shared" si="68"/>
        <v>0</v>
      </c>
      <c r="D4644" s="3">
        <f>$B$4505*(A4644)+$B$4506*(A4644)^2/2-$B$4504*(A4644)^3/6-(N(D27)*MAX(0,(A4644)-N(E27))^2/2+N(F27)*MAX(0,(A4644)-N(G27))^2/2+N(H27)*MAX(0,(A4644)-N(I27))^2/2+N(J27)*MAX(0,(A4644)-N(K27))^2/2+N(L27)*MAX(0,(A4644)-N(M27))^2/2)+$B$4507</f>
        <v>-695.31249999999989</v>
      </c>
      <c r="E4644" s="3">
        <f>$B$4505*(C4644)+$B$4506*(C4644)^2/2-$B$4504*(C4644)^3/6-(N(D27)*MAX(0,(C4644)-N(E27))^2/2+N(F27)*MAX(0,(C4644)-N(G27))^2/2+N(H27)*MAX(0,(C4644)-N(I27))^2/2+N(J27)*MAX(0,(C4644)-N(K27))^2/2+N(L27)*MAX(0,(C4644)-N(M27))^2/2)+$B$4507</f>
        <v>-695.31249999999989</v>
      </c>
    </row>
    <row r="4645" spans="1:5" hidden="1">
      <c r="A4645" s="3">
        <f t="shared" si="69"/>
        <v>0</v>
      </c>
      <c r="B4645" s="3">
        <f t="shared" si="70"/>
        <v>0</v>
      </c>
      <c r="C4645" s="3">
        <f t="shared" si="68"/>
        <v>0</v>
      </c>
      <c r="D4645" s="3">
        <f>$B$4505*(A4645)+$B$4506*(A4645)^2/2-$B$4504*(A4645)^3/6-(N(D27)*MAX(0,(A4645)-N(E27))^2/2+N(F27)*MAX(0,(A4645)-N(G27))^2/2+N(H27)*MAX(0,(A4645)-N(I27))^2/2+N(J27)*MAX(0,(A4645)-N(K27))^2/2+N(L27)*MAX(0,(A4645)-N(M27))^2/2)+$B$4507</f>
        <v>-695.31249999999989</v>
      </c>
      <c r="E4645" s="3">
        <f>$B$4505*(C4645)+$B$4506*(C4645)^2/2-$B$4504*(C4645)^3/6-(N(D27)*MAX(0,(C4645)-N(E27))^2/2+N(F27)*MAX(0,(C4645)-N(G27))^2/2+N(H27)*MAX(0,(C4645)-N(I27))^2/2+N(J27)*MAX(0,(C4645)-N(K27))^2/2+N(L27)*MAX(0,(C4645)-N(M27))^2/2)+$B$4507</f>
        <v>-695.31249999999989</v>
      </c>
    </row>
    <row r="4646" spans="1:5" hidden="1"/>
    <row r="4647" spans="1:5" hidden="1">
      <c r="A4647" s="3">
        <f>B4542</f>
        <v>0</v>
      </c>
      <c r="B4647" s="3">
        <f>IF(($B$4505*(B4542)+$B$4506*(B4542)^2/2-$B$4504*(B4542)^3/6-(N(D27)*MAX(0,(B4542)-N(E27))^2/2+N(F27)*MAX(0,(B4542)-N(G27))^2/2+N(H27)*MAX(0,(B4542)-N(I27))^2/2+N(J27)*MAX(0,(B4542)-N(K27))^2/2+N(L27)*MAX(0,(B4542)-N(M27))^2/2)+$B$4507)*($B$4505*(B4543)+$B$4506*(B4543)^2/2-$B$4504*(B4543)^3/6-(N(D27)*MAX(0,(B4543)-N(E27))^2/2+N(F27)*MAX(0,(B4543)-N(G27))^2/2+N(H27)*MAX(0,(B4543)-N(I27))^2/2+N(J27)*MAX(0,(B4543)-N(K27))^2/2+N(L27)*MAX(0,(B4543)-N(M27))^2/2)+$B$4507)&lt;=0,B4543,B4542)</f>
        <v>0</v>
      </c>
      <c r="C4647" s="3">
        <f t="shared" ref="C4647:C4691" si="71">(A4647+B4647)/2</f>
        <v>0</v>
      </c>
      <c r="D4647" s="3">
        <f>$B$4505*(A4647)+$B$4506*(A4647)^2/2-$B$4504*(A4647)^3/6-(N(D27)*MAX(0,(A4647)-N(E27))^2/2+N(F27)*MAX(0,(A4647)-N(G27))^2/2+N(H27)*MAX(0,(A4647)-N(I27))^2/2+N(J27)*MAX(0,(A4647)-N(K27))^2/2+N(L27)*MAX(0,(A4647)-N(M27))^2/2)+$B$4507</f>
        <v>-695.31249999999989</v>
      </c>
      <c r="E4647" s="3">
        <f>$B$4505*(C4647)+$B$4506*(C4647)^2/2-$B$4504*(C4647)^3/6-(N(D27)*MAX(0,(C4647)-N(E27))^2/2+N(F27)*MAX(0,(C4647)-N(G27))^2/2+N(H27)*MAX(0,(C4647)-N(I27))^2/2+N(J27)*MAX(0,(C4647)-N(K27))^2/2+N(L27)*MAX(0,(C4647)-N(M27))^2/2)+$B$4507</f>
        <v>-695.31249999999989</v>
      </c>
    </row>
    <row r="4648" spans="1:5" hidden="1">
      <c r="A4648" s="3">
        <f t="shared" ref="A4648:A4691" si="72">IF(D4647*E4647&lt;=0,A4647,C4647)</f>
        <v>0</v>
      </c>
      <c r="B4648" s="3">
        <f t="shared" ref="B4648:B4691" si="73">IF(D4647*E4647&lt;=0,C4647,B4647)</f>
        <v>0</v>
      </c>
      <c r="C4648" s="3">
        <f t="shared" si="71"/>
        <v>0</v>
      </c>
      <c r="D4648" s="3">
        <f>$B$4505*(A4648)+$B$4506*(A4648)^2/2-$B$4504*(A4648)^3/6-(N(D27)*MAX(0,(A4648)-N(E27))^2/2+N(F27)*MAX(0,(A4648)-N(G27))^2/2+N(H27)*MAX(0,(A4648)-N(I27))^2/2+N(J27)*MAX(0,(A4648)-N(K27))^2/2+N(L27)*MAX(0,(A4648)-N(M27))^2/2)+$B$4507</f>
        <v>-695.31249999999989</v>
      </c>
      <c r="E4648" s="3">
        <f>$B$4505*(C4648)+$B$4506*(C4648)^2/2-$B$4504*(C4648)^3/6-(N(D27)*MAX(0,(C4648)-N(E27))^2/2+N(F27)*MAX(0,(C4648)-N(G27))^2/2+N(H27)*MAX(0,(C4648)-N(I27))^2/2+N(J27)*MAX(0,(C4648)-N(K27))^2/2+N(L27)*MAX(0,(C4648)-N(M27))^2/2)+$B$4507</f>
        <v>-695.31249999999989</v>
      </c>
    </row>
    <row r="4649" spans="1:5" hidden="1">
      <c r="A4649" s="3">
        <f t="shared" si="72"/>
        <v>0</v>
      </c>
      <c r="B4649" s="3">
        <f t="shared" si="73"/>
        <v>0</v>
      </c>
      <c r="C4649" s="3">
        <f t="shared" si="71"/>
        <v>0</v>
      </c>
      <c r="D4649" s="3">
        <f>$B$4505*(A4649)+$B$4506*(A4649)^2/2-$B$4504*(A4649)^3/6-(N(D27)*MAX(0,(A4649)-N(E27))^2/2+N(F27)*MAX(0,(A4649)-N(G27))^2/2+N(H27)*MAX(0,(A4649)-N(I27))^2/2+N(J27)*MAX(0,(A4649)-N(K27))^2/2+N(L27)*MAX(0,(A4649)-N(M27))^2/2)+$B$4507</f>
        <v>-695.31249999999989</v>
      </c>
      <c r="E4649" s="3">
        <f>$B$4505*(C4649)+$B$4506*(C4649)^2/2-$B$4504*(C4649)^3/6-(N(D27)*MAX(0,(C4649)-N(E27))^2/2+N(F27)*MAX(0,(C4649)-N(G27))^2/2+N(H27)*MAX(0,(C4649)-N(I27))^2/2+N(J27)*MAX(0,(C4649)-N(K27))^2/2+N(L27)*MAX(0,(C4649)-N(M27))^2/2)+$B$4507</f>
        <v>-695.31249999999989</v>
      </c>
    </row>
    <row r="4650" spans="1:5" hidden="1">
      <c r="A4650" s="3">
        <f t="shared" si="72"/>
        <v>0</v>
      </c>
      <c r="B4650" s="3">
        <f t="shared" si="73"/>
        <v>0</v>
      </c>
      <c r="C4650" s="3">
        <f t="shared" si="71"/>
        <v>0</v>
      </c>
      <c r="D4650" s="3">
        <f>$B$4505*(A4650)+$B$4506*(A4650)^2/2-$B$4504*(A4650)^3/6-(N(D27)*MAX(0,(A4650)-N(E27))^2/2+N(F27)*MAX(0,(A4650)-N(G27))^2/2+N(H27)*MAX(0,(A4650)-N(I27))^2/2+N(J27)*MAX(0,(A4650)-N(K27))^2/2+N(L27)*MAX(0,(A4650)-N(M27))^2/2)+$B$4507</f>
        <v>-695.31249999999989</v>
      </c>
      <c r="E4650" s="3">
        <f>$B$4505*(C4650)+$B$4506*(C4650)^2/2-$B$4504*(C4650)^3/6-(N(D27)*MAX(0,(C4650)-N(E27))^2/2+N(F27)*MAX(0,(C4650)-N(G27))^2/2+N(H27)*MAX(0,(C4650)-N(I27))^2/2+N(J27)*MAX(0,(C4650)-N(K27))^2/2+N(L27)*MAX(0,(C4650)-N(M27))^2/2)+$B$4507</f>
        <v>-695.31249999999989</v>
      </c>
    </row>
    <row r="4651" spans="1:5" hidden="1">
      <c r="A4651" s="3">
        <f t="shared" si="72"/>
        <v>0</v>
      </c>
      <c r="B4651" s="3">
        <f t="shared" si="73"/>
        <v>0</v>
      </c>
      <c r="C4651" s="3">
        <f t="shared" si="71"/>
        <v>0</v>
      </c>
      <c r="D4651" s="3">
        <f>$B$4505*(A4651)+$B$4506*(A4651)^2/2-$B$4504*(A4651)^3/6-(N(D27)*MAX(0,(A4651)-N(E27))^2/2+N(F27)*MAX(0,(A4651)-N(G27))^2/2+N(H27)*MAX(0,(A4651)-N(I27))^2/2+N(J27)*MAX(0,(A4651)-N(K27))^2/2+N(L27)*MAX(0,(A4651)-N(M27))^2/2)+$B$4507</f>
        <v>-695.31249999999989</v>
      </c>
      <c r="E4651" s="3">
        <f>$B$4505*(C4651)+$B$4506*(C4651)^2/2-$B$4504*(C4651)^3/6-(N(D27)*MAX(0,(C4651)-N(E27))^2/2+N(F27)*MAX(0,(C4651)-N(G27))^2/2+N(H27)*MAX(0,(C4651)-N(I27))^2/2+N(J27)*MAX(0,(C4651)-N(K27))^2/2+N(L27)*MAX(0,(C4651)-N(M27))^2/2)+$B$4507</f>
        <v>-695.31249999999989</v>
      </c>
    </row>
    <row r="4652" spans="1:5" hidden="1">
      <c r="A4652" s="3">
        <f t="shared" si="72"/>
        <v>0</v>
      </c>
      <c r="B4652" s="3">
        <f t="shared" si="73"/>
        <v>0</v>
      </c>
      <c r="C4652" s="3">
        <f t="shared" si="71"/>
        <v>0</v>
      </c>
      <c r="D4652" s="3">
        <f>$B$4505*(A4652)+$B$4506*(A4652)^2/2-$B$4504*(A4652)^3/6-(N(D27)*MAX(0,(A4652)-N(E27))^2/2+N(F27)*MAX(0,(A4652)-N(G27))^2/2+N(H27)*MAX(0,(A4652)-N(I27))^2/2+N(J27)*MAX(0,(A4652)-N(K27))^2/2+N(L27)*MAX(0,(A4652)-N(M27))^2/2)+$B$4507</f>
        <v>-695.31249999999989</v>
      </c>
      <c r="E4652" s="3">
        <f>$B$4505*(C4652)+$B$4506*(C4652)^2/2-$B$4504*(C4652)^3/6-(N(D27)*MAX(0,(C4652)-N(E27))^2/2+N(F27)*MAX(0,(C4652)-N(G27))^2/2+N(H27)*MAX(0,(C4652)-N(I27))^2/2+N(J27)*MAX(0,(C4652)-N(K27))^2/2+N(L27)*MAX(0,(C4652)-N(M27))^2/2)+$B$4507</f>
        <v>-695.31249999999989</v>
      </c>
    </row>
    <row r="4653" spans="1:5" hidden="1">
      <c r="A4653" s="3">
        <f t="shared" si="72"/>
        <v>0</v>
      </c>
      <c r="B4653" s="3">
        <f t="shared" si="73"/>
        <v>0</v>
      </c>
      <c r="C4653" s="3">
        <f t="shared" si="71"/>
        <v>0</v>
      </c>
      <c r="D4653" s="3">
        <f>$B$4505*(A4653)+$B$4506*(A4653)^2/2-$B$4504*(A4653)^3/6-(N(D27)*MAX(0,(A4653)-N(E27))^2/2+N(F27)*MAX(0,(A4653)-N(G27))^2/2+N(H27)*MAX(0,(A4653)-N(I27))^2/2+N(J27)*MAX(0,(A4653)-N(K27))^2/2+N(L27)*MAX(0,(A4653)-N(M27))^2/2)+$B$4507</f>
        <v>-695.31249999999989</v>
      </c>
      <c r="E4653" s="3">
        <f>$B$4505*(C4653)+$B$4506*(C4653)^2/2-$B$4504*(C4653)^3/6-(N(D27)*MAX(0,(C4653)-N(E27))^2/2+N(F27)*MAX(0,(C4653)-N(G27))^2/2+N(H27)*MAX(0,(C4653)-N(I27))^2/2+N(J27)*MAX(0,(C4653)-N(K27))^2/2+N(L27)*MAX(0,(C4653)-N(M27))^2/2)+$B$4507</f>
        <v>-695.31249999999989</v>
      </c>
    </row>
    <row r="4654" spans="1:5" hidden="1">
      <c r="A4654" s="3">
        <f t="shared" si="72"/>
        <v>0</v>
      </c>
      <c r="B4654" s="3">
        <f t="shared" si="73"/>
        <v>0</v>
      </c>
      <c r="C4654" s="3">
        <f t="shared" si="71"/>
        <v>0</v>
      </c>
      <c r="D4654" s="3">
        <f>$B$4505*(A4654)+$B$4506*(A4654)^2/2-$B$4504*(A4654)^3/6-(N(D27)*MAX(0,(A4654)-N(E27))^2/2+N(F27)*MAX(0,(A4654)-N(G27))^2/2+N(H27)*MAX(0,(A4654)-N(I27))^2/2+N(J27)*MAX(0,(A4654)-N(K27))^2/2+N(L27)*MAX(0,(A4654)-N(M27))^2/2)+$B$4507</f>
        <v>-695.31249999999989</v>
      </c>
      <c r="E4654" s="3">
        <f>$B$4505*(C4654)+$B$4506*(C4654)^2/2-$B$4504*(C4654)^3/6-(N(D27)*MAX(0,(C4654)-N(E27))^2/2+N(F27)*MAX(0,(C4654)-N(G27))^2/2+N(H27)*MAX(0,(C4654)-N(I27))^2/2+N(J27)*MAX(0,(C4654)-N(K27))^2/2+N(L27)*MAX(0,(C4654)-N(M27))^2/2)+$B$4507</f>
        <v>-695.31249999999989</v>
      </c>
    </row>
    <row r="4655" spans="1:5" hidden="1">
      <c r="A4655" s="3">
        <f t="shared" si="72"/>
        <v>0</v>
      </c>
      <c r="B4655" s="3">
        <f t="shared" si="73"/>
        <v>0</v>
      </c>
      <c r="C4655" s="3">
        <f t="shared" si="71"/>
        <v>0</v>
      </c>
      <c r="D4655" s="3">
        <f>$B$4505*(A4655)+$B$4506*(A4655)^2/2-$B$4504*(A4655)^3/6-(N(D27)*MAX(0,(A4655)-N(E27))^2/2+N(F27)*MAX(0,(A4655)-N(G27))^2/2+N(H27)*MAX(0,(A4655)-N(I27))^2/2+N(J27)*MAX(0,(A4655)-N(K27))^2/2+N(L27)*MAX(0,(A4655)-N(M27))^2/2)+$B$4507</f>
        <v>-695.31249999999989</v>
      </c>
      <c r="E4655" s="3">
        <f>$B$4505*(C4655)+$B$4506*(C4655)^2/2-$B$4504*(C4655)^3/6-(N(D27)*MAX(0,(C4655)-N(E27))^2/2+N(F27)*MAX(0,(C4655)-N(G27))^2/2+N(H27)*MAX(0,(C4655)-N(I27))^2/2+N(J27)*MAX(0,(C4655)-N(K27))^2/2+N(L27)*MAX(0,(C4655)-N(M27))^2/2)+$B$4507</f>
        <v>-695.31249999999989</v>
      </c>
    </row>
    <row r="4656" spans="1:5" hidden="1">
      <c r="A4656" s="3">
        <f t="shared" si="72"/>
        <v>0</v>
      </c>
      <c r="B4656" s="3">
        <f t="shared" si="73"/>
        <v>0</v>
      </c>
      <c r="C4656" s="3">
        <f t="shared" si="71"/>
        <v>0</v>
      </c>
      <c r="D4656" s="3">
        <f>$B$4505*(A4656)+$B$4506*(A4656)^2/2-$B$4504*(A4656)^3/6-(N(D27)*MAX(0,(A4656)-N(E27))^2/2+N(F27)*MAX(0,(A4656)-N(G27))^2/2+N(H27)*MAX(0,(A4656)-N(I27))^2/2+N(J27)*MAX(0,(A4656)-N(K27))^2/2+N(L27)*MAX(0,(A4656)-N(M27))^2/2)+$B$4507</f>
        <v>-695.31249999999989</v>
      </c>
      <c r="E4656" s="3">
        <f>$B$4505*(C4656)+$B$4506*(C4656)^2/2-$B$4504*(C4656)^3/6-(N(D27)*MAX(0,(C4656)-N(E27))^2/2+N(F27)*MAX(0,(C4656)-N(G27))^2/2+N(H27)*MAX(0,(C4656)-N(I27))^2/2+N(J27)*MAX(0,(C4656)-N(K27))^2/2+N(L27)*MAX(0,(C4656)-N(M27))^2/2)+$B$4507</f>
        <v>-695.31249999999989</v>
      </c>
    </row>
    <row r="4657" spans="1:5" hidden="1">
      <c r="A4657" s="3">
        <f t="shared" si="72"/>
        <v>0</v>
      </c>
      <c r="B4657" s="3">
        <f t="shared" si="73"/>
        <v>0</v>
      </c>
      <c r="C4657" s="3">
        <f t="shared" si="71"/>
        <v>0</v>
      </c>
      <c r="D4657" s="3">
        <f>$B$4505*(A4657)+$B$4506*(A4657)^2/2-$B$4504*(A4657)^3/6-(N(D27)*MAX(0,(A4657)-N(E27))^2/2+N(F27)*MAX(0,(A4657)-N(G27))^2/2+N(H27)*MAX(0,(A4657)-N(I27))^2/2+N(J27)*MAX(0,(A4657)-N(K27))^2/2+N(L27)*MAX(0,(A4657)-N(M27))^2/2)+$B$4507</f>
        <v>-695.31249999999989</v>
      </c>
      <c r="E4657" s="3">
        <f>$B$4505*(C4657)+$B$4506*(C4657)^2/2-$B$4504*(C4657)^3/6-(N(D27)*MAX(0,(C4657)-N(E27))^2/2+N(F27)*MAX(0,(C4657)-N(G27))^2/2+N(H27)*MAX(0,(C4657)-N(I27))^2/2+N(J27)*MAX(0,(C4657)-N(K27))^2/2+N(L27)*MAX(0,(C4657)-N(M27))^2/2)+$B$4507</f>
        <v>-695.31249999999989</v>
      </c>
    </row>
    <row r="4658" spans="1:5" hidden="1">
      <c r="A4658" s="3">
        <f t="shared" si="72"/>
        <v>0</v>
      </c>
      <c r="B4658" s="3">
        <f t="shared" si="73"/>
        <v>0</v>
      </c>
      <c r="C4658" s="3">
        <f t="shared" si="71"/>
        <v>0</v>
      </c>
      <c r="D4658" s="3">
        <f>$B$4505*(A4658)+$B$4506*(A4658)^2/2-$B$4504*(A4658)^3/6-(N(D27)*MAX(0,(A4658)-N(E27))^2/2+N(F27)*MAX(0,(A4658)-N(G27))^2/2+N(H27)*MAX(0,(A4658)-N(I27))^2/2+N(J27)*MAX(0,(A4658)-N(K27))^2/2+N(L27)*MAX(0,(A4658)-N(M27))^2/2)+$B$4507</f>
        <v>-695.31249999999989</v>
      </c>
      <c r="E4658" s="3">
        <f>$B$4505*(C4658)+$B$4506*(C4658)^2/2-$B$4504*(C4658)^3/6-(N(D27)*MAX(0,(C4658)-N(E27))^2/2+N(F27)*MAX(0,(C4658)-N(G27))^2/2+N(H27)*MAX(0,(C4658)-N(I27))^2/2+N(J27)*MAX(0,(C4658)-N(K27))^2/2+N(L27)*MAX(0,(C4658)-N(M27))^2/2)+$B$4507</f>
        <v>-695.31249999999989</v>
      </c>
    </row>
    <row r="4659" spans="1:5" hidden="1">
      <c r="A4659" s="3">
        <f t="shared" si="72"/>
        <v>0</v>
      </c>
      <c r="B4659" s="3">
        <f t="shared" si="73"/>
        <v>0</v>
      </c>
      <c r="C4659" s="3">
        <f t="shared" si="71"/>
        <v>0</v>
      </c>
      <c r="D4659" s="3">
        <f>$B$4505*(A4659)+$B$4506*(A4659)^2/2-$B$4504*(A4659)^3/6-(N(D27)*MAX(0,(A4659)-N(E27))^2/2+N(F27)*MAX(0,(A4659)-N(G27))^2/2+N(H27)*MAX(0,(A4659)-N(I27))^2/2+N(J27)*MAX(0,(A4659)-N(K27))^2/2+N(L27)*MAX(0,(A4659)-N(M27))^2/2)+$B$4507</f>
        <v>-695.31249999999989</v>
      </c>
      <c r="E4659" s="3">
        <f>$B$4505*(C4659)+$B$4506*(C4659)^2/2-$B$4504*(C4659)^3/6-(N(D27)*MAX(0,(C4659)-N(E27))^2/2+N(F27)*MAX(0,(C4659)-N(G27))^2/2+N(H27)*MAX(0,(C4659)-N(I27))^2/2+N(J27)*MAX(0,(C4659)-N(K27))^2/2+N(L27)*MAX(0,(C4659)-N(M27))^2/2)+$B$4507</f>
        <v>-695.31249999999989</v>
      </c>
    </row>
    <row r="4660" spans="1:5" hidden="1">
      <c r="A4660" s="3">
        <f t="shared" si="72"/>
        <v>0</v>
      </c>
      <c r="B4660" s="3">
        <f t="shared" si="73"/>
        <v>0</v>
      </c>
      <c r="C4660" s="3">
        <f t="shared" si="71"/>
        <v>0</v>
      </c>
      <c r="D4660" s="3">
        <f>$B$4505*(A4660)+$B$4506*(A4660)^2/2-$B$4504*(A4660)^3/6-(N(D27)*MAX(0,(A4660)-N(E27))^2/2+N(F27)*MAX(0,(A4660)-N(G27))^2/2+N(H27)*MAX(0,(A4660)-N(I27))^2/2+N(J27)*MAX(0,(A4660)-N(K27))^2/2+N(L27)*MAX(0,(A4660)-N(M27))^2/2)+$B$4507</f>
        <v>-695.31249999999989</v>
      </c>
      <c r="E4660" s="3">
        <f>$B$4505*(C4660)+$B$4506*(C4660)^2/2-$B$4504*(C4660)^3/6-(N(D27)*MAX(0,(C4660)-N(E27))^2/2+N(F27)*MAX(0,(C4660)-N(G27))^2/2+N(H27)*MAX(0,(C4660)-N(I27))^2/2+N(J27)*MAX(0,(C4660)-N(K27))^2/2+N(L27)*MAX(0,(C4660)-N(M27))^2/2)+$B$4507</f>
        <v>-695.31249999999989</v>
      </c>
    </row>
    <row r="4661" spans="1:5" hidden="1">
      <c r="A4661" s="3">
        <f t="shared" si="72"/>
        <v>0</v>
      </c>
      <c r="B4661" s="3">
        <f t="shared" si="73"/>
        <v>0</v>
      </c>
      <c r="C4661" s="3">
        <f t="shared" si="71"/>
        <v>0</v>
      </c>
      <c r="D4661" s="3">
        <f>$B$4505*(A4661)+$B$4506*(A4661)^2/2-$B$4504*(A4661)^3/6-(N(D27)*MAX(0,(A4661)-N(E27))^2/2+N(F27)*MAX(0,(A4661)-N(G27))^2/2+N(H27)*MAX(0,(A4661)-N(I27))^2/2+N(J27)*MAX(0,(A4661)-N(K27))^2/2+N(L27)*MAX(0,(A4661)-N(M27))^2/2)+$B$4507</f>
        <v>-695.31249999999989</v>
      </c>
      <c r="E4661" s="3">
        <f>$B$4505*(C4661)+$B$4506*(C4661)^2/2-$B$4504*(C4661)^3/6-(N(D27)*MAX(0,(C4661)-N(E27))^2/2+N(F27)*MAX(0,(C4661)-N(G27))^2/2+N(H27)*MAX(0,(C4661)-N(I27))^2/2+N(J27)*MAX(0,(C4661)-N(K27))^2/2+N(L27)*MAX(0,(C4661)-N(M27))^2/2)+$B$4507</f>
        <v>-695.31249999999989</v>
      </c>
    </row>
    <row r="4662" spans="1:5" hidden="1">
      <c r="A4662" s="3">
        <f t="shared" si="72"/>
        <v>0</v>
      </c>
      <c r="B4662" s="3">
        <f t="shared" si="73"/>
        <v>0</v>
      </c>
      <c r="C4662" s="3">
        <f t="shared" si="71"/>
        <v>0</v>
      </c>
      <c r="D4662" s="3">
        <f>$B$4505*(A4662)+$B$4506*(A4662)^2/2-$B$4504*(A4662)^3/6-(N(D27)*MAX(0,(A4662)-N(E27))^2/2+N(F27)*MAX(0,(A4662)-N(G27))^2/2+N(H27)*MAX(0,(A4662)-N(I27))^2/2+N(J27)*MAX(0,(A4662)-N(K27))^2/2+N(L27)*MAX(0,(A4662)-N(M27))^2/2)+$B$4507</f>
        <v>-695.31249999999989</v>
      </c>
      <c r="E4662" s="3">
        <f>$B$4505*(C4662)+$B$4506*(C4662)^2/2-$B$4504*(C4662)^3/6-(N(D27)*MAX(0,(C4662)-N(E27))^2/2+N(F27)*MAX(0,(C4662)-N(G27))^2/2+N(H27)*MAX(0,(C4662)-N(I27))^2/2+N(J27)*MAX(0,(C4662)-N(K27))^2/2+N(L27)*MAX(0,(C4662)-N(M27))^2/2)+$B$4507</f>
        <v>-695.31249999999989</v>
      </c>
    </row>
    <row r="4663" spans="1:5" hidden="1">
      <c r="A4663" s="3">
        <f t="shared" si="72"/>
        <v>0</v>
      </c>
      <c r="B4663" s="3">
        <f t="shared" si="73"/>
        <v>0</v>
      </c>
      <c r="C4663" s="3">
        <f t="shared" si="71"/>
        <v>0</v>
      </c>
      <c r="D4663" s="3">
        <f>$B$4505*(A4663)+$B$4506*(A4663)^2/2-$B$4504*(A4663)^3/6-(N(D27)*MAX(0,(A4663)-N(E27))^2/2+N(F27)*MAX(0,(A4663)-N(G27))^2/2+N(H27)*MAX(0,(A4663)-N(I27))^2/2+N(J27)*MAX(0,(A4663)-N(K27))^2/2+N(L27)*MAX(0,(A4663)-N(M27))^2/2)+$B$4507</f>
        <v>-695.31249999999989</v>
      </c>
      <c r="E4663" s="3">
        <f>$B$4505*(C4663)+$B$4506*(C4663)^2/2-$B$4504*(C4663)^3/6-(N(D27)*MAX(0,(C4663)-N(E27))^2/2+N(F27)*MAX(0,(C4663)-N(G27))^2/2+N(H27)*MAX(0,(C4663)-N(I27))^2/2+N(J27)*MAX(0,(C4663)-N(K27))^2/2+N(L27)*MAX(0,(C4663)-N(M27))^2/2)+$B$4507</f>
        <v>-695.31249999999989</v>
      </c>
    </row>
    <row r="4664" spans="1:5" hidden="1">
      <c r="A4664" s="3">
        <f t="shared" si="72"/>
        <v>0</v>
      </c>
      <c r="B4664" s="3">
        <f t="shared" si="73"/>
        <v>0</v>
      </c>
      <c r="C4664" s="3">
        <f t="shared" si="71"/>
        <v>0</v>
      </c>
      <c r="D4664" s="3">
        <f>$B$4505*(A4664)+$B$4506*(A4664)^2/2-$B$4504*(A4664)^3/6-(N(D27)*MAX(0,(A4664)-N(E27))^2/2+N(F27)*MAX(0,(A4664)-N(G27))^2/2+N(H27)*MAX(0,(A4664)-N(I27))^2/2+N(J27)*MAX(0,(A4664)-N(K27))^2/2+N(L27)*MAX(0,(A4664)-N(M27))^2/2)+$B$4507</f>
        <v>-695.31249999999989</v>
      </c>
      <c r="E4664" s="3">
        <f>$B$4505*(C4664)+$B$4506*(C4664)^2/2-$B$4504*(C4664)^3/6-(N(D27)*MAX(0,(C4664)-N(E27))^2/2+N(F27)*MAX(0,(C4664)-N(G27))^2/2+N(H27)*MAX(0,(C4664)-N(I27))^2/2+N(J27)*MAX(0,(C4664)-N(K27))^2/2+N(L27)*MAX(0,(C4664)-N(M27))^2/2)+$B$4507</f>
        <v>-695.31249999999989</v>
      </c>
    </row>
    <row r="4665" spans="1:5" hidden="1">
      <c r="A4665" s="3">
        <f t="shared" si="72"/>
        <v>0</v>
      </c>
      <c r="B4665" s="3">
        <f t="shared" si="73"/>
        <v>0</v>
      </c>
      <c r="C4665" s="3">
        <f t="shared" si="71"/>
        <v>0</v>
      </c>
      <c r="D4665" s="3">
        <f>$B$4505*(A4665)+$B$4506*(A4665)^2/2-$B$4504*(A4665)^3/6-(N(D27)*MAX(0,(A4665)-N(E27))^2/2+N(F27)*MAX(0,(A4665)-N(G27))^2/2+N(H27)*MAX(0,(A4665)-N(I27))^2/2+N(J27)*MAX(0,(A4665)-N(K27))^2/2+N(L27)*MAX(0,(A4665)-N(M27))^2/2)+$B$4507</f>
        <v>-695.31249999999989</v>
      </c>
      <c r="E4665" s="3">
        <f>$B$4505*(C4665)+$B$4506*(C4665)^2/2-$B$4504*(C4665)^3/6-(N(D27)*MAX(0,(C4665)-N(E27))^2/2+N(F27)*MAX(0,(C4665)-N(G27))^2/2+N(H27)*MAX(0,(C4665)-N(I27))^2/2+N(J27)*MAX(0,(C4665)-N(K27))^2/2+N(L27)*MAX(0,(C4665)-N(M27))^2/2)+$B$4507</f>
        <v>-695.31249999999989</v>
      </c>
    </row>
    <row r="4666" spans="1:5" hidden="1">
      <c r="A4666" s="3">
        <f t="shared" si="72"/>
        <v>0</v>
      </c>
      <c r="B4666" s="3">
        <f t="shared" si="73"/>
        <v>0</v>
      </c>
      <c r="C4666" s="3">
        <f t="shared" si="71"/>
        <v>0</v>
      </c>
      <c r="D4666" s="3">
        <f>$B$4505*(A4666)+$B$4506*(A4666)^2/2-$B$4504*(A4666)^3/6-(N(D27)*MAX(0,(A4666)-N(E27))^2/2+N(F27)*MAX(0,(A4666)-N(G27))^2/2+N(H27)*MAX(0,(A4666)-N(I27))^2/2+N(J27)*MAX(0,(A4666)-N(K27))^2/2+N(L27)*MAX(0,(A4666)-N(M27))^2/2)+$B$4507</f>
        <v>-695.31249999999989</v>
      </c>
      <c r="E4666" s="3">
        <f>$B$4505*(C4666)+$B$4506*(C4666)^2/2-$B$4504*(C4666)^3/6-(N(D27)*MAX(0,(C4666)-N(E27))^2/2+N(F27)*MAX(0,(C4666)-N(G27))^2/2+N(H27)*MAX(0,(C4666)-N(I27))^2/2+N(J27)*MAX(0,(C4666)-N(K27))^2/2+N(L27)*MAX(0,(C4666)-N(M27))^2/2)+$B$4507</f>
        <v>-695.31249999999989</v>
      </c>
    </row>
    <row r="4667" spans="1:5" hidden="1">
      <c r="A4667" s="3">
        <f t="shared" si="72"/>
        <v>0</v>
      </c>
      <c r="B4667" s="3">
        <f t="shared" si="73"/>
        <v>0</v>
      </c>
      <c r="C4667" s="3">
        <f t="shared" si="71"/>
        <v>0</v>
      </c>
      <c r="D4667" s="3">
        <f>$B$4505*(A4667)+$B$4506*(A4667)^2/2-$B$4504*(A4667)^3/6-(N(D27)*MAX(0,(A4667)-N(E27))^2/2+N(F27)*MAX(0,(A4667)-N(G27))^2/2+N(H27)*MAX(0,(A4667)-N(I27))^2/2+N(J27)*MAX(0,(A4667)-N(K27))^2/2+N(L27)*MAX(0,(A4667)-N(M27))^2/2)+$B$4507</f>
        <v>-695.31249999999989</v>
      </c>
      <c r="E4667" s="3">
        <f>$B$4505*(C4667)+$B$4506*(C4667)^2/2-$B$4504*(C4667)^3/6-(N(D27)*MAX(0,(C4667)-N(E27))^2/2+N(F27)*MAX(0,(C4667)-N(G27))^2/2+N(H27)*MAX(0,(C4667)-N(I27))^2/2+N(J27)*MAX(0,(C4667)-N(K27))^2/2+N(L27)*MAX(0,(C4667)-N(M27))^2/2)+$B$4507</f>
        <v>-695.31249999999989</v>
      </c>
    </row>
    <row r="4668" spans="1:5" hidden="1">
      <c r="A4668" s="3">
        <f t="shared" si="72"/>
        <v>0</v>
      </c>
      <c r="B4668" s="3">
        <f t="shared" si="73"/>
        <v>0</v>
      </c>
      <c r="C4668" s="3">
        <f t="shared" si="71"/>
        <v>0</v>
      </c>
      <c r="D4668" s="3">
        <f>$B$4505*(A4668)+$B$4506*(A4668)^2/2-$B$4504*(A4668)^3/6-(N(D27)*MAX(0,(A4668)-N(E27))^2/2+N(F27)*MAX(0,(A4668)-N(G27))^2/2+N(H27)*MAX(0,(A4668)-N(I27))^2/2+N(J27)*MAX(0,(A4668)-N(K27))^2/2+N(L27)*MAX(0,(A4668)-N(M27))^2/2)+$B$4507</f>
        <v>-695.31249999999989</v>
      </c>
      <c r="E4668" s="3">
        <f>$B$4505*(C4668)+$B$4506*(C4668)^2/2-$B$4504*(C4668)^3/6-(N(D27)*MAX(0,(C4668)-N(E27))^2/2+N(F27)*MAX(0,(C4668)-N(G27))^2/2+N(H27)*MAX(0,(C4668)-N(I27))^2/2+N(J27)*MAX(0,(C4668)-N(K27))^2/2+N(L27)*MAX(0,(C4668)-N(M27))^2/2)+$B$4507</f>
        <v>-695.31249999999989</v>
      </c>
    </row>
    <row r="4669" spans="1:5" hidden="1">
      <c r="A4669" s="3">
        <f t="shared" si="72"/>
        <v>0</v>
      </c>
      <c r="B4669" s="3">
        <f t="shared" si="73"/>
        <v>0</v>
      </c>
      <c r="C4669" s="3">
        <f t="shared" si="71"/>
        <v>0</v>
      </c>
      <c r="D4669" s="3">
        <f>$B$4505*(A4669)+$B$4506*(A4669)^2/2-$B$4504*(A4669)^3/6-(N(D27)*MAX(0,(A4669)-N(E27))^2/2+N(F27)*MAX(0,(A4669)-N(G27))^2/2+N(H27)*MAX(0,(A4669)-N(I27))^2/2+N(J27)*MAX(0,(A4669)-N(K27))^2/2+N(L27)*MAX(0,(A4669)-N(M27))^2/2)+$B$4507</f>
        <v>-695.31249999999989</v>
      </c>
      <c r="E4669" s="3">
        <f>$B$4505*(C4669)+$B$4506*(C4669)^2/2-$B$4504*(C4669)^3/6-(N(D27)*MAX(0,(C4669)-N(E27))^2/2+N(F27)*MAX(0,(C4669)-N(G27))^2/2+N(H27)*MAX(0,(C4669)-N(I27))^2/2+N(J27)*MAX(0,(C4669)-N(K27))^2/2+N(L27)*MAX(0,(C4669)-N(M27))^2/2)+$B$4507</f>
        <v>-695.31249999999989</v>
      </c>
    </row>
    <row r="4670" spans="1:5" hidden="1">
      <c r="A4670" s="3">
        <f t="shared" si="72"/>
        <v>0</v>
      </c>
      <c r="B4670" s="3">
        <f t="shared" si="73"/>
        <v>0</v>
      </c>
      <c r="C4670" s="3">
        <f t="shared" si="71"/>
        <v>0</v>
      </c>
      <c r="D4670" s="3">
        <f>$B$4505*(A4670)+$B$4506*(A4670)^2/2-$B$4504*(A4670)^3/6-(N(D27)*MAX(0,(A4670)-N(E27))^2/2+N(F27)*MAX(0,(A4670)-N(G27))^2/2+N(H27)*MAX(0,(A4670)-N(I27))^2/2+N(J27)*MAX(0,(A4670)-N(K27))^2/2+N(L27)*MAX(0,(A4670)-N(M27))^2/2)+$B$4507</f>
        <v>-695.31249999999989</v>
      </c>
      <c r="E4670" s="3">
        <f>$B$4505*(C4670)+$B$4506*(C4670)^2/2-$B$4504*(C4670)^3/6-(N(D27)*MAX(0,(C4670)-N(E27))^2/2+N(F27)*MAX(0,(C4670)-N(G27))^2/2+N(H27)*MAX(0,(C4670)-N(I27))^2/2+N(J27)*MAX(0,(C4670)-N(K27))^2/2+N(L27)*MAX(0,(C4670)-N(M27))^2/2)+$B$4507</f>
        <v>-695.31249999999989</v>
      </c>
    </row>
    <row r="4671" spans="1:5" hidden="1">
      <c r="A4671" s="3">
        <f t="shared" si="72"/>
        <v>0</v>
      </c>
      <c r="B4671" s="3">
        <f t="shared" si="73"/>
        <v>0</v>
      </c>
      <c r="C4671" s="3">
        <f t="shared" si="71"/>
        <v>0</v>
      </c>
      <c r="D4671" s="3">
        <f>$B$4505*(A4671)+$B$4506*(A4671)^2/2-$B$4504*(A4671)^3/6-(N(D27)*MAX(0,(A4671)-N(E27))^2/2+N(F27)*MAX(0,(A4671)-N(G27))^2/2+N(H27)*MAX(0,(A4671)-N(I27))^2/2+N(J27)*MAX(0,(A4671)-N(K27))^2/2+N(L27)*MAX(0,(A4671)-N(M27))^2/2)+$B$4507</f>
        <v>-695.31249999999989</v>
      </c>
      <c r="E4671" s="3">
        <f>$B$4505*(C4671)+$B$4506*(C4671)^2/2-$B$4504*(C4671)^3/6-(N(D27)*MAX(0,(C4671)-N(E27))^2/2+N(F27)*MAX(0,(C4671)-N(G27))^2/2+N(H27)*MAX(0,(C4671)-N(I27))^2/2+N(J27)*MAX(0,(C4671)-N(K27))^2/2+N(L27)*MAX(0,(C4671)-N(M27))^2/2)+$B$4507</f>
        <v>-695.31249999999989</v>
      </c>
    </row>
    <row r="4672" spans="1:5" hidden="1">
      <c r="A4672" s="3">
        <f t="shared" si="72"/>
        <v>0</v>
      </c>
      <c r="B4672" s="3">
        <f t="shared" si="73"/>
        <v>0</v>
      </c>
      <c r="C4672" s="3">
        <f t="shared" si="71"/>
        <v>0</v>
      </c>
      <c r="D4672" s="3">
        <f>$B$4505*(A4672)+$B$4506*(A4672)^2/2-$B$4504*(A4672)^3/6-(N(D27)*MAX(0,(A4672)-N(E27))^2/2+N(F27)*MAX(0,(A4672)-N(G27))^2/2+N(H27)*MAX(0,(A4672)-N(I27))^2/2+N(J27)*MAX(0,(A4672)-N(K27))^2/2+N(L27)*MAX(0,(A4672)-N(M27))^2/2)+$B$4507</f>
        <v>-695.31249999999989</v>
      </c>
      <c r="E4672" s="3">
        <f>$B$4505*(C4672)+$B$4506*(C4672)^2/2-$B$4504*(C4672)^3/6-(N(D27)*MAX(0,(C4672)-N(E27))^2/2+N(F27)*MAX(0,(C4672)-N(G27))^2/2+N(H27)*MAX(0,(C4672)-N(I27))^2/2+N(J27)*MAX(0,(C4672)-N(K27))^2/2+N(L27)*MAX(0,(C4672)-N(M27))^2/2)+$B$4507</f>
        <v>-695.31249999999989</v>
      </c>
    </row>
    <row r="4673" spans="1:5" hidden="1">
      <c r="A4673" s="3">
        <f t="shared" si="72"/>
        <v>0</v>
      </c>
      <c r="B4673" s="3">
        <f t="shared" si="73"/>
        <v>0</v>
      </c>
      <c r="C4673" s="3">
        <f t="shared" si="71"/>
        <v>0</v>
      </c>
      <c r="D4673" s="3">
        <f>$B$4505*(A4673)+$B$4506*(A4673)^2/2-$B$4504*(A4673)^3/6-(N(D27)*MAX(0,(A4673)-N(E27))^2/2+N(F27)*MAX(0,(A4673)-N(G27))^2/2+N(H27)*MAX(0,(A4673)-N(I27))^2/2+N(J27)*MAX(0,(A4673)-N(K27))^2/2+N(L27)*MAX(0,(A4673)-N(M27))^2/2)+$B$4507</f>
        <v>-695.31249999999989</v>
      </c>
      <c r="E4673" s="3">
        <f>$B$4505*(C4673)+$B$4506*(C4673)^2/2-$B$4504*(C4673)^3/6-(N(D27)*MAX(0,(C4673)-N(E27))^2/2+N(F27)*MAX(0,(C4673)-N(G27))^2/2+N(H27)*MAX(0,(C4673)-N(I27))^2/2+N(J27)*MAX(0,(C4673)-N(K27))^2/2+N(L27)*MAX(0,(C4673)-N(M27))^2/2)+$B$4507</f>
        <v>-695.31249999999989</v>
      </c>
    </row>
    <row r="4674" spans="1:5" hidden="1">
      <c r="A4674" s="3">
        <f t="shared" si="72"/>
        <v>0</v>
      </c>
      <c r="B4674" s="3">
        <f t="shared" si="73"/>
        <v>0</v>
      </c>
      <c r="C4674" s="3">
        <f t="shared" si="71"/>
        <v>0</v>
      </c>
      <c r="D4674" s="3">
        <f>$B$4505*(A4674)+$B$4506*(A4674)^2/2-$B$4504*(A4674)^3/6-(N(D27)*MAX(0,(A4674)-N(E27))^2/2+N(F27)*MAX(0,(A4674)-N(G27))^2/2+N(H27)*MAX(0,(A4674)-N(I27))^2/2+N(J27)*MAX(0,(A4674)-N(K27))^2/2+N(L27)*MAX(0,(A4674)-N(M27))^2/2)+$B$4507</f>
        <v>-695.31249999999989</v>
      </c>
      <c r="E4674" s="3">
        <f>$B$4505*(C4674)+$B$4506*(C4674)^2/2-$B$4504*(C4674)^3/6-(N(D27)*MAX(0,(C4674)-N(E27))^2/2+N(F27)*MAX(0,(C4674)-N(G27))^2/2+N(H27)*MAX(0,(C4674)-N(I27))^2/2+N(J27)*MAX(0,(C4674)-N(K27))^2/2+N(L27)*MAX(0,(C4674)-N(M27))^2/2)+$B$4507</f>
        <v>-695.31249999999989</v>
      </c>
    </row>
    <row r="4675" spans="1:5" hidden="1">
      <c r="A4675" s="3">
        <f t="shared" si="72"/>
        <v>0</v>
      </c>
      <c r="B4675" s="3">
        <f t="shared" si="73"/>
        <v>0</v>
      </c>
      <c r="C4675" s="3">
        <f t="shared" si="71"/>
        <v>0</v>
      </c>
      <c r="D4675" s="3">
        <f>$B$4505*(A4675)+$B$4506*(A4675)^2/2-$B$4504*(A4675)^3/6-(N(D27)*MAX(0,(A4675)-N(E27))^2/2+N(F27)*MAX(0,(A4675)-N(G27))^2/2+N(H27)*MAX(0,(A4675)-N(I27))^2/2+N(J27)*MAX(0,(A4675)-N(K27))^2/2+N(L27)*MAX(0,(A4675)-N(M27))^2/2)+$B$4507</f>
        <v>-695.31249999999989</v>
      </c>
      <c r="E4675" s="3">
        <f>$B$4505*(C4675)+$B$4506*(C4675)^2/2-$B$4504*(C4675)^3/6-(N(D27)*MAX(0,(C4675)-N(E27))^2/2+N(F27)*MAX(0,(C4675)-N(G27))^2/2+N(H27)*MAX(0,(C4675)-N(I27))^2/2+N(J27)*MAX(0,(C4675)-N(K27))^2/2+N(L27)*MAX(0,(C4675)-N(M27))^2/2)+$B$4507</f>
        <v>-695.31249999999989</v>
      </c>
    </row>
    <row r="4676" spans="1:5" hidden="1">
      <c r="A4676" s="3">
        <f t="shared" si="72"/>
        <v>0</v>
      </c>
      <c r="B4676" s="3">
        <f t="shared" si="73"/>
        <v>0</v>
      </c>
      <c r="C4676" s="3">
        <f t="shared" si="71"/>
        <v>0</v>
      </c>
      <c r="D4676" s="3">
        <f>$B$4505*(A4676)+$B$4506*(A4676)^2/2-$B$4504*(A4676)^3/6-(N(D27)*MAX(0,(A4676)-N(E27))^2/2+N(F27)*MAX(0,(A4676)-N(G27))^2/2+N(H27)*MAX(0,(A4676)-N(I27))^2/2+N(J27)*MAX(0,(A4676)-N(K27))^2/2+N(L27)*MAX(0,(A4676)-N(M27))^2/2)+$B$4507</f>
        <v>-695.31249999999989</v>
      </c>
      <c r="E4676" s="3">
        <f>$B$4505*(C4676)+$B$4506*(C4676)^2/2-$B$4504*(C4676)^3/6-(N(D27)*MAX(0,(C4676)-N(E27))^2/2+N(F27)*MAX(0,(C4676)-N(G27))^2/2+N(H27)*MAX(0,(C4676)-N(I27))^2/2+N(J27)*MAX(0,(C4676)-N(K27))^2/2+N(L27)*MAX(0,(C4676)-N(M27))^2/2)+$B$4507</f>
        <v>-695.31249999999989</v>
      </c>
    </row>
    <row r="4677" spans="1:5" hidden="1">
      <c r="A4677" s="3">
        <f t="shared" si="72"/>
        <v>0</v>
      </c>
      <c r="B4677" s="3">
        <f t="shared" si="73"/>
        <v>0</v>
      </c>
      <c r="C4677" s="3">
        <f t="shared" si="71"/>
        <v>0</v>
      </c>
      <c r="D4677" s="3">
        <f>$B$4505*(A4677)+$B$4506*(A4677)^2/2-$B$4504*(A4677)^3/6-(N(D27)*MAX(0,(A4677)-N(E27))^2/2+N(F27)*MAX(0,(A4677)-N(G27))^2/2+N(H27)*MAX(0,(A4677)-N(I27))^2/2+N(J27)*MAX(0,(A4677)-N(K27))^2/2+N(L27)*MAX(0,(A4677)-N(M27))^2/2)+$B$4507</f>
        <v>-695.31249999999989</v>
      </c>
      <c r="E4677" s="3">
        <f>$B$4505*(C4677)+$B$4506*(C4677)^2/2-$B$4504*(C4677)^3/6-(N(D27)*MAX(0,(C4677)-N(E27))^2/2+N(F27)*MAX(0,(C4677)-N(G27))^2/2+N(H27)*MAX(0,(C4677)-N(I27))^2/2+N(J27)*MAX(0,(C4677)-N(K27))^2/2+N(L27)*MAX(0,(C4677)-N(M27))^2/2)+$B$4507</f>
        <v>-695.31249999999989</v>
      </c>
    </row>
    <row r="4678" spans="1:5" hidden="1">
      <c r="A4678" s="3">
        <f t="shared" si="72"/>
        <v>0</v>
      </c>
      <c r="B4678" s="3">
        <f t="shared" si="73"/>
        <v>0</v>
      </c>
      <c r="C4678" s="3">
        <f t="shared" si="71"/>
        <v>0</v>
      </c>
      <c r="D4678" s="3">
        <f>$B$4505*(A4678)+$B$4506*(A4678)^2/2-$B$4504*(A4678)^3/6-(N(D27)*MAX(0,(A4678)-N(E27))^2/2+N(F27)*MAX(0,(A4678)-N(G27))^2/2+N(H27)*MAX(0,(A4678)-N(I27))^2/2+N(J27)*MAX(0,(A4678)-N(K27))^2/2+N(L27)*MAX(0,(A4678)-N(M27))^2/2)+$B$4507</f>
        <v>-695.31249999999989</v>
      </c>
      <c r="E4678" s="3">
        <f>$B$4505*(C4678)+$B$4506*(C4678)^2/2-$B$4504*(C4678)^3/6-(N(D27)*MAX(0,(C4678)-N(E27))^2/2+N(F27)*MAX(0,(C4678)-N(G27))^2/2+N(H27)*MAX(0,(C4678)-N(I27))^2/2+N(J27)*MAX(0,(C4678)-N(K27))^2/2+N(L27)*MAX(0,(C4678)-N(M27))^2/2)+$B$4507</f>
        <v>-695.31249999999989</v>
      </c>
    </row>
    <row r="4679" spans="1:5" hidden="1">
      <c r="A4679" s="3">
        <f t="shared" si="72"/>
        <v>0</v>
      </c>
      <c r="B4679" s="3">
        <f t="shared" si="73"/>
        <v>0</v>
      </c>
      <c r="C4679" s="3">
        <f t="shared" si="71"/>
        <v>0</v>
      </c>
      <c r="D4679" s="3">
        <f>$B$4505*(A4679)+$B$4506*(A4679)^2/2-$B$4504*(A4679)^3/6-(N(D27)*MAX(0,(A4679)-N(E27))^2/2+N(F27)*MAX(0,(A4679)-N(G27))^2/2+N(H27)*MAX(0,(A4679)-N(I27))^2/2+N(J27)*MAX(0,(A4679)-N(K27))^2/2+N(L27)*MAX(0,(A4679)-N(M27))^2/2)+$B$4507</f>
        <v>-695.31249999999989</v>
      </c>
      <c r="E4679" s="3">
        <f>$B$4505*(C4679)+$B$4506*(C4679)^2/2-$B$4504*(C4679)^3/6-(N(D27)*MAX(0,(C4679)-N(E27))^2/2+N(F27)*MAX(0,(C4679)-N(G27))^2/2+N(H27)*MAX(0,(C4679)-N(I27))^2/2+N(J27)*MAX(0,(C4679)-N(K27))^2/2+N(L27)*MAX(0,(C4679)-N(M27))^2/2)+$B$4507</f>
        <v>-695.31249999999989</v>
      </c>
    </row>
    <row r="4680" spans="1:5" hidden="1">
      <c r="A4680" s="3">
        <f t="shared" si="72"/>
        <v>0</v>
      </c>
      <c r="B4680" s="3">
        <f t="shared" si="73"/>
        <v>0</v>
      </c>
      <c r="C4680" s="3">
        <f t="shared" si="71"/>
        <v>0</v>
      </c>
      <c r="D4680" s="3">
        <f>$B$4505*(A4680)+$B$4506*(A4680)^2/2-$B$4504*(A4680)^3/6-(N(D27)*MAX(0,(A4680)-N(E27))^2/2+N(F27)*MAX(0,(A4680)-N(G27))^2/2+N(H27)*MAX(0,(A4680)-N(I27))^2/2+N(J27)*MAX(0,(A4680)-N(K27))^2/2+N(L27)*MAX(0,(A4680)-N(M27))^2/2)+$B$4507</f>
        <v>-695.31249999999989</v>
      </c>
      <c r="E4680" s="3">
        <f>$B$4505*(C4680)+$B$4506*(C4680)^2/2-$B$4504*(C4680)^3/6-(N(D27)*MAX(0,(C4680)-N(E27))^2/2+N(F27)*MAX(0,(C4680)-N(G27))^2/2+N(H27)*MAX(0,(C4680)-N(I27))^2/2+N(J27)*MAX(0,(C4680)-N(K27))^2/2+N(L27)*MAX(0,(C4680)-N(M27))^2/2)+$B$4507</f>
        <v>-695.31249999999989</v>
      </c>
    </row>
    <row r="4681" spans="1:5" hidden="1">
      <c r="A4681" s="3">
        <f t="shared" si="72"/>
        <v>0</v>
      </c>
      <c r="B4681" s="3">
        <f t="shared" si="73"/>
        <v>0</v>
      </c>
      <c r="C4681" s="3">
        <f t="shared" si="71"/>
        <v>0</v>
      </c>
      <c r="D4681" s="3">
        <f>$B$4505*(A4681)+$B$4506*(A4681)^2/2-$B$4504*(A4681)^3/6-(N(D27)*MAX(0,(A4681)-N(E27))^2/2+N(F27)*MAX(0,(A4681)-N(G27))^2/2+N(H27)*MAX(0,(A4681)-N(I27))^2/2+N(J27)*MAX(0,(A4681)-N(K27))^2/2+N(L27)*MAX(0,(A4681)-N(M27))^2/2)+$B$4507</f>
        <v>-695.31249999999989</v>
      </c>
      <c r="E4681" s="3">
        <f>$B$4505*(C4681)+$B$4506*(C4681)^2/2-$B$4504*(C4681)^3/6-(N(D27)*MAX(0,(C4681)-N(E27))^2/2+N(F27)*MAX(0,(C4681)-N(G27))^2/2+N(H27)*MAX(0,(C4681)-N(I27))^2/2+N(J27)*MAX(0,(C4681)-N(K27))^2/2+N(L27)*MAX(0,(C4681)-N(M27))^2/2)+$B$4507</f>
        <v>-695.31249999999989</v>
      </c>
    </row>
    <row r="4682" spans="1:5" hidden="1">
      <c r="A4682" s="3">
        <f t="shared" si="72"/>
        <v>0</v>
      </c>
      <c r="B4682" s="3">
        <f t="shared" si="73"/>
        <v>0</v>
      </c>
      <c r="C4682" s="3">
        <f t="shared" si="71"/>
        <v>0</v>
      </c>
      <c r="D4682" s="3">
        <f>$B$4505*(A4682)+$B$4506*(A4682)^2/2-$B$4504*(A4682)^3/6-(N(D27)*MAX(0,(A4682)-N(E27))^2/2+N(F27)*MAX(0,(A4682)-N(G27))^2/2+N(H27)*MAX(0,(A4682)-N(I27))^2/2+N(J27)*MAX(0,(A4682)-N(K27))^2/2+N(L27)*MAX(0,(A4682)-N(M27))^2/2)+$B$4507</f>
        <v>-695.31249999999989</v>
      </c>
      <c r="E4682" s="3">
        <f>$B$4505*(C4682)+$B$4506*(C4682)^2/2-$B$4504*(C4682)^3/6-(N(D27)*MAX(0,(C4682)-N(E27))^2/2+N(F27)*MAX(0,(C4682)-N(G27))^2/2+N(H27)*MAX(0,(C4682)-N(I27))^2/2+N(J27)*MAX(0,(C4682)-N(K27))^2/2+N(L27)*MAX(0,(C4682)-N(M27))^2/2)+$B$4507</f>
        <v>-695.31249999999989</v>
      </c>
    </row>
    <row r="4683" spans="1:5" hidden="1">
      <c r="A4683" s="3">
        <f t="shared" si="72"/>
        <v>0</v>
      </c>
      <c r="B4683" s="3">
        <f t="shared" si="73"/>
        <v>0</v>
      </c>
      <c r="C4683" s="3">
        <f t="shared" si="71"/>
        <v>0</v>
      </c>
      <c r="D4683" s="3">
        <f>$B$4505*(A4683)+$B$4506*(A4683)^2/2-$B$4504*(A4683)^3/6-(N(D27)*MAX(0,(A4683)-N(E27))^2/2+N(F27)*MAX(0,(A4683)-N(G27))^2/2+N(H27)*MAX(0,(A4683)-N(I27))^2/2+N(J27)*MAX(0,(A4683)-N(K27))^2/2+N(L27)*MAX(0,(A4683)-N(M27))^2/2)+$B$4507</f>
        <v>-695.31249999999989</v>
      </c>
      <c r="E4683" s="3">
        <f>$B$4505*(C4683)+$B$4506*(C4683)^2/2-$B$4504*(C4683)^3/6-(N(D27)*MAX(0,(C4683)-N(E27))^2/2+N(F27)*MAX(0,(C4683)-N(G27))^2/2+N(H27)*MAX(0,(C4683)-N(I27))^2/2+N(J27)*MAX(0,(C4683)-N(K27))^2/2+N(L27)*MAX(0,(C4683)-N(M27))^2/2)+$B$4507</f>
        <v>-695.31249999999989</v>
      </c>
    </row>
    <row r="4684" spans="1:5" hidden="1">
      <c r="A4684" s="3">
        <f t="shared" si="72"/>
        <v>0</v>
      </c>
      <c r="B4684" s="3">
        <f t="shared" si="73"/>
        <v>0</v>
      </c>
      <c r="C4684" s="3">
        <f t="shared" si="71"/>
        <v>0</v>
      </c>
      <c r="D4684" s="3">
        <f>$B$4505*(A4684)+$B$4506*(A4684)^2/2-$B$4504*(A4684)^3/6-(N(D27)*MAX(0,(A4684)-N(E27))^2/2+N(F27)*MAX(0,(A4684)-N(G27))^2/2+N(H27)*MAX(0,(A4684)-N(I27))^2/2+N(J27)*MAX(0,(A4684)-N(K27))^2/2+N(L27)*MAX(0,(A4684)-N(M27))^2/2)+$B$4507</f>
        <v>-695.31249999999989</v>
      </c>
      <c r="E4684" s="3">
        <f>$B$4505*(C4684)+$B$4506*(C4684)^2/2-$B$4504*(C4684)^3/6-(N(D27)*MAX(0,(C4684)-N(E27))^2/2+N(F27)*MAX(0,(C4684)-N(G27))^2/2+N(H27)*MAX(0,(C4684)-N(I27))^2/2+N(J27)*MAX(0,(C4684)-N(K27))^2/2+N(L27)*MAX(0,(C4684)-N(M27))^2/2)+$B$4507</f>
        <v>-695.31249999999989</v>
      </c>
    </row>
    <row r="4685" spans="1:5" hidden="1">
      <c r="A4685" s="3">
        <f t="shared" si="72"/>
        <v>0</v>
      </c>
      <c r="B4685" s="3">
        <f t="shared" si="73"/>
        <v>0</v>
      </c>
      <c r="C4685" s="3">
        <f t="shared" si="71"/>
        <v>0</v>
      </c>
      <c r="D4685" s="3">
        <f>$B$4505*(A4685)+$B$4506*(A4685)^2/2-$B$4504*(A4685)^3/6-(N(D27)*MAX(0,(A4685)-N(E27))^2/2+N(F27)*MAX(0,(A4685)-N(G27))^2/2+N(H27)*MAX(0,(A4685)-N(I27))^2/2+N(J27)*MAX(0,(A4685)-N(K27))^2/2+N(L27)*MAX(0,(A4685)-N(M27))^2/2)+$B$4507</f>
        <v>-695.31249999999989</v>
      </c>
      <c r="E4685" s="3">
        <f>$B$4505*(C4685)+$B$4506*(C4685)^2/2-$B$4504*(C4685)^3/6-(N(D27)*MAX(0,(C4685)-N(E27))^2/2+N(F27)*MAX(0,(C4685)-N(G27))^2/2+N(H27)*MAX(0,(C4685)-N(I27))^2/2+N(J27)*MAX(0,(C4685)-N(K27))^2/2+N(L27)*MAX(0,(C4685)-N(M27))^2/2)+$B$4507</f>
        <v>-695.31249999999989</v>
      </c>
    </row>
    <row r="4686" spans="1:5" hidden="1">
      <c r="A4686" s="3">
        <f t="shared" si="72"/>
        <v>0</v>
      </c>
      <c r="B4686" s="3">
        <f t="shared" si="73"/>
        <v>0</v>
      </c>
      <c r="C4686" s="3">
        <f t="shared" si="71"/>
        <v>0</v>
      </c>
      <c r="D4686" s="3">
        <f>$B$4505*(A4686)+$B$4506*(A4686)^2/2-$B$4504*(A4686)^3/6-(N(D27)*MAX(0,(A4686)-N(E27))^2/2+N(F27)*MAX(0,(A4686)-N(G27))^2/2+N(H27)*MAX(0,(A4686)-N(I27))^2/2+N(J27)*MAX(0,(A4686)-N(K27))^2/2+N(L27)*MAX(0,(A4686)-N(M27))^2/2)+$B$4507</f>
        <v>-695.31249999999989</v>
      </c>
      <c r="E4686" s="3">
        <f>$B$4505*(C4686)+$B$4506*(C4686)^2/2-$B$4504*(C4686)^3/6-(N(D27)*MAX(0,(C4686)-N(E27))^2/2+N(F27)*MAX(0,(C4686)-N(G27))^2/2+N(H27)*MAX(0,(C4686)-N(I27))^2/2+N(J27)*MAX(0,(C4686)-N(K27))^2/2+N(L27)*MAX(0,(C4686)-N(M27))^2/2)+$B$4507</f>
        <v>-695.31249999999989</v>
      </c>
    </row>
    <row r="4687" spans="1:5" hidden="1">
      <c r="A4687" s="3">
        <f t="shared" si="72"/>
        <v>0</v>
      </c>
      <c r="B4687" s="3">
        <f t="shared" si="73"/>
        <v>0</v>
      </c>
      <c r="C4687" s="3">
        <f t="shared" si="71"/>
        <v>0</v>
      </c>
      <c r="D4687" s="3">
        <f>$B$4505*(A4687)+$B$4506*(A4687)^2/2-$B$4504*(A4687)^3/6-(N(D27)*MAX(0,(A4687)-N(E27))^2/2+N(F27)*MAX(0,(A4687)-N(G27))^2/2+N(H27)*MAX(0,(A4687)-N(I27))^2/2+N(J27)*MAX(0,(A4687)-N(K27))^2/2+N(L27)*MAX(0,(A4687)-N(M27))^2/2)+$B$4507</f>
        <v>-695.31249999999989</v>
      </c>
      <c r="E4687" s="3">
        <f>$B$4505*(C4687)+$B$4506*(C4687)^2/2-$B$4504*(C4687)^3/6-(N(D27)*MAX(0,(C4687)-N(E27))^2/2+N(F27)*MAX(0,(C4687)-N(G27))^2/2+N(H27)*MAX(0,(C4687)-N(I27))^2/2+N(J27)*MAX(0,(C4687)-N(K27))^2/2+N(L27)*MAX(0,(C4687)-N(M27))^2/2)+$B$4507</f>
        <v>-695.31249999999989</v>
      </c>
    </row>
    <row r="4688" spans="1:5" hidden="1">
      <c r="A4688" s="3">
        <f t="shared" si="72"/>
        <v>0</v>
      </c>
      <c r="B4688" s="3">
        <f t="shared" si="73"/>
        <v>0</v>
      </c>
      <c r="C4688" s="3">
        <f t="shared" si="71"/>
        <v>0</v>
      </c>
      <c r="D4688" s="3">
        <f>$B$4505*(A4688)+$B$4506*(A4688)^2/2-$B$4504*(A4688)^3/6-(N(D27)*MAX(0,(A4688)-N(E27))^2/2+N(F27)*MAX(0,(A4688)-N(G27))^2/2+N(H27)*MAX(0,(A4688)-N(I27))^2/2+N(J27)*MAX(0,(A4688)-N(K27))^2/2+N(L27)*MAX(0,(A4688)-N(M27))^2/2)+$B$4507</f>
        <v>-695.31249999999989</v>
      </c>
      <c r="E4688" s="3">
        <f>$B$4505*(C4688)+$B$4506*(C4688)^2/2-$B$4504*(C4688)^3/6-(N(D27)*MAX(0,(C4688)-N(E27))^2/2+N(F27)*MAX(0,(C4688)-N(G27))^2/2+N(H27)*MAX(0,(C4688)-N(I27))^2/2+N(J27)*MAX(0,(C4688)-N(K27))^2/2+N(L27)*MAX(0,(C4688)-N(M27))^2/2)+$B$4507</f>
        <v>-695.31249999999989</v>
      </c>
    </row>
    <row r="4689" spans="1:5" hidden="1">
      <c r="A4689" s="3">
        <f t="shared" si="72"/>
        <v>0</v>
      </c>
      <c r="B4689" s="3">
        <f t="shared" si="73"/>
        <v>0</v>
      </c>
      <c r="C4689" s="3">
        <f t="shared" si="71"/>
        <v>0</v>
      </c>
      <c r="D4689" s="3">
        <f>$B$4505*(A4689)+$B$4506*(A4689)^2/2-$B$4504*(A4689)^3/6-(N(D27)*MAX(0,(A4689)-N(E27))^2/2+N(F27)*MAX(0,(A4689)-N(G27))^2/2+N(H27)*MAX(0,(A4689)-N(I27))^2/2+N(J27)*MAX(0,(A4689)-N(K27))^2/2+N(L27)*MAX(0,(A4689)-N(M27))^2/2)+$B$4507</f>
        <v>-695.31249999999989</v>
      </c>
      <c r="E4689" s="3">
        <f>$B$4505*(C4689)+$B$4506*(C4689)^2/2-$B$4504*(C4689)^3/6-(N(D27)*MAX(0,(C4689)-N(E27))^2/2+N(F27)*MAX(0,(C4689)-N(G27))^2/2+N(H27)*MAX(0,(C4689)-N(I27))^2/2+N(J27)*MAX(0,(C4689)-N(K27))^2/2+N(L27)*MAX(0,(C4689)-N(M27))^2/2)+$B$4507</f>
        <v>-695.31249999999989</v>
      </c>
    </row>
    <row r="4690" spans="1:5" hidden="1">
      <c r="A4690" s="3">
        <f t="shared" si="72"/>
        <v>0</v>
      </c>
      <c r="B4690" s="3">
        <f t="shared" si="73"/>
        <v>0</v>
      </c>
      <c r="C4690" s="3">
        <f t="shared" si="71"/>
        <v>0</v>
      </c>
      <c r="D4690" s="3">
        <f>$B$4505*(A4690)+$B$4506*(A4690)^2/2-$B$4504*(A4690)^3/6-(N(D27)*MAX(0,(A4690)-N(E27))^2/2+N(F27)*MAX(0,(A4690)-N(G27))^2/2+N(H27)*MAX(0,(A4690)-N(I27))^2/2+N(J27)*MAX(0,(A4690)-N(K27))^2/2+N(L27)*MAX(0,(A4690)-N(M27))^2/2)+$B$4507</f>
        <v>-695.31249999999989</v>
      </c>
      <c r="E4690" s="3">
        <f>$B$4505*(C4690)+$B$4506*(C4690)^2/2-$B$4504*(C4690)^3/6-(N(D27)*MAX(0,(C4690)-N(E27))^2/2+N(F27)*MAX(0,(C4690)-N(G27))^2/2+N(H27)*MAX(0,(C4690)-N(I27))^2/2+N(J27)*MAX(0,(C4690)-N(K27))^2/2+N(L27)*MAX(0,(C4690)-N(M27))^2/2)+$B$4507</f>
        <v>-695.31249999999989</v>
      </c>
    </row>
    <row r="4691" spans="1:5" hidden="1">
      <c r="A4691" s="3">
        <f t="shared" si="72"/>
        <v>0</v>
      </c>
      <c r="B4691" s="3">
        <f t="shared" si="73"/>
        <v>0</v>
      </c>
      <c r="C4691" s="3">
        <f t="shared" si="71"/>
        <v>0</v>
      </c>
      <c r="D4691" s="3">
        <f>$B$4505*(A4691)+$B$4506*(A4691)^2/2-$B$4504*(A4691)^3/6-(N(D27)*MAX(0,(A4691)-N(E27))^2/2+N(F27)*MAX(0,(A4691)-N(G27))^2/2+N(H27)*MAX(0,(A4691)-N(I27))^2/2+N(J27)*MAX(0,(A4691)-N(K27))^2/2+N(L27)*MAX(0,(A4691)-N(M27))^2/2)+$B$4507</f>
        <v>-695.31249999999989</v>
      </c>
      <c r="E4691" s="3">
        <f>$B$4505*(C4691)+$B$4506*(C4691)^2/2-$B$4504*(C4691)^3/6-(N(D27)*MAX(0,(C4691)-N(E27))^2/2+N(F27)*MAX(0,(C4691)-N(G27))^2/2+N(H27)*MAX(0,(C4691)-N(I27))^2/2+N(J27)*MAX(0,(C4691)-N(K27))^2/2+N(L27)*MAX(0,(C4691)-N(M27))^2/2)+$B$4507</f>
        <v>-695.31249999999989</v>
      </c>
    </row>
    <row r="4692" spans="1:5" hidden="1"/>
    <row r="4693" spans="1:5" hidden="1">
      <c r="A4693" s="3">
        <f>B4543</f>
        <v>0</v>
      </c>
      <c r="B4693" s="3">
        <f>IF(($B$4505*(B4543)+$B$4506*(B4543)^2/2-$B$4504*(B4543)^3/6-(N(D27)*MAX(0,(B4543)-N(E27))^2/2+N(F27)*MAX(0,(B4543)-N(G27))^2/2+N(H27)*MAX(0,(B4543)-N(I27))^2/2+N(J27)*MAX(0,(B4543)-N(K27))^2/2+N(L27)*MAX(0,(B4543)-N(M27))^2/2)+$B$4507)*($B$4505*(B4544)+$B$4506*(B4544)^2/2-$B$4504*(B4544)^3/6-(N(D27)*MAX(0,(B4544)-N(E27))^2/2+N(F27)*MAX(0,(B4544)-N(G27))^2/2+N(H27)*MAX(0,(B4544)-N(I27))^2/2+N(J27)*MAX(0,(B4544)-N(K27))^2/2+N(L27)*MAX(0,(B4544)-N(M27))^2/2)+$B$4507)&lt;=0,B4544,B4543)</f>
        <v>0</v>
      </c>
      <c r="C4693" s="3">
        <f t="shared" ref="C4693:C4737" si="74">(A4693+B4693)/2</f>
        <v>0</v>
      </c>
      <c r="D4693" s="3">
        <f>$B$4505*(A4693)+$B$4506*(A4693)^2/2-$B$4504*(A4693)^3/6-(N(D27)*MAX(0,(A4693)-N(E27))^2/2+N(F27)*MAX(0,(A4693)-N(G27))^2/2+N(H27)*MAX(0,(A4693)-N(I27))^2/2+N(J27)*MAX(0,(A4693)-N(K27))^2/2+N(L27)*MAX(0,(A4693)-N(M27))^2/2)+$B$4507</f>
        <v>-695.31249999999989</v>
      </c>
      <c r="E4693" s="3">
        <f>$B$4505*(C4693)+$B$4506*(C4693)^2/2-$B$4504*(C4693)^3/6-(N(D27)*MAX(0,(C4693)-N(E27))^2/2+N(F27)*MAX(0,(C4693)-N(G27))^2/2+N(H27)*MAX(0,(C4693)-N(I27))^2/2+N(J27)*MAX(0,(C4693)-N(K27))^2/2+N(L27)*MAX(0,(C4693)-N(M27))^2/2)+$B$4507</f>
        <v>-695.31249999999989</v>
      </c>
    </row>
    <row r="4694" spans="1:5" hidden="1">
      <c r="A4694" s="3">
        <f t="shared" ref="A4694:A4737" si="75">IF(D4693*E4693&lt;=0,A4693,C4693)</f>
        <v>0</v>
      </c>
      <c r="B4694" s="3">
        <f t="shared" ref="B4694:B4737" si="76">IF(D4693*E4693&lt;=0,C4693,B4693)</f>
        <v>0</v>
      </c>
      <c r="C4694" s="3">
        <f t="shared" si="74"/>
        <v>0</v>
      </c>
      <c r="D4694" s="3">
        <f>$B$4505*(A4694)+$B$4506*(A4694)^2/2-$B$4504*(A4694)^3/6-(N(D27)*MAX(0,(A4694)-N(E27))^2/2+N(F27)*MAX(0,(A4694)-N(G27))^2/2+N(H27)*MAX(0,(A4694)-N(I27))^2/2+N(J27)*MAX(0,(A4694)-N(K27))^2/2+N(L27)*MAX(0,(A4694)-N(M27))^2/2)+$B$4507</f>
        <v>-695.31249999999989</v>
      </c>
      <c r="E4694" s="3">
        <f>$B$4505*(C4694)+$B$4506*(C4694)^2/2-$B$4504*(C4694)^3/6-(N(D27)*MAX(0,(C4694)-N(E27))^2/2+N(F27)*MAX(0,(C4694)-N(G27))^2/2+N(H27)*MAX(0,(C4694)-N(I27))^2/2+N(J27)*MAX(0,(C4694)-N(K27))^2/2+N(L27)*MAX(0,(C4694)-N(M27))^2/2)+$B$4507</f>
        <v>-695.31249999999989</v>
      </c>
    </row>
    <row r="4695" spans="1:5" hidden="1">
      <c r="A4695" s="3">
        <f t="shared" si="75"/>
        <v>0</v>
      </c>
      <c r="B4695" s="3">
        <f t="shared" si="76"/>
        <v>0</v>
      </c>
      <c r="C4695" s="3">
        <f t="shared" si="74"/>
        <v>0</v>
      </c>
      <c r="D4695" s="3">
        <f>$B$4505*(A4695)+$B$4506*(A4695)^2/2-$B$4504*(A4695)^3/6-(N(D27)*MAX(0,(A4695)-N(E27))^2/2+N(F27)*MAX(0,(A4695)-N(G27))^2/2+N(H27)*MAX(0,(A4695)-N(I27))^2/2+N(J27)*MAX(0,(A4695)-N(K27))^2/2+N(L27)*MAX(0,(A4695)-N(M27))^2/2)+$B$4507</f>
        <v>-695.31249999999989</v>
      </c>
      <c r="E4695" s="3">
        <f>$B$4505*(C4695)+$B$4506*(C4695)^2/2-$B$4504*(C4695)^3/6-(N(D27)*MAX(0,(C4695)-N(E27))^2/2+N(F27)*MAX(0,(C4695)-N(G27))^2/2+N(H27)*MAX(0,(C4695)-N(I27))^2/2+N(J27)*MAX(0,(C4695)-N(K27))^2/2+N(L27)*MAX(0,(C4695)-N(M27))^2/2)+$B$4507</f>
        <v>-695.31249999999989</v>
      </c>
    </row>
    <row r="4696" spans="1:5" hidden="1">
      <c r="A4696" s="3">
        <f t="shared" si="75"/>
        <v>0</v>
      </c>
      <c r="B4696" s="3">
        <f t="shared" si="76"/>
        <v>0</v>
      </c>
      <c r="C4696" s="3">
        <f t="shared" si="74"/>
        <v>0</v>
      </c>
      <c r="D4696" s="3">
        <f>$B$4505*(A4696)+$B$4506*(A4696)^2/2-$B$4504*(A4696)^3/6-(N(D27)*MAX(0,(A4696)-N(E27))^2/2+N(F27)*MAX(0,(A4696)-N(G27))^2/2+N(H27)*MAX(0,(A4696)-N(I27))^2/2+N(J27)*MAX(0,(A4696)-N(K27))^2/2+N(L27)*MAX(0,(A4696)-N(M27))^2/2)+$B$4507</f>
        <v>-695.31249999999989</v>
      </c>
      <c r="E4696" s="3">
        <f>$B$4505*(C4696)+$B$4506*(C4696)^2/2-$B$4504*(C4696)^3/6-(N(D27)*MAX(0,(C4696)-N(E27))^2/2+N(F27)*MAX(0,(C4696)-N(G27))^2/2+N(H27)*MAX(0,(C4696)-N(I27))^2/2+N(J27)*MAX(0,(C4696)-N(K27))^2/2+N(L27)*MAX(0,(C4696)-N(M27))^2/2)+$B$4507</f>
        <v>-695.31249999999989</v>
      </c>
    </row>
    <row r="4697" spans="1:5" hidden="1">
      <c r="A4697" s="3">
        <f t="shared" si="75"/>
        <v>0</v>
      </c>
      <c r="B4697" s="3">
        <f t="shared" si="76"/>
        <v>0</v>
      </c>
      <c r="C4697" s="3">
        <f t="shared" si="74"/>
        <v>0</v>
      </c>
      <c r="D4697" s="3">
        <f>$B$4505*(A4697)+$B$4506*(A4697)^2/2-$B$4504*(A4697)^3/6-(N(D27)*MAX(0,(A4697)-N(E27))^2/2+N(F27)*MAX(0,(A4697)-N(G27))^2/2+N(H27)*MAX(0,(A4697)-N(I27))^2/2+N(J27)*MAX(0,(A4697)-N(K27))^2/2+N(L27)*MAX(0,(A4697)-N(M27))^2/2)+$B$4507</f>
        <v>-695.31249999999989</v>
      </c>
      <c r="E4697" s="3">
        <f>$B$4505*(C4697)+$B$4506*(C4697)^2/2-$B$4504*(C4697)^3/6-(N(D27)*MAX(0,(C4697)-N(E27))^2/2+N(F27)*MAX(0,(C4697)-N(G27))^2/2+N(H27)*MAX(0,(C4697)-N(I27))^2/2+N(J27)*MAX(0,(C4697)-N(K27))^2/2+N(L27)*MAX(0,(C4697)-N(M27))^2/2)+$B$4507</f>
        <v>-695.31249999999989</v>
      </c>
    </row>
    <row r="4698" spans="1:5" hidden="1">
      <c r="A4698" s="3">
        <f t="shared" si="75"/>
        <v>0</v>
      </c>
      <c r="B4698" s="3">
        <f t="shared" si="76"/>
        <v>0</v>
      </c>
      <c r="C4698" s="3">
        <f t="shared" si="74"/>
        <v>0</v>
      </c>
      <c r="D4698" s="3">
        <f>$B$4505*(A4698)+$B$4506*(A4698)^2/2-$B$4504*(A4698)^3/6-(N(D27)*MAX(0,(A4698)-N(E27))^2/2+N(F27)*MAX(0,(A4698)-N(G27))^2/2+N(H27)*MAX(0,(A4698)-N(I27))^2/2+N(J27)*MAX(0,(A4698)-N(K27))^2/2+N(L27)*MAX(0,(A4698)-N(M27))^2/2)+$B$4507</f>
        <v>-695.31249999999989</v>
      </c>
      <c r="E4698" s="3">
        <f>$B$4505*(C4698)+$B$4506*(C4698)^2/2-$B$4504*(C4698)^3/6-(N(D27)*MAX(0,(C4698)-N(E27))^2/2+N(F27)*MAX(0,(C4698)-N(G27))^2/2+N(H27)*MAX(0,(C4698)-N(I27))^2/2+N(J27)*MAX(0,(C4698)-N(K27))^2/2+N(L27)*MAX(0,(C4698)-N(M27))^2/2)+$B$4507</f>
        <v>-695.31249999999989</v>
      </c>
    </row>
    <row r="4699" spans="1:5" hidden="1">
      <c r="A4699" s="3">
        <f t="shared" si="75"/>
        <v>0</v>
      </c>
      <c r="B4699" s="3">
        <f t="shared" si="76"/>
        <v>0</v>
      </c>
      <c r="C4699" s="3">
        <f t="shared" si="74"/>
        <v>0</v>
      </c>
      <c r="D4699" s="3">
        <f>$B$4505*(A4699)+$B$4506*(A4699)^2/2-$B$4504*(A4699)^3/6-(N(D27)*MAX(0,(A4699)-N(E27))^2/2+N(F27)*MAX(0,(A4699)-N(G27))^2/2+N(H27)*MAX(0,(A4699)-N(I27))^2/2+N(J27)*MAX(0,(A4699)-N(K27))^2/2+N(L27)*MAX(0,(A4699)-N(M27))^2/2)+$B$4507</f>
        <v>-695.31249999999989</v>
      </c>
      <c r="E4699" s="3">
        <f>$B$4505*(C4699)+$B$4506*(C4699)^2/2-$B$4504*(C4699)^3/6-(N(D27)*MAX(0,(C4699)-N(E27))^2/2+N(F27)*MAX(0,(C4699)-N(G27))^2/2+N(H27)*MAX(0,(C4699)-N(I27))^2/2+N(J27)*MAX(0,(C4699)-N(K27))^2/2+N(L27)*MAX(0,(C4699)-N(M27))^2/2)+$B$4507</f>
        <v>-695.31249999999989</v>
      </c>
    </row>
    <row r="4700" spans="1:5" hidden="1">
      <c r="A4700" s="3">
        <f t="shared" si="75"/>
        <v>0</v>
      </c>
      <c r="B4700" s="3">
        <f t="shared" si="76"/>
        <v>0</v>
      </c>
      <c r="C4700" s="3">
        <f t="shared" si="74"/>
        <v>0</v>
      </c>
      <c r="D4700" s="3">
        <f>$B$4505*(A4700)+$B$4506*(A4700)^2/2-$B$4504*(A4700)^3/6-(N(D27)*MAX(0,(A4700)-N(E27))^2/2+N(F27)*MAX(0,(A4700)-N(G27))^2/2+N(H27)*MAX(0,(A4700)-N(I27))^2/2+N(J27)*MAX(0,(A4700)-N(K27))^2/2+N(L27)*MAX(0,(A4700)-N(M27))^2/2)+$B$4507</f>
        <v>-695.31249999999989</v>
      </c>
      <c r="E4700" s="3">
        <f>$B$4505*(C4700)+$B$4506*(C4700)^2/2-$B$4504*(C4700)^3/6-(N(D27)*MAX(0,(C4700)-N(E27))^2/2+N(F27)*MAX(0,(C4700)-N(G27))^2/2+N(H27)*MAX(0,(C4700)-N(I27))^2/2+N(J27)*MAX(0,(C4700)-N(K27))^2/2+N(L27)*MAX(0,(C4700)-N(M27))^2/2)+$B$4507</f>
        <v>-695.31249999999989</v>
      </c>
    </row>
    <row r="4701" spans="1:5" hidden="1">
      <c r="A4701" s="3">
        <f t="shared" si="75"/>
        <v>0</v>
      </c>
      <c r="B4701" s="3">
        <f t="shared" si="76"/>
        <v>0</v>
      </c>
      <c r="C4701" s="3">
        <f t="shared" si="74"/>
        <v>0</v>
      </c>
      <c r="D4701" s="3">
        <f>$B$4505*(A4701)+$B$4506*(A4701)^2/2-$B$4504*(A4701)^3/6-(N(D27)*MAX(0,(A4701)-N(E27))^2/2+N(F27)*MAX(0,(A4701)-N(G27))^2/2+N(H27)*MAX(0,(A4701)-N(I27))^2/2+N(J27)*MAX(0,(A4701)-N(K27))^2/2+N(L27)*MAX(0,(A4701)-N(M27))^2/2)+$B$4507</f>
        <v>-695.31249999999989</v>
      </c>
      <c r="E4701" s="3">
        <f>$B$4505*(C4701)+$B$4506*(C4701)^2/2-$B$4504*(C4701)^3/6-(N(D27)*MAX(0,(C4701)-N(E27))^2/2+N(F27)*MAX(0,(C4701)-N(G27))^2/2+N(H27)*MAX(0,(C4701)-N(I27))^2/2+N(J27)*MAX(0,(C4701)-N(K27))^2/2+N(L27)*MAX(0,(C4701)-N(M27))^2/2)+$B$4507</f>
        <v>-695.31249999999989</v>
      </c>
    </row>
    <row r="4702" spans="1:5" hidden="1">
      <c r="A4702" s="3">
        <f t="shared" si="75"/>
        <v>0</v>
      </c>
      <c r="B4702" s="3">
        <f t="shared" si="76"/>
        <v>0</v>
      </c>
      <c r="C4702" s="3">
        <f t="shared" si="74"/>
        <v>0</v>
      </c>
      <c r="D4702" s="3">
        <f>$B$4505*(A4702)+$B$4506*(A4702)^2/2-$B$4504*(A4702)^3/6-(N(D27)*MAX(0,(A4702)-N(E27))^2/2+N(F27)*MAX(0,(A4702)-N(G27))^2/2+N(H27)*MAX(0,(A4702)-N(I27))^2/2+N(J27)*MAX(0,(A4702)-N(K27))^2/2+N(L27)*MAX(0,(A4702)-N(M27))^2/2)+$B$4507</f>
        <v>-695.31249999999989</v>
      </c>
      <c r="E4702" s="3">
        <f>$B$4505*(C4702)+$B$4506*(C4702)^2/2-$B$4504*(C4702)^3/6-(N(D27)*MAX(0,(C4702)-N(E27))^2/2+N(F27)*MAX(0,(C4702)-N(G27))^2/2+N(H27)*MAX(0,(C4702)-N(I27))^2/2+N(J27)*MAX(0,(C4702)-N(K27))^2/2+N(L27)*MAX(0,(C4702)-N(M27))^2/2)+$B$4507</f>
        <v>-695.31249999999989</v>
      </c>
    </row>
    <row r="4703" spans="1:5" hidden="1">
      <c r="A4703" s="3">
        <f t="shared" si="75"/>
        <v>0</v>
      </c>
      <c r="B4703" s="3">
        <f t="shared" si="76"/>
        <v>0</v>
      </c>
      <c r="C4703" s="3">
        <f t="shared" si="74"/>
        <v>0</v>
      </c>
      <c r="D4703" s="3">
        <f>$B$4505*(A4703)+$B$4506*(A4703)^2/2-$B$4504*(A4703)^3/6-(N(D27)*MAX(0,(A4703)-N(E27))^2/2+N(F27)*MAX(0,(A4703)-N(G27))^2/2+N(H27)*MAX(0,(A4703)-N(I27))^2/2+N(J27)*MAX(0,(A4703)-N(K27))^2/2+N(L27)*MAX(0,(A4703)-N(M27))^2/2)+$B$4507</f>
        <v>-695.31249999999989</v>
      </c>
      <c r="E4703" s="3">
        <f>$B$4505*(C4703)+$B$4506*(C4703)^2/2-$B$4504*(C4703)^3/6-(N(D27)*MAX(0,(C4703)-N(E27))^2/2+N(F27)*MAX(0,(C4703)-N(G27))^2/2+N(H27)*MAX(0,(C4703)-N(I27))^2/2+N(J27)*MAX(0,(C4703)-N(K27))^2/2+N(L27)*MAX(0,(C4703)-N(M27))^2/2)+$B$4507</f>
        <v>-695.31249999999989</v>
      </c>
    </row>
    <row r="4704" spans="1:5" hidden="1">
      <c r="A4704" s="3">
        <f t="shared" si="75"/>
        <v>0</v>
      </c>
      <c r="B4704" s="3">
        <f t="shared" si="76"/>
        <v>0</v>
      </c>
      <c r="C4704" s="3">
        <f t="shared" si="74"/>
        <v>0</v>
      </c>
      <c r="D4704" s="3">
        <f>$B$4505*(A4704)+$B$4506*(A4704)^2/2-$B$4504*(A4704)^3/6-(N(D27)*MAX(0,(A4704)-N(E27))^2/2+N(F27)*MAX(0,(A4704)-N(G27))^2/2+N(H27)*MAX(0,(A4704)-N(I27))^2/2+N(J27)*MAX(0,(A4704)-N(K27))^2/2+N(L27)*MAX(0,(A4704)-N(M27))^2/2)+$B$4507</f>
        <v>-695.31249999999989</v>
      </c>
      <c r="E4704" s="3">
        <f>$B$4505*(C4704)+$B$4506*(C4704)^2/2-$B$4504*(C4704)^3/6-(N(D27)*MAX(0,(C4704)-N(E27))^2/2+N(F27)*MAX(0,(C4704)-N(G27))^2/2+N(H27)*MAX(0,(C4704)-N(I27))^2/2+N(J27)*MAX(0,(C4704)-N(K27))^2/2+N(L27)*MAX(0,(C4704)-N(M27))^2/2)+$B$4507</f>
        <v>-695.31249999999989</v>
      </c>
    </row>
    <row r="4705" spans="1:5" hidden="1">
      <c r="A4705" s="3">
        <f t="shared" si="75"/>
        <v>0</v>
      </c>
      <c r="B4705" s="3">
        <f t="shared" si="76"/>
        <v>0</v>
      </c>
      <c r="C4705" s="3">
        <f t="shared" si="74"/>
        <v>0</v>
      </c>
      <c r="D4705" s="3">
        <f>$B$4505*(A4705)+$B$4506*(A4705)^2/2-$B$4504*(A4705)^3/6-(N(D27)*MAX(0,(A4705)-N(E27))^2/2+N(F27)*MAX(0,(A4705)-N(G27))^2/2+N(H27)*MAX(0,(A4705)-N(I27))^2/2+N(J27)*MAX(0,(A4705)-N(K27))^2/2+N(L27)*MAX(0,(A4705)-N(M27))^2/2)+$B$4507</f>
        <v>-695.31249999999989</v>
      </c>
      <c r="E4705" s="3">
        <f>$B$4505*(C4705)+$B$4506*(C4705)^2/2-$B$4504*(C4705)^3/6-(N(D27)*MAX(0,(C4705)-N(E27))^2/2+N(F27)*MAX(0,(C4705)-N(G27))^2/2+N(H27)*MAX(0,(C4705)-N(I27))^2/2+N(J27)*MAX(0,(C4705)-N(K27))^2/2+N(L27)*MAX(0,(C4705)-N(M27))^2/2)+$B$4507</f>
        <v>-695.31249999999989</v>
      </c>
    </row>
    <row r="4706" spans="1:5" hidden="1">
      <c r="A4706" s="3">
        <f t="shared" si="75"/>
        <v>0</v>
      </c>
      <c r="B4706" s="3">
        <f t="shared" si="76"/>
        <v>0</v>
      </c>
      <c r="C4706" s="3">
        <f t="shared" si="74"/>
        <v>0</v>
      </c>
      <c r="D4706" s="3">
        <f>$B$4505*(A4706)+$B$4506*(A4706)^2/2-$B$4504*(A4706)^3/6-(N(D27)*MAX(0,(A4706)-N(E27))^2/2+N(F27)*MAX(0,(A4706)-N(G27))^2/2+N(H27)*MAX(0,(A4706)-N(I27))^2/2+N(J27)*MAX(0,(A4706)-N(K27))^2/2+N(L27)*MAX(0,(A4706)-N(M27))^2/2)+$B$4507</f>
        <v>-695.31249999999989</v>
      </c>
      <c r="E4706" s="3">
        <f>$B$4505*(C4706)+$B$4506*(C4706)^2/2-$B$4504*(C4706)^3/6-(N(D27)*MAX(0,(C4706)-N(E27))^2/2+N(F27)*MAX(0,(C4706)-N(G27))^2/2+N(H27)*MAX(0,(C4706)-N(I27))^2/2+N(J27)*MAX(0,(C4706)-N(K27))^2/2+N(L27)*MAX(0,(C4706)-N(M27))^2/2)+$B$4507</f>
        <v>-695.31249999999989</v>
      </c>
    </row>
    <row r="4707" spans="1:5" hidden="1">
      <c r="A4707" s="3">
        <f t="shared" si="75"/>
        <v>0</v>
      </c>
      <c r="B4707" s="3">
        <f t="shared" si="76"/>
        <v>0</v>
      </c>
      <c r="C4707" s="3">
        <f t="shared" si="74"/>
        <v>0</v>
      </c>
      <c r="D4707" s="3">
        <f>$B$4505*(A4707)+$B$4506*(A4707)^2/2-$B$4504*(A4707)^3/6-(N(D27)*MAX(0,(A4707)-N(E27))^2/2+N(F27)*MAX(0,(A4707)-N(G27))^2/2+N(H27)*MAX(0,(A4707)-N(I27))^2/2+N(J27)*MAX(0,(A4707)-N(K27))^2/2+N(L27)*MAX(0,(A4707)-N(M27))^2/2)+$B$4507</f>
        <v>-695.31249999999989</v>
      </c>
      <c r="E4707" s="3">
        <f>$B$4505*(C4707)+$B$4506*(C4707)^2/2-$B$4504*(C4707)^3/6-(N(D27)*MAX(0,(C4707)-N(E27))^2/2+N(F27)*MAX(0,(C4707)-N(G27))^2/2+N(H27)*MAX(0,(C4707)-N(I27))^2/2+N(J27)*MAX(0,(C4707)-N(K27))^2/2+N(L27)*MAX(0,(C4707)-N(M27))^2/2)+$B$4507</f>
        <v>-695.31249999999989</v>
      </c>
    </row>
    <row r="4708" spans="1:5" hidden="1">
      <c r="A4708" s="3">
        <f t="shared" si="75"/>
        <v>0</v>
      </c>
      <c r="B4708" s="3">
        <f t="shared" si="76"/>
        <v>0</v>
      </c>
      <c r="C4708" s="3">
        <f t="shared" si="74"/>
        <v>0</v>
      </c>
      <c r="D4708" s="3">
        <f>$B$4505*(A4708)+$B$4506*(A4708)^2/2-$B$4504*(A4708)^3/6-(N(D27)*MAX(0,(A4708)-N(E27))^2/2+N(F27)*MAX(0,(A4708)-N(G27))^2/2+N(H27)*MAX(0,(A4708)-N(I27))^2/2+N(J27)*MAX(0,(A4708)-N(K27))^2/2+N(L27)*MAX(0,(A4708)-N(M27))^2/2)+$B$4507</f>
        <v>-695.31249999999989</v>
      </c>
      <c r="E4708" s="3">
        <f>$B$4505*(C4708)+$B$4506*(C4708)^2/2-$B$4504*(C4708)^3/6-(N(D27)*MAX(0,(C4708)-N(E27))^2/2+N(F27)*MAX(0,(C4708)-N(G27))^2/2+N(H27)*MAX(0,(C4708)-N(I27))^2/2+N(J27)*MAX(0,(C4708)-N(K27))^2/2+N(L27)*MAX(0,(C4708)-N(M27))^2/2)+$B$4507</f>
        <v>-695.31249999999989</v>
      </c>
    </row>
    <row r="4709" spans="1:5" hidden="1">
      <c r="A4709" s="3">
        <f t="shared" si="75"/>
        <v>0</v>
      </c>
      <c r="B4709" s="3">
        <f t="shared" si="76"/>
        <v>0</v>
      </c>
      <c r="C4709" s="3">
        <f t="shared" si="74"/>
        <v>0</v>
      </c>
      <c r="D4709" s="3">
        <f>$B$4505*(A4709)+$B$4506*(A4709)^2/2-$B$4504*(A4709)^3/6-(N(D27)*MAX(0,(A4709)-N(E27))^2/2+N(F27)*MAX(0,(A4709)-N(G27))^2/2+N(H27)*MAX(0,(A4709)-N(I27))^2/2+N(J27)*MAX(0,(A4709)-N(K27))^2/2+N(L27)*MAX(0,(A4709)-N(M27))^2/2)+$B$4507</f>
        <v>-695.31249999999989</v>
      </c>
      <c r="E4709" s="3">
        <f>$B$4505*(C4709)+$B$4506*(C4709)^2/2-$B$4504*(C4709)^3/6-(N(D27)*MAX(0,(C4709)-N(E27))^2/2+N(F27)*MAX(0,(C4709)-N(G27))^2/2+N(H27)*MAX(0,(C4709)-N(I27))^2/2+N(J27)*MAX(0,(C4709)-N(K27))^2/2+N(L27)*MAX(0,(C4709)-N(M27))^2/2)+$B$4507</f>
        <v>-695.31249999999989</v>
      </c>
    </row>
    <row r="4710" spans="1:5" hidden="1">
      <c r="A4710" s="3">
        <f t="shared" si="75"/>
        <v>0</v>
      </c>
      <c r="B4710" s="3">
        <f t="shared" si="76"/>
        <v>0</v>
      </c>
      <c r="C4710" s="3">
        <f t="shared" si="74"/>
        <v>0</v>
      </c>
      <c r="D4710" s="3">
        <f>$B$4505*(A4710)+$B$4506*(A4710)^2/2-$B$4504*(A4710)^3/6-(N(D27)*MAX(0,(A4710)-N(E27))^2/2+N(F27)*MAX(0,(A4710)-N(G27))^2/2+N(H27)*MAX(0,(A4710)-N(I27))^2/2+N(J27)*MAX(0,(A4710)-N(K27))^2/2+N(L27)*MAX(0,(A4710)-N(M27))^2/2)+$B$4507</f>
        <v>-695.31249999999989</v>
      </c>
      <c r="E4710" s="3">
        <f>$B$4505*(C4710)+$B$4506*(C4710)^2/2-$B$4504*(C4710)^3/6-(N(D27)*MAX(0,(C4710)-N(E27))^2/2+N(F27)*MAX(0,(C4710)-N(G27))^2/2+N(H27)*MAX(0,(C4710)-N(I27))^2/2+N(J27)*MAX(0,(C4710)-N(K27))^2/2+N(L27)*MAX(0,(C4710)-N(M27))^2/2)+$B$4507</f>
        <v>-695.31249999999989</v>
      </c>
    </row>
    <row r="4711" spans="1:5" hidden="1">
      <c r="A4711" s="3">
        <f t="shared" si="75"/>
        <v>0</v>
      </c>
      <c r="B4711" s="3">
        <f t="shared" si="76"/>
        <v>0</v>
      </c>
      <c r="C4711" s="3">
        <f t="shared" si="74"/>
        <v>0</v>
      </c>
      <c r="D4711" s="3">
        <f>$B$4505*(A4711)+$B$4506*(A4711)^2/2-$B$4504*(A4711)^3/6-(N(D27)*MAX(0,(A4711)-N(E27))^2/2+N(F27)*MAX(0,(A4711)-N(G27))^2/2+N(H27)*MAX(0,(A4711)-N(I27))^2/2+N(J27)*MAX(0,(A4711)-N(K27))^2/2+N(L27)*MAX(0,(A4711)-N(M27))^2/2)+$B$4507</f>
        <v>-695.31249999999989</v>
      </c>
      <c r="E4711" s="3">
        <f>$B$4505*(C4711)+$B$4506*(C4711)^2/2-$B$4504*(C4711)^3/6-(N(D27)*MAX(0,(C4711)-N(E27))^2/2+N(F27)*MAX(0,(C4711)-N(G27))^2/2+N(H27)*MAX(0,(C4711)-N(I27))^2/2+N(J27)*MAX(0,(C4711)-N(K27))^2/2+N(L27)*MAX(0,(C4711)-N(M27))^2/2)+$B$4507</f>
        <v>-695.31249999999989</v>
      </c>
    </row>
    <row r="4712" spans="1:5" hidden="1">
      <c r="A4712" s="3">
        <f t="shared" si="75"/>
        <v>0</v>
      </c>
      <c r="B4712" s="3">
        <f t="shared" si="76"/>
        <v>0</v>
      </c>
      <c r="C4712" s="3">
        <f t="shared" si="74"/>
        <v>0</v>
      </c>
      <c r="D4712" s="3">
        <f>$B$4505*(A4712)+$B$4506*(A4712)^2/2-$B$4504*(A4712)^3/6-(N(D27)*MAX(0,(A4712)-N(E27))^2/2+N(F27)*MAX(0,(A4712)-N(G27))^2/2+N(H27)*MAX(0,(A4712)-N(I27))^2/2+N(J27)*MAX(0,(A4712)-N(K27))^2/2+N(L27)*MAX(0,(A4712)-N(M27))^2/2)+$B$4507</f>
        <v>-695.31249999999989</v>
      </c>
      <c r="E4712" s="3">
        <f>$B$4505*(C4712)+$B$4506*(C4712)^2/2-$B$4504*(C4712)^3/6-(N(D27)*MAX(0,(C4712)-N(E27))^2/2+N(F27)*MAX(0,(C4712)-N(G27))^2/2+N(H27)*MAX(0,(C4712)-N(I27))^2/2+N(J27)*MAX(0,(C4712)-N(K27))^2/2+N(L27)*MAX(0,(C4712)-N(M27))^2/2)+$B$4507</f>
        <v>-695.31249999999989</v>
      </c>
    </row>
    <row r="4713" spans="1:5" hidden="1">
      <c r="A4713" s="3">
        <f t="shared" si="75"/>
        <v>0</v>
      </c>
      <c r="B4713" s="3">
        <f t="shared" si="76"/>
        <v>0</v>
      </c>
      <c r="C4713" s="3">
        <f t="shared" si="74"/>
        <v>0</v>
      </c>
      <c r="D4713" s="3">
        <f>$B$4505*(A4713)+$B$4506*(A4713)^2/2-$B$4504*(A4713)^3/6-(N(D27)*MAX(0,(A4713)-N(E27))^2/2+N(F27)*MAX(0,(A4713)-N(G27))^2/2+N(H27)*MAX(0,(A4713)-N(I27))^2/2+N(J27)*MAX(0,(A4713)-N(K27))^2/2+N(L27)*MAX(0,(A4713)-N(M27))^2/2)+$B$4507</f>
        <v>-695.31249999999989</v>
      </c>
      <c r="E4713" s="3">
        <f>$B$4505*(C4713)+$B$4506*(C4713)^2/2-$B$4504*(C4713)^3/6-(N(D27)*MAX(0,(C4713)-N(E27))^2/2+N(F27)*MAX(0,(C4713)-N(G27))^2/2+N(H27)*MAX(0,(C4713)-N(I27))^2/2+N(J27)*MAX(0,(C4713)-N(K27))^2/2+N(L27)*MAX(0,(C4713)-N(M27))^2/2)+$B$4507</f>
        <v>-695.31249999999989</v>
      </c>
    </row>
    <row r="4714" spans="1:5" hidden="1">
      <c r="A4714" s="3">
        <f t="shared" si="75"/>
        <v>0</v>
      </c>
      <c r="B4714" s="3">
        <f t="shared" si="76"/>
        <v>0</v>
      </c>
      <c r="C4714" s="3">
        <f t="shared" si="74"/>
        <v>0</v>
      </c>
      <c r="D4714" s="3">
        <f>$B$4505*(A4714)+$B$4506*(A4714)^2/2-$B$4504*(A4714)^3/6-(N(D27)*MAX(0,(A4714)-N(E27))^2/2+N(F27)*MAX(0,(A4714)-N(G27))^2/2+N(H27)*MAX(0,(A4714)-N(I27))^2/2+N(J27)*MAX(0,(A4714)-N(K27))^2/2+N(L27)*MAX(0,(A4714)-N(M27))^2/2)+$B$4507</f>
        <v>-695.31249999999989</v>
      </c>
      <c r="E4714" s="3">
        <f>$B$4505*(C4714)+$B$4506*(C4714)^2/2-$B$4504*(C4714)^3/6-(N(D27)*MAX(0,(C4714)-N(E27))^2/2+N(F27)*MAX(0,(C4714)-N(G27))^2/2+N(H27)*MAX(0,(C4714)-N(I27))^2/2+N(J27)*MAX(0,(C4714)-N(K27))^2/2+N(L27)*MAX(0,(C4714)-N(M27))^2/2)+$B$4507</f>
        <v>-695.31249999999989</v>
      </c>
    </row>
    <row r="4715" spans="1:5" hidden="1">
      <c r="A4715" s="3">
        <f t="shared" si="75"/>
        <v>0</v>
      </c>
      <c r="B4715" s="3">
        <f t="shared" si="76"/>
        <v>0</v>
      </c>
      <c r="C4715" s="3">
        <f t="shared" si="74"/>
        <v>0</v>
      </c>
      <c r="D4715" s="3">
        <f>$B$4505*(A4715)+$B$4506*(A4715)^2/2-$B$4504*(A4715)^3/6-(N(D27)*MAX(0,(A4715)-N(E27))^2/2+N(F27)*MAX(0,(A4715)-N(G27))^2/2+N(H27)*MAX(0,(A4715)-N(I27))^2/2+N(J27)*MAX(0,(A4715)-N(K27))^2/2+N(L27)*MAX(0,(A4715)-N(M27))^2/2)+$B$4507</f>
        <v>-695.31249999999989</v>
      </c>
      <c r="E4715" s="3">
        <f>$B$4505*(C4715)+$B$4506*(C4715)^2/2-$B$4504*(C4715)^3/6-(N(D27)*MAX(0,(C4715)-N(E27))^2/2+N(F27)*MAX(0,(C4715)-N(G27))^2/2+N(H27)*MAX(0,(C4715)-N(I27))^2/2+N(J27)*MAX(0,(C4715)-N(K27))^2/2+N(L27)*MAX(0,(C4715)-N(M27))^2/2)+$B$4507</f>
        <v>-695.31249999999989</v>
      </c>
    </row>
    <row r="4716" spans="1:5" hidden="1">
      <c r="A4716" s="3">
        <f t="shared" si="75"/>
        <v>0</v>
      </c>
      <c r="B4716" s="3">
        <f t="shared" si="76"/>
        <v>0</v>
      </c>
      <c r="C4716" s="3">
        <f t="shared" si="74"/>
        <v>0</v>
      </c>
      <c r="D4716" s="3">
        <f>$B$4505*(A4716)+$B$4506*(A4716)^2/2-$B$4504*(A4716)^3/6-(N(D27)*MAX(0,(A4716)-N(E27))^2/2+N(F27)*MAX(0,(A4716)-N(G27))^2/2+N(H27)*MAX(0,(A4716)-N(I27))^2/2+N(J27)*MAX(0,(A4716)-N(K27))^2/2+N(L27)*MAX(0,(A4716)-N(M27))^2/2)+$B$4507</f>
        <v>-695.31249999999989</v>
      </c>
      <c r="E4716" s="3">
        <f>$B$4505*(C4716)+$B$4506*(C4716)^2/2-$B$4504*(C4716)^3/6-(N(D27)*MAX(0,(C4716)-N(E27))^2/2+N(F27)*MAX(0,(C4716)-N(G27))^2/2+N(H27)*MAX(0,(C4716)-N(I27))^2/2+N(J27)*MAX(0,(C4716)-N(K27))^2/2+N(L27)*MAX(0,(C4716)-N(M27))^2/2)+$B$4507</f>
        <v>-695.31249999999989</v>
      </c>
    </row>
    <row r="4717" spans="1:5" hidden="1">
      <c r="A4717" s="3">
        <f t="shared" si="75"/>
        <v>0</v>
      </c>
      <c r="B4717" s="3">
        <f t="shared" si="76"/>
        <v>0</v>
      </c>
      <c r="C4717" s="3">
        <f t="shared" si="74"/>
        <v>0</v>
      </c>
      <c r="D4717" s="3">
        <f>$B$4505*(A4717)+$B$4506*(A4717)^2/2-$B$4504*(A4717)^3/6-(N(D27)*MAX(0,(A4717)-N(E27))^2/2+N(F27)*MAX(0,(A4717)-N(G27))^2/2+N(H27)*MAX(0,(A4717)-N(I27))^2/2+N(J27)*MAX(0,(A4717)-N(K27))^2/2+N(L27)*MAX(0,(A4717)-N(M27))^2/2)+$B$4507</f>
        <v>-695.31249999999989</v>
      </c>
      <c r="E4717" s="3">
        <f>$B$4505*(C4717)+$B$4506*(C4717)^2/2-$B$4504*(C4717)^3/6-(N(D27)*MAX(0,(C4717)-N(E27))^2/2+N(F27)*MAX(0,(C4717)-N(G27))^2/2+N(H27)*MAX(0,(C4717)-N(I27))^2/2+N(J27)*MAX(0,(C4717)-N(K27))^2/2+N(L27)*MAX(0,(C4717)-N(M27))^2/2)+$B$4507</f>
        <v>-695.31249999999989</v>
      </c>
    </row>
    <row r="4718" spans="1:5" hidden="1">
      <c r="A4718" s="3">
        <f t="shared" si="75"/>
        <v>0</v>
      </c>
      <c r="B4718" s="3">
        <f t="shared" si="76"/>
        <v>0</v>
      </c>
      <c r="C4718" s="3">
        <f t="shared" si="74"/>
        <v>0</v>
      </c>
      <c r="D4718" s="3">
        <f>$B$4505*(A4718)+$B$4506*(A4718)^2/2-$B$4504*(A4718)^3/6-(N(D27)*MAX(0,(A4718)-N(E27))^2/2+N(F27)*MAX(0,(A4718)-N(G27))^2/2+N(H27)*MAX(0,(A4718)-N(I27))^2/2+N(J27)*MAX(0,(A4718)-N(K27))^2/2+N(L27)*MAX(0,(A4718)-N(M27))^2/2)+$B$4507</f>
        <v>-695.31249999999989</v>
      </c>
      <c r="E4718" s="3">
        <f>$B$4505*(C4718)+$B$4506*(C4718)^2/2-$B$4504*(C4718)^3/6-(N(D27)*MAX(0,(C4718)-N(E27))^2/2+N(F27)*MAX(0,(C4718)-N(G27))^2/2+N(H27)*MAX(0,(C4718)-N(I27))^2/2+N(J27)*MAX(0,(C4718)-N(K27))^2/2+N(L27)*MAX(0,(C4718)-N(M27))^2/2)+$B$4507</f>
        <v>-695.31249999999989</v>
      </c>
    </row>
    <row r="4719" spans="1:5" hidden="1">
      <c r="A4719" s="3">
        <f t="shared" si="75"/>
        <v>0</v>
      </c>
      <c r="B4719" s="3">
        <f t="shared" si="76"/>
        <v>0</v>
      </c>
      <c r="C4719" s="3">
        <f t="shared" si="74"/>
        <v>0</v>
      </c>
      <c r="D4719" s="3">
        <f>$B$4505*(A4719)+$B$4506*(A4719)^2/2-$B$4504*(A4719)^3/6-(N(D27)*MAX(0,(A4719)-N(E27))^2/2+N(F27)*MAX(0,(A4719)-N(G27))^2/2+N(H27)*MAX(0,(A4719)-N(I27))^2/2+N(J27)*MAX(0,(A4719)-N(K27))^2/2+N(L27)*MAX(0,(A4719)-N(M27))^2/2)+$B$4507</f>
        <v>-695.31249999999989</v>
      </c>
      <c r="E4719" s="3">
        <f>$B$4505*(C4719)+$B$4506*(C4719)^2/2-$B$4504*(C4719)^3/6-(N(D27)*MAX(0,(C4719)-N(E27))^2/2+N(F27)*MAX(0,(C4719)-N(G27))^2/2+N(H27)*MAX(0,(C4719)-N(I27))^2/2+N(J27)*MAX(0,(C4719)-N(K27))^2/2+N(L27)*MAX(0,(C4719)-N(M27))^2/2)+$B$4507</f>
        <v>-695.31249999999989</v>
      </c>
    </row>
    <row r="4720" spans="1:5" hidden="1">
      <c r="A4720" s="3">
        <f t="shared" si="75"/>
        <v>0</v>
      </c>
      <c r="B4720" s="3">
        <f t="shared" si="76"/>
        <v>0</v>
      </c>
      <c r="C4720" s="3">
        <f t="shared" si="74"/>
        <v>0</v>
      </c>
      <c r="D4720" s="3">
        <f>$B$4505*(A4720)+$B$4506*(A4720)^2/2-$B$4504*(A4720)^3/6-(N(D27)*MAX(0,(A4720)-N(E27))^2/2+N(F27)*MAX(0,(A4720)-N(G27))^2/2+N(H27)*MAX(0,(A4720)-N(I27))^2/2+N(J27)*MAX(0,(A4720)-N(K27))^2/2+N(L27)*MAX(0,(A4720)-N(M27))^2/2)+$B$4507</f>
        <v>-695.31249999999989</v>
      </c>
      <c r="E4720" s="3">
        <f>$B$4505*(C4720)+$B$4506*(C4720)^2/2-$B$4504*(C4720)^3/6-(N(D27)*MAX(0,(C4720)-N(E27))^2/2+N(F27)*MAX(0,(C4720)-N(G27))^2/2+N(H27)*MAX(0,(C4720)-N(I27))^2/2+N(J27)*MAX(0,(C4720)-N(K27))^2/2+N(L27)*MAX(0,(C4720)-N(M27))^2/2)+$B$4507</f>
        <v>-695.31249999999989</v>
      </c>
    </row>
    <row r="4721" spans="1:5" hidden="1">
      <c r="A4721" s="3">
        <f t="shared" si="75"/>
        <v>0</v>
      </c>
      <c r="B4721" s="3">
        <f t="shared" si="76"/>
        <v>0</v>
      </c>
      <c r="C4721" s="3">
        <f t="shared" si="74"/>
        <v>0</v>
      </c>
      <c r="D4721" s="3">
        <f>$B$4505*(A4721)+$B$4506*(A4721)^2/2-$B$4504*(A4721)^3/6-(N(D27)*MAX(0,(A4721)-N(E27))^2/2+N(F27)*MAX(0,(A4721)-N(G27))^2/2+N(H27)*MAX(0,(A4721)-N(I27))^2/2+N(J27)*MAX(0,(A4721)-N(K27))^2/2+N(L27)*MAX(0,(A4721)-N(M27))^2/2)+$B$4507</f>
        <v>-695.31249999999989</v>
      </c>
      <c r="E4721" s="3">
        <f>$B$4505*(C4721)+$B$4506*(C4721)^2/2-$B$4504*(C4721)^3/6-(N(D27)*MAX(0,(C4721)-N(E27))^2/2+N(F27)*MAX(0,(C4721)-N(G27))^2/2+N(H27)*MAX(0,(C4721)-N(I27))^2/2+N(J27)*MAX(0,(C4721)-N(K27))^2/2+N(L27)*MAX(0,(C4721)-N(M27))^2/2)+$B$4507</f>
        <v>-695.31249999999989</v>
      </c>
    </row>
    <row r="4722" spans="1:5" hidden="1">
      <c r="A4722" s="3">
        <f t="shared" si="75"/>
        <v>0</v>
      </c>
      <c r="B4722" s="3">
        <f t="shared" si="76"/>
        <v>0</v>
      </c>
      <c r="C4722" s="3">
        <f t="shared" si="74"/>
        <v>0</v>
      </c>
      <c r="D4722" s="3">
        <f>$B$4505*(A4722)+$B$4506*(A4722)^2/2-$B$4504*(A4722)^3/6-(N(D27)*MAX(0,(A4722)-N(E27))^2/2+N(F27)*MAX(0,(A4722)-N(G27))^2/2+N(H27)*MAX(0,(A4722)-N(I27))^2/2+N(J27)*MAX(0,(A4722)-N(K27))^2/2+N(L27)*MAX(0,(A4722)-N(M27))^2/2)+$B$4507</f>
        <v>-695.31249999999989</v>
      </c>
      <c r="E4722" s="3">
        <f>$B$4505*(C4722)+$B$4506*(C4722)^2/2-$B$4504*(C4722)^3/6-(N(D27)*MAX(0,(C4722)-N(E27))^2/2+N(F27)*MAX(0,(C4722)-N(G27))^2/2+N(H27)*MAX(0,(C4722)-N(I27))^2/2+N(J27)*MAX(0,(C4722)-N(K27))^2/2+N(L27)*MAX(0,(C4722)-N(M27))^2/2)+$B$4507</f>
        <v>-695.31249999999989</v>
      </c>
    </row>
    <row r="4723" spans="1:5" hidden="1">
      <c r="A4723" s="3">
        <f t="shared" si="75"/>
        <v>0</v>
      </c>
      <c r="B4723" s="3">
        <f t="shared" si="76"/>
        <v>0</v>
      </c>
      <c r="C4723" s="3">
        <f t="shared" si="74"/>
        <v>0</v>
      </c>
      <c r="D4723" s="3">
        <f>$B$4505*(A4723)+$B$4506*(A4723)^2/2-$B$4504*(A4723)^3/6-(N(D27)*MAX(0,(A4723)-N(E27))^2/2+N(F27)*MAX(0,(A4723)-N(G27))^2/2+N(H27)*MAX(0,(A4723)-N(I27))^2/2+N(J27)*MAX(0,(A4723)-N(K27))^2/2+N(L27)*MAX(0,(A4723)-N(M27))^2/2)+$B$4507</f>
        <v>-695.31249999999989</v>
      </c>
      <c r="E4723" s="3">
        <f>$B$4505*(C4723)+$B$4506*(C4723)^2/2-$B$4504*(C4723)^3/6-(N(D27)*MAX(0,(C4723)-N(E27))^2/2+N(F27)*MAX(0,(C4723)-N(G27))^2/2+N(H27)*MAX(0,(C4723)-N(I27))^2/2+N(J27)*MAX(0,(C4723)-N(K27))^2/2+N(L27)*MAX(0,(C4723)-N(M27))^2/2)+$B$4507</f>
        <v>-695.31249999999989</v>
      </c>
    </row>
    <row r="4724" spans="1:5" hidden="1">
      <c r="A4724" s="3">
        <f t="shared" si="75"/>
        <v>0</v>
      </c>
      <c r="B4724" s="3">
        <f t="shared" si="76"/>
        <v>0</v>
      </c>
      <c r="C4724" s="3">
        <f t="shared" si="74"/>
        <v>0</v>
      </c>
      <c r="D4724" s="3">
        <f>$B$4505*(A4724)+$B$4506*(A4724)^2/2-$B$4504*(A4724)^3/6-(N(D27)*MAX(0,(A4724)-N(E27))^2/2+N(F27)*MAX(0,(A4724)-N(G27))^2/2+N(H27)*MAX(0,(A4724)-N(I27))^2/2+N(J27)*MAX(0,(A4724)-N(K27))^2/2+N(L27)*MAX(0,(A4724)-N(M27))^2/2)+$B$4507</f>
        <v>-695.31249999999989</v>
      </c>
      <c r="E4724" s="3">
        <f>$B$4505*(C4724)+$B$4506*(C4724)^2/2-$B$4504*(C4724)^3/6-(N(D27)*MAX(0,(C4724)-N(E27))^2/2+N(F27)*MAX(0,(C4724)-N(G27))^2/2+N(H27)*MAX(0,(C4724)-N(I27))^2/2+N(J27)*MAX(0,(C4724)-N(K27))^2/2+N(L27)*MAX(0,(C4724)-N(M27))^2/2)+$B$4507</f>
        <v>-695.31249999999989</v>
      </c>
    </row>
    <row r="4725" spans="1:5" hidden="1">
      <c r="A4725" s="3">
        <f t="shared" si="75"/>
        <v>0</v>
      </c>
      <c r="B4725" s="3">
        <f t="shared" si="76"/>
        <v>0</v>
      </c>
      <c r="C4725" s="3">
        <f t="shared" si="74"/>
        <v>0</v>
      </c>
      <c r="D4725" s="3">
        <f>$B$4505*(A4725)+$B$4506*(A4725)^2/2-$B$4504*(A4725)^3/6-(N(D27)*MAX(0,(A4725)-N(E27))^2/2+N(F27)*MAX(0,(A4725)-N(G27))^2/2+N(H27)*MAX(0,(A4725)-N(I27))^2/2+N(J27)*MAX(0,(A4725)-N(K27))^2/2+N(L27)*MAX(0,(A4725)-N(M27))^2/2)+$B$4507</f>
        <v>-695.31249999999989</v>
      </c>
      <c r="E4725" s="3">
        <f>$B$4505*(C4725)+$B$4506*(C4725)^2/2-$B$4504*(C4725)^3/6-(N(D27)*MAX(0,(C4725)-N(E27))^2/2+N(F27)*MAX(0,(C4725)-N(G27))^2/2+N(H27)*MAX(0,(C4725)-N(I27))^2/2+N(J27)*MAX(0,(C4725)-N(K27))^2/2+N(L27)*MAX(0,(C4725)-N(M27))^2/2)+$B$4507</f>
        <v>-695.31249999999989</v>
      </c>
    </row>
    <row r="4726" spans="1:5" hidden="1">
      <c r="A4726" s="3">
        <f t="shared" si="75"/>
        <v>0</v>
      </c>
      <c r="B4726" s="3">
        <f t="shared" si="76"/>
        <v>0</v>
      </c>
      <c r="C4726" s="3">
        <f t="shared" si="74"/>
        <v>0</v>
      </c>
      <c r="D4726" s="3">
        <f>$B$4505*(A4726)+$B$4506*(A4726)^2/2-$B$4504*(A4726)^3/6-(N(D27)*MAX(0,(A4726)-N(E27))^2/2+N(F27)*MAX(0,(A4726)-N(G27))^2/2+N(H27)*MAX(0,(A4726)-N(I27))^2/2+N(J27)*MAX(0,(A4726)-N(K27))^2/2+N(L27)*MAX(0,(A4726)-N(M27))^2/2)+$B$4507</f>
        <v>-695.31249999999989</v>
      </c>
      <c r="E4726" s="3">
        <f>$B$4505*(C4726)+$B$4506*(C4726)^2/2-$B$4504*(C4726)^3/6-(N(D27)*MAX(0,(C4726)-N(E27))^2/2+N(F27)*MAX(0,(C4726)-N(G27))^2/2+N(H27)*MAX(0,(C4726)-N(I27))^2/2+N(J27)*MAX(0,(C4726)-N(K27))^2/2+N(L27)*MAX(0,(C4726)-N(M27))^2/2)+$B$4507</f>
        <v>-695.31249999999989</v>
      </c>
    </row>
    <row r="4727" spans="1:5" hidden="1">
      <c r="A4727" s="3">
        <f t="shared" si="75"/>
        <v>0</v>
      </c>
      <c r="B4727" s="3">
        <f t="shared" si="76"/>
        <v>0</v>
      </c>
      <c r="C4727" s="3">
        <f t="shared" si="74"/>
        <v>0</v>
      </c>
      <c r="D4727" s="3">
        <f>$B$4505*(A4727)+$B$4506*(A4727)^2/2-$B$4504*(A4727)^3/6-(N(D27)*MAX(0,(A4727)-N(E27))^2/2+N(F27)*MAX(0,(A4727)-N(G27))^2/2+N(H27)*MAX(0,(A4727)-N(I27))^2/2+N(J27)*MAX(0,(A4727)-N(K27))^2/2+N(L27)*MAX(0,(A4727)-N(M27))^2/2)+$B$4507</f>
        <v>-695.31249999999989</v>
      </c>
      <c r="E4727" s="3">
        <f>$B$4505*(C4727)+$B$4506*(C4727)^2/2-$B$4504*(C4727)^3/6-(N(D27)*MAX(0,(C4727)-N(E27))^2/2+N(F27)*MAX(0,(C4727)-N(G27))^2/2+N(H27)*MAX(0,(C4727)-N(I27))^2/2+N(J27)*MAX(0,(C4727)-N(K27))^2/2+N(L27)*MAX(0,(C4727)-N(M27))^2/2)+$B$4507</f>
        <v>-695.31249999999989</v>
      </c>
    </row>
    <row r="4728" spans="1:5" hidden="1">
      <c r="A4728" s="3">
        <f t="shared" si="75"/>
        <v>0</v>
      </c>
      <c r="B4728" s="3">
        <f t="shared" si="76"/>
        <v>0</v>
      </c>
      <c r="C4728" s="3">
        <f t="shared" si="74"/>
        <v>0</v>
      </c>
      <c r="D4728" s="3">
        <f>$B$4505*(A4728)+$B$4506*(A4728)^2/2-$B$4504*(A4728)^3/6-(N(D27)*MAX(0,(A4728)-N(E27))^2/2+N(F27)*MAX(0,(A4728)-N(G27))^2/2+N(H27)*MAX(0,(A4728)-N(I27))^2/2+N(J27)*MAX(0,(A4728)-N(K27))^2/2+N(L27)*MAX(0,(A4728)-N(M27))^2/2)+$B$4507</f>
        <v>-695.31249999999989</v>
      </c>
      <c r="E4728" s="3">
        <f>$B$4505*(C4728)+$B$4506*(C4728)^2/2-$B$4504*(C4728)^3/6-(N(D27)*MAX(0,(C4728)-N(E27))^2/2+N(F27)*MAX(0,(C4728)-N(G27))^2/2+N(H27)*MAX(0,(C4728)-N(I27))^2/2+N(J27)*MAX(0,(C4728)-N(K27))^2/2+N(L27)*MAX(0,(C4728)-N(M27))^2/2)+$B$4507</f>
        <v>-695.31249999999989</v>
      </c>
    </row>
    <row r="4729" spans="1:5" hidden="1">
      <c r="A4729" s="3">
        <f t="shared" si="75"/>
        <v>0</v>
      </c>
      <c r="B4729" s="3">
        <f t="shared" si="76"/>
        <v>0</v>
      </c>
      <c r="C4729" s="3">
        <f t="shared" si="74"/>
        <v>0</v>
      </c>
      <c r="D4729" s="3">
        <f>$B$4505*(A4729)+$B$4506*(A4729)^2/2-$B$4504*(A4729)^3/6-(N(D27)*MAX(0,(A4729)-N(E27))^2/2+N(F27)*MAX(0,(A4729)-N(G27))^2/2+N(H27)*MAX(0,(A4729)-N(I27))^2/2+N(J27)*MAX(0,(A4729)-N(K27))^2/2+N(L27)*MAX(0,(A4729)-N(M27))^2/2)+$B$4507</f>
        <v>-695.31249999999989</v>
      </c>
      <c r="E4729" s="3">
        <f>$B$4505*(C4729)+$B$4506*(C4729)^2/2-$B$4504*(C4729)^3/6-(N(D27)*MAX(0,(C4729)-N(E27))^2/2+N(F27)*MAX(0,(C4729)-N(G27))^2/2+N(H27)*MAX(0,(C4729)-N(I27))^2/2+N(J27)*MAX(0,(C4729)-N(K27))^2/2+N(L27)*MAX(0,(C4729)-N(M27))^2/2)+$B$4507</f>
        <v>-695.31249999999989</v>
      </c>
    </row>
    <row r="4730" spans="1:5" hidden="1">
      <c r="A4730" s="3">
        <f t="shared" si="75"/>
        <v>0</v>
      </c>
      <c r="B4730" s="3">
        <f t="shared" si="76"/>
        <v>0</v>
      </c>
      <c r="C4730" s="3">
        <f t="shared" si="74"/>
        <v>0</v>
      </c>
      <c r="D4730" s="3">
        <f>$B$4505*(A4730)+$B$4506*(A4730)^2/2-$B$4504*(A4730)^3/6-(N(D27)*MAX(0,(A4730)-N(E27))^2/2+N(F27)*MAX(0,(A4730)-N(G27))^2/2+N(H27)*MAX(0,(A4730)-N(I27))^2/2+N(J27)*MAX(0,(A4730)-N(K27))^2/2+N(L27)*MAX(0,(A4730)-N(M27))^2/2)+$B$4507</f>
        <v>-695.31249999999989</v>
      </c>
      <c r="E4730" s="3">
        <f>$B$4505*(C4730)+$B$4506*(C4730)^2/2-$B$4504*(C4730)^3/6-(N(D27)*MAX(0,(C4730)-N(E27))^2/2+N(F27)*MAX(0,(C4730)-N(G27))^2/2+N(H27)*MAX(0,(C4730)-N(I27))^2/2+N(J27)*MAX(0,(C4730)-N(K27))^2/2+N(L27)*MAX(0,(C4730)-N(M27))^2/2)+$B$4507</f>
        <v>-695.31249999999989</v>
      </c>
    </row>
    <row r="4731" spans="1:5" hidden="1">
      <c r="A4731" s="3">
        <f t="shared" si="75"/>
        <v>0</v>
      </c>
      <c r="B4731" s="3">
        <f t="shared" si="76"/>
        <v>0</v>
      </c>
      <c r="C4731" s="3">
        <f t="shared" si="74"/>
        <v>0</v>
      </c>
      <c r="D4731" s="3">
        <f>$B$4505*(A4731)+$B$4506*(A4731)^2/2-$B$4504*(A4731)^3/6-(N(D27)*MAX(0,(A4731)-N(E27))^2/2+N(F27)*MAX(0,(A4731)-N(G27))^2/2+N(H27)*MAX(0,(A4731)-N(I27))^2/2+N(J27)*MAX(0,(A4731)-N(K27))^2/2+N(L27)*MAX(0,(A4731)-N(M27))^2/2)+$B$4507</f>
        <v>-695.31249999999989</v>
      </c>
      <c r="E4731" s="3">
        <f>$B$4505*(C4731)+$B$4506*(C4731)^2/2-$B$4504*(C4731)^3/6-(N(D27)*MAX(0,(C4731)-N(E27))^2/2+N(F27)*MAX(0,(C4731)-N(G27))^2/2+N(H27)*MAX(0,(C4731)-N(I27))^2/2+N(J27)*MAX(0,(C4731)-N(K27))^2/2+N(L27)*MAX(0,(C4731)-N(M27))^2/2)+$B$4507</f>
        <v>-695.31249999999989</v>
      </c>
    </row>
    <row r="4732" spans="1:5" hidden="1">
      <c r="A4732" s="3">
        <f t="shared" si="75"/>
        <v>0</v>
      </c>
      <c r="B4732" s="3">
        <f t="shared" si="76"/>
        <v>0</v>
      </c>
      <c r="C4732" s="3">
        <f t="shared" si="74"/>
        <v>0</v>
      </c>
      <c r="D4732" s="3">
        <f>$B$4505*(A4732)+$B$4506*(A4732)^2/2-$B$4504*(A4732)^3/6-(N(D27)*MAX(0,(A4732)-N(E27))^2/2+N(F27)*MAX(0,(A4732)-N(G27))^2/2+N(H27)*MAX(0,(A4732)-N(I27))^2/2+N(J27)*MAX(0,(A4732)-N(K27))^2/2+N(L27)*MAX(0,(A4732)-N(M27))^2/2)+$B$4507</f>
        <v>-695.31249999999989</v>
      </c>
      <c r="E4732" s="3">
        <f>$B$4505*(C4732)+$B$4506*(C4732)^2/2-$B$4504*(C4732)^3/6-(N(D27)*MAX(0,(C4732)-N(E27))^2/2+N(F27)*MAX(0,(C4732)-N(G27))^2/2+N(H27)*MAX(0,(C4732)-N(I27))^2/2+N(J27)*MAX(0,(C4732)-N(K27))^2/2+N(L27)*MAX(0,(C4732)-N(M27))^2/2)+$B$4507</f>
        <v>-695.31249999999989</v>
      </c>
    </row>
    <row r="4733" spans="1:5" hidden="1">
      <c r="A4733" s="3">
        <f t="shared" si="75"/>
        <v>0</v>
      </c>
      <c r="B4733" s="3">
        <f t="shared" si="76"/>
        <v>0</v>
      </c>
      <c r="C4733" s="3">
        <f t="shared" si="74"/>
        <v>0</v>
      </c>
      <c r="D4733" s="3">
        <f>$B$4505*(A4733)+$B$4506*(A4733)^2/2-$B$4504*(A4733)^3/6-(N(D27)*MAX(0,(A4733)-N(E27))^2/2+N(F27)*MAX(0,(A4733)-N(G27))^2/2+N(H27)*MAX(0,(A4733)-N(I27))^2/2+N(J27)*MAX(0,(A4733)-N(K27))^2/2+N(L27)*MAX(0,(A4733)-N(M27))^2/2)+$B$4507</f>
        <v>-695.31249999999989</v>
      </c>
      <c r="E4733" s="3">
        <f>$B$4505*(C4733)+$B$4506*(C4733)^2/2-$B$4504*(C4733)^3/6-(N(D27)*MAX(0,(C4733)-N(E27))^2/2+N(F27)*MAX(0,(C4733)-N(G27))^2/2+N(H27)*MAX(0,(C4733)-N(I27))^2/2+N(J27)*MAX(0,(C4733)-N(K27))^2/2+N(L27)*MAX(0,(C4733)-N(M27))^2/2)+$B$4507</f>
        <v>-695.31249999999989</v>
      </c>
    </row>
    <row r="4734" spans="1:5" hidden="1">
      <c r="A4734" s="3">
        <f t="shared" si="75"/>
        <v>0</v>
      </c>
      <c r="B4734" s="3">
        <f t="shared" si="76"/>
        <v>0</v>
      </c>
      <c r="C4734" s="3">
        <f t="shared" si="74"/>
        <v>0</v>
      </c>
      <c r="D4734" s="3">
        <f>$B$4505*(A4734)+$B$4506*(A4734)^2/2-$B$4504*(A4734)^3/6-(N(D27)*MAX(0,(A4734)-N(E27))^2/2+N(F27)*MAX(0,(A4734)-N(G27))^2/2+N(H27)*MAX(0,(A4734)-N(I27))^2/2+N(J27)*MAX(0,(A4734)-N(K27))^2/2+N(L27)*MAX(0,(A4734)-N(M27))^2/2)+$B$4507</f>
        <v>-695.31249999999989</v>
      </c>
      <c r="E4734" s="3">
        <f>$B$4505*(C4734)+$B$4506*(C4734)^2/2-$B$4504*(C4734)^3/6-(N(D27)*MAX(0,(C4734)-N(E27))^2/2+N(F27)*MAX(0,(C4734)-N(G27))^2/2+N(H27)*MAX(0,(C4734)-N(I27))^2/2+N(J27)*MAX(0,(C4734)-N(K27))^2/2+N(L27)*MAX(0,(C4734)-N(M27))^2/2)+$B$4507</f>
        <v>-695.31249999999989</v>
      </c>
    </row>
    <row r="4735" spans="1:5" hidden="1">
      <c r="A4735" s="3">
        <f t="shared" si="75"/>
        <v>0</v>
      </c>
      <c r="B4735" s="3">
        <f t="shared" si="76"/>
        <v>0</v>
      </c>
      <c r="C4735" s="3">
        <f t="shared" si="74"/>
        <v>0</v>
      </c>
      <c r="D4735" s="3">
        <f>$B$4505*(A4735)+$B$4506*(A4735)^2/2-$B$4504*(A4735)^3/6-(N(D27)*MAX(0,(A4735)-N(E27))^2/2+N(F27)*MAX(0,(A4735)-N(G27))^2/2+N(H27)*MAX(0,(A4735)-N(I27))^2/2+N(J27)*MAX(0,(A4735)-N(K27))^2/2+N(L27)*MAX(0,(A4735)-N(M27))^2/2)+$B$4507</f>
        <v>-695.31249999999989</v>
      </c>
      <c r="E4735" s="3">
        <f>$B$4505*(C4735)+$B$4506*(C4735)^2/2-$B$4504*(C4735)^3/6-(N(D27)*MAX(0,(C4735)-N(E27))^2/2+N(F27)*MAX(0,(C4735)-N(G27))^2/2+N(H27)*MAX(0,(C4735)-N(I27))^2/2+N(J27)*MAX(0,(C4735)-N(K27))^2/2+N(L27)*MAX(0,(C4735)-N(M27))^2/2)+$B$4507</f>
        <v>-695.31249999999989</v>
      </c>
    </row>
    <row r="4736" spans="1:5" hidden="1">
      <c r="A4736" s="3">
        <f t="shared" si="75"/>
        <v>0</v>
      </c>
      <c r="B4736" s="3">
        <f t="shared" si="76"/>
        <v>0</v>
      </c>
      <c r="C4736" s="3">
        <f t="shared" si="74"/>
        <v>0</v>
      </c>
      <c r="D4736" s="3">
        <f>$B$4505*(A4736)+$B$4506*(A4736)^2/2-$B$4504*(A4736)^3/6-(N(D27)*MAX(0,(A4736)-N(E27))^2/2+N(F27)*MAX(0,(A4736)-N(G27))^2/2+N(H27)*MAX(0,(A4736)-N(I27))^2/2+N(J27)*MAX(0,(A4736)-N(K27))^2/2+N(L27)*MAX(0,(A4736)-N(M27))^2/2)+$B$4507</f>
        <v>-695.31249999999989</v>
      </c>
      <c r="E4736" s="3">
        <f>$B$4505*(C4736)+$B$4506*(C4736)^2/2-$B$4504*(C4736)^3/6-(N(D27)*MAX(0,(C4736)-N(E27))^2/2+N(F27)*MAX(0,(C4736)-N(G27))^2/2+N(H27)*MAX(0,(C4736)-N(I27))^2/2+N(J27)*MAX(0,(C4736)-N(K27))^2/2+N(L27)*MAX(0,(C4736)-N(M27))^2/2)+$B$4507</f>
        <v>-695.31249999999989</v>
      </c>
    </row>
    <row r="4737" spans="1:5" hidden="1">
      <c r="A4737" s="3">
        <f t="shared" si="75"/>
        <v>0</v>
      </c>
      <c r="B4737" s="3">
        <f t="shared" si="76"/>
        <v>0</v>
      </c>
      <c r="C4737" s="3">
        <f t="shared" si="74"/>
        <v>0</v>
      </c>
      <c r="D4737" s="3">
        <f>$B$4505*(A4737)+$B$4506*(A4737)^2/2-$B$4504*(A4737)^3/6-(N(D27)*MAX(0,(A4737)-N(E27))^2/2+N(F27)*MAX(0,(A4737)-N(G27))^2/2+N(H27)*MAX(0,(A4737)-N(I27))^2/2+N(J27)*MAX(0,(A4737)-N(K27))^2/2+N(L27)*MAX(0,(A4737)-N(M27))^2/2)+$B$4507</f>
        <v>-695.31249999999989</v>
      </c>
      <c r="E4737" s="3">
        <f>$B$4505*(C4737)+$B$4506*(C4737)^2/2-$B$4504*(C4737)^3/6-(N(D27)*MAX(0,(C4737)-N(E27))^2/2+N(F27)*MAX(0,(C4737)-N(G27))^2/2+N(H27)*MAX(0,(C4737)-N(I27))^2/2+N(J27)*MAX(0,(C4737)-N(K27))^2/2+N(L27)*MAX(0,(C4737)-N(M27))^2/2)+$B$4507</f>
        <v>-695.31249999999989</v>
      </c>
    </row>
    <row r="4738" spans="1:5" hidden="1"/>
    <row r="4739" spans="1:5" hidden="1">
      <c r="A4739" s="3">
        <f>B4544</f>
        <v>0</v>
      </c>
      <c r="B4739" s="3">
        <f>IF(($B$4505*(B4544)+$B$4506*(B4544)^2/2-$B$4504*(B4544)^3/6-(N(D27)*MAX(0,(B4544)-N(E27))^2/2+N(F27)*MAX(0,(B4544)-N(G27))^2/2+N(H27)*MAX(0,(B4544)-N(I27))^2/2+N(J27)*MAX(0,(B4544)-N(K27))^2/2+N(L27)*MAX(0,(B4544)-N(M27))^2/2)+$B$4507)*($B$4505*(B4545)+$B$4506*(B4545)^2/2-$B$4504*(B4545)^3/6-(N(D27)*MAX(0,(B4545)-N(E27))^2/2+N(F27)*MAX(0,(B4545)-N(G27))^2/2+N(H27)*MAX(0,(B4545)-N(I27))^2/2+N(J27)*MAX(0,(B4545)-N(K27))^2/2+N(L27)*MAX(0,(B4545)-N(M27))^2/2)+$B$4507)&lt;=0,B4545,B4544)</f>
        <v>0</v>
      </c>
      <c r="C4739" s="3">
        <f t="shared" ref="C4739:C4783" si="77">(A4739+B4739)/2</f>
        <v>0</v>
      </c>
      <c r="D4739" s="3">
        <f>$B$4505*(A4739)+$B$4506*(A4739)^2/2-$B$4504*(A4739)^3/6-(N(D27)*MAX(0,(A4739)-N(E27))^2/2+N(F27)*MAX(0,(A4739)-N(G27))^2/2+N(H27)*MAX(0,(A4739)-N(I27))^2/2+N(J27)*MAX(0,(A4739)-N(K27))^2/2+N(L27)*MAX(0,(A4739)-N(M27))^2/2)+$B$4507</f>
        <v>-695.31249999999989</v>
      </c>
      <c r="E4739" s="3">
        <f>$B$4505*(C4739)+$B$4506*(C4739)^2/2-$B$4504*(C4739)^3/6-(N(D27)*MAX(0,(C4739)-N(E27))^2/2+N(F27)*MAX(0,(C4739)-N(G27))^2/2+N(H27)*MAX(0,(C4739)-N(I27))^2/2+N(J27)*MAX(0,(C4739)-N(K27))^2/2+N(L27)*MAX(0,(C4739)-N(M27))^2/2)+$B$4507</f>
        <v>-695.31249999999989</v>
      </c>
    </row>
    <row r="4740" spans="1:5" hidden="1">
      <c r="A4740" s="3">
        <f t="shared" ref="A4740:A4783" si="78">IF(D4739*E4739&lt;=0,A4739,C4739)</f>
        <v>0</v>
      </c>
      <c r="B4740" s="3">
        <f t="shared" ref="B4740:B4783" si="79">IF(D4739*E4739&lt;=0,C4739,B4739)</f>
        <v>0</v>
      </c>
      <c r="C4740" s="3">
        <f t="shared" si="77"/>
        <v>0</v>
      </c>
      <c r="D4740" s="3">
        <f>$B$4505*(A4740)+$B$4506*(A4740)^2/2-$B$4504*(A4740)^3/6-(N(D27)*MAX(0,(A4740)-N(E27))^2/2+N(F27)*MAX(0,(A4740)-N(G27))^2/2+N(H27)*MAX(0,(A4740)-N(I27))^2/2+N(J27)*MAX(0,(A4740)-N(K27))^2/2+N(L27)*MAX(0,(A4740)-N(M27))^2/2)+$B$4507</f>
        <v>-695.31249999999989</v>
      </c>
      <c r="E4740" s="3">
        <f>$B$4505*(C4740)+$B$4506*(C4740)^2/2-$B$4504*(C4740)^3/6-(N(D27)*MAX(0,(C4740)-N(E27))^2/2+N(F27)*MAX(0,(C4740)-N(G27))^2/2+N(H27)*MAX(0,(C4740)-N(I27))^2/2+N(J27)*MAX(0,(C4740)-N(K27))^2/2+N(L27)*MAX(0,(C4740)-N(M27))^2/2)+$B$4507</f>
        <v>-695.31249999999989</v>
      </c>
    </row>
    <row r="4741" spans="1:5" hidden="1">
      <c r="A4741" s="3">
        <f t="shared" si="78"/>
        <v>0</v>
      </c>
      <c r="B4741" s="3">
        <f t="shared" si="79"/>
        <v>0</v>
      </c>
      <c r="C4741" s="3">
        <f t="shared" si="77"/>
        <v>0</v>
      </c>
      <c r="D4741" s="3">
        <f>$B$4505*(A4741)+$B$4506*(A4741)^2/2-$B$4504*(A4741)^3/6-(N(D27)*MAX(0,(A4741)-N(E27))^2/2+N(F27)*MAX(0,(A4741)-N(G27))^2/2+N(H27)*MAX(0,(A4741)-N(I27))^2/2+N(J27)*MAX(0,(A4741)-N(K27))^2/2+N(L27)*MAX(0,(A4741)-N(M27))^2/2)+$B$4507</f>
        <v>-695.31249999999989</v>
      </c>
      <c r="E4741" s="3">
        <f>$B$4505*(C4741)+$B$4506*(C4741)^2/2-$B$4504*(C4741)^3/6-(N(D27)*MAX(0,(C4741)-N(E27))^2/2+N(F27)*MAX(0,(C4741)-N(G27))^2/2+N(H27)*MAX(0,(C4741)-N(I27))^2/2+N(J27)*MAX(0,(C4741)-N(K27))^2/2+N(L27)*MAX(0,(C4741)-N(M27))^2/2)+$B$4507</f>
        <v>-695.31249999999989</v>
      </c>
    </row>
    <row r="4742" spans="1:5" hidden="1">
      <c r="A4742" s="3">
        <f t="shared" si="78"/>
        <v>0</v>
      </c>
      <c r="B4742" s="3">
        <f t="shared" si="79"/>
        <v>0</v>
      </c>
      <c r="C4742" s="3">
        <f t="shared" si="77"/>
        <v>0</v>
      </c>
      <c r="D4742" s="3">
        <f>$B$4505*(A4742)+$B$4506*(A4742)^2/2-$B$4504*(A4742)^3/6-(N(D27)*MAX(0,(A4742)-N(E27))^2/2+N(F27)*MAX(0,(A4742)-N(G27))^2/2+N(H27)*MAX(0,(A4742)-N(I27))^2/2+N(J27)*MAX(0,(A4742)-N(K27))^2/2+N(L27)*MAX(0,(A4742)-N(M27))^2/2)+$B$4507</f>
        <v>-695.31249999999989</v>
      </c>
      <c r="E4742" s="3">
        <f>$B$4505*(C4742)+$B$4506*(C4742)^2/2-$B$4504*(C4742)^3/6-(N(D27)*MAX(0,(C4742)-N(E27))^2/2+N(F27)*MAX(0,(C4742)-N(G27))^2/2+N(H27)*MAX(0,(C4742)-N(I27))^2/2+N(J27)*MAX(0,(C4742)-N(K27))^2/2+N(L27)*MAX(0,(C4742)-N(M27))^2/2)+$B$4507</f>
        <v>-695.31249999999989</v>
      </c>
    </row>
    <row r="4743" spans="1:5" hidden="1">
      <c r="A4743" s="3">
        <f t="shared" si="78"/>
        <v>0</v>
      </c>
      <c r="B4743" s="3">
        <f t="shared" si="79"/>
        <v>0</v>
      </c>
      <c r="C4743" s="3">
        <f t="shared" si="77"/>
        <v>0</v>
      </c>
      <c r="D4743" s="3">
        <f>$B$4505*(A4743)+$B$4506*(A4743)^2/2-$B$4504*(A4743)^3/6-(N(D27)*MAX(0,(A4743)-N(E27))^2/2+N(F27)*MAX(0,(A4743)-N(G27))^2/2+N(H27)*MAX(0,(A4743)-N(I27))^2/2+N(J27)*MAX(0,(A4743)-N(K27))^2/2+N(L27)*MAX(0,(A4743)-N(M27))^2/2)+$B$4507</f>
        <v>-695.31249999999989</v>
      </c>
      <c r="E4743" s="3">
        <f>$B$4505*(C4743)+$B$4506*(C4743)^2/2-$B$4504*(C4743)^3/6-(N(D27)*MAX(0,(C4743)-N(E27))^2/2+N(F27)*MAX(0,(C4743)-N(G27))^2/2+N(H27)*MAX(0,(C4743)-N(I27))^2/2+N(J27)*MAX(0,(C4743)-N(K27))^2/2+N(L27)*MAX(0,(C4743)-N(M27))^2/2)+$B$4507</f>
        <v>-695.31249999999989</v>
      </c>
    </row>
    <row r="4744" spans="1:5" hidden="1">
      <c r="A4744" s="3">
        <f t="shared" si="78"/>
        <v>0</v>
      </c>
      <c r="B4744" s="3">
        <f t="shared" si="79"/>
        <v>0</v>
      </c>
      <c r="C4744" s="3">
        <f t="shared" si="77"/>
        <v>0</v>
      </c>
      <c r="D4744" s="3">
        <f>$B$4505*(A4744)+$B$4506*(A4744)^2/2-$B$4504*(A4744)^3/6-(N(D27)*MAX(0,(A4744)-N(E27))^2/2+N(F27)*MAX(0,(A4744)-N(G27))^2/2+N(H27)*MAX(0,(A4744)-N(I27))^2/2+N(J27)*MAX(0,(A4744)-N(K27))^2/2+N(L27)*MAX(0,(A4744)-N(M27))^2/2)+$B$4507</f>
        <v>-695.31249999999989</v>
      </c>
      <c r="E4744" s="3">
        <f>$B$4505*(C4744)+$B$4506*(C4744)^2/2-$B$4504*(C4744)^3/6-(N(D27)*MAX(0,(C4744)-N(E27))^2/2+N(F27)*MAX(0,(C4744)-N(G27))^2/2+N(H27)*MAX(0,(C4744)-N(I27))^2/2+N(J27)*MAX(0,(C4744)-N(K27))^2/2+N(L27)*MAX(0,(C4744)-N(M27))^2/2)+$B$4507</f>
        <v>-695.31249999999989</v>
      </c>
    </row>
    <row r="4745" spans="1:5" hidden="1">
      <c r="A4745" s="3">
        <f t="shared" si="78"/>
        <v>0</v>
      </c>
      <c r="B4745" s="3">
        <f t="shared" si="79"/>
        <v>0</v>
      </c>
      <c r="C4745" s="3">
        <f t="shared" si="77"/>
        <v>0</v>
      </c>
      <c r="D4745" s="3">
        <f>$B$4505*(A4745)+$B$4506*(A4745)^2/2-$B$4504*(A4745)^3/6-(N(D27)*MAX(0,(A4745)-N(E27))^2/2+N(F27)*MAX(0,(A4745)-N(G27))^2/2+N(H27)*MAX(0,(A4745)-N(I27))^2/2+N(J27)*MAX(0,(A4745)-N(K27))^2/2+N(L27)*MAX(0,(A4745)-N(M27))^2/2)+$B$4507</f>
        <v>-695.31249999999989</v>
      </c>
      <c r="E4745" s="3">
        <f>$B$4505*(C4745)+$B$4506*(C4745)^2/2-$B$4504*(C4745)^3/6-(N(D27)*MAX(0,(C4745)-N(E27))^2/2+N(F27)*MAX(0,(C4745)-N(G27))^2/2+N(H27)*MAX(0,(C4745)-N(I27))^2/2+N(J27)*MAX(0,(C4745)-N(K27))^2/2+N(L27)*MAX(0,(C4745)-N(M27))^2/2)+$B$4507</f>
        <v>-695.31249999999989</v>
      </c>
    </row>
    <row r="4746" spans="1:5" hidden="1">
      <c r="A4746" s="3">
        <f t="shared" si="78"/>
        <v>0</v>
      </c>
      <c r="B4746" s="3">
        <f t="shared" si="79"/>
        <v>0</v>
      </c>
      <c r="C4746" s="3">
        <f t="shared" si="77"/>
        <v>0</v>
      </c>
      <c r="D4746" s="3">
        <f>$B$4505*(A4746)+$B$4506*(A4746)^2/2-$B$4504*(A4746)^3/6-(N(D27)*MAX(0,(A4746)-N(E27))^2/2+N(F27)*MAX(0,(A4746)-N(G27))^2/2+N(H27)*MAX(0,(A4746)-N(I27))^2/2+N(J27)*MAX(0,(A4746)-N(K27))^2/2+N(L27)*MAX(0,(A4746)-N(M27))^2/2)+$B$4507</f>
        <v>-695.31249999999989</v>
      </c>
      <c r="E4746" s="3">
        <f>$B$4505*(C4746)+$B$4506*(C4746)^2/2-$B$4504*(C4746)^3/6-(N(D27)*MAX(0,(C4746)-N(E27))^2/2+N(F27)*MAX(0,(C4746)-N(G27))^2/2+N(H27)*MAX(0,(C4746)-N(I27))^2/2+N(J27)*MAX(0,(C4746)-N(K27))^2/2+N(L27)*MAX(0,(C4746)-N(M27))^2/2)+$B$4507</f>
        <v>-695.31249999999989</v>
      </c>
    </row>
    <row r="4747" spans="1:5" hidden="1">
      <c r="A4747" s="3">
        <f t="shared" si="78"/>
        <v>0</v>
      </c>
      <c r="B4747" s="3">
        <f t="shared" si="79"/>
        <v>0</v>
      </c>
      <c r="C4747" s="3">
        <f t="shared" si="77"/>
        <v>0</v>
      </c>
      <c r="D4747" s="3">
        <f>$B$4505*(A4747)+$B$4506*(A4747)^2/2-$B$4504*(A4747)^3/6-(N(D27)*MAX(0,(A4747)-N(E27))^2/2+N(F27)*MAX(0,(A4747)-N(G27))^2/2+N(H27)*MAX(0,(A4747)-N(I27))^2/2+N(J27)*MAX(0,(A4747)-N(K27))^2/2+N(L27)*MAX(0,(A4747)-N(M27))^2/2)+$B$4507</f>
        <v>-695.31249999999989</v>
      </c>
      <c r="E4747" s="3">
        <f>$B$4505*(C4747)+$B$4506*(C4747)^2/2-$B$4504*(C4747)^3/6-(N(D27)*MAX(0,(C4747)-N(E27))^2/2+N(F27)*MAX(0,(C4747)-N(G27))^2/2+N(H27)*MAX(0,(C4747)-N(I27))^2/2+N(J27)*MAX(0,(C4747)-N(K27))^2/2+N(L27)*MAX(0,(C4747)-N(M27))^2/2)+$B$4507</f>
        <v>-695.31249999999989</v>
      </c>
    </row>
    <row r="4748" spans="1:5" hidden="1">
      <c r="A4748" s="3">
        <f t="shared" si="78"/>
        <v>0</v>
      </c>
      <c r="B4748" s="3">
        <f t="shared" si="79"/>
        <v>0</v>
      </c>
      <c r="C4748" s="3">
        <f t="shared" si="77"/>
        <v>0</v>
      </c>
      <c r="D4748" s="3">
        <f>$B$4505*(A4748)+$B$4506*(A4748)^2/2-$B$4504*(A4748)^3/6-(N(D27)*MAX(0,(A4748)-N(E27))^2/2+N(F27)*MAX(0,(A4748)-N(G27))^2/2+N(H27)*MAX(0,(A4748)-N(I27))^2/2+N(J27)*MAX(0,(A4748)-N(K27))^2/2+N(L27)*MAX(0,(A4748)-N(M27))^2/2)+$B$4507</f>
        <v>-695.31249999999989</v>
      </c>
      <c r="E4748" s="3">
        <f>$B$4505*(C4748)+$B$4506*(C4748)^2/2-$B$4504*(C4748)^3/6-(N(D27)*MAX(0,(C4748)-N(E27))^2/2+N(F27)*MAX(0,(C4748)-N(G27))^2/2+N(H27)*MAX(0,(C4748)-N(I27))^2/2+N(J27)*MAX(0,(C4748)-N(K27))^2/2+N(L27)*MAX(0,(C4748)-N(M27))^2/2)+$B$4507</f>
        <v>-695.31249999999989</v>
      </c>
    </row>
    <row r="4749" spans="1:5" hidden="1">
      <c r="A4749" s="3">
        <f t="shared" si="78"/>
        <v>0</v>
      </c>
      <c r="B4749" s="3">
        <f t="shared" si="79"/>
        <v>0</v>
      </c>
      <c r="C4749" s="3">
        <f t="shared" si="77"/>
        <v>0</v>
      </c>
      <c r="D4749" s="3">
        <f>$B$4505*(A4749)+$B$4506*(A4749)^2/2-$B$4504*(A4749)^3/6-(N(D27)*MAX(0,(A4749)-N(E27))^2/2+N(F27)*MAX(0,(A4749)-N(G27))^2/2+N(H27)*MAX(0,(A4749)-N(I27))^2/2+N(J27)*MAX(0,(A4749)-N(K27))^2/2+N(L27)*MAX(0,(A4749)-N(M27))^2/2)+$B$4507</f>
        <v>-695.31249999999989</v>
      </c>
      <c r="E4749" s="3">
        <f>$B$4505*(C4749)+$B$4506*(C4749)^2/2-$B$4504*(C4749)^3/6-(N(D27)*MAX(0,(C4749)-N(E27))^2/2+N(F27)*MAX(0,(C4749)-N(G27))^2/2+N(H27)*MAX(0,(C4749)-N(I27))^2/2+N(J27)*MAX(0,(C4749)-N(K27))^2/2+N(L27)*MAX(0,(C4749)-N(M27))^2/2)+$B$4507</f>
        <v>-695.31249999999989</v>
      </c>
    </row>
    <row r="4750" spans="1:5" hidden="1">
      <c r="A4750" s="3">
        <f t="shared" si="78"/>
        <v>0</v>
      </c>
      <c r="B4750" s="3">
        <f t="shared" si="79"/>
        <v>0</v>
      </c>
      <c r="C4750" s="3">
        <f t="shared" si="77"/>
        <v>0</v>
      </c>
      <c r="D4750" s="3">
        <f>$B$4505*(A4750)+$B$4506*(A4750)^2/2-$B$4504*(A4750)^3/6-(N(D27)*MAX(0,(A4750)-N(E27))^2/2+N(F27)*MAX(0,(A4750)-N(G27))^2/2+N(H27)*MAX(0,(A4750)-N(I27))^2/2+N(J27)*MAX(0,(A4750)-N(K27))^2/2+N(L27)*MAX(0,(A4750)-N(M27))^2/2)+$B$4507</f>
        <v>-695.31249999999989</v>
      </c>
      <c r="E4750" s="3">
        <f>$B$4505*(C4750)+$B$4506*(C4750)^2/2-$B$4504*(C4750)^3/6-(N(D27)*MAX(0,(C4750)-N(E27))^2/2+N(F27)*MAX(0,(C4750)-N(G27))^2/2+N(H27)*MAX(0,(C4750)-N(I27))^2/2+N(J27)*MAX(0,(C4750)-N(K27))^2/2+N(L27)*MAX(0,(C4750)-N(M27))^2/2)+$B$4507</f>
        <v>-695.31249999999989</v>
      </c>
    </row>
    <row r="4751" spans="1:5" hidden="1">
      <c r="A4751" s="3">
        <f t="shared" si="78"/>
        <v>0</v>
      </c>
      <c r="B4751" s="3">
        <f t="shared" si="79"/>
        <v>0</v>
      </c>
      <c r="C4751" s="3">
        <f t="shared" si="77"/>
        <v>0</v>
      </c>
      <c r="D4751" s="3">
        <f>$B$4505*(A4751)+$B$4506*(A4751)^2/2-$B$4504*(A4751)^3/6-(N(D27)*MAX(0,(A4751)-N(E27))^2/2+N(F27)*MAX(0,(A4751)-N(G27))^2/2+N(H27)*MAX(0,(A4751)-N(I27))^2/2+N(J27)*MAX(0,(A4751)-N(K27))^2/2+N(L27)*MAX(0,(A4751)-N(M27))^2/2)+$B$4507</f>
        <v>-695.31249999999989</v>
      </c>
      <c r="E4751" s="3">
        <f>$B$4505*(C4751)+$B$4506*(C4751)^2/2-$B$4504*(C4751)^3/6-(N(D27)*MAX(0,(C4751)-N(E27))^2/2+N(F27)*MAX(0,(C4751)-N(G27))^2/2+N(H27)*MAX(0,(C4751)-N(I27))^2/2+N(J27)*MAX(0,(C4751)-N(K27))^2/2+N(L27)*MAX(0,(C4751)-N(M27))^2/2)+$B$4507</f>
        <v>-695.31249999999989</v>
      </c>
    </row>
    <row r="4752" spans="1:5" hidden="1">
      <c r="A4752" s="3">
        <f t="shared" si="78"/>
        <v>0</v>
      </c>
      <c r="B4752" s="3">
        <f t="shared" si="79"/>
        <v>0</v>
      </c>
      <c r="C4752" s="3">
        <f t="shared" si="77"/>
        <v>0</v>
      </c>
      <c r="D4752" s="3">
        <f>$B$4505*(A4752)+$B$4506*(A4752)^2/2-$B$4504*(A4752)^3/6-(N(D27)*MAX(0,(A4752)-N(E27))^2/2+N(F27)*MAX(0,(A4752)-N(G27))^2/2+N(H27)*MAX(0,(A4752)-N(I27))^2/2+N(J27)*MAX(0,(A4752)-N(K27))^2/2+N(L27)*MAX(0,(A4752)-N(M27))^2/2)+$B$4507</f>
        <v>-695.31249999999989</v>
      </c>
      <c r="E4752" s="3">
        <f>$B$4505*(C4752)+$B$4506*(C4752)^2/2-$B$4504*(C4752)^3/6-(N(D27)*MAX(0,(C4752)-N(E27))^2/2+N(F27)*MAX(0,(C4752)-N(G27))^2/2+N(H27)*MAX(0,(C4752)-N(I27))^2/2+N(J27)*MAX(0,(C4752)-N(K27))^2/2+N(L27)*MAX(0,(C4752)-N(M27))^2/2)+$B$4507</f>
        <v>-695.31249999999989</v>
      </c>
    </row>
    <row r="4753" spans="1:5" hidden="1">
      <c r="A4753" s="3">
        <f t="shared" si="78"/>
        <v>0</v>
      </c>
      <c r="B4753" s="3">
        <f t="shared" si="79"/>
        <v>0</v>
      </c>
      <c r="C4753" s="3">
        <f t="shared" si="77"/>
        <v>0</v>
      </c>
      <c r="D4753" s="3">
        <f>$B$4505*(A4753)+$B$4506*(A4753)^2/2-$B$4504*(A4753)^3/6-(N(D27)*MAX(0,(A4753)-N(E27))^2/2+N(F27)*MAX(0,(A4753)-N(G27))^2/2+N(H27)*MAX(0,(A4753)-N(I27))^2/2+N(J27)*MAX(0,(A4753)-N(K27))^2/2+N(L27)*MAX(0,(A4753)-N(M27))^2/2)+$B$4507</f>
        <v>-695.31249999999989</v>
      </c>
      <c r="E4753" s="3">
        <f>$B$4505*(C4753)+$B$4506*(C4753)^2/2-$B$4504*(C4753)^3/6-(N(D27)*MAX(0,(C4753)-N(E27))^2/2+N(F27)*MAX(0,(C4753)-N(G27))^2/2+N(H27)*MAX(0,(C4753)-N(I27))^2/2+N(J27)*MAX(0,(C4753)-N(K27))^2/2+N(L27)*MAX(0,(C4753)-N(M27))^2/2)+$B$4507</f>
        <v>-695.31249999999989</v>
      </c>
    </row>
    <row r="4754" spans="1:5" hidden="1">
      <c r="A4754" s="3">
        <f t="shared" si="78"/>
        <v>0</v>
      </c>
      <c r="B4754" s="3">
        <f t="shared" si="79"/>
        <v>0</v>
      </c>
      <c r="C4754" s="3">
        <f t="shared" si="77"/>
        <v>0</v>
      </c>
      <c r="D4754" s="3">
        <f>$B$4505*(A4754)+$B$4506*(A4754)^2/2-$B$4504*(A4754)^3/6-(N(D27)*MAX(0,(A4754)-N(E27))^2/2+N(F27)*MAX(0,(A4754)-N(G27))^2/2+N(H27)*MAX(0,(A4754)-N(I27))^2/2+N(J27)*MAX(0,(A4754)-N(K27))^2/2+N(L27)*MAX(0,(A4754)-N(M27))^2/2)+$B$4507</f>
        <v>-695.31249999999989</v>
      </c>
      <c r="E4754" s="3">
        <f>$B$4505*(C4754)+$B$4506*(C4754)^2/2-$B$4504*(C4754)^3/6-(N(D27)*MAX(0,(C4754)-N(E27))^2/2+N(F27)*MAX(0,(C4754)-N(G27))^2/2+N(H27)*MAX(0,(C4754)-N(I27))^2/2+N(J27)*MAX(0,(C4754)-N(K27))^2/2+N(L27)*MAX(0,(C4754)-N(M27))^2/2)+$B$4507</f>
        <v>-695.31249999999989</v>
      </c>
    </row>
    <row r="4755" spans="1:5" hidden="1">
      <c r="A4755" s="3">
        <f t="shared" si="78"/>
        <v>0</v>
      </c>
      <c r="B4755" s="3">
        <f t="shared" si="79"/>
        <v>0</v>
      </c>
      <c r="C4755" s="3">
        <f t="shared" si="77"/>
        <v>0</v>
      </c>
      <c r="D4755" s="3">
        <f>$B$4505*(A4755)+$B$4506*(A4755)^2/2-$B$4504*(A4755)^3/6-(N(D27)*MAX(0,(A4755)-N(E27))^2/2+N(F27)*MAX(0,(A4755)-N(G27))^2/2+N(H27)*MAX(0,(A4755)-N(I27))^2/2+N(J27)*MAX(0,(A4755)-N(K27))^2/2+N(L27)*MAX(0,(A4755)-N(M27))^2/2)+$B$4507</f>
        <v>-695.31249999999989</v>
      </c>
      <c r="E4755" s="3">
        <f>$B$4505*(C4755)+$B$4506*(C4755)^2/2-$B$4504*(C4755)^3/6-(N(D27)*MAX(0,(C4755)-N(E27))^2/2+N(F27)*MAX(0,(C4755)-N(G27))^2/2+N(H27)*MAX(0,(C4755)-N(I27))^2/2+N(J27)*MAX(0,(C4755)-N(K27))^2/2+N(L27)*MAX(0,(C4755)-N(M27))^2/2)+$B$4507</f>
        <v>-695.31249999999989</v>
      </c>
    </row>
    <row r="4756" spans="1:5" hidden="1">
      <c r="A4756" s="3">
        <f t="shared" si="78"/>
        <v>0</v>
      </c>
      <c r="B4756" s="3">
        <f t="shared" si="79"/>
        <v>0</v>
      </c>
      <c r="C4756" s="3">
        <f t="shared" si="77"/>
        <v>0</v>
      </c>
      <c r="D4756" s="3">
        <f>$B$4505*(A4756)+$B$4506*(A4756)^2/2-$B$4504*(A4756)^3/6-(N(D27)*MAX(0,(A4756)-N(E27))^2/2+N(F27)*MAX(0,(A4756)-N(G27))^2/2+N(H27)*MAX(0,(A4756)-N(I27))^2/2+N(J27)*MAX(0,(A4756)-N(K27))^2/2+N(L27)*MAX(0,(A4756)-N(M27))^2/2)+$B$4507</f>
        <v>-695.31249999999989</v>
      </c>
      <c r="E4756" s="3">
        <f>$B$4505*(C4756)+$B$4506*(C4756)^2/2-$B$4504*(C4756)^3/6-(N(D27)*MAX(0,(C4756)-N(E27))^2/2+N(F27)*MAX(0,(C4756)-N(G27))^2/2+N(H27)*MAX(0,(C4756)-N(I27))^2/2+N(J27)*MAX(0,(C4756)-N(K27))^2/2+N(L27)*MAX(0,(C4756)-N(M27))^2/2)+$B$4507</f>
        <v>-695.31249999999989</v>
      </c>
    </row>
    <row r="4757" spans="1:5" hidden="1">
      <c r="A4757" s="3">
        <f t="shared" si="78"/>
        <v>0</v>
      </c>
      <c r="B4757" s="3">
        <f t="shared" si="79"/>
        <v>0</v>
      </c>
      <c r="C4757" s="3">
        <f t="shared" si="77"/>
        <v>0</v>
      </c>
      <c r="D4757" s="3">
        <f>$B$4505*(A4757)+$B$4506*(A4757)^2/2-$B$4504*(A4757)^3/6-(N(D27)*MAX(0,(A4757)-N(E27))^2/2+N(F27)*MAX(0,(A4757)-N(G27))^2/2+N(H27)*MAX(0,(A4757)-N(I27))^2/2+N(J27)*MAX(0,(A4757)-N(K27))^2/2+N(L27)*MAX(0,(A4757)-N(M27))^2/2)+$B$4507</f>
        <v>-695.31249999999989</v>
      </c>
      <c r="E4757" s="3">
        <f>$B$4505*(C4757)+$B$4506*(C4757)^2/2-$B$4504*(C4757)^3/6-(N(D27)*MAX(0,(C4757)-N(E27))^2/2+N(F27)*MAX(0,(C4757)-N(G27))^2/2+N(H27)*MAX(0,(C4757)-N(I27))^2/2+N(J27)*MAX(0,(C4757)-N(K27))^2/2+N(L27)*MAX(0,(C4757)-N(M27))^2/2)+$B$4507</f>
        <v>-695.31249999999989</v>
      </c>
    </row>
    <row r="4758" spans="1:5" hidden="1">
      <c r="A4758" s="3">
        <f t="shared" si="78"/>
        <v>0</v>
      </c>
      <c r="B4758" s="3">
        <f t="shared" si="79"/>
        <v>0</v>
      </c>
      <c r="C4758" s="3">
        <f t="shared" si="77"/>
        <v>0</v>
      </c>
      <c r="D4758" s="3">
        <f>$B$4505*(A4758)+$B$4506*(A4758)^2/2-$B$4504*(A4758)^3/6-(N(D27)*MAX(0,(A4758)-N(E27))^2/2+N(F27)*MAX(0,(A4758)-N(G27))^2/2+N(H27)*MAX(0,(A4758)-N(I27))^2/2+N(J27)*MAX(0,(A4758)-N(K27))^2/2+N(L27)*MAX(0,(A4758)-N(M27))^2/2)+$B$4507</f>
        <v>-695.31249999999989</v>
      </c>
      <c r="E4758" s="3">
        <f>$B$4505*(C4758)+$B$4506*(C4758)^2/2-$B$4504*(C4758)^3/6-(N(D27)*MAX(0,(C4758)-N(E27))^2/2+N(F27)*MAX(0,(C4758)-N(G27))^2/2+N(H27)*MAX(0,(C4758)-N(I27))^2/2+N(J27)*MAX(0,(C4758)-N(K27))^2/2+N(L27)*MAX(0,(C4758)-N(M27))^2/2)+$B$4507</f>
        <v>-695.31249999999989</v>
      </c>
    </row>
    <row r="4759" spans="1:5" hidden="1">
      <c r="A4759" s="3">
        <f t="shared" si="78"/>
        <v>0</v>
      </c>
      <c r="B4759" s="3">
        <f t="shared" si="79"/>
        <v>0</v>
      </c>
      <c r="C4759" s="3">
        <f t="shared" si="77"/>
        <v>0</v>
      </c>
      <c r="D4759" s="3">
        <f>$B$4505*(A4759)+$B$4506*(A4759)^2/2-$B$4504*(A4759)^3/6-(N(D27)*MAX(0,(A4759)-N(E27))^2/2+N(F27)*MAX(0,(A4759)-N(G27))^2/2+N(H27)*MAX(0,(A4759)-N(I27))^2/2+N(J27)*MAX(0,(A4759)-N(K27))^2/2+N(L27)*MAX(0,(A4759)-N(M27))^2/2)+$B$4507</f>
        <v>-695.31249999999989</v>
      </c>
      <c r="E4759" s="3">
        <f>$B$4505*(C4759)+$B$4506*(C4759)^2/2-$B$4504*(C4759)^3/6-(N(D27)*MAX(0,(C4759)-N(E27))^2/2+N(F27)*MAX(0,(C4759)-N(G27))^2/2+N(H27)*MAX(0,(C4759)-N(I27))^2/2+N(J27)*MAX(0,(C4759)-N(K27))^2/2+N(L27)*MAX(0,(C4759)-N(M27))^2/2)+$B$4507</f>
        <v>-695.31249999999989</v>
      </c>
    </row>
    <row r="4760" spans="1:5" hidden="1">
      <c r="A4760" s="3">
        <f t="shared" si="78"/>
        <v>0</v>
      </c>
      <c r="B4760" s="3">
        <f t="shared" si="79"/>
        <v>0</v>
      </c>
      <c r="C4760" s="3">
        <f t="shared" si="77"/>
        <v>0</v>
      </c>
      <c r="D4760" s="3">
        <f>$B$4505*(A4760)+$B$4506*(A4760)^2/2-$B$4504*(A4760)^3/6-(N(D27)*MAX(0,(A4760)-N(E27))^2/2+N(F27)*MAX(0,(A4760)-N(G27))^2/2+N(H27)*MAX(0,(A4760)-N(I27))^2/2+N(J27)*MAX(0,(A4760)-N(K27))^2/2+N(L27)*MAX(0,(A4760)-N(M27))^2/2)+$B$4507</f>
        <v>-695.31249999999989</v>
      </c>
      <c r="E4760" s="3">
        <f>$B$4505*(C4760)+$B$4506*(C4760)^2/2-$B$4504*(C4760)^3/6-(N(D27)*MAX(0,(C4760)-N(E27))^2/2+N(F27)*MAX(0,(C4760)-N(G27))^2/2+N(H27)*MAX(0,(C4760)-N(I27))^2/2+N(J27)*MAX(0,(C4760)-N(K27))^2/2+N(L27)*MAX(0,(C4760)-N(M27))^2/2)+$B$4507</f>
        <v>-695.31249999999989</v>
      </c>
    </row>
    <row r="4761" spans="1:5" hidden="1">
      <c r="A4761" s="3">
        <f t="shared" si="78"/>
        <v>0</v>
      </c>
      <c r="B4761" s="3">
        <f t="shared" si="79"/>
        <v>0</v>
      </c>
      <c r="C4761" s="3">
        <f t="shared" si="77"/>
        <v>0</v>
      </c>
      <c r="D4761" s="3">
        <f>$B$4505*(A4761)+$B$4506*(A4761)^2/2-$B$4504*(A4761)^3/6-(N(D27)*MAX(0,(A4761)-N(E27))^2/2+N(F27)*MAX(0,(A4761)-N(G27))^2/2+N(H27)*MAX(0,(A4761)-N(I27))^2/2+N(J27)*MAX(0,(A4761)-N(K27))^2/2+N(L27)*MAX(0,(A4761)-N(M27))^2/2)+$B$4507</f>
        <v>-695.31249999999989</v>
      </c>
      <c r="E4761" s="3">
        <f>$B$4505*(C4761)+$B$4506*(C4761)^2/2-$B$4504*(C4761)^3/6-(N(D27)*MAX(0,(C4761)-N(E27))^2/2+N(F27)*MAX(0,(C4761)-N(G27))^2/2+N(H27)*MAX(0,(C4761)-N(I27))^2/2+N(J27)*MAX(0,(C4761)-N(K27))^2/2+N(L27)*MAX(0,(C4761)-N(M27))^2/2)+$B$4507</f>
        <v>-695.31249999999989</v>
      </c>
    </row>
    <row r="4762" spans="1:5" hidden="1">
      <c r="A4762" s="3">
        <f t="shared" si="78"/>
        <v>0</v>
      </c>
      <c r="B4762" s="3">
        <f t="shared" si="79"/>
        <v>0</v>
      </c>
      <c r="C4762" s="3">
        <f t="shared" si="77"/>
        <v>0</v>
      </c>
      <c r="D4762" s="3">
        <f>$B$4505*(A4762)+$B$4506*(A4762)^2/2-$B$4504*(A4762)^3/6-(N(D27)*MAX(0,(A4762)-N(E27))^2/2+N(F27)*MAX(0,(A4762)-N(G27))^2/2+N(H27)*MAX(0,(A4762)-N(I27))^2/2+N(J27)*MAX(0,(A4762)-N(K27))^2/2+N(L27)*MAX(0,(A4762)-N(M27))^2/2)+$B$4507</f>
        <v>-695.31249999999989</v>
      </c>
      <c r="E4762" s="3">
        <f>$B$4505*(C4762)+$B$4506*(C4762)^2/2-$B$4504*(C4762)^3/6-(N(D27)*MAX(0,(C4762)-N(E27))^2/2+N(F27)*MAX(0,(C4762)-N(G27))^2/2+N(H27)*MAX(0,(C4762)-N(I27))^2/2+N(J27)*MAX(0,(C4762)-N(K27))^2/2+N(L27)*MAX(0,(C4762)-N(M27))^2/2)+$B$4507</f>
        <v>-695.31249999999989</v>
      </c>
    </row>
    <row r="4763" spans="1:5" hidden="1">
      <c r="A4763" s="3">
        <f t="shared" si="78"/>
        <v>0</v>
      </c>
      <c r="B4763" s="3">
        <f t="shared" si="79"/>
        <v>0</v>
      </c>
      <c r="C4763" s="3">
        <f t="shared" si="77"/>
        <v>0</v>
      </c>
      <c r="D4763" s="3">
        <f>$B$4505*(A4763)+$B$4506*(A4763)^2/2-$B$4504*(A4763)^3/6-(N(D27)*MAX(0,(A4763)-N(E27))^2/2+N(F27)*MAX(0,(A4763)-N(G27))^2/2+N(H27)*MAX(0,(A4763)-N(I27))^2/2+N(J27)*MAX(0,(A4763)-N(K27))^2/2+N(L27)*MAX(0,(A4763)-N(M27))^2/2)+$B$4507</f>
        <v>-695.31249999999989</v>
      </c>
      <c r="E4763" s="3">
        <f>$B$4505*(C4763)+$B$4506*(C4763)^2/2-$B$4504*(C4763)^3/6-(N(D27)*MAX(0,(C4763)-N(E27))^2/2+N(F27)*MAX(0,(C4763)-N(G27))^2/2+N(H27)*MAX(0,(C4763)-N(I27))^2/2+N(J27)*MAX(0,(C4763)-N(K27))^2/2+N(L27)*MAX(0,(C4763)-N(M27))^2/2)+$B$4507</f>
        <v>-695.31249999999989</v>
      </c>
    </row>
    <row r="4764" spans="1:5" hidden="1">
      <c r="A4764" s="3">
        <f t="shared" si="78"/>
        <v>0</v>
      </c>
      <c r="B4764" s="3">
        <f t="shared" si="79"/>
        <v>0</v>
      </c>
      <c r="C4764" s="3">
        <f t="shared" si="77"/>
        <v>0</v>
      </c>
      <c r="D4764" s="3">
        <f>$B$4505*(A4764)+$B$4506*(A4764)^2/2-$B$4504*(A4764)^3/6-(N(D27)*MAX(0,(A4764)-N(E27))^2/2+N(F27)*MAX(0,(A4764)-N(G27))^2/2+N(H27)*MAX(0,(A4764)-N(I27))^2/2+N(J27)*MAX(0,(A4764)-N(K27))^2/2+N(L27)*MAX(0,(A4764)-N(M27))^2/2)+$B$4507</f>
        <v>-695.31249999999989</v>
      </c>
      <c r="E4764" s="3">
        <f>$B$4505*(C4764)+$B$4506*(C4764)^2/2-$B$4504*(C4764)^3/6-(N(D27)*MAX(0,(C4764)-N(E27))^2/2+N(F27)*MAX(0,(C4764)-N(G27))^2/2+N(H27)*MAX(0,(C4764)-N(I27))^2/2+N(J27)*MAX(0,(C4764)-N(K27))^2/2+N(L27)*MAX(0,(C4764)-N(M27))^2/2)+$B$4507</f>
        <v>-695.31249999999989</v>
      </c>
    </row>
    <row r="4765" spans="1:5" hidden="1">
      <c r="A4765" s="3">
        <f t="shared" si="78"/>
        <v>0</v>
      </c>
      <c r="B4765" s="3">
        <f t="shared" si="79"/>
        <v>0</v>
      </c>
      <c r="C4765" s="3">
        <f t="shared" si="77"/>
        <v>0</v>
      </c>
      <c r="D4765" s="3">
        <f>$B$4505*(A4765)+$B$4506*(A4765)^2/2-$B$4504*(A4765)^3/6-(N(D27)*MAX(0,(A4765)-N(E27))^2/2+N(F27)*MAX(0,(A4765)-N(G27))^2/2+N(H27)*MAX(0,(A4765)-N(I27))^2/2+N(J27)*MAX(0,(A4765)-N(K27))^2/2+N(L27)*MAX(0,(A4765)-N(M27))^2/2)+$B$4507</f>
        <v>-695.31249999999989</v>
      </c>
      <c r="E4765" s="3">
        <f>$B$4505*(C4765)+$B$4506*(C4765)^2/2-$B$4504*(C4765)^3/6-(N(D27)*MAX(0,(C4765)-N(E27))^2/2+N(F27)*MAX(0,(C4765)-N(G27))^2/2+N(H27)*MAX(0,(C4765)-N(I27))^2/2+N(J27)*MAX(0,(C4765)-N(K27))^2/2+N(L27)*MAX(0,(C4765)-N(M27))^2/2)+$B$4507</f>
        <v>-695.31249999999989</v>
      </c>
    </row>
    <row r="4766" spans="1:5" hidden="1">
      <c r="A4766" s="3">
        <f t="shared" si="78"/>
        <v>0</v>
      </c>
      <c r="B4766" s="3">
        <f t="shared" si="79"/>
        <v>0</v>
      </c>
      <c r="C4766" s="3">
        <f t="shared" si="77"/>
        <v>0</v>
      </c>
      <c r="D4766" s="3">
        <f>$B$4505*(A4766)+$B$4506*(A4766)^2/2-$B$4504*(A4766)^3/6-(N(D27)*MAX(0,(A4766)-N(E27))^2/2+N(F27)*MAX(0,(A4766)-N(G27))^2/2+N(H27)*MAX(0,(A4766)-N(I27))^2/2+N(J27)*MAX(0,(A4766)-N(K27))^2/2+N(L27)*MAX(0,(A4766)-N(M27))^2/2)+$B$4507</f>
        <v>-695.31249999999989</v>
      </c>
      <c r="E4766" s="3">
        <f>$B$4505*(C4766)+$B$4506*(C4766)^2/2-$B$4504*(C4766)^3/6-(N(D27)*MAX(0,(C4766)-N(E27))^2/2+N(F27)*MAX(0,(C4766)-N(G27))^2/2+N(H27)*MAX(0,(C4766)-N(I27))^2/2+N(J27)*MAX(0,(C4766)-N(K27))^2/2+N(L27)*MAX(0,(C4766)-N(M27))^2/2)+$B$4507</f>
        <v>-695.31249999999989</v>
      </c>
    </row>
    <row r="4767" spans="1:5" hidden="1">
      <c r="A4767" s="3">
        <f t="shared" si="78"/>
        <v>0</v>
      </c>
      <c r="B4767" s="3">
        <f t="shared" si="79"/>
        <v>0</v>
      </c>
      <c r="C4767" s="3">
        <f t="shared" si="77"/>
        <v>0</v>
      </c>
      <c r="D4767" s="3">
        <f>$B$4505*(A4767)+$B$4506*(A4767)^2/2-$B$4504*(A4767)^3/6-(N(D27)*MAX(0,(A4767)-N(E27))^2/2+N(F27)*MAX(0,(A4767)-N(G27))^2/2+N(H27)*MAX(0,(A4767)-N(I27))^2/2+N(J27)*MAX(0,(A4767)-N(K27))^2/2+N(L27)*MAX(0,(A4767)-N(M27))^2/2)+$B$4507</f>
        <v>-695.31249999999989</v>
      </c>
      <c r="E4767" s="3">
        <f>$B$4505*(C4767)+$B$4506*(C4767)^2/2-$B$4504*(C4767)^3/6-(N(D27)*MAX(0,(C4767)-N(E27))^2/2+N(F27)*MAX(0,(C4767)-N(G27))^2/2+N(H27)*MAX(0,(C4767)-N(I27))^2/2+N(J27)*MAX(0,(C4767)-N(K27))^2/2+N(L27)*MAX(0,(C4767)-N(M27))^2/2)+$B$4507</f>
        <v>-695.31249999999989</v>
      </c>
    </row>
    <row r="4768" spans="1:5" hidden="1">
      <c r="A4768" s="3">
        <f t="shared" si="78"/>
        <v>0</v>
      </c>
      <c r="B4768" s="3">
        <f t="shared" si="79"/>
        <v>0</v>
      </c>
      <c r="C4768" s="3">
        <f t="shared" si="77"/>
        <v>0</v>
      </c>
      <c r="D4768" s="3">
        <f>$B$4505*(A4768)+$B$4506*(A4768)^2/2-$B$4504*(A4768)^3/6-(N(D27)*MAX(0,(A4768)-N(E27))^2/2+N(F27)*MAX(0,(A4768)-N(G27))^2/2+N(H27)*MAX(0,(A4768)-N(I27))^2/2+N(J27)*MAX(0,(A4768)-N(K27))^2/2+N(L27)*MAX(0,(A4768)-N(M27))^2/2)+$B$4507</f>
        <v>-695.31249999999989</v>
      </c>
      <c r="E4768" s="3">
        <f>$B$4505*(C4768)+$B$4506*(C4768)^2/2-$B$4504*(C4768)^3/6-(N(D27)*MAX(0,(C4768)-N(E27))^2/2+N(F27)*MAX(0,(C4768)-N(G27))^2/2+N(H27)*MAX(0,(C4768)-N(I27))^2/2+N(J27)*MAX(0,(C4768)-N(K27))^2/2+N(L27)*MAX(0,(C4768)-N(M27))^2/2)+$B$4507</f>
        <v>-695.31249999999989</v>
      </c>
    </row>
    <row r="4769" spans="1:5" hidden="1">
      <c r="A4769" s="3">
        <f t="shared" si="78"/>
        <v>0</v>
      </c>
      <c r="B4769" s="3">
        <f t="shared" si="79"/>
        <v>0</v>
      </c>
      <c r="C4769" s="3">
        <f t="shared" si="77"/>
        <v>0</v>
      </c>
      <c r="D4769" s="3">
        <f>$B$4505*(A4769)+$B$4506*(A4769)^2/2-$B$4504*(A4769)^3/6-(N(D27)*MAX(0,(A4769)-N(E27))^2/2+N(F27)*MAX(0,(A4769)-N(G27))^2/2+N(H27)*MAX(0,(A4769)-N(I27))^2/2+N(J27)*MAX(0,(A4769)-N(K27))^2/2+N(L27)*MAX(0,(A4769)-N(M27))^2/2)+$B$4507</f>
        <v>-695.31249999999989</v>
      </c>
      <c r="E4769" s="3">
        <f>$B$4505*(C4769)+$B$4506*(C4769)^2/2-$B$4504*(C4769)^3/6-(N(D27)*MAX(0,(C4769)-N(E27))^2/2+N(F27)*MAX(0,(C4769)-N(G27))^2/2+N(H27)*MAX(0,(C4769)-N(I27))^2/2+N(J27)*MAX(0,(C4769)-N(K27))^2/2+N(L27)*MAX(0,(C4769)-N(M27))^2/2)+$B$4507</f>
        <v>-695.31249999999989</v>
      </c>
    </row>
    <row r="4770" spans="1:5" hidden="1">
      <c r="A4770" s="3">
        <f t="shared" si="78"/>
        <v>0</v>
      </c>
      <c r="B4770" s="3">
        <f t="shared" si="79"/>
        <v>0</v>
      </c>
      <c r="C4770" s="3">
        <f t="shared" si="77"/>
        <v>0</v>
      </c>
      <c r="D4770" s="3">
        <f>$B$4505*(A4770)+$B$4506*(A4770)^2/2-$B$4504*(A4770)^3/6-(N(D27)*MAX(0,(A4770)-N(E27))^2/2+N(F27)*MAX(0,(A4770)-N(G27))^2/2+N(H27)*MAX(0,(A4770)-N(I27))^2/2+N(J27)*MAX(0,(A4770)-N(K27))^2/2+N(L27)*MAX(0,(A4770)-N(M27))^2/2)+$B$4507</f>
        <v>-695.31249999999989</v>
      </c>
      <c r="E4770" s="3">
        <f>$B$4505*(C4770)+$B$4506*(C4770)^2/2-$B$4504*(C4770)^3/6-(N(D27)*MAX(0,(C4770)-N(E27))^2/2+N(F27)*MAX(0,(C4770)-N(G27))^2/2+N(H27)*MAX(0,(C4770)-N(I27))^2/2+N(J27)*MAX(0,(C4770)-N(K27))^2/2+N(L27)*MAX(0,(C4770)-N(M27))^2/2)+$B$4507</f>
        <v>-695.31249999999989</v>
      </c>
    </row>
    <row r="4771" spans="1:5" hidden="1">
      <c r="A4771" s="3">
        <f t="shared" si="78"/>
        <v>0</v>
      </c>
      <c r="B4771" s="3">
        <f t="shared" si="79"/>
        <v>0</v>
      </c>
      <c r="C4771" s="3">
        <f t="shared" si="77"/>
        <v>0</v>
      </c>
      <c r="D4771" s="3">
        <f>$B$4505*(A4771)+$B$4506*(A4771)^2/2-$B$4504*(A4771)^3/6-(N(D27)*MAX(0,(A4771)-N(E27))^2/2+N(F27)*MAX(0,(A4771)-N(G27))^2/2+N(H27)*MAX(0,(A4771)-N(I27))^2/2+N(J27)*MAX(0,(A4771)-N(K27))^2/2+N(L27)*MAX(0,(A4771)-N(M27))^2/2)+$B$4507</f>
        <v>-695.31249999999989</v>
      </c>
      <c r="E4771" s="3">
        <f>$B$4505*(C4771)+$B$4506*(C4771)^2/2-$B$4504*(C4771)^3/6-(N(D27)*MAX(0,(C4771)-N(E27))^2/2+N(F27)*MAX(0,(C4771)-N(G27))^2/2+N(H27)*MAX(0,(C4771)-N(I27))^2/2+N(J27)*MAX(0,(C4771)-N(K27))^2/2+N(L27)*MAX(0,(C4771)-N(M27))^2/2)+$B$4507</f>
        <v>-695.31249999999989</v>
      </c>
    </row>
    <row r="4772" spans="1:5" hidden="1">
      <c r="A4772" s="3">
        <f t="shared" si="78"/>
        <v>0</v>
      </c>
      <c r="B4772" s="3">
        <f t="shared" si="79"/>
        <v>0</v>
      </c>
      <c r="C4772" s="3">
        <f t="shared" si="77"/>
        <v>0</v>
      </c>
      <c r="D4772" s="3">
        <f>$B$4505*(A4772)+$B$4506*(A4772)^2/2-$B$4504*(A4772)^3/6-(N(D27)*MAX(0,(A4772)-N(E27))^2/2+N(F27)*MAX(0,(A4772)-N(G27))^2/2+N(H27)*MAX(0,(A4772)-N(I27))^2/2+N(J27)*MAX(0,(A4772)-N(K27))^2/2+N(L27)*MAX(0,(A4772)-N(M27))^2/2)+$B$4507</f>
        <v>-695.31249999999989</v>
      </c>
      <c r="E4772" s="3">
        <f>$B$4505*(C4772)+$B$4506*(C4772)^2/2-$B$4504*(C4772)^3/6-(N(D27)*MAX(0,(C4772)-N(E27))^2/2+N(F27)*MAX(0,(C4772)-N(G27))^2/2+N(H27)*MAX(0,(C4772)-N(I27))^2/2+N(J27)*MAX(0,(C4772)-N(K27))^2/2+N(L27)*MAX(0,(C4772)-N(M27))^2/2)+$B$4507</f>
        <v>-695.31249999999989</v>
      </c>
    </row>
    <row r="4773" spans="1:5" hidden="1">
      <c r="A4773" s="3">
        <f t="shared" si="78"/>
        <v>0</v>
      </c>
      <c r="B4773" s="3">
        <f t="shared" si="79"/>
        <v>0</v>
      </c>
      <c r="C4773" s="3">
        <f t="shared" si="77"/>
        <v>0</v>
      </c>
      <c r="D4773" s="3">
        <f>$B$4505*(A4773)+$B$4506*(A4773)^2/2-$B$4504*(A4773)^3/6-(N(D27)*MAX(0,(A4773)-N(E27))^2/2+N(F27)*MAX(0,(A4773)-N(G27))^2/2+N(H27)*MAX(0,(A4773)-N(I27))^2/2+N(J27)*MAX(0,(A4773)-N(K27))^2/2+N(L27)*MAX(0,(A4773)-N(M27))^2/2)+$B$4507</f>
        <v>-695.31249999999989</v>
      </c>
      <c r="E4773" s="3">
        <f>$B$4505*(C4773)+$B$4506*(C4773)^2/2-$B$4504*(C4773)^3/6-(N(D27)*MAX(0,(C4773)-N(E27))^2/2+N(F27)*MAX(0,(C4773)-N(G27))^2/2+N(H27)*MAX(0,(C4773)-N(I27))^2/2+N(J27)*MAX(0,(C4773)-N(K27))^2/2+N(L27)*MAX(0,(C4773)-N(M27))^2/2)+$B$4507</f>
        <v>-695.31249999999989</v>
      </c>
    </row>
    <row r="4774" spans="1:5" hidden="1">
      <c r="A4774" s="3">
        <f t="shared" si="78"/>
        <v>0</v>
      </c>
      <c r="B4774" s="3">
        <f t="shared" si="79"/>
        <v>0</v>
      </c>
      <c r="C4774" s="3">
        <f t="shared" si="77"/>
        <v>0</v>
      </c>
      <c r="D4774" s="3">
        <f>$B$4505*(A4774)+$B$4506*(A4774)^2/2-$B$4504*(A4774)^3/6-(N(D27)*MAX(0,(A4774)-N(E27))^2/2+N(F27)*MAX(0,(A4774)-N(G27))^2/2+N(H27)*MAX(0,(A4774)-N(I27))^2/2+N(J27)*MAX(0,(A4774)-N(K27))^2/2+N(L27)*MAX(0,(A4774)-N(M27))^2/2)+$B$4507</f>
        <v>-695.31249999999989</v>
      </c>
      <c r="E4774" s="3">
        <f>$B$4505*(C4774)+$B$4506*(C4774)^2/2-$B$4504*(C4774)^3/6-(N(D27)*MAX(0,(C4774)-N(E27))^2/2+N(F27)*MAX(0,(C4774)-N(G27))^2/2+N(H27)*MAX(0,(C4774)-N(I27))^2/2+N(J27)*MAX(0,(C4774)-N(K27))^2/2+N(L27)*MAX(0,(C4774)-N(M27))^2/2)+$B$4507</f>
        <v>-695.31249999999989</v>
      </c>
    </row>
    <row r="4775" spans="1:5" hidden="1">
      <c r="A4775" s="3">
        <f t="shared" si="78"/>
        <v>0</v>
      </c>
      <c r="B4775" s="3">
        <f t="shared" si="79"/>
        <v>0</v>
      </c>
      <c r="C4775" s="3">
        <f t="shared" si="77"/>
        <v>0</v>
      </c>
      <c r="D4775" s="3">
        <f>$B$4505*(A4775)+$B$4506*(A4775)^2/2-$B$4504*(A4775)^3/6-(N(D27)*MAX(0,(A4775)-N(E27))^2/2+N(F27)*MAX(0,(A4775)-N(G27))^2/2+N(H27)*MAX(0,(A4775)-N(I27))^2/2+N(J27)*MAX(0,(A4775)-N(K27))^2/2+N(L27)*MAX(0,(A4775)-N(M27))^2/2)+$B$4507</f>
        <v>-695.31249999999989</v>
      </c>
      <c r="E4775" s="3">
        <f>$B$4505*(C4775)+$B$4506*(C4775)^2/2-$B$4504*(C4775)^3/6-(N(D27)*MAX(0,(C4775)-N(E27))^2/2+N(F27)*MAX(0,(C4775)-N(G27))^2/2+N(H27)*MAX(0,(C4775)-N(I27))^2/2+N(J27)*MAX(0,(C4775)-N(K27))^2/2+N(L27)*MAX(0,(C4775)-N(M27))^2/2)+$B$4507</f>
        <v>-695.31249999999989</v>
      </c>
    </row>
    <row r="4776" spans="1:5" hidden="1">
      <c r="A4776" s="3">
        <f t="shared" si="78"/>
        <v>0</v>
      </c>
      <c r="B4776" s="3">
        <f t="shared" si="79"/>
        <v>0</v>
      </c>
      <c r="C4776" s="3">
        <f t="shared" si="77"/>
        <v>0</v>
      </c>
      <c r="D4776" s="3">
        <f>$B$4505*(A4776)+$B$4506*(A4776)^2/2-$B$4504*(A4776)^3/6-(N(D27)*MAX(0,(A4776)-N(E27))^2/2+N(F27)*MAX(0,(A4776)-N(G27))^2/2+N(H27)*MAX(0,(A4776)-N(I27))^2/2+N(J27)*MAX(0,(A4776)-N(K27))^2/2+N(L27)*MAX(0,(A4776)-N(M27))^2/2)+$B$4507</f>
        <v>-695.31249999999989</v>
      </c>
      <c r="E4776" s="3">
        <f>$B$4505*(C4776)+$B$4506*(C4776)^2/2-$B$4504*(C4776)^3/6-(N(D27)*MAX(0,(C4776)-N(E27))^2/2+N(F27)*MAX(0,(C4776)-N(G27))^2/2+N(H27)*MAX(0,(C4776)-N(I27))^2/2+N(J27)*MAX(0,(C4776)-N(K27))^2/2+N(L27)*MAX(0,(C4776)-N(M27))^2/2)+$B$4507</f>
        <v>-695.31249999999989</v>
      </c>
    </row>
    <row r="4777" spans="1:5" hidden="1">
      <c r="A4777" s="3">
        <f t="shared" si="78"/>
        <v>0</v>
      </c>
      <c r="B4777" s="3">
        <f t="shared" si="79"/>
        <v>0</v>
      </c>
      <c r="C4777" s="3">
        <f t="shared" si="77"/>
        <v>0</v>
      </c>
      <c r="D4777" s="3">
        <f>$B$4505*(A4777)+$B$4506*(A4777)^2/2-$B$4504*(A4777)^3/6-(N(D27)*MAX(0,(A4777)-N(E27))^2/2+N(F27)*MAX(0,(A4777)-N(G27))^2/2+N(H27)*MAX(0,(A4777)-N(I27))^2/2+N(J27)*MAX(0,(A4777)-N(K27))^2/2+N(L27)*MAX(0,(A4777)-N(M27))^2/2)+$B$4507</f>
        <v>-695.31249999999989</v>
      </c>
      <c r="E4777" s="3">
        <f>$B$4505*(C4777)+$B$4506*(C4777)^2/2-$B$4504*(C4777)^3/6-(N(D27)*MAX(0,(C4777)-N(E27))^2/2+N(F27)*MAX(0,(C4777)-N(G27))^2/2+N(H27)*MAX(0,(C4777)-N(I27))^2/2+N(J27)*MAX(0,(C4777)-N(K27))^2/2+N(L27)*MAX(0,(C4777)-N(M27))^2/2)+$B$4507</f>
        <v>-695.31249999999989</v>
      </c>
    </row>
    <row r="4778" spans="1:5" hidden="1">
      <c r="A4778" s="3">
        <f t="shared" si="78"/>
        <v>0</v>
      </c>
      <c r="B4778" s="3">
        <f t="shared" si="79"/>
        <v>0</v>
      </c>
      <c r="C4778" s="3">
        <f t="shared" si="77"/>
        <v>0</v>
      </c>
      <c r="D4778" s="3">
        <f>$B$4505*(A4778)+$B$4506*(A4778)^2/2-$B$4504*(A4778)^3/6-(N(D27)*MAX(0,(A4778)-N(E27))^2/2+N(F27)*MAX(0,(A4778)-N(G27))^2/2+N(H27)*MAX(0,(A4778)-N(I27))^2/2+N(J27)*MAX(0,(A4778)-N(K27))^2/2+N(L27)*MAX(0,(A4778)-N(M27))^2/2)+$B$4507</f>
        <v>-695.31249999999989</v>
      </c>
      <c r="E4778" s="3">
        <f>$B$4505*(C4778)+$B$4506*(C4778)^2/2-$B$4504*(C4778)^3/6-(N(D27)*MAX(0,(C4778)-N(E27))^2/2+N(F27)*MAX(0,(C4778)-N(G27))^2/2+N(H27)*MAX(0,(C4778)-N(I27))^2/2+N(J27)*MAX(0,(C4778)-N(K27))^2/2+N(L27)*MAX(0,(C4778)-N(M27))^2/2)+$B$4507</f>
        <v>-695.31249999999989</v>
      </c>
    </row>
    <row r="4779" spans="1:5" hidden="1">
      <c r="A4779" s="3">
        <f t="shared" si="78"/>
        <v>0</v>
      </c>
      <c r="B4779" s="3">
        <f t="shared" si="79"/>
        <v>0</v>
      </c>
      <c r="C4779" s="3">
        <f t="shared" si="77"/>
        <v>0</v>
      </c>
      <c r="D4779" s="3">
        <f>$B$4505*(A4779)+$B$4506*(A4779)^2/2-$B$4504*(A4779)^3/6-(N(D27)*MAX(0,(A4779)-N(E27))^2/2+N(F27)*MAX(0,(A4779)-N(G27))^2/2+N(H27)*MAX(0,(A4779)-N(I27))^2/2+N(J27)*MAX(0,(A4779)-N(K27))^2/2+N(L27)*MAX(0,(A4779)-N(M27))^2/2)+$B$4507</f>
        <v>-695.31249999999989</v>
      </c>
      <c r="E4779" s="3">
        <f>$B$4505*(C4779)+$B$4506*(C4779)^2/2-$B$4504*(C4779)^3/6-(N(D27)*MAX(0,(C4779)-N(E27))^2/2+N(F27)*MAX(0,(C4779)-N(G27))^2/2+N(H27)*MAX(0,(C4779)-N(I27))^2/2+N(J27)*MAX(0,(C4779)-N(K27))^2/2+N(L27)*MAX(0,(C4779)-N(M27))^2/2)+$B$4507</f>
        <v>-695.31249999999989</v>
      </c>
    </row>
    <row r="4780" spans="1:5" hidden="1">
      <c r="A4780" s="3">
        <f t="shared" si="78"/>
        <v>0</v>
      </c>
      <c r="B4780" s="3">
        <f t="shared" si="79"/>
        <v>0</v>
      </c>
      <c r="C4780" s="3">
        <f t="shared" si="77"/>
        <v>0</v>
      </c>
      <c r="D4780" s="3">
        <f>$B$4505*(A4780)+$B$4506*(A4780)^2/2-$B$4504*(A4780)^3/6-(N(D27)*MAX(0,(A4780)-N(E27))^2/2+N(F27)*MAX(0,(A4780)-N(G27))^2/2+N(H27)*MAX(0,(A4780)-N(I27))^2/2+N(J27)*MAX(0,(A4780)-N(K27))^2/2+N(L27)*MAX(0,(A4780)-N(M27))^2/2)+$B$4507</f>
        <v>-695.31249999999989</v>
      </c>
      <c r="E4780" s="3">
        <f>$B$4505*(C4780)+$B$4506*(C4780)^2/2-$B$4504*(C4780)^3/6-(N(D27)*MAX(0,(C4780)-N(E27))^2/2+N(F27)*MAX(0,(C4780)-N(G27))^2/2+N(H27)*MAX(0,(C4780)-N(I27))^2/2+N(J27)*MAX(0,(C4780)-N(K27))^2/2+N(L27)*MAX(0,(C4780)-N(M27))^2/2)+$B$4507</f>
        <v>-695.31249999999989</v>
      </c>
    </row>
    <row r="4781" spans="1:5" hidden="1">
      <c r="A4781" s="3">
        <f t="shared" si="78"/>
        <v>0</v>
      </c>
      <c r="B4781" s="3">
        <f t="shared" si="79"/>
        <v>0</v>
      </c>
      <c r="C4781" s="3">
        <f t="shared" si="77"/>
        <v>0</v>
      </c>
      <c r="D4781" s="3">
        <f>$B$4505*(A4781)+$B$4506*(A4781)^2/2-$B$4504*(A4781)^3/6-(N(D27)*MAX(0,(A4781)-N(E27))^2/2+N(F27)*MAX(0,(A4781)-N(G27))^2/2+N(H27)*MAX(0,(A4781)-N(I27))^2/2+N(J27)*MAX(0,(A4781)-N(K27))^2/2+N(L27)*MAX(0,(A4781)-N(M27))^2/2)+$B$4507</f>
        <v>-695.31249999999989</v>
      </c>
      <c r="E4781" s="3">
        <f>$B$4505*(C4781)+$B$4506*(C4781)^2/2-$B$4504*(C4781)^3/6-(N(D27)*MAX(0,(C4781)-N(E27))^2/2+N(F27)*MAX(0,(C4781)-N(G27))^2/2+N(H27)*MAX(0,(C4781)-N(I27))^2/2+N(J27)*MAX(0,(C4781)-N(K27))^2/2+N(L27)*MAX(0,(C4781)-N(M27))^2/2)+$B$4507</f>
        <v>-695.31249999999989</v>
      </c>
    </row>
    <row r="4782" spans="1:5" hidden="1">
      <c r="A4782" s="3">
        <f t="shared" si="78"/>
        <v>0</v>
      </c>
      <c r="B4782" s="3">
        <f t="shared" si="79"/>
        <v>0</v>
      </c>
      <c r="C4782" s="3">
        <f t="shared" si="77"/>
        <v>0</v>
      </c>
      <c r="D4782" s="3">
        <f>$B$4505*(A4782)+$B$4506*(A4782)^2/2-$B$4504*(A4782)^3/6-(N(D27)*MAX(0,(A4782)-N(E27))^2/2+N(F27)*MAX(0,(A4782)-N(G27))^2/2+N(H27)*MAX(0,(A4782)-N(I27))^2/2+N(J27)*MAX(0,(A4782)-N(K27))^2/2+N(L27)*MAX(0,(A4782)-N(M27))^2/2)+$B$4507</f>
        <v>-695.31249999999989</v>
      </c>
      <c r="E4782" s="3">
        <f>$B$4505*(C4782)+$B$4506*(C4782)^2/2-$B$4504*(C4782)^3/6-(N(D27)*MAX(0,(C4782)-N(E27))^2/2+N(F27)*MAX(0,(C4782)-N(G27))^2/2+N(H27)*MAX(0,(C4782)-N(I27))^2/2+N(J27)*MAX(0,(C4782)-N(K27))^2/2+N(L27)*MAX(0,(C4782)-N(M27))^2/2)+$B$4507</f>
        <v>-695.31249999999989</v>
      </c>
    </row>
    <row r="4783" spans="1:5" hidden="1">
      <c r="A4783" s="3">
        <f t="shared" si="78"/>
        <v>0</v>
      </c>
      <c r="B4783" s="3">
        <f t="shared" si="79"/>
        <v>0</v>
      </c>
      <c r="C4783" s="3">
        <f t="shared" si="77"/>
        <v>0</v>
      </c>
      <c r="D4783" s="3">
        <f>$B$4505*(A4783)+$B$4506*(A4783)^2/2-$B$4504*(A4783)^3/6-(N(D27)*MAX(0,(A4783)-N(E27))^2/2+N(F27)*MAX(0,(A4783)-N(G27))^2/2+N(H27)*MAX(0,(A4783)-N(I27))^2/2+N(J27)*MAX(0,(A4783)-N(K27))^2/2+N(L27)*MAX(0,(A4783)-N(M27))^2/2)+$B$4507</f>
        <v>-695.31249999999989</v>
      </c>
      <c r="E4783" s="3">
        <f>$B$4505*(C4783)+$B$4506*(C4783)^2/2-$B$4504*(C4783)^3/6-(N(D27)*MAX(0,(C4783)-N(E27))^2/2+N(F27)*MAX(0,(C4783)-N(G27))^2/2+N(H27)*MAX(0,(C4783)-N(I27))^2/2+N(J27)*MAX(0,(C4783)-N(K27))^2/2+N(L27)*MAX(0,(C4783)-N(M27))^2/2)+$B$4507</f>
        <v>-695.31249999999989</v>
      </c>
    </row>
    <row r="4784" spans="1:5" hidden="1"/>
    <row r="4785" spans="1:5" hidden="1">
      <c r="A4785" s="3">
        <f>B4545</f>
        <v>0</v>
      </c>
      <c r="B4785" s="3">
        <f>IF(($B$4505*(B4545)+$B$4506*(B4545)^2/2-$B$4504*(B4545)^3/6-(N(D27)*MAX(0,(B4545)-N(E27))^2/2+N(F27)*MAX(0,(B4545)-N(G27))^2/2+N(H27)*MAX(0,(B4545)-N(I27))^2/2+N(J27)*MAX(0,(B4545)-N(K27))^2/2+N(L27)*MAX(0,(B4545)-N(M27))^2/2)+$B$4507)*($B$4505*(B4546)+$B$4506*(B4546)^2/2-$B$4504*(B4546)^3/6-(N(D27)*MAX(0,(B4546)-N(E27))^2/2+N(F27)*MAX(0,(B4546)-N(G27))^2/2+N(H27)*MAX(0,(B4546)-N(I27))^2/2+N(J27)*MAX(0,(B4546)-N(K27))^2/2+N(L27)*MAX(0,(B4546)-N(M27))^2/2)+$B$4507)&lt;=0,B4546,B4545)</f>
        <v>0</v>
      </c>
      <c r="C4785" s="3">
        <f t="shared" ref="C4785:C4829" si="80">(A4785+B4785)/2</f>
        <v>0</v>
      </c>
      <c r="D4785" s="3">
        <f>$B$4505*(A4785)+$B$4506*(A4785)^2/2-$B$4504*(A4785)^3/6-(N(D27)*MAX(0,(A4785)-N(E27))^2/2+N(F27)*MAX(0,(A4785)-N(G27))^2/2+N(H27)*MAX(0,(A4785)-N(I27))^2/2+N(J27)*MAX(0,(A4785)-N(K27))^2/2+N(L27)*MAX(0,(A4785)-N(M27))^2/2)+$B$4507</f>
        <v>-695.31249999999989</v>
      </c>
      <c r="E4785" s="3">
        <f>$B$4505*(C4785)+$B$4506*(C4785)^2/2-$B$4504*(C4785)^3/6-(N(D27)*MAX(0,(C4785)-N(E27))^2/2+N(F27)*MAX(0,(C4785)-N(G27))^2/2+N(H27)*MAX(0,(C4785)-N(I27))^2/2+N(J27)*MAX(0,(C4785)-N(K27))^2/2+N(L27)*MAX(0,(C4785)-N(M27))^2/2)+$B$4507</f>
        <v>-695.31249999999989</v>
      </c>
    </row>
    <row r="4786" spans="1:5" hidden="1">
      <c r="A4786" s="3">
        <f t="shared" ref="A4786:A4829" si="81">IF(D4785*E4785&lt;=0,A4785,C4785)</f>
        <v>0</v>
      </c>
      <c r="B4786" s="3">
        <f t="shared" ref="B4786:B4829" si="82">IF(D4785*E4785&lt;=0,C4785,B4785)</f>
        <v>0</v>
      </c>
      <c r="C4786" s="3">
        <f t="shared" si="80"/>
        <v>0</v>
      </c>
      <c r="D4786" s="3">
        <f>$B$4505*(A4786)+$B$4506*(A4786)^2/2-$B$4504*(A4786)^3/6-(N(D27)*MAX(0,(A4786)-N(E27))^2/2+N(F27)*MAX(0,(A4786)-N(G27))^2/2+N(H27)*MAX(0,(A4786)-N(I27))^2/2+N(J27)*MAX(0,(A4786)-N(K27))^2/2+N(L27)*MAX(0,(A4786)-N(M27))^2/2)+$B$4507</f>
        <v>-695.31249999999989</v>
      </c>
      <c r="E4786" s="3">
        <f>$B$4505*(C4786)+$B$4506*(C4786)^2/2-$B$4504*(C4786)^3/6-(N(D27)*MAX(0,(C4786)-N(E27))^2/2+N(F27)*MAX(0,(C4786)-N(G27))^2/2+N(H27)*MAX(0,(C4786)-N(I27))^2/2+N(J27)*MAX(0,(C4786)-N(K27))^2/2+N(L27)*MAX(0,(C4786)-N(M27))^2/2)+$B$4507</f>
        <v>-695.31249999999989</v>
      </c>
    </row>
    <row r="4787" spans="1:5" hidden="1">
      <c r="A4787" s="3">
        <f t="shared" si="81"/>
        <v>0</v>
      </c>
      <c r="B4787" s="3">
        <f t="shared" si="82"/>
        <v>0</v>
      </c>
      <c r="C4787" s="3">
        <f t="shared" si="80"/>
        <v>0</v>
      </c>
      <c r="D4787" s="3">
        <f>$B$4505*(A4787)+$B$4506*(A4787)^2/2-$B$4504*(A4787)^3/6-(N(D27)*MAX(0,(A4787)-N(E27))^2/2+N(F27)*MAX(0,(A4787)-N(G27))^2/2+N(H27)*MAX(0,(A4787)-N(I27))^2/2+N(J27)*MAX(0,(A4787)-N(K27))^2/2+N(L27)*MAX(0,(A4787)-N(M27))^2/2)+$B$4507</f>
        <v>-695.31249999999989</v>
      </c>
      <c r="E4787" s="3">
        <f>$B$4505*(C4787)+$B$4506*(C4787)^2/2-$B$4504*(C4787)^3/6-(N(D27)*MAX(0,(C4787)-N(E27))^2/2+N(F27)*MAX(0,(C4787)-N(G27))^2/2+N(H27)*MAX(0,(C4787)-N(I27))^2/2+N(J27)*MAX(0,(C4787)-N(K27))^2/2+N(L27)*MAX(0,(C4787)-N(M27))^2/2)+$B$4507</f>
        <v>-695.31249999999989</v>
      </c>
    </row>
    <row r="4788" spans="1:5" hidden="1">
      <c r="A4788" s="3">
        <f t="shared" si="81"/>
        <v>0</v>
      </c>
      <c r="B4788" s="3">
        <f t="shared" si="82"/>
        <v>0</v>
      </c>
      <c r="C4788" s="3">
        <f t="shared" si="80"/>
        <v>0</v>
      </c>
      <c r="D4788" s="3">
        <f>$B$4505*(A4788)+$B$4506*(A4788)^2/2-$B$4504*(A4788)^3/6-(N(D27)*MAX(0,(A4788)-N(E27))^2/2+N(F27)*MAX(0,(A4788)-N(G27))^2/2+N(H27)*MAX(0,(A4788)-N(I27))^2/2+N(J27)*MAX(0,(A4788)-N(K27))^2/2+N(L27)*MAX(0,(A4788)-N(M27))^2/2)+$B$4507</f>
        <v>-695.31249999999989</v>
      </c>
      <c r="E4788" s="3">
        <f>$B$4505*(C4788)+$B$4506*(C4788)^2/2-$B$4504*(C4788)^3/6-(N(D27)*MAX(0,(C4788)-N(E27))^2/2+N(F27)*MAX(0,(C4788)-N(G27))^2/2+N(H27)*MAX(0,(C4788)-N(I27))^2/2+N(J27)*MAX(0,(C4788)-N(K27))^2/2+N(L27)*MAX(0,(C4788)-N(M27))^2/2)+$B$4507</f>
        <v>-695.31249999999989</v>
      </c>
    </row>
    <row r="4789" spans="1:5" hidden="1">
      <c r="A4789" s="3">
        <f t="shared" si="81"/>
        <v>0</v>
      </c>
      <c r="B4789" s="3">
        <f t="shared" si="82"/>
        <v>0</v>
      </c>
      <c r="C4789" s="3">
        <f t="shared" si="80"/>
        <v>0</v>
      </c>
      <c r="D4789" s="3">
        <f>$B$4505*(A4789)+$B$4506*(A4789)^2/2-$B$4504*(A4789)^3/6-(N(D27)*MAX(0,(A4789)-N(E27))^2/2+N(F27)*MAX(0,(A4789)-N(G27))^2/2+N(H27)*MAX(0,(A4789)-N(I27))^2/2+N(J27)*MAX(0,(A4789)-N(K27))^2/2+N(L27)*MAX(0,(A4789)-N(M27))^2/2)+$B$4507</f>
        <v>-695.31249999999989</v>
      </c>
      <c r="E4789" s="3">
        <f>$B$4505*(C4789)+$B$4506*(C4789)^2/2-$B$4504*(C4789)^3/6-(N(D27)*MAX(0,(C4789)-N(E27))^2/2+N(F27)*MAX(0,(C4789)-N(G27))^2/2+N(H27)*MAX(0,(C4789)-N(I27))^2/2+N(J27)*MAX(0,(C4789)-N(K27))^2/2+N(L27)*MAX(0,(C4789)-N(M27))^2/2)+$B$4507</f>
        <v>-695.31249999999989</v>
      </c>
    </row>
    <row r="4790" spans="1:5" hidden="1">
      <c r="A4790" s="3">
        <f t="shared" si="81"/>
        <v>0</v>
      </c>
      <c r="B4790" s="3">
        <f t="shared" si="82"/>
        <v>0</v>
      </c>
      <c r="C4790" s="3">
        <f t="shared" si="80"/>
        <v>0</v>
      </c>
      <c r="D4790" s="3">
        <f>$B$4505*(A4790)+$B$4506*(A4790)^2/2-$B$4504*(A4790)^3/6-(N(D27)*MAX(0,(A4790)-N(E27))^2/2+N(F27)*MAX(0,(A4790)-N(G27))^2/2+N(H27)*MAX(0,(A4790)-N(I27))^2/2+N(J27)*MAX(0,(A4790)-N(K27))^2/2+N(L27)*MAX(0,(A4790)-N(M27))^2/2)+$B$4507</f>
        <v>-695.31249999999989</v>
      </c>
      <c r="E4790" s="3">
        <f>$B$4505*(C4790)+$B$4506*(C4790)^2/2-$B$4504*(C4790)^3/6-(N(D27)*MAX(0,(C4790)-N(E27))^2/2+N(F27)*MAX(0,(C4790)-N(G27))^2/2+N(H27)*MAX(0,(C4790)-N(I27))^2/2+N(J27)*MAX(0,(C4790)-N(K27))^2/2+N(L27)*MAX(0,(C4790)-N(M27))^2/2)+$B$4507</f>
        <v>-695.31249999999989</v>
      </c>
    </row>
    <row r="4791" spans="1:5" hidden="1">
      <c r="A4791" s="3">
        <f t="shared" si="81"/>
        <v>0</v>
      </c>
      <c r="B4791" s="3">
        <f t="shared" si="82"/>
        <v>0</v>
      </c>
      <c r="C4791" s="3">
        <f t="shared" si="80"/>
        <v>0</v>
      </c>
      <c r="D4791" s="3">
        <f>$B$4505*(A4791)+$B$4506*(A4791)^2/2-$B$4504*(A4791)^3/6-(N(D27)*MAX(0,(A4791)-N(E27))^2/2+N(F27)*MAX(0,(A4791)-N(G27))^2/2+N(H27)*MAX(0,(A4791)-N(I27))^2/2+N(J27)*MAX(0,(A4791)-N(K27))^2/2+N(L27)*MAX(0,(A4791)-N(M27))^2/2)+$B$4507</f>
        <v>-695.31249999999989</v>
      </c>
      <c r="E4791" s="3">
        <f>$B$4505*(C4791)+$B$4506*(C4791)^2/2-$B$4504*(C4791)^3/6-(N(D27)*MAX(0,(C4791)-N(E27))^2/2+N(F27)*MAX(0,(C4791)-N(G27))^2/2+N(H27)*MAX(0,(C4791)-N(I27))^2/2+N(J27)*MAX(0,(C4791)-N(K27))^2/2+N(L27)*MAX(0,(C4791)-N(M27))^2/2)+$B$4507</f>
        <v>-695.31249999999989</v>
      </c>
    </row>
    <row r="4792" spans="1:5" hidden="1">
      <c r="A4792" s="3">
        <f t="shared" si="81"/>
        <v>0</v>
      </c>
      <c r="B4792" s="3">
        <f t="shared" si="82"/>
        <v>0</v>
      </c>
      <c r="C4792" s="3">
        <f t="shared" si="80"/>
        <v>0</v>
      </c>
      <c r="D4792" s="3">
        <f>$B$4505*(A4792)+$B$4506*(A4792)^2/2-$B$4504*(A4792)^3/6-(N(D27)*MAX(0,(A4792)-N(E27))^2/2+N(F27)*MAX(0,(A4792)-N(G27))^2/2+N(H27)*MAX(0,(A4792)-N(I27))^2/2+N(J27)*MAX(0,(A4792)-N(K27))^2/2+N(L27)*MAX(0,(A4792)-N(M27))^2/2)+$B$4507</f>
        <v>-695.31249999999989</v>
      </c>
      <c r="E4792" s="3">
        <f>$B$4505*(C4792)+$B$4506*(C4792)^2/2-$B$4504*(C4792)^3/6-(N(D27)*MAX(0,(C4792)-N(E27))^2/2+N(F27)*MAX(0,(C4792)-N(G27))^2/2+N(H27)*MAX(0,(C4792)-N(I27))^2/2+N(J27)*MAX(0,(C4792)-N(K27))^2/2+N(L27)*MAX(0,(C4792)-N(M27))^2/2)+$B$4507</f>
        <v>-695.31249999999989</v>
      </c>
    </row>
    <row r="4793" spans="1:5" hidden="1">
      <c r="A4793" s="3">
        <f t="shared" si="81"/>
        <v>0</v>
      </c>
      <c r="B4793" s="3">
        <f t="shared" si="82"/>
        <v>0</v>
      </c>
      <c r="C4793" s="3">
        <f t="shared" si="80"/>
        <v>0</v>
      </c>
      <c r="D4793" s="3">
        <f>$B$4505*(A4793)+$B$4506*(A4793)^2/2-$B$4504*(A4793)^3/6-(N(D27)*MAX(0,(A4793)-N(E27))^2/2+N(F27)*MAX(0,(A4793)-N(G27))^2/2+N(H27)*MAX(0,(A4793)-N(I27))^2/2+N(J27)*MAX(0,(A4793)-N(K27))^2/2+N(L27)*MAX(0,(A4793)-N(M27))^2/2)+$B$4507</f>
        <v>-695.31249999999989</v>
      </c>
      <c r="E4793" s="3">
        <f>$B$4505*(C4793)+$B$4506*(C4793)^2/2-$B$4504*(C4793)^3/6-(N(D27)*MAX(0,(C4793)-N(E27))^2/2+N(F27)*MAX(0,(C4793)-N(G27))^2/2+N(H27)*MAX(0,(C4793)-N(I27))^2/2+N(J27)*MAX(0,(C4793)-N(K27))^2/2+N(L27)*MAX(0,(C4793)-N(M27))^2/2)+$B$4507</f>
        <v>-695.31249999999989</v>
      </c>
    </row>
    <row r="4794" spans="1:5" hidden="1">
      <c r="A4794" s="3">
        <f t="shared" si="81"/>
        <v>0</v>
      </c>
      <c r="B4794" s="3">
        <f t="shared" si="82"/>
        <v>0</v>
      </c>
      <c r="C4794" s="3">
        <f t="shared" si="80"/>
        <v>0</v>
      </c>
      <c r="D4794" s="3">
        <f>$B$4505*(A4794)+$B$4506*(A4794)^2/2-$B$4504*(A4794)^3/6-(N(D27)*MAX(0,(A4794)-N(E27))^2/2+N(F27)*MAX(0,(A4794)-N(G27))^2/2+N(H27)*MAX(0,(A4794)-N(I27))^2/2+N(J27)*MAX(0,(A4794)-N(K27))^2/2+N(L27)*MAX(0,(A4794)-N(M27))^2/2)+$B$4507</f>
        <v>-695.31249999999989</v>
      </c>
      <c r="E4794" s="3">
        <f>$B$4505*(C4794)+$B$4506*(C4794)^2/2-$B$4504*(C4794)^3/6-(N(D27)*MAX(0,(C4794)-N(E27))^2/2+N(F27)*MAX(0,(C4794)-N(G27))^2/2+N(H27)*MAX(0,(C4794)-N(I27))^2/2+N(J27)*MAX(0,(C4794)-N(K27))^2/2+N(L27)*MAX(0,(C4794)-N(M27))^2/2)+$B$4507</f>
        <v>-695.31249999999989</v>
      </c>
    </row>
    <row r="4795" spans="1:5" hidden="1">
      <c r="A4795" s="3">
        <f t="shared" si="81"/>
        <v>0</v>
      </c>
      <c r="B4795" s="3">
        <f t="shared" si="82"/>
        <v>0</v>
      </c>
      <c r="C4795" s="3">
        <f t="shared" si="80"/>
        <v>0</v>
      </c>
      <c r="D4795" s="3">
        <f>$B$4505*(A4795)+$B$4506*(A4795)^2/2-$B$4504*(A4795)^3/6-(N(D27)*MAX(0,(A4795)-N(E27))^2/2+N(F27)*MAX(0,(A4795)-N(G27))^2/2+N(H27)*MAX(0,(A4795)-N(I27))^2/2+N(J27)*MAX(0,(A4795)-N(K27))^2/2+N(L27)*MAX(0,(A4795)-N(M27))^2/2)+$B$4507</f>
        <v>-695.31249999999989</v>
      </c>
      <c r="E4795" s="3">
        <f>$B$4505*(C4795)+$B$4506*(C4795)^2/2-$B$4504*(C4795)^3/6-(N(D27)*MAX(0,(C4795)-N(E27))^2/2+N(F27)*MAX(0,(C4795)-N(G27))^2/2+N(H27)*MAX(0,(C4795)-N(I27))^2/2+N(J27)*MAX(0,(C4795)-N(K27))^2/2+N(L27)*MAX(0,(C4795)-N(M27))^2/2)+$B$4507</f>
        <v>-695.31249999999989</v>
      </c>
    </row>
    <row r="4796" spans="1:5" hidden="1">
      <c r="A4796" s="3">
        <f t="shared" si="81"/>
        <v>0</v>
      </c>
      <c r="B4796" s="3">
        <f t="shared" si="82"/>
        <v>0</v>
      </c>
      <c r="C4796" s="3">
        <f t="shared" si="80"/>
        <v>0</v>
      </c>
      <c r="D4796" s="3">
        <f>$B$4505*(A4796)+$B$4506*(A4796)^2/2-$B$4504*(A4796)^3/6-(N(D27)*MAX(0,(A4796)-N(E27))^2/2+N(F27)*MAX(0,(A4796)-N(G27))^2/2+N(H27)*MAX(0,(A4796)-N(I27))^2/2+N(J27)*MAX(0,(A4796)-N(K27))^2/2+N(L27)*MAX(0,(A4796)-N(M27))^2/2)+$B$4507</f>
        <v>-695.31249999999989</v>
      </c>
      <c r="E4796" s="3">
        <f>$B$4505*(C4796)+$B$4506*(C4796)^2/2-$B$4504*(C4796)^3/6-(N(D27)*MAX(0,(C4796)-N(E27))^2/2+N(F27)*MAX(0,(C4796)-N(G27))^2/2+N(H27)*MAX(0,(C4796)-N(I27))^2/2+N(J27)*MAX(0,(C4796)-N(K27))^2/2+N(L27)*MAX(0,(C4796)-N(M27))^2/2)+$B$4507</f>
        <v>-695.31249999999989</v>
      </c>
    </row>
    <row r="4797" spans="1:5" hidden="1">
      <c r="A4797" s="3">
        <f t="shared" si="81"/>
        <v>0</v>
      </c>
      <c r="B4797" s="3">
        <f t="shared" si="82"/>
        <v>0</v>
      </c>
      <c r="C4797" s="3">
        <f t="shared" si="80"/>
        <v>0</v>
      </c>
      <c r="D4797" s="3">
        <f>$B$4505*(A4797)+$B$4506*(A4797)^2/2-$B$4504*(A4797)^3/6-(N(D27)*MAX(0,(A4797)-N(E27))^2/2+N(F27)*MAX(0,(A4797)-N(G27))^2/2+N(H27)*MAX(0,(A4797)-N(I27))^2/2+N(J27)*MAX(0,(A4797)-N(K27))^2/2+N(L27)*MAX(0,(A4797)-N(M27))^2/2)+$B$4507</f>
        <v>-695.31249999999989</v>
      </c>
      <c r="E4797" s="3">
        <f>$B$4505*(C4797)+$B$4506*(C4797)^2/2-$B$4504*(C4797)^3/6-(N(D27)*MAX(0,(C4797)-N(E27))^2/2+N(F27)*MAX(0,(C4797)-N(G27))^2/2+N(H27)*MAX(0,(C4797)-N(I27))^2/2+N(J27)*MAX(0,(C4797)-N(K27))^2/2+N(L27)*MAX(0,(C4797)-N(M27))^2/2)+$B$4507</f>
        <v>-695.31249999999989</v>
      </c>
    </row>
    <row r="4798" spans="1:5" hidden="1">
      <c r="A4798" s="3">
        <f t="shared" si="81"/>
        <v>0</v>
      </c>
      <c r="B4798" s="3">
        <f t="shared" si="82"/>
        <v>0</v>
      </c>
      <c r="C4798" s="3">
        <f t="shared" si="80"/>
        <v>0</v>
      </c>
      <c r="D4798" s="3">
        <f>$B$4505*(A4798)+$B$4506*(A4798)^2/2-$B$4504*(A4798)^3/6-(N(D27)*MAX(0,(A4798)-N(E27))^2/2+N(F27)*MAX(0,(A4798)-N(G27))^2/2+N(H27)*MAX(0,(A4798)-N(I27))^2/2+N(J27)*MAX(0,(A4798)-N(K27))^2/2+N(L27)*MAX(0,(A4798)-N(M27))^2/2)+$B$4507</f>
        <v>-695.31249999999989</v>
      </c>
      <c r="E4798" s="3">
        <f>$B$4505*(C4798)+$B$4506*(C4798)^2/2-$B$4504*(C4798)^3/6-(N(D27)*MAX(0,(C4798)-N(E27))^2/2+N(F27)*MAX(0,(C4798)-N(G27))^2/2+N(H27)*MAX(0,(C4798)-N(I27))^2/2+N(J27)*MAX(0,(C4798)-N(K27))^2/2+N(L27)*MAX(0,(C4798)-N(M27))^2/2)+$B$4507</f>
        <v>-695.31249999999989</v>
      </c>
    </row>
    <row r="4799" spans="1:5" hidden="1">
      <c r="A4799" s="3">
        <f t="shared" si="81"/>
        <v>0</v>
      </c>
      <c r="B4799" s="3">
        <f t="shared" si="82"/>
        <v>0</v>
      </c>
      <c r="C4799" s="3">
        <f t="shared" si="80"/>
        <v>0</v>
      </c>
      <c r="D4799" s="3">
        <f>$B$4505*(A4799)+$B$4506*(A4799)^2/2-$B$4504*(A4799)^3/6-(N(D27)*MAX(0,(A4799)-N(E27))^2/2+N(F27)*MAX(0,(A4799)-N(G27))^2/2+N(H27)*MAX(0,(A4799)-N(I27))^2/2+N(J27)*MAX(0,(A4799)-N(K27))^2/2+N(L27)*MAX(0,(A4799)-N(M27))^2/2)+$B$4507</f>
        <v>-695.31249999999989</v>
      </c>
      <c r="E4799" s="3">
        <f>$B$4505*(C4799)+$B$4506*(C4799)^2/2-$B$4504*(C4799)^3/6-(N(D27)*MAX(0,(C4799)-N(E27))^2/2+N(F27)*MAX(0,(C4799)-N(G27))^2/2+N(H27)*MAX(0,(C4799)-N(I27))^2/2+N(J27)*MAX(0,(C4799)-N(K27))^2/2+N(L27)*MAX(0,(C4799)-N(M27))^2/2)+$B$4507</f>
        <v>-695.31249999999989</v>
      </c>
    </row>
    <row r="4800" spans="1:5" hidden="1">
      <c r="A4800" s="3">
        <f t="shared" si="81"/>
        <v>0</v>
      </c>
      <c r="B4800" s="3">
        <f t="shared" si="82"/>
        <v>0</v>
      </c>
      <c r="C4800" s="3">
        <f t="shared" si="80"/>
        <v>0</v>
      </c>
      <c r="D4800" s="3">
        <f>$B$4505*(A4800)+$B$4506*(A4800)^2/2-$B$4504*(A4800)^3/6-(N(D27)*MAX(0,(A4800)-N(E27))^2/2+N(F27)*MAX(0,(A4800)-N(G27))^2/2+N(H27)*MAX(0,(A4800)-N(I27))^2/2+N(J27)*MAX(0,(A4800)-N(K27))^2/2+N(L27)*MAX(0,(A4800)-N(M27))^2/2)+$B$4507</f>
        <v>-695.31249999999989</v>
      </c>
      <c r="E4800" s="3">
        <f>$B$4505*(C4800)+$B$4506*(C4800)^2/2-$B$4504*(C4800)^3/6-(N(D27)*MAX(0,(C4800)-N(E27))^2/2+N(F27)*MAX(0,(C4800)-N(G27))^2/2+N(H27)*MAX(0,(C4800)-N(I27))^2/2+N(J27)*MAX(0,(C4800)-N(K27))^2/2+N(L27)*MAX(0,(C4800)-N(M27))^2/2)+$B$4507</f>
        <v>-695.31249999999989</v>
      </c>
    </row>
    <row r="4801" spans="1:5" hidden="1">
      <c r="A4801" s="3">
        <f t="shared" si="81"/>
        <v>0</v>
      </c>
      <c r="B4801" s="3">
        <f t="shared" si="82"/>
        <v>0</v>
      </c>
      <c r="C4801" s="3">
        <f t="shared" si="80"/>
        <v>0</v>
      </c>
      <c r="D4801" s="3">
        <f>$B$4505*(A4801)+$B$4506*(A4801)^2/2-$B$4504*(A4801)^3/6-(N(D27)*MAX(0,(A4801)-N(E27))^2/2+N(F27)*MAX(0,(A4801)-N(G27))^2/2+N(H27)*MAX(0,(A4801)-N(I27))^2/2+N(J27)*MAX(0,(A4801)-N(K27))^2/2+N(L27)*MAX(0,(A4801)-N(M27))^2/2)+$B$4507</f>
        <v>-695.31249999999989</v>
      </c>
      <c r="E4801" s="3">
        <f>$B$4505*(C4801)+$B$4506*(C4801)^2/2-$B$4504*(C4801)^3/6-(N(D27)*MAX(0,(C4801)-N(E27))^2/2+N(F27)*MAX(0,(C4801)-N(G27))^2/2+N(H27)*MAX(0,(C4801)-N(I27))^2/2+N(J27)*MAX(0,(C4801)-N(K27))^2/2+N(L27)*MAX(0,(C4801)-N(M27))^2/2)+$B$4507</f>
        <v>-695.31249999999989</v>
      </c>
    </row>
    <row r="4802" spans="1:5" hidden="1">
      <c r="A4802" s="3">
        <f t="shared" si="81"/>
        <v>0</v>
      </c>
      <c r="B4802" s="3">
        <f t="shared" si="82"/>
        <v>0</v>
      </c>
      <c r="C4802" s="3">
        <f t="shared" si="80"/>
        <v>0</v>
      </c>
      <c r="D4802" s="3">
        <f>$B$4505*(A4802)+$B$4506*(A4802)^2/2-$B$4504*(A4802)^3/6-(N(D27)*MAX(0,(A4802)-N(E27))^2/2+N(F27)*MAX(0,(A4802)-N(G27))^2/2+N(H27)*MAX(0,(A4802)-N(I27))^2/2+N(J27)*MAX(0,(A4802)-N(K27))^2/2+N(L27)*MAX(0,(A4802)-N(M27))^2/2)+$B$4507</f>
        <v>-695.31249999999989</v>
      </c>
      <c r="E4802" s="3">
        <f>$B$4505*(C4802)+$B$4506*(C4802)^2/2-$B$4504*(C4802)^3/6-(N(D27)*MAX(0,(C4802)-N(E27))^2/2+N(F27)*MAX(0,(C4802)-N(G27))^2/2+N(H27)*MAX(0,(C4802)-N(I27))^2/2+N(J27)*MAX(0,(C4802)-N(K27))^2/2+N(L27)*MAX(0,(C4802)-N(M27))^2/2)+$B$4507</f>
        <v>-695.31249999999989</v>
      </c>
    </row>
    <row r="4803" spans="1:5" hidden="1">
      <c r="A4803" s="3">
        <f t="shared" si="81"/>
        <v>0</v>
      </c>
      <c r="B4803" s="3">
        <f t="shared" si="82"/>
        <v>0</v>
      </c>
      <c r="C4803" s="3">
        <f t="shared" si="80"/>
        <v>0</v>
      </c>
      <c r="D4803" s="3">
        <f>$B$4505*(A4803)+$B$4506*(A4803)^2/2-$B$4504*(A4803)^3/6-(N(D27)*MAX(0,(A4803)-N(E27))^2/2+N(F27)*MAX(0,(A4803)-N(G27))^2/2+N(H27)*MAX(0,(A4803)-N(I27))^2/2+N(J27)*MAX(0,(A4803)-N(K27))^2/2+N(L27)*MAX(0,(A4803)-N(M27))^2/2)+$B$4507</f>
        <v>-695.31249999999989</v>
      </c>
      <c r="E4803" s="3">
        <f>$B$4505*(C4803)+$B$4506*(C4803)^2/2-$B$4504*(C4803)^3/6-(N(D27)*MAX(0,(C4803)-N(E27))^2/2+N(F27)*MAX(0,(C4803)-N(G27))^2/2+N(H27)*MAX(0,(C4803)-N(I27))^2/2+N(J27)*MAX(0,(C4803)-N(K27))^2/2+N(L27)*MAX(0,(C4803)-N(M27))^2/2)+$B$4507</f>
        <v>-695.31249999999989</v>
      </c>
    </row>
    <row r="4804" spans="1:5" hidden="1">
      <c r="A4804" s="3">
        <f t="shared" si="81"/>
        <v>0</v>
      </c>
      <c r="B4804" s="3">
        <f t="shared" si="82"/>
        <v>0</v>
      </c>
      <c r="C4804" s="3">
        <f t="shared" si="80"/>
        <v>0</v>
      </c>
      <c r="D4804" s="3">
        <f>$B$4505*(A4804)+$B$4506*(A4804)^2/2-$B$4504*(A4804)^3/6-(N(D27)*MAX(0,(A4804)-N(E27))^2/2+N(F27)*MAX(0,(A4804)-N(G27))^2/2+N(H27)*MAX(0,(A4804)-N(I27))^2/2+N(J27)*MAX(0,(A4804)-N(K27))^2/2+N(L27)*MAX(0,(A4804)-N(M27))^2/2)+$B$4507</f>
        <v>-695.31249999999989</v>
      </c>
      <c r="E4804" s="3">
        <f>$B$4505*(C4804)+$B$4506*(C4804)^2/2-$B$4504*(C4804)^3/6-(N(D27)*MAX(0,(C4804)-N(E27))^2/2+N(F27)*MAX(0,(C4804)-N(G27))^2/2+N(H27)*MAX(0,(C4804)-N(I27))^2/2+N(J27)*MAX(0,(C4804)-N(K27))^2/2+N(L27)*MAX(0,(C4804)-N(M27))^2/2)+$B$4507</f>
        <v>-695.31249999999989</v>
      </c>
    </row>
    <row r="4805" spans="1:5" hidden="1">
      <c r="A4805" s="3">
        <f t="shared" si="81"/>
        <v>0</v>
      </c>
      <c r="B4805" s="3">
        <f t="shared" si="82"/>
        <v>0</v>
      </c>
      <c r="C4805" s="3">
        <f t="shared" si="80"/>
        <v>0</v>
      </c>
      <c r="D4805" s="3">
        <f>$B$4505*(A4805)+$B$4506*(A4805)^2/2-$B$4504*(A4805)^3/6-(N(D27)*MAX(0,(A4805)-N(E27))^2/2+N(F27)*MAX(0,(A4805)-N(G27))^2/2+N(H27)*MAX(0,(A4805)-N(I27))^2/2+N(J27)*MAX(0,(A4805)-N(K27))^2/2+N(L27)*MAX(0,(A4805)-N(M27))^2/2)+$B$4507</f>
        <v>-695.31249999999989</v>
      </c>
      <c r="E4805" s="3">
        <f>$B$4505*(C4805)+$B$4506*(C4805)^2/2-$B$4504*(C4805)^3/6-(N(D27)*MAX(0,(C4805)-N(E27))^2/2+N(F27)*MAX(0,(C4805)-N(G27))^2/2+N(H27)*MAX(0,(C4805)-N(I27))^2/2+N(J27)*MAX(0,(C4805)-N(K27))^2/2+N(L27)*MAX(0,(C4805)-N(M27))^2/2)+$B$4507</f>
        <v>-695.31249999999989</v>
      </c>
    </row>
    <row r="4806" spans="1:5" hidden="1">
      <c r="A4806" s="3">
        <f t="shared" si="81"/>
        <v>0</v>
      </c>
      <c r="B4806" s="3">
        <f t="shared" si="82"/>
        <v>0</v>
      </c>
      <c r="C4806" s="3">
        <f t="shared" si="80"/>
        <v>0</v>
      </c>
      <c r="D4806" s="3">
        <f>$B$4505*(A4806)+$B$4506*(A4806)^2/2-$B$4504*(A4806)^3/6-(N(D27)*MAX(0,(A4806)-N(E27))^2/2+N(F27)*MAX(0,(A4806)-N(G27))^2/2+N(H27)*MAX(0,(A4806)-N(I27))^2/2+N(J27)*MAX(0,(A4806)-N(K27))^2/2+N(L27)*MAX(0,(A4806)-N(M27))^2/2)+$B$4507</f>
        <v>-695.31249999999989</v>
      </c>
      <c r="E4806" s="3">
        <f>$B$4505*(C4806)+$B$4506*(C4806)^2/2-$B$4504*(C4806)^3/6-(N(D27)*MAX(0,(C4806)-N(E27))^2/2+N(F27)*MAX(0,(C4806)-N(G27))^2/2+N(H27)*MAX(0,(C4806)-N(I27))^2/2+N(J27)*MAX(0,(C4806)-N(K27))^2/2+N(L27)*MAX(0,(C4806)-N(M27))^2/2)+$B$4507</f>
        <v>-695.31249999999989</v>
      </c>
    </row>
    <row r="4807" spans="1:5" hidden="1">
      <c r="A4807" s="3">
        <f t="shared" si="81"/>
        <v>0</v>
      </c>
      <c r="B4807" s="3">
        <f t="shared" si="82"/>
        <v>0</v>
      </c>
      <c r="C4807" s="3">
        <f t="shared" si="80"/>
        <v>0</v>
      </c>
      <c r="D4807" s="3">
        <f>$B$4505*(A4807)+$B$4506*(A4807)^2/2-$B$4504*(A4807)^3/6-(N(D27)*MAX(0,(A4807)-N(E27))^2/2+N(F27)*MAX(0,(A4807)-N(G27))^2/2+N(H27)*MAX(0,(A4807)-N(I27))^2/2+N(J27)*MAX(0,(A4807)-N(K27))^2/2+N(L27)*MAX(0,(A4807)-N(M27))^2/2)+$B$4507</f>
        <v>-695.31249999999989</v>
      </c>
      <c r="E4807" s="3">
        <f>$B$4505*(C4807)+$B$4506*(C4807)^2/2-$B$4504*(C4807)^3/6-(N(D27)*MAX(0,(C4807)-N(E27))^2/2+N(F27)*MAX(0,(C4807)-N(G27))^2/2+N(H27)*MAX(0,(C4807)-N(I27))^2/2+N(J27)*MAX(0,(C4807)-N(K27))^2/2+N(L27)*MAX(0,(C4807)-N(M27))^2/2)+$B$4507</f>
        <v>-695.31249999999989</v>
      </c>
    </row>
    <row r="4808" spans="1:5" hidden="1">
      <c r="A4808" s="3">
        <f t="shared" si="81"/>
        <v>0</v>
      </c>
      <c r="B4808" s="3">
        <f t="shared" si="82"/>
        <v>0</v>
      </c>
      <c r="C4808" s="3">
        <f t="shared" si="80"/>
        <v>0</v>
      </c>
      <c r="D4808" s="3">
        <f>$B$4505*(A4808)+$B$4506*(A4808)^2/2-$B$4504*(A4808)^3/6-(N(D27)*MAX(0,(A4808)-N(E27))^2/2+N(F27)*MAX(0,(A4808)-N(G27))^2/2+N(H27)*MAX(0,(A4808)-N(I27))^2/2+N(J27)*MAX(0,(A4808)-N(K27))^2/2+N(L27)*MAX(0,(A4808)-N(M27))^2/2)+$B$4507</f>
        <v>-695.31249999999989</v>
      </c>
      <c r="E4808" s="3">
        <f>$B$4505*(C4808)+$B$4506*(C4808)^2/2-$B$4504*(C4808)^3/6-(N(D27)*MAX(0,(C4808)-N(E27))^2/2+N(F27)*MAX(0,(C4808)-N(G27))^2/2+N(H27)*MAX(0,(C4808)-N(I27))^2/2+N(J27)*MAX(0,(C4808)-N(K27))^2/2+N(L27)*MAX(0,(C4808)-N(M27))^2/2)+$B$4507</f>
        <v>-695.31249999999989</v>
      </c>
    </row>
    <row r="4809" spans="1:5" hidden="1">
      <c r="A4809" s="3">
        <f t="shared" si="81"/>
        <v>0</v>
      </c>
      <c r="B4809" s="3">
        <f t="shared" si="82"/>
        <v>0</v>
      </c>
      <c r="C4809" s="3">
        <f t="shared" si="80"/>
        <v>0</v>
      </c>
      <c r="D4809" s="3">
        <f>$B$4505*(A4809)+$B$4506*(A4809)^2/2-$B$4504*(A4809)^3/6-(N(D27)*MAX(0,(A4809)-N(E27))^2/2+N(F27)*MAX(0,(A4809)-N(G27))^2/2+N(H27)*MAX(0,(A4809)-N(I27))^2/2+N(J27)*MAX(0,(A4809)-N(K27))^2/2+N(L27)*MAX(0,(A4809)-N(M27))^2/2)+$B$4507</f>
        <v>-695.31249999999989</v>
      </c>
      <c r="E4809" s="3">
        <f>$B$4505*(C4809)+$B$4506*(C4809)^2/2-$B$4504*(C4809)^3/6-(N(D27)*MAX(0,(C4809)-N(E27))^2/2+N(F27)*MAX(0,(C4809)-N(G27))^2/2+N(H27)*MAX(0,(C4809)-N(I27))^2/2+N(J27)*MAX(0,(C4809)-N(K27))^2/2+N(L27)*MAX(0,(C4809)-N(M27))^2/2)+$B$4507</f>
        <v>-695.31249999999989</v>
      </c>
    </row>
    <row r="4810" spans="1:5" hidden="1">
      <c r="A4810" s="3">
        <f t="shared" si="81"/>
        <v>0</v>
      </c>
      <c r="B4810" s="3">
        <f t="shared" si="82"/>
        <v>0</v>
      </c>
      <c r="C4810" s="3">
        <f t="shared" si="80"/>
        <v>0</v>
      </c>
      <c r="D4810" s="3">
        <f>$B$4505*(A4810)+$B$4506*(A4810)^2/2-$B$4504*(A4810)^3/6-(N(D27)*MAX(0,(A4810)-N(E27))^2/2+N(F27)*MAX(0,(A4810)-N(G27))^2/2+N(H27)*MAX(0,(A4810)-N(I27))^2/2+N(J27)*MAX(0,(A4810)-N(K27))^2/2+N(L27)*MAX(0,(A4810)-N(M27))^2/2)+$B$4507</f>
        <v>-695.31249999999989</v>
      </c>
      <c r="E4810" s="3">
        <f>$B$4505*(C4810)+$B$4506*(C4810)^2/2-$B$4504*(C4810)^3/6-(N(D27)*MAX(0,(C4810)-N(E27))^2/2+N(F27)*MAX(0,(C4810)-N(G27))^2/2+N(H27)*MAX(0,(C4810)-N(I27))^2/2+N(J27)*MAX(0,(C4810)-N(K27))^2/2+N(L27)*MAX(0,(C4810)-N(M27))^2/2)+$B$4507</f>
        <v>-695.31249999999989</v>
      </c>
    </row>
    <row r="4811" spans="1:5" hidden="1">
      <c r="A4811" s="3">
        <f t="shared" si="81"/>
        <v>0</v>
      </c>
      <c r="B4811" s="3">
        <f t="shared" si="82"/>
        <v>0</v>
      </c>
      <c r="C4811" s="3">
        <f t="shared" si="80"/>
        <v>0</v>
      </c>
      <c r="D4811" s="3">
        <f>$B$4505*(A4811)+$B$4506*(A4811)^2/2-$B$4504*(A4811)^3/6-(N(D27)*MAX(0,(A4811)-N(E27))^2/2+N(F27)*MAX(0,(A4811)-N(G27))^2/2+N(H27)*MAX(0,(A4811)-N(I27))^2/2+N(J27)*MAX(0,(A4811)-N(K27))^2/2+N(L27)*MAX(0,(A4811)-N(M27))^2/2)+$B$4507</f>
        <v>-695.31249999999989</v>
      </c>
      <c r="E4811" s="3">
        <f>$B$4505*(C4811)+$B$4506*(C4811)^2/2-$B$4504*(C4811)^3/6-(N(D27)*MAX(0,(C4811)-N(E27))^2/2+N(F27)*MAX(0,(C4811)-N(G27))^2/2+N(H27)*MAX(0,(C4811)-N(I27))^2/2+N(J27)*MAX(0,(C4811)-N(K27))^2/2+N(L27)*MAX(0,(C4811)-N(M27))^2/2)+$B$4507</f>
        <v>-695.31249999999989</v>
      </c>
    </row>
    <row r="4812" spans="1:5" hidden="1">
      <c r="A4812" s="3">
        <f t="shared" si="81"/>
        <v>0</v>
      </c>
      <c r="B4812" s="3">
        <f t="shared" si="82"/>
        <v>0</v>
      </c>
      <c r="C4812" s="3">
        <f t="shared" si="80"/>
        <v>0</v>
      </c>
      <c r="D4812" s="3">
        <f>$B$4505*(A4812)+$B$4506*(A4812)^2/2-$B$4504*(A4812)^3/6-(N(D27)*MAX(0,(A4812)-N(E27))^2/2+N(F27)*MAX(0,(A4812)-N(G27))^2/2+N(H27)*MAX(0,(A4812)-N(I27))^2/2+N(J27)*MAX(0,(A4812)-N(K27))^2/2+N(L27)*MAX(0,(A4812)-N(M27))^2/2)+$B$4507</f>
        <v>-695.31249999999989</v>
      </c>
      <c r="E4812" s="3">
        <f>$B$4505*(C4812)+$B$4506*(C4812)^2/2-$B$4504*(C4812)^3/6-(N(D27)*MAX(0,(C4812)-N(E27))^2/2+N(F27)*MAX(0,(C4812)-N(G27))^2/2+N(H27)*MAX(0,(C4812)-N(I27))^2/2+N(J27)*MAX(0,(C4812)-N(K27))^2/2+N(L27)*MAX(0,(C4812)-N(M27))^2/2)+$B$4507</f>
        <v>-695.31249999999989</v>
      </c>
    </row>
    <row r="4813" spans="1:5" hidden="1">
      <c r="A4813" s="3">
        <f t="shared" si="81"/>
        <v>0</v>
      </c>
      <c r="B4813" s="3">
        <f t="shared" si="82"/>
        <v>0</v>
      </c>
      <c r="C4813" s="3">
        <f t="shared" si="80"/>
        <v>0</v>
      </c>
      <c r="D4813" s="3">
        <f>$B$4505*(A4813)+$B$4506*(A4813)^2/2-$B$4504*(A4813)^3/6-(N(D27)*MAX(0,(A4813)-N(E27))^2/2+N(F27)*MAX(0,(A4813)-N(G27))^2/2+N(H27)*MAX(0,(A4813)-N(I27))^2/2+N(J27)*MAX(0,(A4813)-N(K27))^2/2+N(L27)*MAX(0,(A4813)-N(M27))^2/2)+$B$4507</f>
        <v>-695.31249999999989</v>
      </c>
      <c r="E4813" s="3">
        <f>$B$4505*(C4813)+$B$4506*(C4813)^2/2-$B$4504*(C4813)^3/6-(N(D27)*MAX(0,(C4813)-N(E27))^2/2+N(F27)*MAX(0,(C4813)-N(G27))^2/2+N(H27)*MAX(0,(C4813)-N(I27))^2/2+N(J27)*MAX(0,(C4813)-N(K27))^2/2+N(L27)*MAX(0,(C4813)-N(M27))^2/2)+$B$4507</f>
        <v>-695.31249999999989</v>
      </c>
    </row>
    <row r="4814" spans="1:5" hidden="1">
      <c r="A4814" s="3">
        <f t="shared" si="81"/>
        <v>0</v>
      </c>
      <c r="B4814" s="3">
        <f t="shared" si="82"/>
        <v>0</v>
      </c>
      <c r="C4814" s="3">
        <f t="shared" si="80"/>
        <v>0</v>
      </c>
      <c r="D4814" s="3">
        <f>$B$4505*(A4814)+$B$4506*(A4814)^2/2-$B$4504*(A4814)^3/6-(N(D27)*MAX(0,(A4814)-N(E27))^2/2+N(F27)*MAX(0,(A4814)-N(G27))^2/2+N(H27)*MAX(0,(A4814)-N(I27))^2/2+N(J27)*MAX(0,(A4814)-N(K27))^2/2+N(L27)*MAX(0,(A4814)-N(M27))^2/2)+$B$4507</f>
        <v>-695.31249999999989</v>
      </c>
      <c r="E4814" s="3">
        <f>$B$4505*(C4814)+$B$4506*(C4814)^2/2-$B$4504*(C4814)^3/6-(N(D27)*MAX(0,(C4814)-N(E27))^2/2+N(F27)*MAX(0,(C4814)-N(G27))^2/2+N(H27)*MAX(0,(C4814)-N(I27))^2/2+N(J27)*MAX(0,(C4814)-N(K27))^2/2+N(L27)*MAX(0,(C4814)-N(M27))^2/2)+$B$4507</f>
        <v>-695.31249999999989</v>
      </c>
    </row>
    <row r="4815" spans="1:5" hidden="1">
      <c r="A4815" s="3">
        <f t="shared" si="81"/>
        <v>0</v>
      </c>
      <c r="B4815" s="3">
        <f t="shared" si="82"/>
        <v>0</v>
      </c>
      <c r="C4815" s="3">
        <f t="shared" si="80"/>
        <v>0</v>
      </c>
      <c r="D4815" s="3">
        <f>$B$4505*(A4815)+$B$4506*(A4815)^2/2-$B$4504*(A4815)^3/6-(N(D27)*MAX(0,(A4815)-N(E27))^2/2+N(F27)*MAX(0,(A4815)-N(G27))^2/2+N(H27)*MAX(0,(A4815)-N(I27))^2/2+N(J27)*MAX(0,(A4815)-N(K27))^2/2+N(L27)*MAX(0,(A4815)-N(M27))^2/2)+$B$4507</f>
        <v>-695.31249999999989</v>
      </c>
      <c r="E4815" s="3">
        <f>$B$4505*(C4815)+$B$4506*(C4815)^2/2-$B$4504*(C4815)^3/6-(N(D27)*MAX(0,(C4815)-N(E27))^2/2+N(F27)*MAX(0,(C4815)-N(G27))^2/2+N(H27)*MAX(0,(C4815)-N(I27))^2/2+N(J27)*MAX(0,(C4815)-N(K27))^2/2+N(L27)*MAX(0,(C4815)-N(M27))^2/2)+$B$4507</f>
        <v>-695.31249999999989</v>
      </c>
    </row>
    <row r="4816" spans="1:5" hidden="1">
      <c r="A4816" s="3">
        <f t="shared" si="81"/>
        <v>0</v>
      </c>
      <c r="B4816" s="3">
        <f t="shared" si="82"/>
        <v>0</v>
      </c>
      <c r="C4816" s="3">
        <f t="shared" si="80"/>
        <v>0</v>
      </c>
      <c r="D4816" s="3">
        <f>$B$4505*(A4816)+$B$4506*(A4816)^2/2-$B$4504*(A4816)^3/6-(N(D27)*MAX(0,(A4816)-N(E27))^2/2+N(F27)*MAX(0,(A4816)-N(G27))^2/2+N(H27)*MAX(0,(A4816)-N(I27))^2/2+N(J27)*MAX(0,(A4816)-N(K27))^2/2+N(L27)*MAX(0,(A4816)-N(M27))^2/2)+$B$4507</f>
        <v>-695.31249999999989</v>
      </c>
      <c r="E4816" s="3">
        <f>$B$4505*(C4816)+$B$4506*(C4816)^2/2-$B$4504*(C4816)^3/6-(N(D27)*MAX(0,(C4816)-N(E27))^2/2+N(F27)*MAX(0,(C4816)-N(G27))^2/2+N(H27)*MAX(0,(C4816)-N(I27))^2/2+N(J27)*MAX(0,(C4816)-N(K27))^2/2+N(L27)*MAX(0,(C4816)-N(M27))^2/2)+$B$4507</f>
        <v>-695.31249999999989</v>
      </c>
    </row>
    <row r="4817" spans="1:5" hidden="1">
      <c r="A4817" s="3">
        <f t="shared" si="81"/>
        <v>0</v>
      </c>
      <c r="B4817" s="3">
        <f t="shared" si="82"/>
        <v>0</v>
      </c>
      <c r="C4817" s="3">
        <f t="shared" si="80"/>
        <v>0</v>
      </c>
      <c r="D4817" s="3">
        <f>$B$4505*(A4817)+$B$4506*(A4817)^2/2-$B$4504*(A4817)^3/6-(N(D27)*MAX(0,(A4817)-N(E27))^2/2+N(F27)*MAX(0,(A4817)-N(G27))^2/2+N(H27)*MAX(0,(A4817)-N(I27))^2/2+N(J27)*MAX(0,(A4817)-N(K27))^2/2+N(L27)*MAX(0,(A4817)-N(M27))^2/2)+$B$4507</f>
        <v>-695.31249999999989</v>
      </c>
      <c r="E4817" s="3">
        <f>$B$4505*(C4817)+$B$4506*(C4817)^2/2-$B$4504*(C4817)^3/6-(N(D27)*MAX(0,(C4817)-N(E27))^2/2+N(F27)*MAX(0,(C4817)-N(G27))^2/2+N(H27)*MAX(0,(C4817)-N(I27))^2/2+N(J27)*MAX(0,(C4817)-N(K27))^2/2+N(L27)*MAX(0,(C4817)-N(M27))^2/2)+$B$4507</f>
        <v>-695.31249999999989</v>
      </c>
    </row>
    <row r="4818" spans="1:5" hidden="1">
      <c r="A4818" s="3">
        <f t="shared" si="81"/>
        <v>0</v>
      </c>
      <c r="B4818" s="3">
        <f t="shared" si="82"/>
        <v>0</v>
      </c>
      <c r="C4818" s="3">
        <f t="shared" si="80"/>
        <v>0</v>
      </c>
      <c r="D4818" s="3">
        <f>$B$4505*(A4818)+$B$4506*(A4818)^2/2-$B$4504*(A4818)^3/6-(N(D27)*MAX(0,(A4818)-N(E27))^2/2+N(F27)*MAX(0,(A4818)-N(G27))^2/2+N(H27)*MAX(0,(A4818)-N(I27))^2/2+N(J27)*MAX(0,(A4818)-N(K27))^2/2+N(L27)*MAX(0,(A4818)-N(M27))^2/2)+$B$4507</f>
        <v>-695.31249999999989</v>
      </c>
      <c r="E4818" s="3">
        <f>$B$4505*(C4818)+$B$4506*(C4818)^2/2-$B$4504*(C4818)^3/6-(N(D27)*MAX(0,(C4818)-N(E27))^2/2+N(F27)*MAX(0,(C4818)-N(G27))^2/2+N(H27)*MAX(0,(C4818)-N(I27))^2/2+N(J27)*MAX(0,(C4818)-N(K27))^2/2+N(L27)*MAX(0,(C4818)-N(M27))^2/2)+$B$4507</f>
        <v>-695.31249999999989</v>
      </c>
    </row>
    <row r="4819" spans="1:5" hidden="1">
      <c r="A4819" s="3">
        <f t="shared" si="81"/>
        <v>0</v>
      </c>
      <c r="B4819" s="3">
        <f t="shared" si="82"/>
        <v>0</v>
      </c>
      <c r="C4819" s="3">
        <f t="shared" si="80"/>
        <v>0</v>
      </c>
      <c r="D4819" s="3">
        <f>$B$4505*(A4819)+$B$4506*(A4819)^2/2-$B$4504*(A4819)^3/6-(N(D27)*MAX(0,(A4819)-N(E27))^2/2+N(F27)*MAX(0,(A4819)-N(G27))^2/2+N(H27)*MAX(0,(A4819)-N(I27))^2/2+N(J27)*MAX(0,(A4819)-N(K27))^2/2+N(L27)*MAX(0,(A4819)-N(M27))^2/2)+$B$4507</f>
        <v>-695.31249999999989</v>
      </c>
      <c r="E4819" s="3">
        <f>$B$4505*(C4819)+$B$4506*(C4819)^2/2-$B$4504*(C4819)^3/6-(N(D27)*MAX(0,(C4819)-N(E27))^2/2+N(F27)*MAX(0,(C4819)-N(G27))^2/2+N(H27)*MAX(0,(C4819)-N(I27))^2/2+N(J27)*MAX(0,(C4819)-N(K27))^2/2+N(L27)*MAX(0,(C4819)-N(M27))^2/2)+$B$4507</f>
        <v>-695.31249999999989</v>
      </c>
    </row>
    <row r="4820" spans="1:5" hidden="1">
      <c r="A4820" s="3">
        <f t="shared" si="81"/>
        <v>0</v>
      </c>
      <c r="B4820" s="3">
        <f t="shared" si="82"/>
        <v>0</v>
      </c>
      <c r="C4820" s="3">
        <f t="shared" si="80"/>
        <v>0</v>
      </c>
      <c r="D4820" s="3">
        <f>$B$4505*(A4820)+$B$4506*(A4820)^2/2-$B$4504*(A4820)^3/6-(N(D27)*MAX(0,(A4820)-N(E27))^2/2+N(F27)*MAX(0,(A4820)-N(G27))^2/2+N(H27)*MAX(0,(A4820)-N(I27))^2/2+N(J27)*MAX(0,(A4820)-N(K27))^2/2+N(L27)*MAX(0,(A4820)-N(M27))^2/2)+$B$4507</f>
        <v>-695.31249999999989</v>
      </c>
      <c r="E4820" s="3">
        <f>$B$4505*(C4820)+$B$4506*(C4820)^2/2-$B$4504*(C4820)^3/6-(N(D27)*MAX(0,(C4820)-N(E27))^2/2+N(F27)*MAX(0,(C4820)-N(G27))^2/2+N(H27)*MAX(0,(C4820)-N(I27))^2/2+N(J27)*MAX(0,(C4820)-N(K27))^2/2+N(L27)*MAX(0,(C4820)-N(M27))^2/2)+$B$4507</f>
        <v>-695.31249999999989</v>
      </c>
    </row>
    <row r="4821" spans="1:5" hidden="1">
      <c r="A4821" s="3">
        <f t="shared" si="81"/>
        <v>0</v>
      </c>
      <c r="B4821" s="3">
        <f t="shared" si="82"/>
        <v>0</v>
      </c>
      <c r="C4821" s="3">
        <f t="shared" si="80"/>
        <v>0</v>
      </c>
      <c r="D4821" s="3">
        <f>$B$4505*(A4821)+$B$4506*(A4821)^2/2-$B$4504*(A4821)^3/6-(N(D27)*MAX(0,(A4821)-N(E27))^2/2+N(F27)*MAX(0,(A4821)-N(G27))^2/2+N(H27)*MAX(0,(A4821)-N(I27))^2/2+N(J27)*MAX(0,(A4821)-N(K27))^2/2+N(L27)*MAX(0,(A4821)-N(M27))^2/2)+$B$4507</f>
        <v>-695.31249999999989</v>
      </c>
      <c r="E4821" s="3">
        <f>$B$4505*(C4821)+$B$4506*(C4821)^2/2-$B$4504*(C4821)^3/6-(N(D27)*MAX(0,(C4821)-N(E27))^2/2+N(F27)*MAX(0,(C4821)-N(G27))^2/2+N(H27)*MAX(0,(C4821)-N(I27))^2/2+N(J27)*MAX(0,(C4821)-N(K27))^2/2+N(L27)*MAX(0,(C4821)-N(M27))^2/2)+$B$4507</f>
        <v>-695.31249999999989</v>
      </c>
    </row>
    <row r="4822" spans="1:5" hidden="1">
      <c r="A4822" s="3">
        <f t="shared" si="81"/>
        <v>0</v>
      </c>
      <c r="B4822" s="3">
        <f t="shared" si="82"/>
        <v>0</v>
      </c>
      <c r="C4822" s="3">
        <f t="shared" si="80"/>
        <v>0</v>
      </c>
      <c r="D4822" s="3">
        <f>$B$4505*(A4822)+$B$4506*(A4822)^2/2-$B$4504*(A4822)^3/6-(N(D27)*MAX(0,(A4822)-N(E27))^2/2+N(F27)*MAX(0,(A4822)-N(G27))^2/2+N(H27)*MAX(0,(A4822)-N(I27))^2/2+N(J27)*MAX(0,(A4822)-N(K27))^2/2+N(L27)*MAX(0,(A4822)-N(M27))^2/2)+$B$4507</f>
        <v>-695.31249999999989</v>
      </c>
      <c r="E4822" s="3">
        <f>$B$4505*(C4822)+$B$4506*(C4822)^2/2-$B$4504*(C4822)^3/6-(N(D27)*MAX(0,(C4822)-N(E27))^2/2+N(F27)*MAX(0,(C4822)-N(G27))^2/2+N(H27)*MAX(0,(C4822)-N(I27))^2/2+N(J27)*MAX(0,(C4822)-N(K27))^2/2+N(L27)*MAX(0,(C4822)-N(M27))^2/2)+$B$4507</f>
        <v>-695.31249999999989</v>
      </c>
    </row>
    <row r="4823" spans="1:5" hidden="1">
      <c r="A4823" s="3">
        <f t="shared" si="81"/>
        <v>0</v>
      </c>
      <c r="B4823" s="3">
        <f t="shared" si="82"/>
        <v>0</v>
      </c>
      <c r="C4823" s="3">
        <f t="shared" si="80"/>
        <v>0</v>
      </c>
      <c r="D4823" s="3">
        <f>$B$4505*(A4823)+$B$4506*(A4823)^2/2-$B$4504*(A4823)^3/6-(N(D27)*MAX(0,(A4823)-N(E27))^2/2+N(F27)*MAX(0,(A4823)-N(G27))^2/2+N(H27)*MAX(0,(A4823)-N(I27))^2/2+N(J27)*MAX(0,(A4823)-N(K27))^2/2+N(L27)*MAX(0,(A4823)-N(M27))^2/2)+$B$4507</f>
        <v>-695.31249999999989</v>
      </c>
      <c r="E4823" s="3">
        <f>$B$4505*(C4823)+$B$4506*(C4823)^2/2-$B$4504*(C4823)^3/6-(N(D27)*MAX(0,(C4823)-N(E27))^2/2+N(F27)*MAX(0,(C4823)-N(G27))^2/2+N(H27)*MAX(0,(C4823)-N(I27))^2/2+N(J27)*MAX(0,(C4823)-N(K27))^2/2+N(L27)*MAX(0,(C4823)-N(M27))^2/2)+$B$4507</f>
        <v>-695.31249999999989</v>
      </c>
    </row>
    <row r="4824" spans="1:5" hidden="1">
      <c r="A4824" s="3">
        <f t="shared" si="81"/>
        <v>0</v>
      </c>
      <c r="B4824" s="3">
        <f t="shared" si="82"/>
        <v>0</v>
      </c>
      <c r="C4824" s="3">
        <f t="shared" si="80"/>
        <v>0</v>
      </c>
      <c r="D4824" s="3">
        <f>$B$4505*(A4824)+$B$4506*(A4824)^2/2-$B$4504*(A4824)^3/6-(N(D27)*MAX(0,(A4824)-N(E27))^2/2+N(F27)*MAX(0,(A4824)-N(G27))^2/2+N(H27)*MAX(0,(A4824)-N(I27))^2/2+N(J27)*MAX(0,(A4824)-N(K27))^2/2+N(L27)*MAX(0,(A4824)-N(M27))^2/2)+$B$4507</f>
        <v>-695.31249999999989</v>
      </c>
      <c r="E4824" s="3">
        <f>$B$4505*(C4824)+$B$4506*(C4824)^2/2-$B$4504*(C4824)^3/6-(N(D27)*MAX(0,(C4824)-N(E27))^2/2+N(F27)*MAX(0,(C4824)-N(G27))^2/2+N(H27)*MAX(0,(C4824)-N(I27))^2/2+N(J27)*MAX(0,(C4824)-N(K27))^2/2+N(L27)*MAX(0,(C4824)-N(M27))^2/2)+$B$4507</f>
        <v>-695.31249999999989</v>
      </c>
    </row>
    <row r="4825" spans="1:5" hidden="1">
      <c r="A4825" s="3">
        <f t="shared" si="81"/>
        <v>0</v>
      </c>
      <c r="B4825" s="3">
        <f t="shared" si="82"/>
        <v>0</v>
      </c>
      <c r="C4825" s="3">
        <f t="shared" si="80"/>
        <v>0</v>
      </c>
      <c r="D4825" s="3">
        <f>$B$4505*(A4825)+$B$4506*(A4825)^2/2-$B$4504*(A4825)^3/6-(N(D27)*MAX(0,(A4825)-N(E27))^2/2+N(F27)*MAX(0,(A4825)-N(G27))^2/2+N(H27)*MAX(0,(A4825)-N(I27))^2/2+N(J27)*MAX(0,(A4825)-N(K27))^2/2+N(L27)*MAX(0,(A4825)-N(M27))^2/2)+$B$4507</f>
        <v>-695.31249999999989</v>
      </c>
      <c r="E4825" s="3">
        <f>$B$4505*(C4825)+$B$4506*(C4825)^2/2-$B$4504*(C4825)^3/6-(N(D27)*MAX(0,(C4825)-N(E27))^2/2+N(F27)*MAX(0,(C4825)-N(G27))^2/2+N(H27)*MAX(0,(C4825)-N(I27))^2/2+N(J27)*MAX(0,(C4825)-N(K27))^2/2+N(L27)*MAX(0,(C4825)-N(M27))^2/2)+$B$4507</f>
        <v>-695.31249999999989</v>
      </c>
    </row>
    <row r="4826" spans="1:5" hidden="1">
      <c r="A4826" s="3">
        <f t="shared" si="81"/>
        <v>0</v>
      </c>
      <c r="B4826" s="3">
        <f t="shared" si="82"/>
        <v>0</v>
      </c>
      <c r="C4826" s="3">
        <f t="shared" si="80"/>
        <v>0</v>
      </c>
      <c r="D4826" s="3">
        <f>$B$4505*(A4826)+$B$4506*(A4826)^2/2-$B$4504*(A4826)^3/6-(N(D27)*MAX(0,(A4826)-N(E27))^2/2+N(F27)*MAX(0,(A4826)-N(G27))^2/2+N(H27)*MAX(0,(A4826)-N(I27))^2/2+N(J27)*MAX(0,(A4826)-N(K27))^2/2+N(L27)*MAX(0,(A4826)-N(M27))^2/2)+$B$4507</f>
        <v>-695.31249999999989</v>
      </c>
      <c r="E4826" s="3">
        <f>$B$4505*(C4826)+$B$4506*(C4826)^2/2-$B$4504*(C4826)^3/6-(N(D27)*MAX(0,(C4826)-N(E27))^2/2+N(F27)*MAX(0,(C4826)-N(G27))^2/2+N(H27)*MAX(0,(C4826)-N(I27))^2/2+N(J27)*MAX(0,(C4826)-N(K27))^2/2+N(L27)*MAX(0,(C4826)-N(M27))^2/2)+$B$4507</f>
        <v>-695.31249999999989</v>
      </c>
    </row>
    <row r="4827" spans="1:5" hidden="1">
      <c r="A4827" s="3">
        <f t="shared" si="81"/>
        <v>0</v>
      </c>
      <c r="B4827" s="3">
        <f t="shared" si="82"/>
        <v>0</v>
      </c>
      <c r="C4827" s="3">
        <f t="shared" si="80"/>
        <v>0</v>
      </c>
      <c r="D4827" s="3">
        <f>$B$4505*(A4827)+$B$4506*(A4827)^2/2-$B$4504*(A4827)^3/6-(N(D27)*MAX(0,(A4827)-N(E27))^2/2+N(F27)*MAX(0,(A4827)-N(G27))^2/2+N(H27)*MAX(0,(A4827)-N(I27))^2/2+N(J27)*MAX(0,(A4827)-N(K27))^2/2+N(L27)*MAX(0,(A4827)-N(M27))^2/2)+$B$4507</f>
        <v>-695.31249999999989</v>
      </c>
      <c r="E4827" s="3">
        <f>$B$4505*(C4827)+$B$4506*(C4827)^2/2-$B$4504*(C4827)^3/6-(N(D27)*MAX(0,(C4827)-N(E27))^2/2+N(F27)*MAX(0,(C4827)-N(G27))^2/2+N(H27)*MAX(0,(C4827)-N(I27))^2/2+N(J27)*MAX(0,(C4827)-N(K27))^2/2+N(L27)*MAX(0,(C4827)-N(M27))^2/2)+$B$4507</f>
        <v>-695.31249999999989</v>
      </c>
    </row>
    <row r="4828" spans="1:5" hidden="1">
      <c r="A4828" s="3">
        <f t="shared" si="81"/>
        <v>0</v>
      </c>
      <c r="B4828" s="3">
        <f t="shared" si="82"/>
        <v>0</v>
      </c>
      <c r="C4828" s="3">
        <f t="shared" si="80"/>
        <v>0</v>
      </c>
      <c r="D4828" s="3">
        <f>$B$4505*(A4828)+$B$4506*(A4828)^2/2-$B$4504*(A4828)^3/6-(N(D27)*MAX(0,(A4828)-N(E27))^2/2+N(F27)*MAX(0,(A4828)-N(G27))^2/2+N(H27)*MAX(0,(A4828)-N(I27))^2/2+N(J27)*MAX(0,(A4828)-N(K27))^2/2+N(L27)*MAX(0,(A4828)-N(M27))^2/2)+$B$4507</f>
        <v>-695.31249999999989</v>
      </c>
      <c r="E4828" s="3">
        <f>$B$4505*(C4828)+$B$4506*(C4828)^2/2-$B$4504*(C4828)^3/6-(N(D27)*MAX(0,(C4828)-N(E27))^2/2+N(F27)*MAX(0,(C4828)-N(G27))^2/2+N(H27)*MAX(0,(C4828)-N(I27))^2/2+N(J27)*MAX(0,(C4828)-N(K27))^2/2+N(L27)*MAX(0,(C4828)-N(M27))^2/2)+$B$4507</f>
        <v>-695.31249999999989</v>
      </c>
    </row>
    <row r="4829" spans="1:5" hidden="1">
      <c r="A4829" s="3">
        <f t="shared" si="81"/>
        <v>0</v>
      </c>
      <c r="B4829" s="3">
        <f t="shared" si="82"/>
        <v>0</v>
      </c>
      <c r="C4829" s="3">
        <f t="shared" si="80"/>
        <v>0</v>
      </c>
      <c r="D4829" s="3">
        <f>$B$4505*(A4829)+$B$4506*(A4829)^2/2-$B$4504*(A4829)^3/6-(N(D27)*MAX(0,(A4829)-N(E27))^2/2+N(F27)*MAX(0,(A4829)-N(G27))^2/2+N(H27)*MAX(0,(A4829)-N(I27))^2/2+N(J27)*MAX(0,(A4829)-N(K27))^2/2+N(L27)*MAX(0,(A4829)-N(M27))^2/2)+$B$4507</f>
        <v>-695.31249999999989</v>
      </c>
      <c r="E4829" s="3">
        <f>$B$4505*(C4829)+$B$4506*(C4829)^2/2-$B$4504*(C4829)^3/6-(N(D27)*MAX(0,(C4829)-N(E27))^2/2+N(F27)*MAX(0,(C4829)-N(G27))^2/2+N(H27)*MAX(0,(C4829)-N(I27))^2/2+N(J27)*MAX(0,(C4829)-N(K27))^2/2+N(L27)*MAX(0,(C4829)-N(M27))^2/2)+$B$4507</f>
        <v>-695.31249999999989</v>
      </c>
    </row>
    <row r="4830" spans="1:5" hidden="1"/>
    <row r="4831" spans="1:5" hidden="1">
      <c r="A4831" s="3">
        <f>B4546</f>
        <v>0</v>
      </c>
      <c r="B4831" s="3">
        <f>IF(($B$4505*(B4546)+$B$4506*(B4546)^2/2-$B$4504*(B4546)^3/6-(N(D27)*MAX(0,(B4546)-N(E27))^2/2+N(F27)*MAX(0,(B4546)-N(G27))^2/2+N(H27)*MAX(0,(B4546)-N(I27))^2/2+N(J27)*MAX(0,(B4546)-N(K27))^2/2+N(L27)*MAX(0,(B4546)-N(M27))^2/2)+$B$4507)*($B$4505*(B4547)+$B$4506*(B4547)^2/2-$B$4504*(B4547)^3/6-(N(D27)*MAX(0,(B4547)-N(E27))^2/2+N(F27)*MAX(0,(B4547)-N(G27))^2/2+N(H27)*MAX(0,(B4547)-N(I27))^2/2+N(J27)*MAX(0,(B4547)-N(K27))^2/2+N(L27)*MAX(0,(B4547)-N(M27))^2/2)+$B$4507)&lt;=0,B4547,B4546)</f>
        <v>0</v>
      </c>
      <c r="C4831" s="3">
        <f t="shared" ref="C4831:C4875" si="83">(A4831+B4831)/2</f>
        <v>0</v>
      </c>
      <c r="D4831" s="3">
        <f>$B$4505*(A4831)+$B$4506*(A4831)^2/2-$B$4504*(A4831)^3/6-(N(D27)*MAX(0,(A4831)-N(E27))^2/2+N(F27)*MAX(0,(A4831)-N(G27))^2/2+N(H27)*MAX(0,(A4831)-N(I27))^2/2+N(J27)*MAX(0,(A4831)-N(K27))^2/2+N(L27)*MAX(0,(A4831)-N(M27))^2/2)+$B$4507</f>
        <v>-695.31249999999989</v>
      </c>
      <c r="E4831" s="3">
        <f>$B$4505*(C4831)+$B$4506*(C4831)^2/2-$B$4504*(C4831)^3/6-(N(D27)*MAX(0,(C4831)-N(E27))^2/2+N(F27)*MAX(0,(C4831)-N(G27))^2/2+N(H27)*MAX(0,(C4831)-N(I27))^2/2+N(J27)*MAX(0,(C4831)-N(K27))^2/2+N(L27)*MAX(0,(C4831)-N(M27))^2/2)+$B$4507</f>
        <v>-695.31249999999989</v>
      </c>
    </row>
    <row r="4832" spans="1:5" hidden="1">
      <c r="A4832" s="3">
        <f t="shared" ref="A4832:A4875" si="84">IF(D4831*E4831&lt;=0,A4831,C4831)</f>
        <v>0</v>
      </c>
      <c r="B4832" s="3">
        <f t="shared" ref="B4832:B4875" si="85">IF(D4831*E4831&lt;=0,C4831,B4831)</f>
        <v>0</v>
      </c>
      <c r="C4832" s="3">
        <f t="shared" si="83"/>
        <v>0</v>
      </c>
      <c r="D4832" s="3">
        <f>$B$4505*(A4832)+$B$4506*(A4832)^2/2-$B$4504*(A4832)^3/6-(N(D27)*MAX(0,(A4832)-N(E27))^2/2+N(F27)*MAX(0,(A4832)-N(G27))^2/2+N(H27)*MAX(0,(A4832)-N(I27))^2/2+N(J27)*MAX(0,(A4832)-N(K27))^2/2+N(L27)*MAX(0,(A4832)-N(M27))^2/2)+$B$4507</f>
        <v>-695.31249999999989</v>
      </c>
      <c r="E4832" s="3">
        <f>$B$4505*(C4832)+$B$4506*(C4832)^2/2-$B$4504*(C4832)^3/6-(N(D27)*MAX(0,(C4832)-N(E27))^2/2+N(F27)*MAX(0,(C4832)-N(G27))^2/2+N(H27)*MAX(0,(C4832)-N(I27))^2/2+N(J27)*MAX(0,(C4832)-N(K27))^2/2+N(L27)*MAX(0,(C4832)-N(M27))^2/2)+$B$4507</f>
        <v>-695.31249999999989</v>
      </c>
    </row>
    <row r="4833" spans="1:5" hidden="1">
      <c r="A4833" s="3">
        <f t="shared" si="84"/>
        <v>0</v>
      </c>
      <c r="B4833" s="3">
        <f t="shared" si="85"/>
        <v>0</v>
      </c>
      <c r="C4833" s="3">
        <f t="shared" si="83"/>
        <v>0</v>
      </c>
      <c r="D4833" s="3">
        <f>$B$4505*(A4833)+$B$4506*(A4833)^2/2-$B$4504*(A4833)^3/6-(N(D27)*MAX(0,(A4833)-N(E27))^2/2+N(F27)*MAX(0,(A4833)-N(G27))^2/2+N(H27)*MAX(0,(A4833)-N(I27))^2/2+N(J27)*MAX(0,(A4833)-N(K27))^2/2+N(L27)*MAX(0,(A4833)-N(M27))^2/2)+$B$4507</f>
        <v>-695.31249999999989</v>
      </c>
      <c r="E4833" s="3">
        <f>$B$4505*(C4833)+$B$4506*(C4833)^2/2-$B$4504*(C4833)^3/6-(N(D27)*MAX(0,(C4833)-N(E27))^2/2+N(F27)*MAX(0,(C4833)-N(G27))^2/2+N(H27)*MAX(0,(C4833)-N(I27))^2/2+N(J27)*MAX(0,(C4833)-N(K27))^2/2+N(L27)*MAX(0,(C4833)-N(M27))^2/2)+$B$4507</f>
        <v>-695.31249999999989</v>
      </c>
    </row>
    <row r="4834" spans="1:5" hidden="1">
      <c r="A4834" s="3">
        <f t="shared" si="84"/>
        <v>0</v>
      </c>
      <c r="B4834" s="3">
        <f t="shared" si="85"/>
        <v>0</v>
      </c>
      <c r="C4834" s="3">
        <f t="shared" si="83"/>
        <v>0</v>
      </c>
      <c r="D4834" s="3">
        <f>$B$4505*(A4834)+$B$4506*(A4834)^2/2-$B$4504*(A4834)^3/6-(N(D27)*MAX(0,(A4834)-N(E27))^2/2+N(F27)*MAX(0,(A4834)-N(G27))^2/2+N(H27)*MAX(0,(A4834)-N(I27))^2/2+N(J27)*MAX(0,(A4834)-N(K27))^2/2+N(L27)*MAX(0,(A4834)-N(M27))^2/2)+$B$4507</f>
        <v>-695.31249999999989</v>
      </c>
      <c r="E4834" s="3">
        <f>$B$4505*(C4834)+$B$4506*(C4834)^2/2-$B$4504*(C4834)^3/6-(N(D27)*MAX(0,(C4834)-N(E27))^2/2+N(F27)*MAX(0,(C4834)-N(G27))^2/2+N(H27)*MAX(0,(C4834)-N(I27))^2/2+N(J27)*MAX(0,(C4834)-N(K27))^2/2+N(L27)*MAX(0,(C4834)-N(M27))^2/2)+$B$4507</f>
        <v>-695.31249999999989</v>
      </c>
    </row>
    <row r="4835" spans="1:5" hidden="1">
      <c r="A4835" s="3">
        <f t="shared" si="84"/>
        <v>0</v>
      </c>
      <c r="B4835" s="3">
        <f t="shared" si="85"/>
        <v>0</v>
      </c>
      <c r="C4835" s="3">
        <f t="shared" si="83"/>
        <v>0</v>
      </c>
      <c r="D4835" s="3">
        <f>$B$4505*(A4835)+$B$4506*(A4835)^2/2-$B$4504*(A4835)^3/6-(N(D27)*MAX(0,(A4835)-N(E27))^2/2+N(F27)*MAX(0,(A4835)-N(G27))^2/2+N(H27)*MAX(0,(A4835)-N(I27))^2/2+N(J27)*MAX(0,(A4835)-N(K27))^2/2+N(L27)*MAX(0,(A4835)-N(M27))^2/2)+$B$4507</f>
        <v>-695.31249999999989</v>
      </c>
      <c r="E4835" s="3">
        <f>$B$4505*(C4835)+$B$4506*(C4835)^2/2-$B$4504*(C4835)^3/6-(N(D27)*MAX(0,(C4835)-N(E27))^2/2+N(F27)*MAX(0,(C4835)-N(G27))^2/2+N(H27)*MAX(0,(C4835)-N(I27))^2/2+N(J27)*MAX(0,(C4835)-N(K27))^2/2+N(L27)*MAX(0,(C4835)-N(M27))^2/2)+$B$4507</f>
        <v>-695.31249999999989</v>
      </c>
    </row>
    <row r="4836" spans="1:5" hidden="1">
      <c r="A4836" s="3">
        <f t="shared" si="84"/>
        <v>0</v>
      </c>
      <c r="B4836" s="3">
        <f t="shared" si="85"/>
        <v>0</v>
      </c>
      <c r="C4836" s="3">
        <f t="shared" si="83"/>
        <v>0</v>
      </c>
      <c r="D4836" s="3">
        <f>$B$4505*(A4836)+$B$4506*(A4836)^2/2-$B$4504*(A4836)^3/6-(N(D27)*MAX(0,(A4836)-N(E27))^2/2+N(F27)*MAX(0,(A4836)-N(G27))^2/2+N(H27)*MAX(0,(A4836)-N(I27))^2/2+N(J27)*MAX(0,(A4836)-N(K27))^2/2+N(L27)*MAX(0,(A4836)-N(M27))^2/2)+$B$4507</f>
        <v>-695.31249999999989</v>
      </c>
      <c r="E4836" s="3">
        <f>$B$4505*(C4836)+$B$4506*(C4836)^2/2-$B$4504*(C4836)^3/6-(N(D27)*MAX(0,(C4836)-N(E27))^2/2+N(F27)*MAX(0,(C4836)-N(G27))^2/2+N(H27)*MAX(0,(C4836)-N(I27))^2/2+N(J27)*MAX(0,(C4836)-N(K27))^2/2+N(L27)*MAX(0,(C4836)-N(M27))^2/2)+$B$4507</f>
        <v>-695.31249999999989</v>
      </c>
    </row>
    <row r="4837" spans="1:5" hidden="1">
      <c r="A4837" s="3">
        <f t="shared" si="84"/>
        <v>0</v>
      </c>
      <c r="B4837" s="3">
        <f t="shared" si="85"/>
        <v>0</v>
      </c>
      <c r="C4837" s="3">
        <f t="shared" si="83"/>
        <v>0</v>
      </c>
      <c r="D4837" s="3">
        <f>$B$4505*(A4837)+$B$4506*(A4837)^2/2-$B$4504*(A4837)^3/6-(N(D27)*MAX(0,(A4837)-N(E27))^2/2+N(F27)*MAX(0,(A4837)-N(G27))^2/2+N(H27)*MAX(0,(A4837)-N(I27))^2/2+N(J27)*MAX(0,(A4837)-N(K27))^2/2+N(L27)*MAX(0,(A4837)-N(M27))^2/2)+$B$4507</f>
        <v>-695.31249999999989</v>
      </c>
      <c r="E4837" s="3">
        <f>$B$4505*(C4837)+$B$4506*(C4837)^2/2-$B$4504*(C4837)^3/6-(N(D27)*MAX(0,(C4837)-N(E27))^2/2+N(F27)*MAX(0,(C4837)-N(G27))^2/2+N(H27)*MAX(0,(C4837)-N(I27))^2/2+N(J27)*MAX(0,(C4837)-N(K27))^2/2+N(L27)*MAX(0,(C4837)-N(M27))^2/2)+$B$4507</f>
        <v>-695.31249999999989</v>
      </c>
    </row>
    <row r="4838" spans="1:5" hidden="1">
      <c r="A4838" s="3">
        <f t="shared" si="84"/>
        <v>0</v>
      </c>
      <c r="B4838" s="3">
        <f t="shared" si="85"/>
        <v>0</v>
      </c>
      <c r="C4838" s="3">
        <f t="shared" si="83"/>
        <v>0</v>
      </c>
      <c r="D4838" s="3">
        <f>$B$4505*(A4838)+$B$4506*(A4838)^2/2-$B$4504*(A4838)^3/6-(N(D27)*MAX(0,(A4838)-N(E27))^2/2+N(F27)*MAX(0,(A4838)-N(G27))^2/2+N(H27)*MAX(0,(A4838)-N(I27))^2/2+N(J27)*MAX(0,(A4838)-N(K27))^2/2+N(L27)*MAX(0,(A4838)-N(M27))^2/2)+$B$4507</f>
        <v>-695.31249999999989</v>
      </c>
      <c r="E4838" s="3">
        <f>$B$4505*(C4838)+$B$4506*(C4838)^2/2-$B$4504*(C4838)^3/6-(N(D27)*MAX(0,(C4838)-N(E27))^2/2+N(F27)*MAX(0,(C4838)-N(G27))^2/2+N(H27)*MAX(0,(C4838)-N(I27))^2/2+N(J27)*MAX(0,(C4838)-N(K27))^2/2+N(L27)*MAX(0,(C4838)-N(M27))^2/2)+$B$4507</f>
        <v>-695.31249999999989</v>
      </c>
    </row>
    <row r="4839" spans="1:5" hidden="1">
      <c r="A4839" s="3">
        <f t="shared" si="84"/>
        <v>0</v>
      </c>
      <c r="B4839" s="3">
        <f t="shared" si="85"/>
        <v>0</v>
      </c>
      <c r="C4839" s="3">
        <f t="shared" si="83"/>
        <v>0</v>
      </c>
      <c r="D4839" s="3">
        <f>$B$4505*(A4839)+$B$4506*(A4839)^2/2-$B$4504*(A4839)^3/6-(N(D27)*MAX(0,(A4839)-N(E27))^2/2+N(F27)*MAX(0,(A4839)-N(G27))^2/2+N(H27)*MAX(0,(A4839)-N(I27))^2/2+N(J27)*MAX(0,(A4839)-N(K27))^2/2+N(L27)*MAX(0,(A4839)-N(M27))^2/2)+$B$4507</f>
        <v>-695.31249999999989</v>
      </c>
      <c r="E4839" s="3">
        <f>$B$4505*(C4839)+$B$4506*(C4839)^2/2-$B$4504*(C4839)^3/6-(N(D27)*MAX(0,(C4839)-N(E27))^2/2+N(F27)*MAX(0,(C4839)-N(G27))^2/2+N(H27)*MAX(0,(C4839)-N(I27))^2/2+N(J27)*MAX(0,(C4839)-N(K27))^2/2+N(L27)*MAX(0,(C4839)-N(M27))^2/2)+$B$4507</f>
        <v>-695.31249999999989</v>
      </c>
    </row>
    <row r="4840" spans="1:5" hidden="1">
      <c r="A4840" s="3">
        <f t="shared" si="84"/>
        <v>0</v>
      </c>
      <c r="B4840" s="3">
        <f t="shared" si="85"/>
        <v>0</v>
      </c>
      <c r="C4840" s="3">
        <f t="shared" si="83"/>
        <v>0</v>
      </c>
      <c r="D4840" s="3">
        <f>$B$4505*(A4840)+$B$4506*(A4840)^2/2-$B$4504*(A4840)^3/6-(N(D27)*MAX(0,(A4840)-N(E27))^2/2+N(F27)*MAX(0,(A4840)-N(G27))^2/2+N(H27)*MAX(0,(A4840)-N(I27))^2/2+N(J27)*MAX(0,(A4840)-N(K27))^2/2+N(L27)*MAX(0,(A4840)-N(M27))^2/2)+$B$4507</f>
        <v>-695.31249999999989</v>
      </c>
      <c r="E4840" s="3">
        <f>$B$4505*(C4840)+$B$4506*(C4840)^2/2-$B$4504*(C4840)^3/6-(N(D27)*MAX(0,(C4840)-N(E27))^2/2+N(F27)*MAX(0,(C4840)-N(G27))^2/2+N(H27)*MAX(0,(C4840)-N(I27))^2/2+N(J27)*MAX(0,(C4840)-N(K27))^2/2+N(L27)*MAX(0,(C4840)-N(M27))^2/2)+$B$4507</f>
        <v>-695.31249999999989</v>
      </c>
    </row>
    <row r="4841" spans="1:5" hidden="1">
      <c r="A4841" s="3">
        <f t="shared" si="84"/>
        <v>0</v>
      </c>
      <c r="B4841" s="3">
        <f t="shared" si="85"/>
        <v>0</v>
      </c>
      <c r="C4841" s="3">
        <f t="shared" si="83"/>
        <v>0</v>
      </c>
      <c r="D4841" s="3">
        <f>$B$4505*(A4841)+$B$4506*(A4841)^2/2-$B$4504*(A4841)^3/6-(N(D27)*MAX(0,(A4841)-N(E27))^2/2+N(F27)*MAX(0,(A4841)-N(G27))^2/2+N(H27)*MAX(0,(A4841)-N(I27))^2/2+N(J27)*MAX(0,(A4841)-N(K27))^2/2+N(L27)*MAX(0,(A4841)-N(M27))^2/2)+$B$4507</f>
        <v>-695.31249999999989</v>
      </c>
      <c r="E4841" s="3">
        <f>$B$4505*(C4841)+$B$4506*(C4841)^2/2-$B$4504*(C4841)^3/6-(N(D27)*MAX(0,(C4841)-N(E27))^2/2+N(F27)*MAX(0,(C4841)-N(G27))^2/2+N(H27)*MAX(0,(C4841)-N(I27))^2/2+N(J27)*MAX(0,(C4841)-N(K27))^2/2+N(L27)*MAX(0,(C4841)-N(M27))^2/2)+$B$4507</f>
        <v>-695.31249999999989</v>
      </c>
    </row>
    <row r="4842" spans="1:5" hidden="1">
      <c r="A4842" s="3">
        <f t="shared" si="84"/>
        <v>0</v>
      </c>
      <c r="B4842" s="3">
        <f t="shared" si="85"/>
        <v>0</v>
      </c>
      <c r="C4842" s="3">
        <f t="shared" si="83"/>
        <v>0</v>
      </c>
      <c r="D4842" s="3">
        <f>$B$4505*(A4842)+$B$4506*(A4842)^2/2-$B$4504*(A4842)^3/6-(N(D27)*MAX(0,(A4842)-N(E27))^2/2+N(F27)*MAX(0,(A4842)-N(G27))^2/2+N(H27)*MAX(0,(A4842)-N(I27))^2/2+N(J27)*MAX(0,(A4842)-N(K27))^2/2+N(L27)*MAX(0,(A4842)-N(M27))^2/2)+$B$4507</f>
        <v>-695.31249999999989</v>
      </c>
      <c r="E4842" s="3">
        <f>$B$4505*(C4842)+$B$4506*(C4842)^2/2-$B$4504*(C4842)^3/6-(N(D27)*MAX(0,(C4842)-N(E27))^2/2+N(F27)*MAX(0,(C4842)-N(G27))^2/2+N(H27)*MAX(0,(C4842)-N(I27))^2/2+N(J27)*MAX(0,(C4842)-N(K27))^2/2+N(L27)*MAX(0,(C4842)-N(M27))^2/2)+$B$4507</f>
        <v>-695.31249999999989</v>
      </c>
    </row>
    <row r="4843" spans="1:5" hidden="1">
      <c r="A4843" s="3">
        <f t="shared" si="84"/>
        <v>0</v>
      </c>
      <c r="B4843" s="3">
        <f t="shared" si="85"/>
        <v>0</v>
      </c>
      <c r="C4843" s="3">
        <f t="shared" si="83"/>
        <v>0</v>
      </c>
      <c r="D4843" s="3">
        <f>$B$4505*(A4843)+$B$4506*(A4843)^2/2-$B$4504*(A4843)^3/6-(N(D27)*MAX(0,(A4843)-N(E27))^2/2+N(F27)*MAX(0,(A4843)-N(G27))^2/2+N(H27)*MAX(0,(A4843)-N(I27))^2/2+N(J27)*MAX(0,(A4843)-N(K27))^2/2+N(L27)*MAX(0,(A4843)-N(M27))^2/2)+$B$4507</f>
        <v>-695.31249999999989</v>
      </c>
      <c r="E4843" s="3">
        <f>$B$4505*(C4843)+$B$4506*(C4843)^2/2-$B$4504*(C4843)^3/6-(N(D27)*MAX(0,(C4843)-N(E27))^2/2+N(F27)*MAX(0,(C4843)-N(G27))^2/2+N(H27)*MAX(0,(C4843)-N(I27))^2/2+N(J27)*MAX(0,(C4843)-N(K27))^2/2+N(L27)*MAX(0,(C4843)-N(M27))^2/2)+$B$4507</f>
        <v>-695.31249999999989</v>
      </c>
    </row>
    <row r="4844" spans="1:5" hidden="1">
      <c r="A4844" s="3">
        <f t="shared" si="84"/>
        <v>0</v>
      </c>
      <c r="B4844" s="3">
        <f t="shared" si="85"/>
        <v>0</v>
      </c>
      <c r="C4844" s="3">
        <f t="shared" si="83"/>
        <v>0</v>
      </c>
      <c r="D4844" s="3">
        <f>$B$4505*(A4844)+$B$4506*(A4844)^2/2-$B$4504*(A4844)^3/6-(N(D27)*MAX(0,(A4844)-N(E27))^2/2+N(F27)*MAX(0,(A4844)-N(G27))^2/2+N(H27)*MAX(0,(A4844)-N(I27))^2/2+N(J27)*MAX(0,(A4844)-N(K27))^2/2+N(L27)*MAX(0,(A4844)-N(M27))^2/2)+$B$4507</f>
        <v>-695.31249999999989</v>
      </c>
      <c r="E4844" s="3">
        <f>$B$4505*(C4844)+$B$4506*(C4844)^2/2-$B$4504*(C4844)^3/6-(N(D27)*MAX(0,(C4844)-N(E27))^2/2+N(F27)*MAX(0,(C4844)-N(G27))^2/2+N(H27)*MAX(0,(C4844)-N(I27))^2/2+N(J27)*MAX(0,(C4844)-N(K27))^2/2+N(L27)*MAX(0,(C4844)-N(M27))^2/2)+$B$4507</f>
        <v>-695.31249999999989</v>
      </c>
    </row>
    <row r="4845" spans="1:5" hidden="1">
      <c r="A4845" s="3">
        <f t="shared" si="84"/>
        <v>0</v>
      </c>
      <c r="B4845" s="3">
        <f t="shared" si="85"/>
        <v>0</v>
      </c>
      <c r="C4845" s="3">
        <f t="shared" si="83"/>
        <v>0</v>
      </c>
      <c r="D4845" s="3">
        <f>$B$4505*(A4845)+$B$4506*(A4845)^2/2-$B$4504*(A4845)^3/6-(N(D27)*MAX(0,(A4845)-N(E27))^2/2+N(F27)*MAX(0,(A4845)-N(G27))^2/2+N(H27)*MAX(0,(A4845)-N(I27))^2/2+N(J27)*MAX(0,(A4845)-N(K27))^2/2+N(L27)*MAX(0,(A4845)-N(M27))^2/2)+$B$4507</f>
        <v>-695.31249999999989</v>
      </c>
      <c r="E4845" s="3">
        <f>$B$4505*(C4845)+$B$4506*(C4845)^2/2-$B$4504*(C4845)^3/6-(N(D27)*MAX(0,(C4845)-N(E27))^2/2+N(F27)*MAX(0,(C4845)-N(G27))^2/2+N(H27)*MAX(0,(C4845)-N(I27))^2/2+N(J27)*MAX(0,(C4845)-N(K27))^2/2+N(L27)*MAX(0,(C4845)-N(M27))^2/2)+$B$4507</f>
        <v>-695.31249999999989</v>
      </c>
    </row>
    <row r="4846" spans="1:5" hidden="1">
      <c r="A4846" s="3">
        <f t="shared" si="84"/>
        <v>0</v>
      </c>
      <c r="B4846" s="3">
        <f t="shared" si="85"/>
        <v>0</v>
      </c>
      <c r="C4846" s="3">
        <f t="shared" si="83"/>
        <v>0</v>
      </c>
      <c r="D4846" s="3">
        <f>$B$4505*(A4846)+$B$4506*(A4846)^2/2-$B$4504*(A4846)^3/6-(N(D27)*MAX(0,(A4846)-N(E27))^2/2+N(F27)*MAX(0,(A4846)-N(G27))^2/2+N(H27)*MAX(0,(A4846)-N(I27))^2/2+N(J27)*MAX(0,(A4846)-N(K27))^2/2+N(L27)*MAX(0,(A4846)-N(M27))^2/2)+$B$4507</f>
        <v>-695.31249999999989</v>
      </c>
      <c r="E4846" s="3">
        <f>$B$4505*(C4846)+$B$4506*(C4846)^2/2-$B$4504*(C4846)^3/6-(N(D27)*MAX(0,(C4846)-N(E27))^2/2+N(F27)*MAX(0,(C4846)-N(G27))^2/2+N(H27)*MAX(0,(C4846)-N(I27))^2/2+N(J27)*MAX(0,(C4846)-N(K27))^2/2+N(L27)*MAX(0,(C4846)-N(M27))^2/2)+$B$4507</f>
        <v>-695.31249999999989</v>
      </c>
    </row>
    <row r="4847" spans="1:5" hidden="1">
      <c r="A4847" s="3">
        <f t="shared" si="84"/>
        <v>0</v>
      </c>
      <c r="B4847" s="3">
        <f t="shared" si="85"/>
        <v>0</v>
      </c>
      <c r="C4847" s="3">
        <f t="shared" si="83"/>
        <v>0</v>
      </c>
      <c r="D4847" s="3">
        <f>$B$4505*(A4847)+$B$4506*(A4847)^2/2-$B$4504*(A4847)^3/6-(N(D27)*MAX(0,(A4847)-N(E27))^2/2+N(F27)*MAX(0,(A4847)-N(G27))^2/2+N(H27)*MAX(0,(A4847)-N(I27))^2/2+N(J27)*MAX(0,(A4847)-N(K27))^2/2+N(L27)*MAX(0,(A4847)-N(M27))^2/2)+$B$4507</f>
        <v>-695.31249999999989</v>
      </c>
      <c r="E4847" s="3">
        <f>$B$4505*(C4847)+$B$4506*(C4847)^2/2-$B$4504*(C4847)^3/6-(N(D27)*MAX(0,(C4847)-N(E27))^2/2+N(F27)*MAX(0,(C4847)-N(G27))^2/2+N(H27)*MAX(0,(C4847)-N(I27))^2/2+N(J27)*MAX(0,(C4847)-N(K27))^2/2+N(L27)*MAX(0,(C4847)-N(M27))^2/2)+$B$4507</f>
        <v>-695.31249999999989</v>
      </c>
    </row>
    <row r="4848" spans="1:5" hidden="1">
      <c r="A4848" s="3">
        <f t="shared" si="84"/>
        <v>0</v>
      </c>
      <c r="B4848" s="3">
        <f t="shared" si="85"/>
        <v>0</v>
      </c>
      <c r="C4848" s="3">
        <f t="shared" si="83"/>
        <v>0</v>
      </c>
      <c r="D4848" s="3">
        <f>$B$4505*(A4848)+$B$4506*(A4848)^2/2-$B$4504*(A4848)^3/6-(N(D27)*MAX(0,(A4848)-N(E27))^2/2+N(F27)*MAX(0,(A4848)-N(G27))^2/2+N(H27)*MAX(0,(A4848)-N(I27))^2/2+N(J27)*MAX(0,(A4848)-N(K27))^2/2+N(L27)*MAX(0,(A4848)-N(M27))^2/2)+$B$4507</f>
        <v>-695.31249999999989</v>
      </c>
      <c r="E4848" s="3">
        <f>$B$4505*(C4848)+$B$4506*(C4848)^2/2-$B$4504*(C4848)^3/6-(N(D27)*MAX(0,(C4848)-N(E27))^2/2+N(F27)*MAX(0,(C4848)-N(G27))^2/2+N(H27)*MAX(0,(C4848)-N(I27))^2/2+N(J27)*MAX(0,(C4848)-N(K27))^2/2+N(L27)*MAX(0,(C4848)-N(M27))^2/2)+$B$4507</f>
        <v>-695.31249999999989</v>
      </c>
    </row>
    <row r="4849" spans="1:5" hidden="1">
      <c r="A4849" s="3">
        <f t="shared" si="84"/>
        <v>0</v>
      </c>
      <c r="B4849" s="3">
        <f t="shared" si="85"/>
        <v>0</v>
      </c>
      <c r="C4849" s="3">
        <f t="shared" si="83"/>
        <v>0</v>
      </c>
      <c r="D4849" s="3">
        <f>$B$4505*(A4849)+$B$4506*(A4849)^2/2-$B$4504*(A4849)^3/6-(N(D27)*MAX(0,(A4849)-N(E27))^2/2+N(F27)*MAX(0,(A4849)-N(G27))^2/2+N(H27)*MAX(0,(A4849)-N(I27))^2/2+N(J27)*MAX(0,(A4849)-N(K27))^2/2+N(L27)*MAX(0,(A4849)-N(M27))^2/2)+$B$4507</f>
        <v>-695.31249999999989</v>
      </c>
      <c r="E4849" s="3">
        <f>$B$4505*(C4849)+$B$4506*(C4849)^2/2-$B$4504*(C4849)^3/6-(N(D27)*MAX(0,(C4849)-N(E27))^2/2+N(F27)*MAX(0,(C4849)-N(G27))^2/2+N(H27)*MAX(0,(C4849)-N(I27))^2/2+N(J27)*MAX(0,(C4849)-N(K27))^2/2+N(L27)*MAX(0,(C4849)-N(M27))^2/2)+$B$4507</f>
        <v>-695.31249999999989</v>
      </c>
    </row>
    <row r="4850" spans="1:5" hidden="1">
      <c r="A4850" s="3">
        <f t="shared" si="84"/>
        <v>0</v>
      </c>
      <c r="B4850" s="3">
        <f t="shared" si="85"/>
        <v>0</v>
      </c>
      <c r="C4850" s="3">
        <f t="shared" si="83"/>
        <v>0</v>
      </c>
      <c r="D4850" s="3">
        <f>$B$4505*(A4850)+$B$4506*(A4850)^2/2-$B$4504*(A4850)^3/6-(N(D27)*MAX(0,(A4850)-N(E27))^2/2+N(F27)*MAX(0,(A4850)-N(G27))^2/2+N(H27)*MAX(0,(A4850)-N(I27))^2/2+N(J27)*MAX(0,(A4850)-N(K27))^2/2+N(L27)*MAX(0,(A4850)-N(M27))^2/2)+$B$4507</f>
        <v>-695.31249999999989</v>
      </c>
      <c r="E4850" s="3">
        <f>$B$4505*(C4850)+$B$4506*(C4850)^2/2-$B$4504*(C4850)^3/6-(N(D27)*MAX(0,(C4850)-N(E27))^2/2+N(F27)*MAX(0,(C4850)-N(G27))^2/2+N(H27)*MAX(0,(C4850)-N(I27))^2/2+N(J27)*MAX(0,(C4850)-N(K27))^2/2+N(L27)*MAX(0,(C4850)-N(M27))^2/2)+$B$4507</f>
        <v>-695.31249999999989</v>
      </c>
    </row>
    <row r="4851" spans="1:5" hidden="1">
      <c r="A4851" s="3">
        <f t="shared" si="84"/>
        <v>0</v>
      </c>
      <c r="B4851" s="3">
        <f t="shared" si="85"/>
        <v>0</v>
      </c>
      <c r="C4851" s="3">
        <f t="shared" si="83"/>
        <v>0</v>
      </c>
      <c r="D4851" s="3">
        <f>$B$4505*(A4851)+$B$4506*(A4851)^2/2-$B$4504*(A4851)^3/6-(N(D27)*MAX(0,(A4851)-N(E27))^2/2+N(F27)*MAX(0,(A4851)-N(G27))^2/2+N(H27)*MAX(0,(A4851)-N(I27))^2/2+N(J27)*MAX(0,(A4851)-N(K27))^2/2+N(L27)*MAX(0,(A4851)-N(M27))^2/2)+$B$4507</f>
        <v>-695.31249999999989</v>
      </c>
      <c r="E4851" s="3">
        <f>$B$4505*(C4851)+$B$4506*(C4851)^2/2-$B$4504*(C4851)^3/6-(N(D27)*MAX(0,(C4851)-N(E27))^2/2+N(F27)*MAX(0,(C4851)-N(G27))^2/2+N(H27)*MAX(0,(C4851)-N(I27))^2/2+N(J27)*MAX(0,(C4851)-N(K27))^2/2+N(L27)*MAX(0,(C4851)-N(M27))^2/2)+$B$4507</f>
        <v>-695.31249999999989</v>
      </c>
    </row>
    <row r="4852" spans="1:5" hidden="1">
      <c r="A4852" s="3">
        <f t="shared" si="84"/>
        <v>0</v>
      </c>
      <c r="B4852" s="3">
        <f t="shared" si="85"/>
        <v>0</v>
      </c>
      <c r="C4852" s="3">
        <f t="shared" si="83"/>
        <v>0</v>
      </c>
      <c r="D4852" s="3">
        <f>$B$4505*(A4852)+$B$4506*(A4852)^2/2-$B$4504*(A4852)^3/6-(N(D27)*MAX(0,(A4852)-N(E27))^2/2+N(F27)*MAX(0,(A4852)-N(G27))^2/2+N(H27)*MAX(0,(A4852)-N(I27))^2/2+N(J27)*MAX(0,(A4852)-N(K27))^2/2+N(L27)*MAX(0,(A4852)-N(M27))^2/2)+$B$4507</f>
        <v>-695.31249999999989</v>
      </c>
      <c r="E4852" s="3">
        <f>$B$4505*(C4852)+$B$4506*(C4852)^2/2-$B$4504*(C4852)^3/6-(N(D27)*MAX(0,(C4852)-N(E27))^2/2+N(F27)*MAX(0,(C4852)-N(G27))^2/2+N(H27)*MAX(0,(C4852)-N(I27))^2/2+N(J27)*MAX(0,(C4852)-N(K27))^2/2+N(L27)*MAX(0,(C4852)-N(M27))^2/2)+$B$4507</f>
        <v>-695.31249999999989</v>
      </c>
    </row>
    <row r="4853" spans="1:5" hidden="1">
      <c r="A4853" s="3">
        <f t="shared" si="84"/>
        <v>0</v>
      </c>
      <c r="B4853" s="3">
        <f t="shared" si="85"/>
        <v>0</v>
      </c>
      <c r="C4853" s="3">
        <f t="shared" si="83"/>
        <v>0</v>
      </c>
      <c r="D4853" s="3">
        <f>$B$4505*(A4853)+$B$4506*(A4853)^2/2-$B$4504*(A4853)^3/6-(N(D27)*MAX(0,(A4853)-N(E27))^2/2+N(F27)*MAX(0,(A4853)-N(G27))^2/2+N(H27)*MAX(0,(A4853)-N(I27))^2/2+N(J27)*MAX(0,(A4853)-N(K27))^2/2+N(L27)*MAX(0,(A4853)-N(M27))^2/2)+$B$4507</f>
        <v>-695.31249999999989</v>
      </c>
      <c r="E4853" s="3">
        <f>$B$4505*(C4853)+$B$4506*(C4853)^2/2-$B$4504*(C4853)^3/6-(N(D27)*MAX(0,(C4853)-N(E27))^2/2+N(F27)*MAX(0,(C4853)-N(G27))^2/2+N(H27)*MAX(0,(C4853)-N(I27))^2/2+N(J27)*MAX(0,(C4853)-N(K27))^2/2+N(L27)*MAX(0,(C4853)-N(M27))^2/2)+$B$4507</f>
        <v>-695.31249999999989</v>
      </c>
    </row>
    <row r="4854" spans="1:5" hidden="1">
      <c r="A4854" s="3">
        <f t="shared" si="84"/>
        <v>0</v>
      </c>
      <c r="B4854" s="3">
        <f t="shared" si="85"/>
        <v>0</v>
      </c>
      <c r="C4854" s="3">
        <f t="shared" si="83"/>
        <v>0</v>
      </c>
      <c r="D4854" s="3">
        <f>$B$4505*(A4854)+$B$4506*(A4854)^2/2-$B$4504*(A4854)^3/6-(N(D27)*MAX(0,(A4854)-N(E27))^2/2+N(F27)*MAX(0,(A4854)-N(G27))^2/2+N(H27)*MAX(0,(A4854)-N(I27))^2/2+N(J27)*MAX(0,(A4854)-N(K27))^2/2+N(L27)*MAX(0,(A4854)-N(M27))^2/2)+$B$4507</f>
        <v>-695.31249999999989</v>
      </c>
      <c r="E4854" s="3">
        <f>$B$4505*(C4854)+$B$4506*(C4854)^2/2-$B$4504*(C4854)^3/6-(N(D27)*MAX(0,(C4854)-N(E27))^2/2+N(F27)*MAX(0,(C4854)-N(G27))^2/2+N(H27)*MAX(0,(C4854)-N(I27))^2/2+N(J27)*MAX(0,(C4854)-N(K27))^2/2+N(L27)*MAX(0,(C4854)-N(M27))^2/2)+$B$4507</f>
        <v>-695.31249999999989</v>
      </c>
    </row>
    <row r="4855" spans="1:5" hidden="1">
      <c r="A4855" s="3">
        <f t="shared" si="84"/>
        <v>0</v>
      </c>
      <c r="B4855" s="3">
        <f t="shared" si="85"/>
        <v>0</v>
      </c>
      <c r="C4855" s="3">
        <f t="shared" si="83"/>
        <v>0</v>
      </c>
      <c r="D4855" s="3">
        <f>$B$4505*(A4855)+$B$4506*(A4855)^2/2-$B$4504*(A4855)^3/6-(N(D27)*MAX(0,(A4855)-N(E27))^2/2+N(F27)*MAX(0,(A4855)-N(G27))^2/2+N(H27)*MAX(0,(A4855)-N(I27))^2/2+N(J27)*MAX(0,(A4855)-N(K27))^2/2+N(L27)*MAX(0,(A4855)-N(M27))^2/2)+$B$4507</f>
        <v>-695.31249999999989</v>
      </c>
      <c r="E4855" s="3">
        <f>$B$4505*(C4855)+$B$4506*(C4855)^2/2-$B$4504*(C4855)^3/6-(N(D27)*MAX(0,(C4855)-N(E27))^2/2+N(F27)*MAX(0,(C4855)-N(G27))^2/2+N(H27)*MAX(0,(C4855)-N(I27))^2/2+N(J27)*MAX(0,(C4855)-N(K27))^2/2+N(L27)*MAX(0,(C4855)-N(M27))^2/2)+$B$4507</f>
        <v>-695.31249999999989</v>
      </c>
    </row>
    <row r="4856" spans="1:5" hidden="1">
      <c r="A4856" s="3">
        <f t="shared" si="84"/>
        <v>0</v>
      </c>
      <c r="B4856" s="3">
        <f t="shared" si="85"/>
        <v>0</v>
      </c>
      <c r="C4856" s="3">
        <f t="shared" si="83"/>
        <v>0</v>
      </c>
      <c r="D4856" s="3">
        <f>$B$4505*(A4856)+$B$4506*(A4856)^2/2-$B$4504*(A4856)^3/6-(N(D27)*MAX(0,(A4856)-N(E27))^2/2+N(F27)*MAX(0,(A4856)-N(G27))^2/2+N(H27)*MAX(0,(A4856)-N(I27))^2/2+N(J27)*MAX(0,(A4856)-N(K27))^2/2+N(L27)*MAX(0,(A4856)-N(M27))^2/2)+$B$4507</f>
        <v>-695.31249999999989</v>
      </c>
      <c r="E4856" s="3">
        <f>$B$4505*(C4856)+$B$4506*(C4856)^2/2-$B$4504*(C4856)^3/6-(N(D27)*MAX(0,(C4856)-N(E27))^2/2+N(F27)*MAX(0,(C4856)-N(G27))^2/2+N(H27)*MAX(0,(C4856)-N(I27))^2/2+N(J27)*MAX(0,(C4856)-N(K27))^2/2+N(L27)*MAX(0,(C4856)-N(M27))^2/2)+$B$4507</f>
        <v>-695.31249999999989</v>
      </c>
    </row>
    <row r="4857" spans="1:5" hidden="1">
      <c r="A4857" s="3">
        <f t="shared" si="84"/>
        <v>0</v>
      </c>
      <c r="B4857" s="3">
        <f t="shared" si="85"/>
        <v>0</v>
      </c>
      <c r="C4857" s="3">
        <f t="shared" si="83"/>
        <v>0</v>
      </c>
      <c r="D4857" s="3">
        <f>$B$4505*(A4857)+$B$4506*(A4857)^2/2-$B$4504*(A4857)^3/6-(N(D27)*MAX(0,(A4857)-N(E27))^2/2+N(F27)*MAX(0,(A4857)-N(G27))^2/2+N(H27)*MAX(0,(A4857)-N(I27))^2/2+N(J27)*MAX(0,(A4857)-N(K27))^2/2+N(L27)*MAX(0,(A4857)-N(M27))^2/2)+$B$4507</f>
        <v>-695.31249999999989</v>
      </c>
      <c r="E4857" s="3">
        <f>$B$4505*(C4857)+$B$4506*(C4857)^2/2-$B$4504*(C4857)^3/6-(N(D27)*MAX(0,(C4857)-N(E27))^2/2+N(F27)*MAX(0,(C4857)-N(G27))^2/2+N(H27)*MAX(0,(C4857)-N(I27))^2/2+N(J27)*MAX(0,(C4857)-N(K27))^2/2+N(L27)*MAX(0,(C4857)-N(M27))^2/2)+$B$4507</f>
        <v>-695.31249999999989</v>
      </c>
    </row>
    <row r="4858" spans="1:5" hidden="1">
      <c r="A4858" s="3">
        <f t="shared" si="84"/>
        <v>0</v>
      </c>
      <c r="B4858" s="3">
        <f t="shared" si="85"/>
        <v>0</v>
      </c>
      <c r="C4858" s="3">
        <f t="shared" si="83"/>
        <v>0</v>
      </c>
      <c r="D4858" s="3">
        <f>$B$4505*(A4858)+$B$4506*(A4858)^2/2-$B$4504*(A4858)^3/6-(N(D27)*MAX(0,(A4858)-N(E27))^2/2+N(F27)*MAX(0,(A4858)-N(G27))^2/2+N(H27)*MAX(0,(A4858)-N(I27))^2/2+N(J27)*MAX(0,(A4858)-N(K27))^2/2+N(L27)*MAX(0,(A4858)-N(M27))^2/2)+$B$4507</f>
        <v>-695.31249999999989</v>
      </c>
      <c r="E4858" s="3">
        <f>$B$4505*(C4858)+$B$4506*(C4858)^2/2-$B$4504*(C4858)^3/6-(N(D27)*MAX(0,(C4858)-N(E27))^2/2+N(F27)*MAX(0,(C4858)-N(G27))^2/2+N(H27)*MAX(0,(C4858)-N(I27))^2/2+N(J27)*MAX(0,(C4858)-N(K27))^2/2+N(L27)*MAX(0,(C4858)-N(M27))^2/2)+$B$4507</f>
        <v>-695.31249999999989</v>
      </c>
    </row>
    <row r="4859" spans="1:5" hidden="1">
      <c r="A4859" s="3">
        <f t="shared" si="84"/>
        <v>0</v>
      </c>
      <c r="B4859" s="3">
        <f t="shared" si="85"/>
        <v>0</v>
      </c>
      <c r="C4859" s="3">
        <f t="shared" si="83"/>
        <v>0</v>
      </c>
      <c r="D4859" s="3">
        <f>$B$4505*(A4859)+$B$4506*(A4859)^2/2-$B$4504*(A4859)^3/6-(N(D27)*MAX(0,(A4859)-N(E27))^2/2+N(F27)*MAX(0,(A4859)-N(G27))^2/2+N(H27)*MAX(0,(A4859)-N(I27))^2/2+N(J27)*MAX(0,(A4859)-N(K27))^2/2+N(L27)*MAX(0,(A4859)-N(M27))^2/2)+$B$4507</f>
        <v>-695.31249999999989</v>
      </c>
      <c r="E4859" s="3">
        <f>$B$4505*(C4859)+$B$4506*(C4859)^2/2-$B$4504*(C4859)^3/6-(N(D27)*MAX(0,(C4859)-N(E27))^2/2+N(F27)*MAX(0,(C4859)-N(G27))^2/2+N(H27)*MAX(0,(C4859)-N(I27))^2/2+N(J27)*MAX(0,(C4859)-N(K27))^2/2+N(L27)*MAX(0,(C4859)-N(M27))^2/2)+$B$4507</f>
        <v>-695.31249999999989</v>
      </c>
    </row>
    <row r="4860" spans="1:5" hidden="1">
      <c r="A4860" s="3">
        <f t="shared" si="84"/>
        <v>0</v>
      </c>
      <c r="B4860" s="3">
        <f t="shared" si="85"/>
        <v>0</v>
      </c>
      <c r="C4860" s="3">
        <f t="shared" si="83"/>
        <v>0</v>
      </c>
      <c r="D4860" s="3">
        <f>$B$4505*(A4860)+$B$4506*(A4860)^2/2-$B$4504*(A4860)^3/6-(N(D27)*MAX(0,(A4860)-N(E27))^2/2+N(F27)*MAX(0,(A4860)-N(G27))^2/2+N(H27)*MAX(0,(A4860)-N(I27))^2/2+N(J27)*MAX(0,(A4860)-N(K27))^2/2+N(L27)*MAX(0,(A4860)-N(M27))^2/2)+$B$4507</f>
        <v>-695.31249999999989</v>
      </c>
      <c r="E4860" s="3">
        <f>$B$4505*(C4860)+$B$4506*(C4860)^2/2-$B$4504*(C4860)^3/6-(N(D27)*MAX(0,(C4860)-N(E27))^2/2+N(F27)*MAX(0,(C4860)-N(G27))^2/2+N(H27)*MAX(0,(C4860)-N(I27))^2/2+N(J27)*MAX(0,(C4860)-N(K27))^2/2+N(L27)*MAX(0,(C4860)-N(M27))^2/2)+$B$4507</f>
        <v>-695.31249999999989</v>
      </c>
    </row>
    <row r="4861" spans="1:5" hidden="1">
      <c r="A4861" s="3">
        <f t="shared" si="84"/>
        <v>0</v>
      </c>
      <c r="B4861" s="3">
        <f t="shared" si="85"/>
        <v>0</v>
      </c>
      <c r="C4861" s="3">
        <f t="shared" si="83"/>
        <v>0</v>
      </c>
      <c r="D4861" s="3">
        <f>$B$4505*(A4861)+$B$4506*(A4861)^2/2-$B$4504*(A4861)^3/6-(N(D27)*MAX(0,(A4861)-N(E27))^2/2+N(F27)*MAX(0,(A4861)-N(G27))^2/2+N(H27)*MAX(0,(A4861)-N(I27))^2/2+N(J27)*MAX(0,(A4861)-N(K27))^2/2+N(L27)*MAX(0,(A4861)-N(M27))^2/2)+$B$4507</f>
        <v>-695.31249999999989</v>
      </c>
      <c r="E4861" s="3">
        <f>$B$4505*(C4861)+$B$4506*(C4861)^2/2-$B$4504*(C4861)^3/6-(N(D27)*MAX(0,(C4861)-N(E27))^2/2+N(F27)*MAX(0,(C4861)-N(G27))^2/2+N(H27)*MAX(0,(C4861)-N(I27))^2/2+N(J27)*MAX(0,(C4861)-N(K27))^2/2+N(L27)*MAX(0,(C4861)-N(M27))^2/2)+$B$4507</f>
        <v>-695.31249999999989</v>
      </c>
    </row>
    <row r="4862" spans="1:5" hidden="1">
      <c r="A4862" s="3">
        <f t="shared" si="84"/>
        <v>0</v>
      </c>
      <c r="B4862" s="3">
        <f t="shared" si="85"/>
        <v>0</v>
      </c>
      <c r="C4862" s="3">
        <f t="shared" si="83"/>
        <v>0</v>
      </c>
      <c r="D4862" s="3">
        <f>$B$4505*(A4862)+$B$4506*(A4862)^2/2-$B$4504*(A4862)^3/6-(N(D27)*MAX(0,(A4862)-N(E27))^2/2+N(F27)*MAX(0,(A4862)-N(G27))^2/2+N(H27)*MAX(0,(A4862)-N(I27))^2/2+N(J27)*MAX(0,(A4862)-N(K27))^2/2+N(L27)*MAX(0,(A4862)-N(M27))^2/2)+$B$4507</f>
        <v>-695.31249999999989</v>
      </c>
      <c r="E4862" s="3">
        <f>$B$4505*(C4862)+$B$4506*(C4862)^2/2-$B$4504*(C4862)^3/6-(N(D27)*MAX(0,(C4862)-N(E27))^2/2+N(F27)*MAX(0,(C4862)-N(G27))^2/2+N(H27)*MAX(0,(C4862)-N(I27))^2/2+N(J27)*MAX(0,(C4862)-N(K27))^2/2+N(L27)*MAX(0,(C4862)-N(M27))^2/2)+$B$4507</f>
        <v>-695.31249999999989</v>
      </c>
    </row>
    <row r="4863" spans="1:5" hidden="1">
      <c r="A4863" s="3">
        <f t="shared" si="84"/>
        <v>0</v>
      </c>
      <c r="B4863" s="3">
        <f t="shared" si="85"/>
        <v>0</v>
      </c>
      <c r="C4863" s="3">
        <f t="shared" si="83"/>
        <v>0</v>
      </c>
      <c r="D4863" s="3">
        <f>$B$4505*(A4863)+$B$4506*(A4863)^2/2-$B$4504*(A4863)^3/6-(N(D27)*MAX(0,(A4863)-N(E27))^2/2+N(F27)*MAX(0,(A4863)-N(G27))^2/2+N(H27)*MAX(0,(A4863)-N(I27))^2/2+N(J27)*MAX(0,(A4863)-N(K27))^2/2+N(L27)*MAX(0,(A4863)-N(M27))^2/2)+$B$4507</f>
        <v>-695.31249999999989</v>
      </c>
      <c r="E4863" s="3">
        <f>$B$4505*(C4863)+$B$4506*(C4863)^2/2-$B$4504*(C4863)^3/6-(N(D27)*MAX(0,(C4863)-N(E27))^2/2+N(F27)*MAX(0,(C4863)-N(G27))^2/2+N(H27)*MAX(0,(C4863)-N(I27))^2/2+N(J27)*MAX(0,(C4863)-N(K27))^2/2+N(L27)*MAX(0,(C4863)-N(M27))^2/2)+$B$4507</f>
        <v>-695.31249999999989</v>
      </c>
    </row>
    <row r="4864" spans="1:5" hidden="1">
      <c r="A4864" s="3">
        <f t="shared" si="84"/>
        <v>0</v>
      </c>
      <c r="B4864" s="3">
        <f t="shared" si="85"/>
        <v>0</v>
      </c>
      <c r="C4864" s="3">
        <f t="shared" si="83"/>
        <v>0</v>
      </c>
      <c r="D4864" s="3">
        <f>$B$4505*(A4864)+$B$4506*(A4864)^2/2-$B$4504*(A4864)^3/6-(N(D27)*MAX(0,(A4864)-N(E27))^2/2+N(F27)*MAX(0,(A4864)-N(G27))^2/2+N(H27)*MAX(0,(A4864)-N(I27))^2/2+N(J27)*MAX(0,(A4864)-N(K27))^2/2+N(L27)*MAX(0,(A4864)-N(M27))^2/2)+$B$4507</f>
        <v>-695.31249999999989</v>
      </c>
      <c r="E4864" s="3">
        <f>$B$4505*(C4864)+$B$4506*(C4864)^2/2-$B$4504*(C4864)^3/6-(N(D27)*MAX(0,(C4864)-N(E27))^2/2+N(F27)*MAX(0,(C4864)-N(G27))^2/2+N(H27)*MAX(0,(C4864)-N(I27))^2/2+N(J27)*MAX(0,(C4864)-N(K27))^2/2+N(L27)*MAX(0,(C4864)-N(M27))^2/2)+$B$4507</f>
        <v>-695.31249999999989</v>
      </c>
    </row>
    <row r="4865" spans="1:5" hidden="1">
      <c r="A4865" s="3">
        <f t="shared" si="84"/>
        <v>0</v>
      </c>
      <c r="B4865" s="3">
        <f t="shared" si="85"/>
        <v>0</v>
      </c>
      <c r="C4865" s="3">
        <f t="shared" si="83"/>
        <v>0</v>
      </c>
      <c r="D4865" s="3">
        <f>$B$4505*(A4865)+$B$4506*(A4865)^2/2-$B$4504*(A4865)^3/6-(N(D27)*MAX(0,(A4865)-N(E27))^2/2+N(F27)*MAX(0,(A4865)-N(G27))^2/2+N(H27)*MAX(0,(A4865)-N(I27))^2/2+N(J27)*MAX(0,(A4865)-N(K27))^2/2+N(L27)*MAX(0,(A4865)-N(M27))^2/2)+$B$4507</f>
        <v>-695.31249999999989</v>
      </c>
      <c r="E4865" s="3">
        <f>$B$4505*(C4865)+$B$4506*(C4865)^2/2-$B$4504*(C4865)^3/6-(N(D27)*MAX(0,(C4865)-N(E27))^2/2+N(F27)*MAX(0,(C4865)-N(G27))^2/2+N(H27)*MAX(0,(C4865)-N(I27))^2/2+N(J27)*MAX(0,(C4865)-N(K27))^2/2+N(L27)*MAX(0,(C4865)-N(M27))^2/2)+$B$4507</f>
        <v>-695.31249999999989</v>
      </c>
    </row>
    <row r="4866" spans="1:5" hidden="1">
      <c r="A4866" s="3">
        <f t="shared" si="84"/>
        <v>0</v>
      </c>
      <c r="B4866" s="3">
        <f t="shared" si="85"/>
        <v>0</v>
      </c>
      <c r="C4866" s="3">
        <f t="shared" si="83"/>
        <v>0</v>
      </c>
      <c r="D4866" s="3">
        <f>$B$4505*(A4866)+$B$4506*(A4866)^2/2-$B$4504*(A4866)^3/6-(N(D27)*MAX(0,(A4866)-N(E27))^2/2+N(F27)*MAX(0,(A4866)-N(G27))^2/2+N(H27)*MAX(0,(A4866)-N(I27))^2/2+N(J27)*MAX(0,(A4866)-N(K27))^2/2+N(L27)*MAX(0,(A4866)-N(M27))^2/2)+$B$4507</f>
        <v>-695.31249999999989</v>
      </c>
      <c r="E4866" s="3">
        <f>$B$4505*(C4866)+$B$4506*(C4866)^2/2-$B$4504*(C4866)^3/6-(N(D27)*MAX(0,(C4866)-N(E27))^2/2+N(F27)*MAX(0,(C4866)-N(G27))^2/2+N(H27)*MAX(0,(C4866)-N(I27))^2/2+N(J27)*MAX(0,(C4866)-N(K27))^2/2+N(L27)*MAX(0,(C4866)-N(M27))^2/2)+$B$4507</f>
        <v>-695.31249999999989</v>
      </c>
    </row>
    <row r="4867" spans="1:5" hidden="1">
      <c r="A4867" s="3">
        <f t="shared" si="84"/>
        <v>0</v>
      </c>
      <c r="B4867" s="3">
        <f t="shared" si="85"/>
        <v>0</v>
      </c>
      <c r="C4867" s="3">
        <f t="shared" si="83"/>
        <v>0</v>
      </c>
      <c r="D4867" s="3">
        <f>$B$4505*(A4867)+$B$4506*(A4867)^2/2-$B$4504*(A4867)^3/6-(N(D27)*MAX(0,(A4867)-N(E27))^2/2+N(F27)*MAX(0,(A4867)-N(G27))^2/2+N(H27)*MAX(0,(A4867)-N(I27))^2/2+N(J27)*MAX(0,(A4867)-N(K27))^2/2+N(L27)*MAX(0,(A4867)-N(M27))^2/2)+$B$4507</f>
        <v>-695.31249999999989</v>
      </c>
      <c r="E4867" s="3">
        <f>$B$4505*(C4867)+$B$4506*(C4867)^2/2-$B$4504*(C4867)^3/6-(N(D27)*MAX(0,(C4867)-N(E27))^2/2+N(F27)*MAX(0,(C4867)-N(G27))^2/2+N(H27)*MAX(0,(C4867)-N(I27))^2/2+N(J27)*MAX(0,(C4867)-N(K27))^2/2+N(L27)*MAX(0,(C4867)-N(M27))^2/2)+$B$4507</f>
        <v>-695.31249999999989</v>
      </c>
    </row>
    <row r="4868" spans="1:5" hidden="1">
      <c r="A4868" s="3">
        <f t="shared" si="84"/>
        <v>0</v>
      </c>
      <c r="B4868" s="3">
        <f t="shared" si="85"/>
        <v>0</v>
      </c>
      <c r="C4868" s="3">
        <f t="shared" si="83"/>
        <v>0</v>
      </c>
      <c r="D4868" s="3">
        <f>$B$4505*(A4868)+$B$4506*(A4868)^2/2-$B$4504*(A4868)^3/6-(N(D27)*MAX(0,(A4868)-N(E27))^2/2+N(F27)*MAX(0,(A4868)-N(G27))^2/2+N(H27)*MAX(0,(A4868)-N(I27))^2/2+N(J27)*MAX(0,(A4868)-N(K27))^2/2+N(L27)*MAX(0,(A4868)-N(M27))^2/2)+$B$4507</f>
        <v>-695.31249999999989</v>
      </c>
      <c r="E4868" s="3">
        <f>$B$4505*(C4868)+$B$4506*(C4868)^2/2-$B$4504*(C4868)^3/6-(N(D27)*MAX(0,(C4868)-N(E27))^2/2+N(F27)*MAX(0,(C4868)-N(G27))^2/2+N(H27)*MAX(0,(C4868)-N(I27))^2/2+N(J27)*MAX(0,(C4868)-N(K27))^2/2+N(L27)*MAX(0,(C4868)-N(M27))^2/2)+$B$4507</f>
        <v>-695.31249999999989</v>
      </c>
    </row>
    <row r="4869" spans="1:5" hidden="1">
      <c r="A4869" s="3">
        <f t="shared" si="84"/>
        <v>0</v>
      </c>
      <c r="B4869" s="3">
        <f t="shared" si="85"/>
        <v>0</v>
      </c>
      <c r="C4869" s="3">
        <f t="shared" si="83"/>
        <v>0</v>
      </c>
      <c r="D4869" s="3">
        <f>$B$4505*(A4869)+$B$4506*(A4869)^2/2-$B$4504*(A4869)^3/6-(N(D27)*MAX(0,(A4869)-N(E27))^2/2+N(F27)*MAX(0,(A4869)-N(G27))^2/2+N(H27)*MAX(0,(A4869)-N(I27))^2/2+N(J27)*MAX(0,(A4869)-N(K27))^2/2+N(L27)*MAX(0,(A4869)-N(M27))^2/2)+$B$4507</f>
        <v>-695.31249999999989</v>
      </c>
      <c r="E4869" s="3">
        <f>$B$4505*(C4869)+$B$4506*(C4869)^2/2-$B$4504*(C4869)^3/6-(N(D27)*MAX(0,(C4869)-N(E27))^2/2+N(F27)*MAX(0,(C4869)-N(G27))^2/2+N(H27)*MAX(0,(C4869)-N(I27))^2/2+N(J27)*MAX(0,(C4869)-N(K27))^2/2+N(L27)*MAX(0,(C4869)-N(M27))^2/2)+$B$4507</f>
        <v>-695.31249999999989</v>
      </c>
    </row>
    <row r="4870" spans="1:5" hidden="1">
      <c r="A4870" s="3">
        <f t="shared" si="84"/>
        <v>0</v>
      </c>
      <c r="B4870" s="3">
        <f t="shared" si="85"/>
        <v>0</v>
      </c>
      <c r="C4870" s="3">
        <f t="shared" si="83"/>
        <v>0</v>
      </c>
      <c r="D4870" s="3">
        <f>$B$4505*(A4870)+$B$4506*(A4870)^2/2-$B$4504*(A4870)^3/6-(N(D27)*MAX(0,(A4870)-N(E27))^2/2+N(F27)*MAX(0,(A4870)-N(G27))^2/2+N(H27)*MAX(0,(A4870)-N(I27))^2/2+N(J27)*MAX(0,(A4870)-N(K27))^2/2+N(L27)*MAX(0,(A4870)-N(M27))^2/2)+$B$4507</f>
        <v>-695.31249999999989</v>
      </c>
      <c r="E4870" s="3">
        <f>$B$4505*(C4870)+$B$4506*(C4870)^2/2-$B$4504*(C4870)^3/6-(N(D27)*MAX(0,(C4870)-N(E27))^2/2+N(F27)*MAX(0,(C4870)-N(G27))^2/2+N(H27)*MAX(0,(C4870)-N(I27))^2/2+N(J27)*MAX(0,(C4870)-N(K27))^2/2+N(L27)*MAX(0,(C4870)-N(M27))^2/2)+$B$4507</f>
        <v>-695.31249999999989</v>
      </c>
    </row>
    <row r="4871" spans="1:5" hidden="1">
      <c r="A4871" s="3">
        <f t="shared" si="84"/>
        <v>0</v>
      </c>
      <c r="B4871" s="3">
        <f t="shared" si="85"/>
        <v>0</v>
      </c>
      <c r="C4871" s="3">
        <f t="shared" si="83"/>
        <v>0</v>
      </c>
      <c r="D4871" s="3">
        <f>$B$4505*(A4871)+$B$4506*(A4871)^2/2-$B$4504*(A4871)^3/6-(N(D27)*MAX(0,(A4871)-N(E27))^2/2+N(F27)*MAX(0,(A4871)-N(G27))^2/2+N(H27)*MAX(0,(A4871)-N(I27))^2/2+N(J27)*MAX(0,(A4871)-N(K27))^2/2+N(L27)*MAX(0,(A4871)-N(M27))^2/2)+$B$4507</f>
        <v>-695.31249999999989</v>
      </c>
      <c r="E4871" s="3">
        <f>$B$4505*(C4871)+$B$4506*(C4871)^2/2-$B$4504*(C4871)^3/6-(N(D27)*MAX(0,(C4871)-N(E27))^2/2+N(F27)*MAX(0,(C4871)-N(G27))^2/2+N(H27)*MAX(0,(C4871)-N(I27))^2/2+N(J27)*MAX(0,(C4871)-N(K27))^2/2+N(L27)*MAX(0,(C4871)-N(M27))^2/2)+$B$4507</f>
        <v>-695.31249999999989</v>
      </c>
    </row>
    <row r="4872" spans="1:5" hidden="1">
      <c r="A4872" s="3">
        <f t="shared" si="84"/>
        <v>0</v>
      </c>
      <c r="B4872" s="3">
        <f t="shared" si="85"/>
        <v>0</v>
      </c>
      <c r="C4872" s="3">
        <f t="shared" si="83"/>
        <v>0</v>
      </c>
      <c r="D4872" s="3">
        <f>$B$4505*(A4872)+$B$4506*(A4872)^2/2-$B$4504*(A4872)^3/6-(N(D27)*MAX(0,(A4872)-N(E27))^2/2+N(F27)*MAX(0,(A4872)-N(G27))^2/2+N(H27)*MAX(0,(A4872)-N(I27))^2/2+N(J27)*MAX(0,(A4872)-N(K27))^2/2+N(L27)*MAX(0,(A4872)-N(M27))^2/2)+$B$4507</f>
        <v>-695.31249999999989</v>
      </c>
      <c r="E4872" s="3">
        <f>$B$4505*(C4872)+$B$4506*(C4872)^2/2-$B$4504*(C4872)^3/6-(N(D27)*MAX(0,(C4872)-N(E27))^2/2+N(F27)*MAX(0,(C4872)-N(G27))^2/2+N(H27)*MAX(0,(C4872)-N(I27))^2/2+N(J27)*MAX(0,(C4872)-N(K27))^2/2+N(L27)*MAX(0,(C4872)-N(M27))^2/2)+$B$4507</f>
        <v>-695.31249999999989</v>
      </c>
    </row>
    <row r="4873" spans="1:5" hidden="1">
      <c r="A4873" s="3">
        <f t="shared" si="84"/>
        <v>0</v>
      </c>
      <c r="B4873" s="3">
        <f t="shared" si="85"/>
        <v>0</v>
      </c>
      <c r="C4873" s="3">
        <f t="shared" si="83"/>
        <v>0</v>
      </c>
      <c r="D4873" s="3">
        <f>$B$4505*(A4873)+$B$4506*(A4873)^2/2-$B$4504*(A4873)^3/6-(N(D27)*MAX(0,(A4873)-N(E27))^2/2+N(F27)*MAX(0,(A4873)-N(G27))^2/2+N(H27)*MAX(0,(A4873)-N(I27))^2/2+N(J27)*MAX(0,(A4873)-N(K27))^2/2+N(L27)*MAX(0,(A4873)-N(M27))^2/2)+$B$4507</f>
        <v>-695.31249999999989</v>
      </c>
      <c r="E4873" s="3">
        <f>$B$4505*(C4873)+$B$4506*(C4873)^2/2-$B$4504*(C4873)^3/6-(N(D27)*MAX(0,(C4873)-N(E27))^2/2+N(F27)*MAX(0,(C4873)-N(G27))^2/2+N(H27)*MAX(0,(C4873)-N(I27))^2/2+N(J27)*MAX(0,(C4873)-N(K27))^2/2+N(L27)*MAX(0,(C4873)-N(M27))^2/2)+$B$4507</f>
        <v>-695.31249999999989</v>
      </c>
    </row>
    <row r="4874" spans="1:5" hidden="1">
      <c r="A4874" s="3">
        <f t="shared" si="84"/>
        <v>0</v>
      </c>
      <c r="B4874" s="3">
        <f t="shared" si="85"/>
        <v>0</v>
      </c>
      <c r="C4874" s="3">
        <f t="shared" si="83"/>
        <v>0</v>
      </c>
      <c r="D4874" s="3">
        <f>$B$4505*(A4874)+$B$4506*(A4874)^2/2-$B$4504*(A4874)^3/6-(N(D27)*MAX(0,(A4874)-N(E27))^2/2+N(F27)*MAX(0,(A4874)-N(G27))^2/2+N(H27)*MAX(0,(A4874)-N(I27))^2/2+N(J27)*MAX(0,(A4874)-N(K27))^2/2+N(L27)*MAX(0,(A4874)-N(M27))^2/2)+$B$4507</f>
        <v>-695.31249999999989</v>
      </c>
      <c r="E4874" s="3">
        <f>$B$4505*(C4874)+$B$4506*(C4874)^2/2-$B$4504*(C4874)^3/6-(N(D27)*MAX(0,(C4874)-N(E27))^2/2+N(F27)*MAX(0,(C4874)-N(G27))^2/2+N(H27)*MAX(0,(C4874)-N(I27))^2/2+N(J27)*MAX(0,(C4874)-N(K27))^2/2+N(L27)*MAX(0,(C4874)-N(M27))^2/2)+$B$4507</f>
        <v>-695.31249999999989</v>
      </c>
    </row>
    <row r="4875" spans="1:5" hidden="1">
      <c r="A4875" s="3">
        <f t="shared" si="84"/>
        <v>0</v>
      </c>
      <c r="B4875" s="3">
        <f t="shared" si="85"/>
        <v>0</v>
      </c>
      <c r="C4875" s="3">
        <f t="shared" si="83"/>
        <v>0</v>
      </c>
      <c r="D4875" s="3">
        <f>$B$4505*(A4875)+$B$4506*(A4875)^2/2-$B$4504*(A4875)^3/6-(N(D27)*MAX(0,(A4875)-N(E27))^2/2+N(F27)*MAX(0,(A4875)-N(G27))^2/2+N(H27)*MAX(0,(A4875)-N(I27))^2/2+N(J27)*MAX(0,(A4875)-N(K27))^2/2+N(L27)*MAX(0,(A4875)-N(M27))^2/2)+$B$4507</f>
        <v>-695.31249999999989</v>
      </c>
      <c r="E4875" s="3">
        <f>$B$4505*(C4875)+$B$4506*(C4875)^2/2-$B$4504*(C4875)^3/6-(N(D27)*MAX(0,(C4875)-N(E27))^2/2+N(F27)*MAX(0,(C4875)-N(G27))^2/2+N(H27)*MAX(0,(C4875)-N(I27))^2/2+N(J27)*MAX(0,(C4875)-N(K27))^2/2+N(L27)*MAX(0,(C4875)-N(M27))^2/2)+$B$4507</f>
        <v>-695.31249999999989</v>
      </c>
    </row>
    <row r="4876" spans="1:5" hidden="1"/>
    <row r="4877" spans="1:5" hidden="1">
      <c r="A4877" s="3">
        <f>B4547</f>
        <v>0</v>
      </c>
      <c r="B4877" s="3">
        <f>IF(($B$4505*(B4547)+$B$4506*(B4547)^2/2-$B$4504*(B4547)^3/6-(N(D27)*MAX(0,(B4547)-N(E27))^2/2+N(F27)*MAX(0,(B4547)-N(G27))^2/2+N(H27)*MAX(0,(B4547)-N(I27))^2/2+N(J27)*MAX(0,(B4547)-N(K27))^2/2+N(L27)*MAX(0,(B4547)-N(M27))^2/2)+$B$4507)*($B$4505*(B4548)+$B$4506*(B4548)^2/2-$B$4504*(B4548)^3/6-(N(D27)*MAX(0,(B4548)-N(E27))^2/2+N(F27)*MAX(0,(B4548)-N(G27))^2/2+N(H27)*MAX(0,(B4548)-N(I27))^2/2+N(J27)*MAX(0,(B4548)-N(K27))^2/2+N(L27)*MAX(0,(B4548)-N(M27))^2/2)+$B$4507)&lt;=0,B4548,B4547)</f>
        <v>0</v>
      </c>
      <c r="C4877" s="3">
        <f t="shared" ref="C4877:C4921" si="86">(A4877+B4877)/2</f>
        <v>0</v>
      </c>
      <c r="D4877" s="3">
        <f>$B$4505*(A4877)+$B$4506*(A4877)^2/2-$B$4504*(A4877)^3/6-(N(D27)*MAX(0,(A4877)-N(E27))^2/2+N(F27)*MAX(0,(A4877)-N(G27))^2/2+N(H27)*MAX(0,(A4877)-N(I27))^2/2+N(J27)*MAX(0,(A4877)-N(K27))^2/2+N(L27)*MAX(0,(A4877)-N(M27))^2/2)+$B$4507</f>
        <v>-695.31249999999989</v>
      </c>
      <c r="E4877" s="3">
        <f>$B$4505*(C4877)+$B$4506*(C4877)^2/2-$B$4504*(C4877)^3/6-(N(D27)*MAX(0,(C4877)-N(E27))^2/2+N(F27)*MAX(0,(C4877)-N(G27))^2/2+N(H27)*MAX(0,(C4877)-N(I27))^2/2+N(J27)*MAX(0,(C4877)-N(K27))^2/2+N(L27)*MAX(0,(C4877)-N(M27))^2/2)+$B$4507</f>
        <v>-695.31249999999989</v>
      </c>
    </row>
    <row r="4878" spans="1:5" hidden="1">
      <c r="A4878" s="3">
        <f t="shared" ref="A4878:A4921" si="87">IF(D4877*E4877&lt;=0,A4877,C4877)</f>
        <v>0</v>
      </c>
      <c r="B4878" s="3">
        <f t="shared" ref="B4878:B4921" si="88">IF(D4877*E4877&lt;=0,C4877,B4877)</f>
        <v>0</v>
      </c>
      <c r="C4878" s="3">
        <f t="shared" si="86"/>
        <v>0</v>
      </c>
      <c r="D4878" s="3">
        <f>$B$4505*(A4878)+$B$4506*(A4878)^2/2-$B$4504*(A4878)^3/6-(N(D27)*MAX(0,(A4878)-N(E27))^2/2+N(F27)*MAX(0,(A4878)-N(G27))^2/2+N(H27)*MAX(0,(A4878)-N(I27))^2/2+N(J27)*MAX(0,(A4878)-N(K27))^2/2+N(L27)*MAX(0,(A4878)-N(M27))^2/2)+$B$4507</f>
        <v>-695.31249999999989</v>
      </c>
      <c r="E4878" s="3">
        <f>$B$4505*(C4878)+$B$4506*(C4878)^2/2-$B$4504*(C4878)^3/6-(N(D27)*MAX(0,(C4878)-N(E27))^2/2+N(F27)*MAX(0,(C4878)-N(G27))^2/2+N(H27)*MAX(0,(C4878)-N(I27))^2/2+N(J27)*MAX(0,(C4878)-N(K27))^2/2+N(L27)*MAX(0,(C4878)-N(M27))^2/2)+$B$4507</f>
        <v>-695.31249999999989</v>
      </c>
    </row>
    <row r="4879" spans="1:5" hidden="1">
      <c r="A4879" s="3">
        <f t="shared" si="87"/>
        <v>0</v>
      </c>
      <c r="B4879" s="3">
        <f t="shared" si="88"/>
        <v>0</v>
      </c>
      <c r="C4879" s="3">
        <f t="shared" si="86"/>
        <v>0</v>
      </c>
      <c r="D4879" s="3">
        <f>$B$4505*(A4879)+$B$4506*(A4879)^2/2-$B$4504*(A4879)^3/6-(N(D27)*MAX(0,(A4879)-N(E27))^2/2+N(F27)*MAX(0,(A4879)-N(G27))^2/2+N(H27)*MAX(0,(A4879)-N(I27))^2/2+N(J27)*MAX(0,(A4879)-N(K27))^2/2+N(L27)*MAX(0,(A4879)-N(M27))^2/2)+$B$4507</f>
        <v>-695.31249999999989</v>
      </c>
      <c r="E4879" s="3">
        <f>$B$4505*(C4879)+$B$4506*(C4879)^2/2-$B$4504*(C4879)^3/6-(N(D27)*MAX(0,(C4879)-N(E27))^2/2+N(F27)*MAX(0,(C4879)-N(G27))^2/2+N(H27)*MAX(0,(C4879)-N(I27))^2/2+N(J27)*MAX(0,(C4879)-N(K27))^2/2+N(L27)*MAX(0,(C4879)-N(M27))^2/2)+$B$4507</f>
        <v>-695.31249999999989</v>
      </c>
    </row>
    <row r="4880" spans="1:5" hidden="1">
      <c r="A4880" s="3">
        <f t="shared" si="87"/>
        <v>0</v>
      </c>
      <c r="B4880" s="3">
        <f t="shared" si="88"/>
        <v>0</v>
      </c>
      <c r="C4880" s="3">
        <f t="shared" si="86"/>
        <v>0</v>
      </c>
      <c r="D4880" s="3">
        <f>$B$4505*(A4880)+$B$4506*(A4880)^2/2-$B$4504*(A4880)^3/6-(N(D27)*MAX(0,(A4880)-N(E27))^2/2+N(F27)*MAX(0,(A4880)-N(G27))^2/2+N(H27)*MAX(0,(A4880)-N(I27))^2/2+N(J27)*MAX(0,(A4880)-N(K27))^2/2+N(L27)*MAX(0,(A4880)-N(M27))^2/2)+$B$4507</f>
        <v>-695.31249999999989</v>
      </c>
      <c r="E4880" s="3">
        <f>$B$4505*(C4880)+$B$4506*(C4880)^2/2-$B$4504*(C4880)^3/6-(N(D27)*MAX(0,(C4880)-N(E27))^2/2+N(F27)*MAX(0,(C4880)-N(G27))^2/2+N(H27)*MAX(0,(C4880)-N(I27))^2/2+N(J27)*MAX(0,(C4880)-N(K27))^2/2+N(L27)*MAX(0,(C4880)-N(M27))^2/2)+$B$4507</f>
        <v>-695.31249999999989</v>
      </c>
    </row>
    <row r="4881" spans="1:5" hidden="1">
      <c r="A4881" s="3">
        <f t="shared" si="87"/>
        <v>0</v>
      </c>
      <c r="B4881" s="3">
        <f t="shared" si="88"/>
        <v>0</v>
      </c>
      <c r="C4881" s="3">
        <f t="shared" si="86"/>
        <v>0</v>
      </c>
      <c r="D4881" s="3">
        <f>$B$4505*(A4881)+$B$4506*(A4881)^2/2-$B$4504*(A4881)^3/6-(N(D27)*MAX(0,(A4881)-N(E27))^2/2+N(F27)*MAX(0,(A4881)-N(G27))^2/2+N(H27)*MAX(0,(A4881)-N(I27))^2/2+N(J27)*MAX(0,(A4881)-N(K27))^2/2+N(L27)*MAX(0,(A4881)-N(M27))^2/2)+$B$4507</f>
        <v>-695.31249999999989</v>
      </c>
      <c r="E4881" s="3">
        <f>$B$4505*(C4881)+$B$4506*(C4881)^2/2-$B$4504*(C4881)^3/6-(N(D27)*MAX(0,(C4881)-N(E27))^2/2+N(F27)*MAX(0,(C4881)-N(G27))^2/2+N(H27)*MAX(0,(C4881)-N(I27))^2/2+N(J27)*MAX(0,(C4881)-N(K27))^2/2+N(L27)*MAX(0,(C4881)-N(M27))^2/2)+$B$4507</f>
        <v>-695.31249999999989</v>
      </c>
    </row>
    <row r="4882" spans="1:5" hidden="1">
      <c r="A4882" s="3">
        <f t="shared" si="87"/>
        <v>0</v>
      </c>
      <c r="B4882" s="3">
        <f t="shared" si="88"/>
        <v>0</v>
      </c>
      <c r="C4882" s="3">
        <f t="shared" si="86"/>
        <v>0</v>
      </c>
      <c r="D4882" s="3">
        <f>$B$4505*(A4882)+$B$4506*(A4882)^2/2-$B$4504*(A4882)^3/6-(N(D27)*MAX(0,(A4882)-N(E27))^2/2+N(F27)*MAX(0,(A4882)-N(G27))^2/2+N(H27)*MAX(0,(A4882)-N(I27))^2/2+N(J27)*MAX(0,(A4882)-N(K27))^2/2+N(L27)*MAX(0,(A4882)-N(M27))^2/2)+$B$4507</f>
        <v>-695.31249999999989</v>
      </c>
      <c r="E4882" s="3">
        <f>$B$4505*(C4882)+$B$4506*(C4882)^2/2-$B$4504*(C4882)^3/6-(N(D27)*MAX(0,(C4882)-N(E27))^2/2+N(F27)*MAX(0,(C4882)-N(G27))^2/2+N(H27)*MAX(0,(C4882)-N(I27))^2/2+N(J27)*MAX(0,(C4882)-N(K27))^2/2+N(L27)*MAX(0,(C4882)-N(M27))^2/2)+$B$4507</f>
        <v>-695.31249999999989</v>
      </c>
    </row>
    <row r="4883" spans="1:5" hidden="1">
      <c r="A4883" s="3">
        <f t="shared" si="87"/>
        <v>0</v>
      </c>
      <c r="B4883" s="3">
        <f t="shared" si="88"/>
        <v>0</v>
      </c>
      <c r="C4883" s="3">
        <f t="shared" si="86"/>
        <v>0</v>
      </c>
      <c r="D4883" s="3">
        <f>$B$4505*(A4883)+$B$4506*(A4883)^2/2-$B$4504*(A4883)^3/6-(N(D27)*MAX(0,(A4883)-N(E27))^2/2+N(F27)*MAX(0,(A4883)-N(G27))^2/2+N(H27)*MAX(0,(A4883)-N(I27))^2/2+N(J27)*MAX(0,(A4883)-N(K27))^2/2+N(L27)*MAX(0,(A4883)-N(M27))^2/2)+$B$4507</f>
        <v>-695.31249999999989</v>
      </c>
      <c r="E4883" s="3">
        <f>$B$4505*(C4883)+$B$4506*(C4883)^2/2-$B$4504*(C4883)^3/6-(N(D27)*MAX(0,(C4883)-N(E27))^2/2+N(F27)*MAX(0,(C4883)-N(G27))^2/2+N(H27)*MAX(0,(C4883)-N(I27))^2/2+N(J27)*MAX(0,(C4883)-N(K27))^2/2+N(L27)*MAX(0,(C4883)-N(M27))^2/2)+$B$4507</f>
        <v>-695.31249999999989</v>
      </c>
    </row>
    <row r="4884" spans="1:5" hidden="1">
      <c r="A4884" s="3">
        <f t="shared" si="87"/>
        <v>0</v>
      </c>
      <c r="B4884" s="3">
        <f t="shared" si="88"/>
        <v>0</v>
      </c>
      <c r="C4884" s="3">
        <f t="shared" si="86"/>
        <v>0</v>
      </c>
      <c r="D4884" s="3">
        <f>$B$4505*(A4884)+$B$4506*(A4884)^2/2-$B$4504*(A4884)^3/6-(N(D27)*MAX(0,(A4884)-N(E27))^2/2+N(F27)*MAX(0,(A4884)-N(G27))^2/2+N(H27)*MAX(0,(A4884)-N(I27))^2/2+N(J27)*MAX(0,(A4884)-N(K27))^2/2+N(L27)*MAX(0,(A4884)-N(M27))^2/2)+$B$4507</f>
        <v>-695.31249999999989</v>
      </c>
      <c r="E4884" s="3">
        <f>$B$4505*(C4884)+$B$4506*(C4884)^2/2-$B$4504*(C4884)^3/6-(N(D27)*MAX(0,(C4884)-N(E27))^2/2+N(F27)*MAX(0,(C4884)-N(G27))^2/2+N(H27)*MAX(0,(C4884)-N(I27))^2/2+N(J27)*MAX(0,(C4884)-N(K27))^2/2+N(L27)*MAX(0,(C4884)-N(M27))^2/2)+$B$4507</f>
        <v>-695.31249999999989</v>
      </c>
    </row>
    <row r="4885" spans="1:5" hidden="1">
      <c r="A4885" s="3">
        <f t="shared" si="87"/>
        <v>0</v>
      </c>
      <c r="B4885" s="3">
        <f t="shared" si="88"/>
        <v>0</v>
      </c>
      <c r="C4885" s="3">
        <f t="shared" si="86"/>
        <v>0</v>
      </c>
      <c r="D4885" s="3">
        <f>$B$4505*(A4885)+$B$4506*(A4885)^2/2-$B$4504*(A4885)^3/6-(N(D27)*MAX(0,(A4885)-N(E27))^2/2+N(F27)*MAX(0,(A4885)-N(G27))^2/2+N(H27)*MAX(0,(A4885)-N(I27))^2/2+N(J27)*MAX(0,(A4885)-N(K27))^2/2+N(L27)*MAX(0,(A4885)-N(M27))^2/2)+$B$4507</f>
        <v>-695.31249999999989</v>
      </c>
      <c r="E4885" s="3">
        <f>$B$4505*(C4885)+$B$4506*(C4885)^2/2-$B$4504*(C4885)^3/6-(N(D27)*MAX(0,(C4885)-N(E27))^2/2+N(F27)*MAX(0,(C4885)-N(G27))^2/2+N(H27)*MAX(0,(C4885)-N(I27))^2/2+N(J27)*MAX(0,(C4885)-N(K27))^2/2+N(L27)*MAX(0,(C4885)-N(M27))^2/2)+$B$4507</f>
        <v>-695.31249999999989</v>
      </c>
    </row>
    <row r="4886" spans="1:5" hidden="1">
      <c r="A4886" s="3">
        <f t="shared" si="87"/>
        <v>0</v>
      </c>
      <c r="B4886" s="3">
        <f t="shared" si="88"/>
        <v>0</v>
      </c>
      <c r="C4886" s="3">
        <f t="shared" si="86"/>
        <v>0</v>
      </c>
      <c r="D4886" s="3">
        <f>$B$4505*(A4886)+$B$4506*(A4886)^2/2-$B$4504*(A4886)^3/6-(N(D27)*MAX(0,(A4886)-N(E27))^2/2+N(F27)*MAX(0,(A4886)-N(G27))^2/2+N(H27)*MAX(0,(A4886)-N(I27))^2/2+N(J27)*MAX(0,(A4886)-N(K27))^2/2+N(L27)*MAX(0,(A4886)-N(M27))^2/2)+$B$4507</f>
        <v>-695.31249999999989</v>
      </c>
      <c r="E4886" s="3">
        <f>$B$4505*(C4886)+$B$4506*(C4886)^2/2-$B$4504*(C4886)^3/6-(N(D27)*MAX(0,(C4886)-N(E27))^2/2+N(F27)*MAX(0,(C4886)-N(G27))^2/2+N(H27)*MAX(0,(C4886)-N(I27))^2/2+N(J27)*MAX(0,(C4886)-N(K27))^2/2+N(L27)*MAX(0,(C4886)-N(M27))^2/2)+$B$4507</f>
        <v>-695.31249999999989</v>
      </c>
    </row>
    <row r="4887" spans="1:5" hidden="1">
      <c r="A4887" s="3">
        <f t="shared" si="87"/>
        <v>0</v>
      </c>
      <c r="B4887" s="3">
        <f t="shared" si="88"/>
        <v>0</v>
      </c>
      <c r="C4887" s="3">
        <f t="shared" si="86"/>
        <v>0</v>
      </c>
      <c r="D4887" s="3">
        <f>$B$4505*(A4887)+$B$4506*(A4887)^2/2-$B$4504*(A4887)^3/6-(N(D27)*MAX(0,(A4887)-N(E27))^2/2+N(F27)*MAX(0,(A4887)-N(G27))^2/2+N(H27)*MAX(0,(A4887)-N(I27))^2/2+N(J27)*MAX(0,(A4887)-N(K27))^2/2+N(L27)*MAX(0,(A4887)-N(M27))^2/2)+$B$4507</f>
        <v>-695.31249999999989</v>
      </c>
      <c r="E4887" s="3">
        <f>$B$4505*(C4887)+$B$4506*(C4887)^2/2-$B$4504*(C4887)^3/6-(N(D27)*MAX(0,(C4887)-N(E27))^2/2+N(F27)*MAX(0,(C4887)-N(G27))^2/2+N(H27)*MAX(0,(C4887)-N(I27))^2/2+N(J27)*MAX(0,(C4887)-N(K27))^2/2+N(L27)*MAX(0,(C4887)-N(M27))^2/2)+$B$4507</f>
        <v>-695.31249999999989</v>
      </c>
    </row>
    <row r="4888" spans="1:5" hidden="1">
      <c r="A4888" s="3">
        <f t="shared" si="87"/>
        <v>0</v>
      </c>
      <c r="B4888" s="3">
        <f t="shared" si="88"/>
        <v>0</v>
      </c>
      <c r="C4888" s="3">
        <f t="shared" si="86"/>
        <v>0</v>
      </c>
      <c r="D4888" s="3">
        <f>$B$4505*(A4888)+$B$4506*(A4888)^2/2-$B$4504*(A4888)^3/6-(N(D27)*MAX(0,(A4888)-N(E27))^2/2+N(F27)*MAX(0,(A4888)-N(G27))^2/2+N(H27)*MAX(0,(A4888)-N(I27))^2/2+N(J27)*MAX(0,(A4888)-N(K27))^2/2+N(L27)*MAX(0,(A4888)-N(M27))^2/2)+$B$4507</f>
        <v>-695.31249999999989</v>
      </c>
      <c r="E4888" s="3">
        <f>$B$4505*(C4888)+$B$4506*(C4888)^2/2-$B$4504*(C4888)^3/6-(N(D27)*MAX(0,(C4888)-N(E27))^2/2+N(F27)*MAX(0,(C4888)-N(G27))^2/2+N(H27)*MAX(0,(C4888)-N(I27))^2/2+N(J27)*MAX(0,(C4888)-N(K27))^2/2+N(L27)*MAX(0,(C4888)-N(M27))^2/2)+$B$4507</f>
        <v>-695.31249999999989</v>
      </c>
    </row>
    <row r="4889" spans="1:5" hidden="1">
      <c r="A4889" s="3">
        <f t="shared" si="87"/>
        <v>0</v>
      </c>
      <c r="B4889" s="3">
        <f t="shared" si="88"/>
        <v>0</v>
      </c>
      <c r="C4889" s="3">
        <f t="shared" si="86"/>
        <v>0</v>
      </c>
      <c r="D4889" s="3">
        <f>$B$4505*(A4889)+$B$4506*(A4889)^2/2-$B$4504*(A4889)^3/6-(N(D27)*MAX(0,(A4889)-N(E27))^2/2+N(F27)*MAX(0,(A4889)-N(G27))^2/2+N(H27)*MAX(0,(A4889)-N(I27))^2/2+N(J27)*MAX(0,(A4889)-N(K27))^2/2+N(L27)*MAX(0,(A4889)-N(M27))^2/2)+$B$4507</f>
        <v>-695.31249999999989</v>
      </c>
      <c r="E4889" s="3">
        <f>$B$4505*(C4889)+$B$4506*(C4889)^2/2-$B$4504*(C4889)^3/6-(N(D27)*MAX(0,(C4889)-N(E27))^2/2+N(F27)*MAX(0,(C4889)-N(G27))^2/2+N(H27)*MAX(0,(C4889)-N(I27))^2/2+N(J27)*MAX(0,(C4889)-N(K27))^2/2+N(L27)*MAX(0,(C4889)-N(M27))^2/2)+$B$4507</f>
        <v>-695.31249999999989</v>
      </c>
    </row>
    <row r="4890" spans="1:5" hidden="1">
      <c r="A4890" s="3">
        <f t="shared" si="87"/>
        <v>0</v>
      </c>
      <c r="B4890" s="3">
        <f t="shared" si="88"/>
        <v>0</v>
      </c>
      <c r="C4890" s="3">
        <f t="shared" si="86"/>
        <v>0</v>
      </c>
      <c r="D4890" s="3">
        <f>$B$4505*(A4890)+$B$4506*(A4890)^2/2-$B$4504*(A4890)^3/6-(N(D27)*MAX(0,(A4890)-N(E27))^2/2+N(F27)*MAX(0,(A4890)-N(G27))^2/2+N(H27)*MAX(0,(A4890)-N(I27))^2/2+N(J27)*MAX(0,(A4890)-N(K27))^2/2+N(L27)*MAX(0,(A4890)-N(M27))^2/2)+$B$4507</f>
        <v>-695.31249999999989</v>
      </c>
      <c r="E4890" s="3">
        <f>$B$4505*(C4890)+$B$4506*(C4890)^2/2-$B$4504*(C4890)^3/6-(N(D27)*MAX(0,(C4890)-N(E27))^2/2+N(F27)*MAX(0,(C4890)-N(G27))^2/2+N(H27)*MAX(0,(C4890)-N(I27))^2/2+N(J27)*MAX(0,(C4890)-N(K27))^2/2+N(L27)*MAX(0,(C4890)-N(M27))^2/2)+$B$4507</f>
        <v>-695.31249999999989</v>
      </c>
    </row>
    <row r="4891" spans="1:5" hidden="1">
      <c r="A4891" s="3">
        <f t="shared" si="87"/>
        <v>0</v>
      </c>
      <c r="B4891" s="3">
        <f t="shared" si="88"/>
        <v>0</v>
      </c>
      <c r="C4891" s="3">
        <f t="shared" si="86"/>
        <v>0</v>
      </c>
      <c r="D4891" s="3">
        <f>$B$4505*(A4891)+$B$4506*(A4891)^2/2-$B$4504*(A4891)^3/6-(N(D27)*MAX(0,(A4891)-N(E27))^2/2+N(F27)*MAX(0,(A4891)-N(G27))^2/2+N(H27)*MAX(0,(A4891)-N(I27))^2/2+N(J27)*MAX(0,(A4891)-N(K27))^2/2+N(L27)*MAX(0,(A4891)-N(M27))^2/2)+$B$4507</f>
        <v>-695.31249999999989</v>
      </c>
      <c r="E4891" s="3">
        <f>$B$4505*(C4891)+$B$4506*(C4891)^2/2-$B$4504*(C4891)^3/6-(N(D27)*MAX(0,(C4891)-N(E27))^2/2+N(F27)*MAX(0,(C4891)-N(G27))^2/2+N(H27)*MAX(0,(C4891)-N(I27))^2/2+N(J27)*MAX(0,(C4891)-N(K27))^2/2+N(L27)*MAX(0,(C4891)-N(M27))^2/2)+$B$4507</f>
        <v>-695.31249999999989</v>
      </c>
    </row>
    <row r="4892" spans="1:5" hidden="1">
      <c r="A4892" s="3">
        <f t="shared" si="87"/>
        <v>0</v>
      </c>
      <c r="B4892" s="3">
        <f t="shared" si="88"/>
        <v>0</v>
      </c>
      <c r="C4892" s="3">
        <f t="shared" si="86"/>
        <v>0</v>
      </c>
      <c r="D4892" s="3">
        <f>$B$4505*(A4892)+$B$4506*(A4892)^2/2-$B$4504*(A4892)^3/6-(N(D27)*MAX(0,(A4892)-N(E27))^2/2+N(F27)*MAX(0,(A4892)-N(G27))^2/2+N(H27)*MAX(0,(A4892)-N(I27))^2/2+N(J27)*MAX(0,(A4892)-N(K27))^2/2+N(L27)*MAX(0,(A4892)-N(M27))^2/2)+$B$4507</f>
        <v>-695.31249999999989</v>
      </c>
      <c r="E4892" s="3">
        <f>$B$4505*(C4892)+$B$4506*(C4892)^2/2-$B$4504*(C4892)^3/6-(N(D27)*MAX(0,(C4892)-N(E27))^2/2+N(F27)*MAX(0,(C4892)-N(G27))^2/2+N(H27)*MAX(0,(C4892)-N(I27))^2/2+N(J27)*MAX(0,(C4892)-N(K27))^2/2+N(L27)*MAX(0,(C4892)-N(M27))^2/2)+$B$4507</f>
        <v>-695.31249999999989</v>
      </c>
    </row>
    <row r="4893" spans="1:5" hidden="1">
      <c r="A4893" s="3">
        <f t="shared" si="87"/>
        <v>0</v>
      </c>
      <c r="B4893" s="3">
        <f t="shared" si="88"/>
        <v>0</v>
      </c>
      <c r="C4893" s="3">
        <f t="shared" si="86"/>
        <v>0</v>
      </c>
      <c r="D4893" s="3">
        <f>$B$4505*(A4893)+$B$4506*(A4893)^2/2-$B$4504*(A4893)^3/6-(N(D27)*MAX(0,(A4893)-N(E27))^2/2+N(F27)*MAX(0,(A4893)-N(G27))^2/2+N(H27)*MAX(0,(A4893)-N(I27))^2/2+N(J27)*MAX(0,(A4893)-N(K27))^2/2+N(L27)*MAX(0,(A4893)-N(M27))^2/2)+$B$4507</f>
        <v>-695.31249999999989</v>
      </c>
      <c r="E4893" s="3">
        <f>$B$4505*(C4893)+$B$4506*(C4893)^2/2-$B$4504*(C4893)^3/6-(N(D27)*MAX(0,(C4893)-N(E27))^2/2+N(F27)*MAX(0,(C4893)-N(G27))^2/2+N(H27)*MAX(0,(C4893)-N(I27))^2/2+N(J27)*MAX(0,(C4893)-N(K27))^2/2+N(L27)*MAX(0,(C4893)-N(M27))^2/2)+$B$4507</f>
        <v>-695.31249999999989</v>
      </c>
    </row>
    <row r="4894" spans="1:5" hidden="1">
      <c r="A4894" s="3">
        <f t="shared" si="87"/>
        <v>0</v>
      </c>
      <c r="B4894" s="3">
        <f t="shared" si="88"/>
        <v>0</v>
      </c>
      <c r="C4894" s="3">
        <f t="shared" si="86"/>
        <v>0</v>
      </c>
      <c r="D4894" s="3">
        <f>$B$4505*(A4894)+$B$4506*(A4894)^2/2-$B$4504*(A4894)^3/6-(N(D27)*MAX(0,(A4894)-N(E27))^2/2+N(F27)*MAX(0,(A4894)-N(G27))^2/2+N(H27)*MAX(0,(A4894)-N(I27))^2/2+N(J27)*MAX(0,(A4894)-N(K27))^2/2+N(L27)*MAX(0,(A4894)-N(M27))^2/2)+$B$4507</f>
        <v>-695.31249999999989</v>
      </c>
      <c r="E4894" s="3">
        <f>$B$4505*(C4894)+$B$4506*(C4894)^2/2-$B$4504*(C4894)^3/6-(N(D27)*MAX(0,(C4894)-N(E27))^2/2+N(F27)*MAX(0,(C4894)-N(G27))^2/2+N(H27)*MAX(0,(C4894)-N(I27))^2/2+N(J27)*MAX(0,(C4894)-N(K27))^2/2+N(L27)*MAX(0,(C4894)-N(M27))^2/2)+$B$4507</f>
        <v>-695.31249999999989</v>
      </c>
    </row>
    <row r="4895" spans="1:5" hidden="1">
      <c r="A4895" s="3">
        <f t="shared" si="87"/>
        <v>0</v>
      </c>
      <c r="B4895" s="3">
        <f t="shared" si="88"/>
        <v>0</v>
      </c>
      <c r="C4895" s="3">
        <f t="shared" si="86"/>
        <v>0</v>
      </c>
      <c r="D4895" s="3">
        <f>$B$4505*(A4895)+$B$4506*(A4895)^2/2-$B$4504*(A4895)^3/6-(N(D27)*MAX(0,(A4895)-N(E27))^2/2+N(F27)*MAX(0,(A4895)-N(G27))^2/2+N(H27)*MAX(0,(A4895)-N(I27))^2/2+N(J27)*MAX(0,(A4895)-N(K27))^2/2+N(L27)*MAX(0,(A4895)-N(M27))^2/2)+$B$4507</f>
        <v>-695.31249999999989</v>
      </c>
      <c r="E4895" s="3">
        <f>$B$4505*(C4895)+$B$4506*(C4895)^2/2-$B$4504*(C4895)^3/6-(N(D27)*MAX(0,(C4895)-N(E27))^2/2+N(F27)*MAX(0,(C4895)-N(G27))^2/2+N(H27)*MAX(0,(C4895)-N(I27))^2/2+N(J27)*MAX(0,(C4895)-N(K27))^2/2+N(L27)*MAX(0,(C4895)-N(M27))^2/2)+$B$4507</f>
        <v>-695.31249999999989</v>
      </c>
    </row>
    <row r="4896" spans="1:5" hidden="1">
      <c r="A4896" s="3">
        <f t="shared" si="87"/>
        <v>0</v>
      </c>
      <c r="B4896" s="3">
        <f t="shared" si="88"/>
        <v>0</v>
      </c>
      <c r="C4896" s="3">
        <f t="shared" si="86"/>
        <v>0</v>
      </c>
      <c r="D4896" s="3">
        <f>$B$4505*(A4896)+$B$4506*(A4896)^2/2-$B$4504*(A4896)^3/6-(N(D27)*MAX(0,(A4896)-N(E27))^2/2+N(F27)*MAX(0,(A4896)-N(G27))^2/2+N(H27)*MAX(0,(A4896)-N(I27))^2/2+N(J27)*MAX(0,(A4896)-N(K27))^2/2+N(L27)*MAX(0,(A4896)-N(M27))^2/2)+$B$4507</f>
        <v>-695.31249999999989</v>
      </c>
      <c r="E4896" s="3">
        <f>$B$4505*(C4896)+$B$4506*(C4896)^2/2-$B$4504*(C4896)^3/6-(N(D27)*MAX(0,(C4896)-N(E27))^2/2+N(F27)*MAX(0,(C4896)-N(G27))^2/2+N(H27)*MAX(0,(C4896)-N(I27))^2/2+N(J27)*MAX(0,(C4896)-N(K27))^2/2+N(L27)*MAX(0,(C4896)-N(M27))^2/2)+$B$4507</f>
        <v>-695.31249999999989</v>
      </c>
    </row>
    <row r="4897" spans="1:5" hidden="1">
      <c r="A4897" s="3">
        <f t="shared" si="87"/>
        <v>0</v>
      </c>
      <c r="B4897" s="3">
        <f t="shared" si="88"/>
        <v>0</v>
      </c>
      <c r="C4897" s="3">
        <f t="shared" si="86"/>
        <v>0</v>
      </c>
      <c r="D4897" s="3">
        <f>$B$4505*(A4897)+$B$4506*(A4897)^2/2-$B$4504*(A4897)^3/6-(N(D27)*MAX(0,(A4897)-N(E27))^2/2+N(F27)*MAX(0,(A4897)-N(G27))^2/2+N(H27)*MAX(0,(A4897)-N(I27))^2/2+N(J27)*MAX(0,(A4897)-N(K27))^2/2+N(L27)*MAX(0,(A4897)-N(M27))^2/2)+$B$4507</f>
        <v>-695.31249999999989</v>
      </c>
      <c r="E4897" s="3">
        <f>$B$4505*(C4897)+$B$4506*(C4897)^2/2-$B$4504*(C4897)^3/6-(N(D27)*MAX(0,(C4897)-N(E27))^2/2+N(F27)*MAX(0,(C4897)-N(G27))^2/2+N(H27)*MAX(0,(C4897)-N(I27))^2/2+N(J27)*MAX(0,(C4897)-N(K27))^2/2+N(L27)*MAX(0,(C4897)-N(M27))^2/2)+$B$4507</f>
        <v>-695.31249999999989</v>
      </c>
    </row>
    <row r="4898" spans="1:5" hidden="1">
      <c r="A4898" s="3">
        <f t="shared" si="87"/>
        <v>0</v>
      </c>
      <c r="B4898" s="3">
        <f t="shared" si="88"/>
        <v>0</v>
      </c>
      <c r="C4898" s="3">
        <f t="shared" si="86"/>
        <v>0</v>
      </c>
      <c r="D4898" s="3">
        <f>$B$4505*(A4898)+$B$4506*(A4898)^2/2-$B$4504*(A4898)^3/6-(N(D27)*MAX(0,(A4898)-N(E27))^2/2+N(F27)*MAX(0,(A4898)-N(G27))^2/2+N(H27)*MAX(0,(A4898)-N(I27))^2/2+N(J27)*MAX(0,(A4898)-N(K27))^2/2+N(L27)*MAX(0,(A4898)-N(M27))^2/2)+$B$4507</f>
        <v>-695.31249999999989</v>
      </c>
      <c r="E4898" s="3">
        <f>$B$4505*(C4898)+$B$4506*(C4898)^2/2-$B$4504*(C4898)^3/6-(N(D27)*MAX(0,(C4898)-N(E27))^2/2+N(F27)*MAX(0,(C4898)-N(G27))^2/2+N(H27)*MAX(0,(C4898)-N(I27))^2/2+N(J27)*MAX(0,(C4898)-N(K27))^2/2+N(L27)*MAX(0,(C4898)-N(M27))^2/2)+$B$4507</f>
        <v>-695.31249999999989</v>
      </c>
    </row>
    <row r="4899" spans="1:5" hidden="1">
      <c r="A4899" s="3">
        <f t="shared" si="87"/>
        <v>0</v>
      </c>
      <c r="B4899" s="3">
        <f t="shared" si="88"/>
        <v>0</v>
      </c>
      <c r="C4899" s="3">
        <f t="shared" si="86"/>
        <v>0</v>
      </c>
      <c r="D4899" s="3">
        <f>$B$4505*(A4899)+$B$4506*(A4899)^2/2-$B$4504*(A4899)^3/6-(N(D27)*MAX(0,(A4899)-N(E27))^2/2+N(F27)*MAX(0,(A4899)-N(G27))^2/2+N(H27)*MAX(0,(A4899)-N(I27))^2/2+N(J27)*MAX(0,(A4899)-N(K27))^2/2+N(L27)*MAX(0,(A4899)-N(M27))^2/2)+$B$4507</f>
        <v>-695.31249999999989</v>
      </c>
      <c r="E4899" s="3">
        <f>$B$4505*(C4899)+$B$4506*(C4899)^2/2-$B$4504*(C4899)^3/6-(N(D27)*MAX(0,(C4899)-N(E27))^2/2+N(F27)*MAX(0,(C4899)-N(G27))^2/2+N(H27)*MAX(0,(C4899)-N(I27))^2/2+N(J27)*MAX(0,(C4899)-N(K27))^2/2+N(L27)*MAX(0,(C4899)-N(M27))^2/2)+$B$4507</f>
        <v>-695.31249999999989</v>
      </c>
    </row>
    <row r="4900" spans="1:5" hidden="1">
      <c r="A4900" s="3">
        <f t="shared" si="87"/>
        <v>0</v>
      </c>
      <c r="B4900" s="3">
        <f t="shared" si="88"/>
        <v>0</v>
      </c>
      <c r="C4900" s="3">
        <f t="shared" si="86"/>
        <v>0</v>
      </c>
      <c r="D4900" s="3">
        <f>$B$4505*(A4900)+$B$4506*(A4900)^2/2-$B$4504*(A4900)^3/6-(N(D27)*MAX(0,(A4900)-N(E27))^2/2+N(F27)*MAX(0,(A4900)-N(G27))^2/2+N(H27)*MAX(0,(A4900)-N(I27))^2/2+N(J27)*MAX(0,(A4900)-N(K27))^2/2+N(L27)*MAX(0,(A4900)-N(M27))^2/2)+$B$4507</f>
        <v>-695.31249999999989</v>
      </c>
      <c r="E4900" s="3">
        <f>$B$4505*(C4900)+$B$4506*(C4900)^2/2-$B$4504*(C4900)^3/6-(N(D27)*MAX(0,(C4900)-N(E27))^2/2+N(F27)*MAX(0,(C4900)-N(G27))^2/2+N(H27)*MAX(0,(C4900)-N(I27))^2/2+N(J27)*MAX(0,(C4900)-N(K27))^2/2+N(L27)*MAX(0,(C4900)-N(M27))^2/2)+$B$4507</f>
        <v>-695.31249999999989</v>
      </c>
    </row>
    <row r="4901" spans="1:5" hidden="1">
      <c r="A4901" s="3">
        <f t="shared" si="87"/>
        <v>0</v>
      </c>
      <c r="B4901" s="3">
        <f t="shared" si="88"/>
        <v>0</v>
      </c>
      <c r="C4901" s="3">
        <f t="shared" si="86"/>
        <v>0</v>
      </c>
      <c r="D4901" s="3">
        <f>$B$4505*(A4901)+$B$4506*(A4901)^2/2-$B$4504*(A4901)^3/6-(N(D27)*MAX(0,(A4901)-N(E27))^2/2+N(F27)*MAX(0,(A4901)-N(G27))^2/2+N(H27)*MAX(0,(A4901)-N(I27))^2/2+N(J27)*MAX(0,(A4901)-N(K27))^2/2+N(L27)*MAX(0,(A4901)-N(M27))^2/2)+$B$4507</f>
        <v>-695.31249999999989</v>
      </c>
      <c r="E4901" s="3">
        <f>$B$4505*(C4901)+$B$4506*(C4901)^2/2-$B$4504*(C4901)^3/6-(N(D27)*MAX(0,(C4901)-N(E27))^2/2+N(F27)*MAX(0,(C4901)-N(G27))^2/2+N(H27)*MAX(0,(C4901)-N(I27))^2/2+N(J27)*MAX(0,(C4901)-N(K27))^2/2+N(L27)*MAX(0,(C4901)-N(M27))^2/2)+$B$4507</f>
        <v>-695.31249999999989</v>
      </c>
    </row>
    <row r="4902" spans="1:5" hidden="1">
      <c r="A4902" s="3">
        <f t="shared" si="87"/>
        <v>0</v>
      </c>
      <c r="B4902" s="3">
        <f t="shared" si="88"/>
        <v>0</v>
      </c>
      <c r="C4902" s="3">
        <f t="shared" si="86"/>
        <v>0</v>
      </c>
      <c r="D4902" s="3">
        <f>$B$4505*(A4902)+$B$4506*(A4902)^2/2-$B$4504*(A4902)^3/6-(N(D27)*MAX(0,(A4902)-N(E27))^2/2+N(F27)*MAX(0,(A4902)-N(G27))^2/2+N(H27)*MAX(0,(A4902)-N(I27))^2/2+N(J27)*MAX(0,(A4902)-N(K27))^2/2+N(L27)*MAX(0,(A4902)-N(M27))^2/2)+$B$4507</f>
        <v>-695.31249999999989</v>
      </c>
      <c r="E4902" s="3">
        <f>$B$4505*(C4902)+$B$4506*(C4902)^2/2-$B$4504*(C4902)^3/6-(N(D27)*MAX(0,(C4902)-N(E27))^2/2+N(F27)*MAX(0,(C4902)-N(G27))^2/2+N(H27)*MAX(0,(C4902)-N(I27))^2/2+N(J27)*MAX(0,(C4902)-N(K27))^2/2+N(L27)*MAX(0,(C4902)-N(M27))^2/2)+$B$4507</f>
        <v>-695.31249999999989</v>
      </c>
    </row>
    <row r="4903" spans="1:5" hidden="1">
      <c r="A4903" s="3">
        <f t="shared" si="87"/>
        <v>0</v>
      </c>
      <c r="B4903" s="3">
        <f t="shared" si="88"/>
        <v>0</v>
      </c>
      <c r="C4903" s="3">
        <f t="shared" si="86"/>
        <v>0</v>
      </c>
      <c r="D4903" s="3">
        <f>$B$4505*(A4903)+$B$4506*(A4903)^2/2-$B$4504*(A4903)^3/6-(N(D27)*MAX(0,(A4903)-N(E27))^2/2+N(F27)*MAX(0,(A4903)-N(G27))^2/2+N(H27)*MAX(0,(A4903)-N(I27))^2/2+N(J27)*MAX(0,(A4903)-N(K27))^2/2+N(L27)*MAX(0,(A4903)-N(M27))^2/2)+$B$4507</f>
        <v>-695.31249999999989</v>
      </c>
      <c r="E4903" s="3">
        <f>$B$4505*(C4903)+$B$4506*(C4903)^2/2-$B$4504*(C4903)^3/6-(N(D27)*MAX(0,(C4903)-N(E27))^2/2+N(F27)*MAX(0,(C4903)-N(G27))^2/2+N(H27)*MAX(0,(C4903)-N(I27))^2/2+N(J27)*MAX(0,(C4903)-N(K27))^2/2+N(L27)*MAX(0,(C4903)-N(M27))^2/2)+$B$4507</f>
        <v>-695.31249999999989</v>
      </c>
    </row>
    <row r="4904" spans="1:5" hidden="1">
      <c r="A4904" s="3">
        <f t="shared" si="87"/>
        <v>0</v>
      </c>
      <c r="B4904" s="3">
        <f t="shared" si="88"/>
        <v>0</v>
      </c>
      <c r="C4904" s="3">
        <f t="shared" si="86"/>
        <v>0</v>
      </c>
      <c r="D4904" s="3">
        <f>$B$4505*(A4904)+$B$4506*(A4904)^2/2-$B$4504*(A4904)^3/6-(N(D27)*MAX(0,(A4904)-N(E27))^2/2+N(F27)*MAX(0,(A4904)-N(G27))^2/2+N(H27)*MAX(0,(A4904)-N(I27))^2/2+N(J27)*MAX(0,(A4904)-N(K27))^2/2+N(L27)*MAX(0,(A4904)-N(M27))^2/2)+$B$4507</f>
        <v>-695.31249999999989</v>
      </c>
      <c r="E4904" s="3">
        <f>$B$4505*(C4904)+$B$4506*(C4904)^2/2-$B$4504*(C4904)^3/6-(N(D27)*MAX(0,(C4904)-N(E27))^2/2+N(F27)*MAX(0,(C4904)-N(G27))^2/2+N(H27)*MAX(0,(C4904)-N(I27))^2/2+N(J27)*MAX(0,(C4904)-N(K27))^2/2+N(L27)*MAX(0,(C4904)-N(M27))^2/2)+$B$4507</f>
        <v>-695.31249999999989</v>
      </c>
    </row>
    <row r="4905" spans="1:5" hidden="1">
      <c r="A4905" s="3">
        <f t="shared" si="87"/>
        <v>0</v>
      </c>
      <c r="B4905" s="3">
        <f t="shared" si="88"/>
        <v>0</v>
      </c>
      <c r="C4905" s="3">
        <f t="shared" si="86"/>
        <v>0</v>
      </c>
      <c r="D4905" s="3">
        <f>$B$4505*(A4905)+$B$4506*(A4905)^2/2-$B$4504*(A4905)^3/6-(N(D27)*MAX(0,(A4905)-N(E27))^2/2+N(F27)*MAX(0,(A4905)-N(G27))^2/2+N(H27)*MAX(0,(A4905)-N(I27))^2/2+N(J27)*MAX(0,(A4905)-N(K27))^2/2+N(L27)*MAX(0,(A4905)-N(M27))^2/2)+$B$4507</f>
        <v>-695.31249999999989</v>
      </c>
      <c r="E4905" s="3">
        <f>$B$4505*(C4905)+$B$4506*(C4905)^2/2-$B$4504*(C4905)^3/6-(N(D27)*MAX(0,(C4905)-N(E27))^2/2+N(F27)*MAX(0,(C4905)-N(G27))^2/2+N(H27)*MAX(0,(C4905)-N(I27))^2/2+N(J27)*MAX(0,(C4905)-N(K27))^2/2+N(L27)*MAX(0,(C4905)-N(M27))^2/2)+$B$4507</f>
        <v>-695.31249999999989</v>
      </c>
    </row>
    <row r="4906" spans="1:5" hidden="1">
      <c r="A4906" s="3">
        <f t="shared" si="87"/>
        <v>0</v>
      </c>
      <c r="B4906" s="3">
        <f t="shared" si="88"/>
        <v>0</v>
      </c>
      <c r="C4906" s="3">
        <f t="shared" si="86"/>
        <v>0</v>
      </c>
      <c r="D4906" s="3">
        <f>$B$4505*(A4906)+$B$4506*(A4906)^2/2-$B$4504*(A4906)^3/6-(N(D27)*MAX(0,(A4906)-N(E27))^2/2+N(F27)*MAX(0,(A4906)-N(G27))^2/2+N(H27)*MAX(0,(A4906)-N(I27))^2/2+N(J27)*MAX(0,(A4906)-N(K27))^2/2+N(L27)*MAX(0,(A4906)-N(M27))^2/2)+$B$4507</f>
        <v>-695.31249999999989</v>
      </c>
      <c r="E4906" s="3">
        <f>$B$4505*(C4906)+$B$4506*(C4906)^2/2-$B$4504*(C4906)^3/6-(N(D27)*MAX(0,(C4906)-N(E27))^2/2+N(F27)*MAX(0,(C4906)-N(G27))^2/2+N(H27)*MAX(0,(C4906)-N(I27))^2/2+N(J27)*MAX(0,(C4906)-N(K27))^2/2+N(L27)*MAX(0,(C4906)-N(M27))^2/2)+$B$4507</f>
        <v>-695.31249999999989</v>
      </c>
    </row>
    <row r="4907" spans="1:5" hidden="1">
      <c r="A4907" s="3">
        <f t="shared" si="87"/>
        <v>0</v>
      </c>
      <c r="B4907" s="3">
        <f t="shared" si="88"/>
        <v>0</v>
      </c>
      <c r="C4907" s="3">
        <f t="shared" si="86"/>
        <v>0</v>
      </c>
      <c r="D4907" s="3">
        <f>$B$4505*(A4907)+$B$4506*(A4907)^2/2-$B$4504*(A4907)^3/6-(N(D27)*MAX(0,(A4907)-N(E27))^2/2+N(F27)*MAX(0,(A4907)-N(G27))^2/2+N(H27)*MAX(0,(A4907)-N(I27))^2/2+N(J27)*MAX(0,(A4907)-N(K27))^2/2+N(L27)*MAX(0,(A4907)-N(M27))^2/2)+$B$4507</f>
        <v>-695.31249999999989</v>
      </c>
      <c r="E4907" s="3">
        <f>$B$4505*(C4907)+$B$4506*(C4907)^2/2-$B$4504*(C4907)^3/6-(N(D27)*MAX(0,(C4907)-N(E27))^2/2+N(F27)*MAX(0,(C4907)-N(G27))^2/2+N(H27)*MAX(0,(C4907)-N(I27))^2/2+N(J27)*MAX(0,(C4907)-N(K27))^2/2+N(L27)*MAX(0,(C4907)-N(M27))^2/2)+$B$4507</f>
        <v>-695.31249999999989</v>
      </c>
    </row>
    <row r="4908" spans="1:5" hidden="1">
      <c r="A4908" s="3">
        <f t="shared" si="87"/>
        <v>0</v>
      </c>
      <c r="B4908" s="3">
        <f t="shared" si="88"/>
        <v>0</v>
      </c>
      <c r="C4908" s="3">
        <f t="shared" si="86"/>
        <v>0</v>
      </c>
      <c r="D4908" s="3">
        <f>$B$4505*(A4908)+$B$4506*(A4908)^2/2-$B$4504*(A4908)^3/6-(N(D27)*MAX(0,(A4908)-N(E27))^2/2+N(F27)*MAX(0,(A4908)-N(G27))^2/2+N(H27)*MAX(0,(A4908)-N(I27))^2/2+N(J27)*MAX(0,(A4908)-N(K27))^2/2+N(L27)*MAX(0,(A4908)-N(M27))^2/2)+$B$4507</f>
        <v>-695.31249999999989</v>
      </c>
      <c r="E4908" s="3">
        <f>$B$4505*(C4908)+$B$4506*(C4908)^2/2-$B$4504*(C4908)^3/6-(N(D27)*MAX(0,(C4908)-N(E27))^2/2+N(F27)*MAX(0,(C4908)-N(G27))^2/2+N(H27)*MAX(0,(C4908)-N(I27))^2/2+N(J27)*MAX(0,(C4908)-N(K27))^2/2+N(L27)*MAX(0,(C4908)-N(M27))^2/2)+$B$4507</f>
        <v>-695.31249999999989</v>
      </c>
    </row>
    <row r="4909" spans="1:5" hidden="1">
      <c r="A4909" s="3">
        <f t="shared" si="87"/>
        <v>0</v>
      </c>
      <c r="B4909" s="3">
        <f t="shared" si="88"/>
        <v>0</v>
      </c>
      <c r="C4909" s="3">
        <f t="shared" si="86"/>
        <v>0</v>
      </c>
      <c r="D4909" s="3">
        <f>$B$4505*(A4909)+$B$4506*(A4909)^2/2-$B$4504*(A4909)^3/6-(N(D27)*MAX(0,(A4909)-N(E27))^2/2+N(F27)*MAX(0,(A4909)-N(G27))^2/2+N(H27)*MAX(0,(A4909)-N(I27))^2/2+N(J27)*MAX(0,(A4909)-N(K27))^2/2+N(L27)*MAX(0,(A4909)-N(M27))^2/2)+$B$4507</f>
        <v>-695.31249999999989</v>
      </c>
      <c r="E4909" s="3">
        <f>$B$4505*(C4909)+$B$4506*(C4909)^2/2-$B$4504*(C4909)^3/6-(N(D27)*MAX(0,(C4909)-N(E27))^2/2+N(F27)*MAX(0,(C4909)-N(G27))^2/2+N(H27)*MAX(0,(C4909)-N(I27))^2/2+N(J27)*MAX(0,(C4909)-N(K27))^2/2+N(L27)*MAX(0,(C4909)-N(M27))^2/2)+$B$4507</f>
        <v>-695.31249999999989</v>
      </c>
    </row>
    <row r="4910" spans="1:5" hidden="1">
      <c r="A4910" s="3">
        <f t="shared" si="87"/>
        <v>0</v>
      </c>
      <c r="B4910" s="3">
        <f t="shared" si="88"/>
        <v>0</v>
      </c>
      <c r="C4910" s="3">
        <f t="shared" si="86"/>
        <v>0</v>
      </c>
      <c r="D4910" s="3">
        <f>$B$4505*(A4910)+$B$4506*(A4910)^2/2-$B$4504*(A4910)^3/6-(N(D27)*MAX(0,(A4910)-N(E27))^2/2+N(F27)*MAX(0,(A4910)-N(G27))^2/2+N(H27)*MAX(0,(A4910)-N(I27))^2/2+N(J27)*MAX(0,(A4910)-N(K27))^2/2+N(L27)*MAX(0,(A4910)-N(M27))^2/2)+$B$4507</f>
        <v>-695.31249999999989</v>
      </c>
      <c r="E4910" s="3">
        <f>$B$4505*(C4910)+$B$4506*(C4910)^2/2-$B$4504*(C4910)^3/6-(N(D27)*MAX(0,(C4910)-N(E27))^2/2+N(F27)*MAX(0,(C4910)-N(G27))^2/2+N(H27)*MAX(0,(C4910)-N(I27))^2/2+N(J27)*MAX(0,(C4910)-N(K27))^2/2+N(L27)*MAX(0,(C4910)-N(M27))^2/2)+$B$4507</f>
        <v>-695.31249999999989</v>
      </c>
    </row>
    <row r="4911" spans="1:5" hidden="1">
      <c r="A4911" s="3">
        <f t="shared" si="87"/>
        <v>0</v>
      </c>
      <c r="B4911" s="3">
        <f t="shared" si="88"/>
        <v>0</v>
      </c>
      <c r="C4911" s="3">
        <f t="shared" si="86"/>
        <v>0</v>
      </c>
      <c r="D4911" s="3">
        <f>$B$4505*(A4911)+$B$4506*(A4911)^2/2-$B$4504*(A4911)^3/6-(N(D27)*MAX(0,(A4911)-N(E27))^2/2+N(F27)*MAX(0,(A4911)-N(G27))^2/2+N(H27)*MAX(0,(A4911)-N(I27))^2/2+N(J27)*MAX(0,(A4911)-N(K27))^2/2+N(L27)*MAX(0,(A4911)-N(M27))^2/2)+$B$4507</f>
        <v>-695.31249999999989</v>
      </c>
      <c r="E4911" s="3">
        <f>$B$4505*(C4911)+$B$4506*(C4911)^2/2-$B$4504*(C4911)^3/6-(N(D27)*MAX(0,(C4911)-N(E27))^2/2+N(F27)*MAX(0,(C4911)-N(G27))^2/2+N(H27)*MAX(0,(C4911)-N(I27))^2/2+N(J27)*MAX(0,(C4911)-N(K27))^2/2+N(L27)*MAX(0,(C4911)-N(M27))^2/2)+$B$4507</f>
        <v>-695.31249999999989</v>
      </c>
    </row>
    <row r="4912" spans="1:5" hidden="1">
      <c r="A4912" s="3">
        <f t="shared" si="87"/>
        <v>0</v>
      </c>
      <c r="B4912" s="3">
        <f t="shared" si="88"/>
        <v>0</v>
      </c>
      <c r="C4912" s="3">
        <f t="shared" si="86"/>
        <v>0</v>
      </c>
      <c r="D4912" s="3">
        <f>$B$4505*(A4912)+$B$4506*(A4912)^2/2-$B$4504*(A4912)^3/6-(N(D27)*MAX(0,(A4912)-N(E27))^2/2+N(F27)*MAX(0,(A4912)-N(G27))^2/2+N(H27)*MAX(0,(A4912)-N(I27))^2/2+N(J27)*MAX(0,(A4912)-N(K27))^2/2+N(L27)*MAX(0,(A4912)-N(M27))^2/2)+$B$4507</f>
        <v>-695.31249999999989</v>
      </c>
      <c r="E4912" s="3">
        <f>$B$4505*(C4912)+$B$4506*(C4912)^2/2-$B$4504*(C4912)^3/6-(N(D27)*MAX(0,(C4912)-N(E27))^2/2+N(F27)*MAX(0,(C4912)-N(G27))^2/2+N(H27)*MAX(0,(C4912)-N(I27))^2/2+N(J27)*MAX(0,(C4912)-N(K27))^2/2+N(L27)*MAX(0,(C4912)-N(M27))^2/2)+$B$4507</f>
        <v>-695.31249999999989</v>
      </c>
    </row>
    <row r="4913" spans="1:5" hidden="1">
      <c r="A4913" s="3">
        <f t="shared" si="87"/>
        <v>0</v>
      </c>
      <c r="B4913" s="3">
        <f t="shared" si="88"/>
        <v>0</v>
      </c>
      <c r="C4913" s="3">
        <f t="shared" si="86"/>
        <v>0</v>
      </c>
      <c r="D4913" s="3">
        <f>$B$4505*(A4913)+$B$4506*(A4913)^2/2-$B$4504*(A4913)^3/6-(N(D27)*MAX(0,(A4913)-N(E27))^2/2+N(F27)*MAX(0,(A4913)-N(G27))^2/2+N(H27)*MAX(0,(A4913)-N(I27))^2/2+N(J27)*MAX(0,(A4913)-N(K27))^2/2+N(L27)*MAX(0,(A4913)-N(M27))^2/2)+$B$4507</f>
        <v>-695.31249999999989</v>
      </c>
      <c r="E4913" s="3">
        <f>$B$4505*(C4913)+$B$4506*(C4913)^2/2-$B$4504*(C4913)^3/6-(N(D27)*MAX(0,(C4913)-N(E27))^2/2+N(F27)*MAX(0,(C4913)-N(G27))^2/2+N(H27)*MAX(0,(C4913)-N(I27))^2/2+N(J27)*MAX(0,(C4913)-N(K27))^2/2+N(L27)*MAX(0,(C4913)-N(M27))^2/2)+$B$4507</f>
        <v>-695.31249999999989</v>
      </c>
    </row>
    <row r="4914" spans="1:5" hidden="1">
      <c r="A4914" s="3">
        <f t="shared" si="87"/>
        <v>0</v>
      </c>
      <c r="B4914" s="3">
        <f t="shared" si="88"/>
        <v>0</v>
      </c>
      <c r="C4914" s="3">
        <f t="shared" si="86"/>
        <v>0</v>
      </c>
      <c r="D4914" s="3">
        <f>$B$4505*(A4914)+$B$4506*(A4914)^2/2-$B$4504*(A4914)^3/6-(N(D27)*MAX(0,(A4914)-N(E27))^2/2+N(F27)*MAX(0,(A4914)-N(G27))^2/2+N(H27)*MAX(0,(A4914)-N(I27))^2/2+N(J27)*MAX(0,(A4914)-N(K27))^2/2+N(L27)*MAX(0,(A4914)-N(M27))^2/2)+$B$4507</f>
        <v>-695.31249999999989</v>
      </c>
      <c r="E4914" s="3">
        <f>$B$4505*(C4914)+$B$4506*(C4914)^2/2-$B$4504*(C4914)^3/6-(N(D27)*MAX(0,(C4914)-N(E27))^2/2+N(F27)*MAX(0,(C4914)-N(G27))^2/2+N(H27)*MAX(0,(C4914)-N(I27))^2/2+N(J27)*MAX(0,(C4914)-N(K27))^2/2+N(L27)*MAX(0,(C4914)-N(M27))^2/2)+$B$4507</f>
        <v>-695.31249999999989</v>
      </c>
    </row>
    <row r="4915" spans="1:5" hidden="1">
      <c r="A4915" s="3">
        <f t="shared" si="87"/>
        <v>0</v>
      </c>
      <c r="B4915" s="3">
        <f t="shared" si="88"/>
        <v>0</v>
      </c>
      <c r="C4915" s="3">
        <f t="shared" si="86"/>
        <v>0</v>
      </c>
      <c r="D4915" s="3">
        <f>$B$4505*(A4915)+$B$4506*(A4915)^2/2-$B$4504*(A4915)^3/6-(N(D27)*MAX(0,(A4915)-N(E27))^2/2+N(F27)*MAX(0,(A4915)-N(G27))^2/2+N(H27)*MAX(0,(A4915)-N(I27))^2/2+N(J27)*MAX(0,(A4915)-N(K27))^2/2+N(L27)*MAX(0,(A4915)-N(M27))^2/2)+$B$4507</f>
        <v>-695.31249999999989</v>
      </c>
      <c r="E4915" s="3">
        <f>$B$4505*(C4915)+$B$4506*(C4915)^2/2-$B$4504*(C4915)^3/6-(N(D27)*MAX(0,(C4915)-N(E27))^2/2+N(F27)*MAX(0,(C4915)-N(G27))^2/2+N(H27)*MAX(0,(C4915)-N(I27))^2/2+N(J27)*MAX(0,(C4915)-N(K27))^2/2+N(L27)*MAX(0,(C4915)-N(M27))^2/2)+$B$4507</f>
        <v>-695.31249999999989</v>
      </c>
    </row>
    <row r="4916" spans="1:5" hidden="1">
      <c r="A4916" s="3">
        <f t="shared" si="87"/>
        <v>0</v>
      </c>
      <c r="B4916" s="3">
        <f t="shared" si="88"/>
        <v>0</v>
      </c>
      <c r="C4916" s="3">
        <f t="shared" si="86"/>
        <v>0</v>
      </c>
      <c r="D4916" s="3">
        <f>$B$4505*(A4916)+$B$4506*(A4916)^2/2-$B$4504*(A4916)^3/6-(N(D27)*MAX(0,(A4916)-N(E27))^2/2+N(F27)*MAX(0,(A4916)-N(G27))^2/2+N(H27)*MAX(0,(A4916)-N(I27))^2/2+N(J27)*MAX(0,(A4916)-N(K27))^2/2+N(L27)*MAX(0,(A4916)-N(M27))^2/2)+$B$4507</f>
        <v>-695.31249999999989</v>
      </c>
      <c r="E4916" s="3">
        <f>$B$4505*(C4916)+$B$4506*(C4916)^2/2-$B$4504*(C4916)^3/6-(N(D27)*MAX(0,(C4916)-N(E27))^2/2+N(F27)*MAX(0,(C4916)-N(G27))^2/2+N(H27)*MAX(0,(C4916)-N(I27))^2/2+N(J27)*MAX(0,(C4916)-N(K27))^2/2+N(L27)*MAX(0,(C4916)-N(M27))^2/2)+$B$4507</f>
        <v>-695.31249999999989</v>
      </c>
    </row>
    <row r="4917" spans="1:5" hidden="1">
      <c r="A4917" s="3">
        <f t="shared" si="87"/>
        <v>0</v>
      </c>
      <c r="B4917" s="3">
        <f t="shared" si="88"/>
        <v>0</v>
      </c>
      <c r="C4917" s="3">
        <f t="shared" si="86"/>
        <v>0</v>
      </c>
      <c r="D4917" s="3">
        <f>$B$4505*(A4917)+$B$4506*(A4917)^2/2-$B$4504*(A4917)^3/6-(N(D27)*MAX(0,(A4917)-N(E27))^2/2+N(F27)*MAX(0,(A4917)-N(G27))^2/2+N(H27)*MAX(0,(A4917)-N(I27))^2/2+N(J27)*MAX(0,(A4917)-N(K27))^2/2+N(L27)*MAX(0,(A4917)-N(M27))^2/2)+$B$4507</f>
        <v>-695.31249999999989</v>
      </c>
      <c r="E4917" s="3">
        <f>$B$4505*(C4917)+$B$4506*(C4917)^2/2-$B$4504*(C4917)^3/6-(N(D27)*MAX(0,(C4917)-N(E27))^2/2+N(F27)*MAX(0,(C4917)-N(G27))^2/2+N(H27)*MAX(0,(C4917)-N(I27))^2/2+N(J27)*MAX(0,(C4917)-N(K27))^2/2+N(L27)*MAX(0,(C4917)-N(M27))^2/2)+$B$4507</f>
        <v>-695.31249999999989</v>
      </c>
    </row>
    <row r="4918" spans="1:5" hidden="1">
      <c r="A4918" s="3">
        <f t="shared" si="87"/>
        <v>0</v>
      </c>
      <c r="B4918" s="3">
        <f t="shared" si="88"/>
        <v>0</v>
      </c>
      <c r="C4918" s="3">
        <f t="shared" si="86"/>
        <v>0</v>
      </c>
      <c r="D4918" s="3">
        <f>$B$4505*(A4918)+$B$4506*(A4918)^2/2-$B$4504*(A4918)^3/6-(N(D27)*MAX(0,(A4918)-N(E27))^2/2+N(F27)*MAX(0,(A4918)-N(G27))^2/2+N(H27)*MAX(0,(A4918)-N(I27))^2/2+N(J27)*MAX(0,(A4918)-N(K27))^2/2+N(L27)*MAX(0,(A4918)-N(M27))^2/2)+$B$4507</f>
        <v>-695.31249999999989</v>
      </c>
      <c r="E4918" s="3">
        <f>$B$4505*(C4918)+$B$4506*(C4918)^2/2-$B$4504*(C4918)^3/6-(N(D27)*MAX(0,(C4918)-N(E27))^2/2+N(F27)*MAX(0,(C4918)-N(G27))^2/2+N(H27)*MAX(0,(C4918)-N(I27))^2/2+N(J27)*MAX(0,(C4918)-N(K27))^2/2+N(L27)*MAX(0,(C4918)-N(M27))^2/2)+$B$4507</f>
        <v>-695.31249999999989</v>
      </c>
    </row>
    <row r="4919" spans="1:5" hidden="1">
      <c r="A4919" s="3">
        <f t="shared" si="87"/>
        <v>0</v>
      </c>
      <c r="B4919" s="3">
        <f t="shared" si="88"/>
        <v>0</v>
      </c>
      <c r="C4919" s="3">
        <f t="shared" si="86"/>
        <v>0</v>
      </c>
      <c r="D4919" s="3">
        <f>$B$4505*(A4919)+$B$4506*(A4919)^2/2-$B$4504*(A4919)^3/6-(N(D27)*MAX(0,(A4919)-N(E27))^2/2+N(F27)*MAX(0,(A4919)-N(G27))^2/2+N(H27)*MAX(0,(A4919)-N(I27))^2/2+N(J27)*MAX(0,(A4919)-N(K27))^2/2+N(L27)*MAX(0,(A4919)-N(M27))^2/2)+$B$4507</f>
        <v>-695.31249999999989</v>
      </c>
      <c r="E4919" s="3">
        <f>$B$4505*(C4919)+$B$4506*(C4919)^2/2-$B$4504*(C4919)^3/6-(N(D27)*MAX(0,(C4919)-N(E27))^2/2+N(F27)*MAX(0,(C4919)-N(G27))^2/2+N(H27)*MAX(0,(C4919)-N(I27))^2/2+N(J27)*MAX(0,(C4919)-N(K27))^2/2+N(L27)*MAX(0,(C4919)-N(M27))^2/2)+$B$4507</f>
        <v>-695.31249999999989</v>
      </c>
    </row>
    <row r="4920" spans="1:5" hidden="1">
      <c r="A4920" s="3">
        <f t="shared" si="87"/>
        <v>0</v>
      </c>
      <c r="B4920" s="3">
        <f t="shared" si="88"/>
        <v>0</v>
      </c>
      <c r="C4920" s="3">
        <f t="shared" si="86"/>
        <v>0</v>
      </c>
      <c r="D4920" s="3">
        <f>$B$4505*(A4920)+$B$4506*(A4920)^2/2-$B$4504*(A4920)^3/6-(N(D27)*MAX(0,(A4920)-N(E27))^2/2+N(F27)*MAX(0,(A4920)-N(G27))^2/2+N(H27)*MAX(0,(A4920)-N(I27))^2/2+N(J27)*MAX(0,(A4920)-N(K27))^2/2+N(L27)*MAX(0,(A4920)-N(M27))^2/2)+$B$4507</f>
        <v>-695.31249999999989</v>
      </c>
      <c r="E4920" s="3">
        <f>$B$4505*(C4920)+$B$4506*(C4920)^2/2-$B$4504*(C4920)^3/6-(N(D27)*MAX(0,(C4920)-N(E27))^2/2+N(F27)*MAX(0,(C4920)-N(G27))^2/2+N(H27)*MAX(0,(C4920)-N(I27))^2/2+N(J27)*MAX(0,(C4920)-N(K27))^2/2+N(L27)*MAX(0,(C4920)-N(M27))^2/2)+$B$4507</f>
        <v>-695.31249999999989</v>
      </c>
    </row>
    <row r="4921" spans="1:5" hidden="1">
      <c r="A4921" s="3">
        <f t="shared" si="87"/>
        <v>0</v>
      </c>
      <c r="B4921" s="3">
        <f t="shared" si="88"/>
        <v>0</v>
      </c>
      <c r="C4921" s="3">
        <f t="shared" si="86"/>
        <v>0</v>
      </c>
      <c r="D4921" s="3">
        <f>$B$4505*(A4921)+$B$4506*(A4921)^2/2-$B$4504*(A4921)^3/6-(N(D27)*MAX(0,(A4921)-N(E27))^2/2+N(F27)*MAX(0,(A4921)-N(G27))^2/2+N(H27)*MAX(0,(A4921)-N(I27))^2/2+N(J27)*MAX(0,(A4921)-N(K27))^2/2+N(L27)*MAX(0,(A4921)-N(M27))^2/2)+$B$4507</f>
        <v>-695.31249999999989</v>
      </c>
      <c r="E4921" s="3">
        <f>$B$4505*(C4921)+$B$4506*(C4921)^2/2-$B$4504*(C4921)^3/6-(N(D27)*MAX(0,(C4921)-N(E27))^2/2+N(F27)*MAX(0,(C4921)-N(G27))^2/2+N(H27)*MAX(0,(C4921)-N(I27))^2/2+N(J27)*MAX(0,(C4921)-N(K27))^2/2+N(L27)*MAX(0,(C4921)-N(M27))^2/2)+$B$4507</f>
        <v>-695.31249999999989</v>
      </c>
    </row>
    <row r="4922" spans="1:5" hidden="1"/>
    <row r="4923" spans="1:5" hidden="1">
      <c r="A4923" s="3">
        <f>B4548</f>
        <v>0</v>
      </c>
      <c r="B4923" s="3">
        <f>IF(($B$4505*(B4548)+$B$4506*(B4548)^2/2-$B$4504*(B4548)^3/6-(N(D27)*MAX(0,(B4548)-N(E27))^2/2+N(F27)*MAX(0,(B4548)-N(G27))^2/2+N(H27)*MAX(0,(B4548)-N(I27))^2/2+N(J27)*MAX(0,(B4548)-N(K27))^2/2+N(L27)*MAX(0,(B4548)-N(M27))^2/2)+$B$4507)*($B$4505*(B4549)+$B$4506*(B4549)^2/2-$B$4504*(B4549)^3/6-(N(D27)*MAX(0,(B4549)-N(E27))^2/2+N(F27)*MAX(0,(B4549)-N(G27))^2/2+N(H27)*MAX(0,(B4549)-N(I27))^2/2+N(J27)*MAX(0,(B4549)-N(K27))^2/2+N(L27)*MAX(0,(B4549)-N(M27))^2/2)+$B$4507)&lt;=0,B4549,B4548)</f>
        <v>0</v>
      </c>
      <c r="C4923" s="3">
        <f t="shared" ref="C4923:C4967" si="89">(A4923+B4923)/2</f>
        <v>0</v>
      </c>
      <c r="D4923" s="3">
        <f>$B$4505*(A4923)+$B$4506*(A4923)^2/2-$B$4504*(A4923)^3/6-(N(D27)*MAX(0,(A4923)-N(E27))^2/2+N(F27)*MAX(0,(A4923)-N(G27))^2/2+N(H27)*MAX(0,(A4923)-N(I27))^2/2+N(J27)*MAX(0,(A4923)-N(K27))^2/2+N(L27)*MAX(0,(A4923)-N(M27))^2/2)+$B$4507</f>
        <v>-695.31249999999989</v>
      </c>
      <c r="E4923" s="3">
        <f>$B$4505*(C4923)+$B$4506*(C4923)^2/2-$B$4504*(C4923)^3/6-(N(D27)*MAX(0,(C4923)-N(E27))^2/2+N(F27)*MAX(0,(C4923)-N(G27))^2/2+N(H27)*MAX(0,(C4923)-N(I27))^2/2+N(J27)*MAX(0,(C4923)-N(K27))^2/2+N(L27)*MAX(0,(C4923)-N(M27))^2/2)+$B$4507</f>
        <v>-695.31249999999989</v>
      </c>
    </row>
    <row r="4924" spans="1:5" hidden="1">
      <c r="A4924" s="3">
        <f t="shared" ref="A4924:A4967" si="90">IF(D4923*E4923&lt;=0,A4923,C4923)</f>
        <v>0</v>
      </c>
      <c r="B4924" s="3">
        <f t="shared" ref="B4924:B4967" si="91">IF(D4923*E4923&lt;=0,C4923,B4923)</f>
        <v>0</v>
      </c>
      <c r="C4924" s="3">
        <f t="shared" si="89"/>
        <v>0</v>
      </c>
      <c r="D4924" s="3">
        <f>$B$4505*(A4924)+$B$4506*(A4924)^2/2-$B$4504*(A4924)^3/6-(N(D27)*MAX(0,(A4924)-N(E27))^2/2+N(F27)*MAX(0,(A4924)-N(G27))^2/2+N(H27)*MAX(0,(A4924)-N(I27))^2/2+N(J27)*MAX(0,(A4924)-N(K27))^2/2+N(L27)*MAX(0,(A4924)-N(M27))^2/2)+$B$4507</f>
        <v>-695.31249999999989</v>
      </c>
      <c r="E4924" s="3">
        <f>$B$4505*(C4924)+$B$4506*(C4924)^2/2-$B$4504*(C4924)^3/6-(N(D27)*MAX(0,(C4924)-N(E27))^2/2+N(F27)*MAX(0,(C4924)-N(G27))^2/2+N(H27)*MAX(0,(C4924)-N(I27))^2/2+N(J27)*MAX(0,(C4924)-N(K27))^2/2+N(L27)*MAX(0,(C4924)-N(M27))^2/2)+$B$4507</f>
        <v>-695.31249999999989</v>
      </c>
    </row>
    <row r="4925" spans="1:5" hidden="1">
      <c r="A4925" s="3">
        <f t="shared" si="90"/>
        <v>0</v>
      </c>
      <c r="B4925" s="3">
        <f t="shared" si="91"/>
        <v>0</v>
      </c>
      <c r="C4925" s="3">
        <f t="shared" si="89"/>
        <v>0</v>
      </c>
      <c r="D4925" s="3">
        <f>$B$4505*(A4925)+$B$4506*(A4925)^2/2-$B$4504*(A4925)^3/6-(N(D27)*MAX(0,(A4925)-N(E27))^2/2+N(F27)*MAX(0,(A4925)-N(G27))^2/2+N(H27)*MAX(0,(A4925)-N(I27))^2/2+N(J27)*MAX(0,(A4925)-N(K27))^2/2+N(L27)*MAX(0,(A4925)-N(M27))^2/2)+$B$4507</f>
        <v>-695.31249999999989</v>
      </c>
      <c r="E4925" s="3">
        <f>$B$4505*(C4925)+$B$4506*(C4925)^2/2-$B$4504*(C4925)^3/6-(N(D27)*MAX(0,(C4925)-N(E27))^2/2+N(F27)*MAX(0,(C4925)-N(G27))^2/2+N(H27)*MAX(0,(C4925)-N(I27))^2/2+N(J27)*MAX(0,(C4925)-N(K27))^2/2+N(L27)*MAX(0,(C4925)-N(M27))^2/2)+$B$4507</f>
        <v>-695.31249999999989</v>
      </c>
    </row>
    <row r="4926" spans="1:5" hidden="1">
      <c r="A4926" s="3">
        <f t="shared" si="90"/>
        <v>0</v>
      </c>
      <c r="B4926" s="3">
        <f t="shared" si="91"/>
        <v>0</v>
      </c>
      <c r="C4926" s="3">
        <f t="shared" si="89"/>
        <v>0</v>
      </c>
      <c r="D4926" s="3">
        <f>$B$4505*(A4926)+$B$4506*(A4926)^2/2-$B$4504*(A4926)^3/6-(N(D27)*MAX(0,(A4926)-N(E27))^2/2+N(F27)*MAX(0,(A4926)-N(G27))^2/2+N(H27)*MAX(0,(A4926)-N(I27))^2/2+N(J27)*MAX(0,(A4926)-N(K27))^2/2+N(L27)*MAX(0,(A4926)-N(M27))^2/2)+$B$4507</f>
        <v>-695.31249999999989</v>
      </c>
      <c r="E4926" s="3">
        <f>$B$4505*(C4926)+$B$4506*(C4926)^2/2-$B$4504*(C4926)^3/6-(N(D27)*MAX(0,(C4926)-N(E27))^2/2+N(F27)*MAX(0,(C4926)-N(G27))^2/2+N(H27)*MAX(0,(C4926)-N(I27))^2/2+N(J27)*MAX(0,(C4926)-N(K27))^2/2+N(L27)*MAX(0,(C4926)-N(M27))^2/2)+$B$4507</f>
        <v>-695.31249999999989</v>
      </c>
    </row>
    <row r="4927" spans="1:5" hidden="1">
      <c r="A4927" s="3">
        <f t="shared" si="90"/>
        <v>0</v>
      </c>
      <c r="B4927" s="3">
        <f t="shared" si="91"/>
        <v>0</v>
      </c>
      <c r="C4927" s="3">
        <f t="shared" si="89"/>
        <v>0</v>
      </c>
      <c r="D4927" s="3">
        <f>$B$4505*(A4927)+$B$4506*(A4927)^2/2-$B$4504*(A4927)^3/6-(N(D27)*MAX(0,(A4927)-N(E27))^2/2+N(F27)*MAX(0,(A4927)-N(G27))^2/2+N(H27)*MAX(0,(A4927)-N(I27))^2/2+N(J27)*MAX(0,(A4927)-N(K27))^2/2+N(L27)*MAX(0,(A4927)-N(M27))^2/2)+$B$4507</f>
        <v>-695.31249999999989</v>
      </c>
      <c r="E4927" s="3">
        <f>$B$4505*(C4927)+$B$4506*(C4927)^2/2-$B$4504*(C4927)^3/6-(N(D27)*MAX(0,(C4927)-N(E27))^2/2+N(F27)*MAX(0,(C4927)-N(G27))^2/2+N(H27)*MAX(0,(C4927)-N(I27))^2/2+N(J27)*MAX(0,(C4927)-N(K27))^2/2+N(L27)*MAX(0,(C4927)-N(M27))^2/2)+$B$4507</f>
        <v>-695.31249999999989</v>
      </c>
    </row>
    <row r="4928" spans="1:5" hidden="1">
      <c r="A4928" s="3">
        <f t="shared" si="90"/>
        <v>0</v>
      </c>
      <c r="B4928" s="3">
        <f t="shared" si="91"/>
        <v>0</v>
      </c>
      <c r="C4928" s="3">
        <f t="shared" si="89"/>
        <v>0</v>
      </c>
      <c r="D4928" s="3">
        <f>$B$4505*(A4928)+$B$4506*(A4928)^2/2-$B$4504*(A4928)^3/6-(N(D27)*MAX(0,(A4928)-N(E27))^2/2+N(F27)*MAX(0,(A4928)-N(G27))^2/2+N(H27)*MAX(0,(A4928)-N(I27))^2/2+N(J27)*MAX(0,(A4928)-N(K27))^2/2+N(L27)*MAX(0,(A4928)-N(M27))^2/2)+$B$4507</f>
        <v>-695.31249999999989</v>
      </c>
      <c r="E4928" s="3">
        <f>$B$4505*(C4928)+$B$4506*(C4928)^2/2-$B$4504*(C4928)^3/6-(N(D27)*MAX(0,(C4928)-N(E27))^2/2+N(F27)*MAX(0,(C4928)-N(G27))^2/2+N(H27)*MAX(0,(C4928)-N(I27))^2/2+N(J27)*MAX(0,(C4928)-N(K27))^2/2+N(L27)*MAX(0,(C4928)-N(M27))^2/2)+$B$4507</f>
        <v>-695.31249999999989</v>
      </c>
    </row>
    <row r="4929" spans="1:5" hidden="1">
      <c r="A4929" s="3">
        <f t="shared" si="90"/>
        <v>0</v>
      </c>
      <c r="B4929" s="3">
        <f t="shared" si="91"/>
        <v>0</v>
      </c>
      <c r="C4929" s="3">
        <f t="shared" si="89"/>
        <v>0</v>
      </c>
      <c r="D4929" s="3">
        <f>$B$4505*(A4929)+$B$4506*(A4929)^2/2-$B$4504*(A4929)^3/6-(N(D27)*MAX(0,(A4929)-N(E27))^2/2+N(F27)*MAX(0,(A4929)-N(G27))^2/2+N(H27)*MAX(0,(A4929)-N(I27))^2/2+N(J27)*MAX(0,(A4929)-N(K27))^2/2+N(L27)*MAX(0,(A4929)-N(M27))^2/2)+$B$4507</f>
        <v>-695.31249999999989</v>
      </c>
      <c r="E4929" s="3">
        <f>$B$4505*(C4929)+$B$4506*(C4929)^2/2-$B$4504*(C4929)^3/6-(N(D27)*MAX(0,(C4929)-N(E27))^2/2+N(F27)*MAX(0,(C4929)-N(G27))^2/2+N(H27)*MAX(0,(C4929)-N(I27))^2/2+N(J27)*MAX(0,(C4929)-N(K27))^2/2+N(L27)*MAX(0,(C4929)-N(M27))^2/2)+$B$4507</f>
        <v>-695.31249999999989</v>
      </c>
    </row>
    <row r="4930" spans="1:5" hidden="1">
      <c r="A4930" s="3">
        <f t="shared" si="90"/>
        <v>0</v>
      </c>
      <c r="B4930" s="3">
        <f t="shared" si="91"/>
        <v>0</v>
      </c>
      <c r="C4930" s="3">
        <f t="shared" si="89"/>
        <v>0</v>
      </c>
      <c r="D4930" s="3">
        <f>$B$4505*(A4930)+$B$4506*(A4930)^2/2-$B$4504*(A4930)^3/6-(N(D27)*MAX(0,(A4930)-N(E27))^2/2+N(F27)*MAX(0,(A4930)-N(G27))^2/2+N(H27)*MAX(0,(A4930)-N(I27))^2/2+N(J27)*MAX(0,(A4930)-N(K27))^2/2+N(L27)*MAX(0,(A4930)-N(M27))^2/2)+$B$4507</f>
        <v>-695.31249999999989</v>
      </c>
      <c r="E4930" s="3">
        <f>$B$4505*(C4930)+$B$4506*(C4930)^2/2-$B$4504*(C4930)^3/6-(N(D27)*MAX(0,(C4930)-N(E27))^2/2+N(F27)*MAX(0,(C4930)-N(G27))^2/2+N(H27)*MAX(0,(C4930)-N(I27))^2/2+N(J27)*MAX(0,(C4930)-N(K27))^2/2+N(L27)*MAX(0,(C4930)-N(M27))^2/2)+$B$4507</f>
        <v>-695.31249999999989</v>
      </c>
    </row>
    <row r="4931" spans="1:5" hidden="1">
      <c r="A4931" s="3">
        <f t="shared" si="90"/>
        <v>0</v>
      </c>
      <c r="B4931" s="3">
        <f t="shared" si="91"/>
        <v>0</v>
      </c>
      <c r="C4931" s="3">
        <f t="shared" si="89"/>
        <v>0</v>
      </c>
      <c r="D4931" s="3">
        <f>$B$4505*(A4931)+$B$4506*(A4931)^2/2-$B$4504*(A4931)^3/6-(N(D27)*MAX(0,(A4931)-N(E27))^2/2+N(F27)*MAX(0,(A4931)-N(G27))^2/2+N(H27)*MAX(0,(A4931)-N(I27))^2/2+N(J27)*MAX(0,(A4931)-N(K27))^2/2+N(L27)*MAX(0,(A4931)-N(M27))^2/2)+$B$4507</f>
        <v>-695.31249999999989</v>
      </c>
      <c r="E4931" s="3">
        <f>$B$4505*(C4931)+$B$4506*(C4931)^2/2-$B$4504*(C4931)^3/6-(N(D27)*MAX(0,(C4931)-N(E27))^2/2+N(F27)*MAX(0,(C4931)-N(G27))^2/2+N(H27)*MAX(0,(C4931)-N(I27))^2/2+N(J27)*MAX(0,(C4931)-N(K27))^2/2+N(L27)*MAX(0,(C4931)-N(M27))^2/2)+$B$4507</f>
        <v>-695.31249999999989</v>
      </c>
    </row>
    <row r="4932" spans="1:5" hidden="1">
      <c r="A4932" s="3">
        <f t="shared" si="90"/>
        <v>0</v>
      </c>
      <c r="B4932" s="3">
        <f t="shared" si="91"/>
        <v>0</v>
      </c>
      <c r="C4932" s="3">
        <f t="shared" si="89"/>
        <v>0</v>
      </c>
      <c r="D4932" s="3">
        <f>$B$4505*(A4932)+$B$4506*(A4932)^2/2-$B$4504*(A4932)^3/6-(N(D27)*MAX(0,(A4932)-N(E27))^2/2+N(F27)*MAX(0,(A4932)-N(G27))^2/2+N(H27)*MAX(0,(A4932)-N(I27))^2/2+N(J27)*MAX(0,(A4932)-N(K27))^2/2+N(L27)*MAX(0,(A4932)-N(M27))^2/2)+$B$4507</f>
        <v>-695.31249999999989</v>
      </c>
      <c r="E4932" s="3">
        <f>$B$4505*(C4932)+$B$4506*(C4932)^2/2-$B$4504*(C4932)^3/6-(N(D27)*MAX(0,(C4932)-N(E27))^2/2+N(F27)*MAX(0,(C4932)-N(G27))^2/2+N(H27)*MAX(0,(C4932)-N(I27))^2/2+N(J27)*MAX(0,(C4932)-N(K27))^2/2+N(L27)*MAX(0,(C4932)-N(M27))^2/2)+$B$4507</f>
        <v>-695.31249999999989</v>
      </c>
    </row>
    <row r="4933" spans="1:5" hidden="1">
      <c r="A4933" s="3">
        <f t="shared" si="90"/>
        <v>0</v>
      </c>
      <c r="B4933" s="3">
        <f t="shared" si="91"/>
        <v>0</v>
      </c>
      <c r="C4933" s="3">
        <f t="shared" si="89"/>
        <v>0</v>
      </c>
      <c r="D4933" s="3">
        <f>$B$4505*(A4933)+$B$4506*(A4933)^2/2-$B$4504*(A4933)^3/6-(N(D27)*MAX(0,(A4933)-N(E27))^2/2+N(F27)*MAX(0,(A4933)-N(G27))^2/2+N(H27)*MAX(0,(A4933)-N(I27))^2/2+N(J27)*MAX(0,(A4933)-N(K27))^2/2+N(L27)*MAX(0,(A4933)-N(M27))^2/2)+$B$4507</f>
        <v>-695.31249999999989</v>
      </c>
      <c r="E4933" s="3">
        <f>$B$4505*(C4933)+$B$4506*(C4933)^2/2-$B$4504*(C4933)^3/6-(N(D27)*MAX(0,(C4933)-N(E27))^2/2+N(F27)*MAX(0,(C4933)-N(G27))^2/2+N(H27)*MAX(0,(C4933)-N(I27))^2/2+N(J27)*MAX(0,(C4933)-N(K27))^2/2+N(L27)*MAX(0,(C4933)-N(M27))^2/2)+$B$4507</f>
        <v>-695.31249999999989</v>
      </c>
    </row>
    <row r="4934" spans="1:5" hidden="1">
      <c r="A4934" s="3">
        <f t="shared" si="90"/>
        <v>0</v>
      </c>
      <c r="B4934" s="3">
        <f t="shared" si="91"/>
        <v>0</v>
      </c>
      <c r="C4934" s="3">
        <f t="shared" si="89"/>
        <v>0</v>
      </c>
      <c r="D4934" s="3">
        <f>$B$4505*(A4934)+$B$4506*(A4934)^2/2-$B$4504*(A4934)^3/6-(N(D27)*MAX(0,(A4934)-N(E27))^2/2+N(F27)*MAX(0,(A4934)-N(G27))^2/2+N(H27)*MAX(0,(A4934)-N(I27))^2/2+N(J27)*MAX(0,(A4934)-N(K27))^2/2+N(L27)*MAX(0,(A4934)-N(M27))^2/2)+$B$4507</f>
        <v>-695.31249999999989</v>
      </c>
      <c r="E4934" s="3">
        <f>$B$4505*(C4934)+$B$4506*(C4934)^2/2-$B$4504*(C4934)^3/6-(N(D27)*MAX(0,(C4934)-N(E27))^2/2+N(F27)*MAX(0,(C4934)-N(G27))^2/2+N(H27)*MAX(0,(C4934)-N(I27))^2/2+N(J27)*MAX(0,(C4934)-N(K27))^2/2+N(L27)*MAX(0,(C4934)-N(M27))^2/2)+$B$4507</f>
        <v>-695.31249999999989</v>
      </c>
    </row>
    <row r="4935" spans="1:5" hidden="1">
      <c r="A4935" s="3">
        <f t="shared" si="90"/>
        <v>0</v>
      </c>
      <c r="B4935" s="3">
        <f t="shared" si="91"/>
        <v>0</v>
      </c>
      <c r="C4935" s="3">
        <f t="shared" si="89"/>
        <v>0</v>
      </c>
      <c r="D4935" s="3">
        <f>$B$4505*(A4935)+$B$4506*(A4935)^2/2-$B$4504*(A4935)^3/6-(N(D27)*MAX(0,(A4935)-N(E27))^2/2+N(F27)*MAX(0,(A4935)-N(G27))^2/2+N(H27)*MAX(0,(A4935)-N(I27))^2/2+N(J27)*MAX(0,(A4935)-N(K27))^2/2+N(L27)*MAX(0,(A4935)-N(M27))^2/2)+$B$4507</f>
        <v>-695.31249999999989</v>
      </c>
      <c r="E4935" s="3">
        <f>$B$4505*(C4935)+$B$4506*(C4935)^2/2-$B$4504*(C4935)^3/6-(N(D27)*MAX(0,(C4935)-N(E27))^2/2+N(F27)*MAX(0,(C4935)-N(G27))^2/2+N(H27)*MAX(0,(C4935)-N(I27))^2/2+N(J27)*MAX(0,(C4935)-N(K27))^2/2+N(L27)*MAX(0,(C4935)-N(M27))^2/2)+$B$4507</f>
        <v>-695.31249999999989</v>
      </c>
    </row>
    <row r="4936" spans="1:5" hidden="1">
      <c r="A4936" s="3">
        <f t="shared" si="90"/>
        <v>0</v>
      </c>
      <c r="B4936" s="3">
        <f t="shared" si="91"/>
        <v>0</v>
      </c>
      <c r="C4936" s="3">
        <f t="shared" si="89"/>
        <v>0</v>
      </c>
      <c r="D4936" s="3">
        <f>$B$4505*(A4936)+$B$4506*(A4936)^2/2-$B$4504*(A4936)^3/6-(N(D27)*MAX(0,(A4936)-N(E27))^2/2+N(F27)*MAX(0,(A4936)-N(G27))^2/2+N(H27)*MAX(0,(A4936)-N(I27))^2/2+N(J27)*MAX(0,(A4936)-N(K27))^2/2+N(L27)*MAX(0,(A4936)-N(M27))^2/2)+$B$4507</f>
        <v>-695.31249999999989</v>
      </c>
      <c r="E4936" s="3">
        <f>$B$4505*(C4936)+$B$4506*(C4936)^2/2-$B$4504*(C4936)^3/6-(N(D27)*MAX(0,(C4936)-N(E27))^2/2+N(F27)*MAX(0,(C4936)-N(G27))^2/2+N(H27)*MAX(0,(C4936)-N(I27))^2/2+N(J27)*MAX(0,(C4936)-N(K27))^2/2+N(L27)*MAX(0,(C4936)-N(M27))^2/2)+$B$4507</f>
        <v>-695.31249999999989</v>
      </c>
    </row>
    <row r="4937" spans="1:5" hidden="1">
      <c r="A4937" s="3">
        <f t="shared" si="90"/>
        <v>0</v>
      </c>
      <c r="B4937" s="3">
        <f t="shared" si="91"/>
        <v>0</v>
      </c>
      <c r="C4937" s="3">
        <f t="shared" si="89"/>
        <v>0</v>
      </c>
      <c r="D4937" s="3">
        <f>$B$4505*(A4937)+$B$4506*(A4937)^2/2-$B$4504*(A4937)^3/6-(N(D27)*MAX(0,(A4937)-N(E27))^2/2+N(F27)*MAX(0,(A4937)-N(G27))^2/2+N(H27)*MAX(0,(A4937)-N(I27))^2/2+N(J27)*MAX(0,(A4937)-N(K27))^2/2+N(L27)*MAX(0,(A4937)-N(M27))^2/2)+$B$4507</f>
        <v>-695.31249999999989</v>
      </c>
      <c r="E4937" s="3">
        <f>$B$4505*(C4937)+$B$4506*(C4937)^2/2-$B$4504*(C4937)^3/6-(N(D27)*MAX(0,(C4937)-N(E27))^2/2+N(F27)*MAX(0,(C4937)-N(G27))^2/2+N(H27)*MAX(0,(C4937)-N(I27))^2/2+N(J27)*MAX(0,(C4937)-N(K27))^2/2+N(L27)*MAX(0,(C4937)-N(M27))^2/2)+$B$4507</f>
        <v>-695.31249999999989</v>
      </c>
    </row>
    <row r="4938" spans="1:5" hidden="1">
      <c r="A4938" s="3">
        <f t="shared" si="90"/>
        <v>0</v>
      </c>
      <c r="B4938" s="3">
        <f t="shared" si="91"/>
        <v>0</v>
      </c>
      <c r="C4938" s="3">
        <f t="shared" si="89"/>
        <v>0</v>
      </c>
      <c r="D4938" s="3">
        <f>$B$4505*(A4938)+$B$4506*(A4938)^2/2-$B$4504*(A4938)^3/6-(N(D27)*MAX(0,(A4938)-N(E27))^2/2+N(F27)*MAX(0,(A4938)-N(G27))^2/2+N(H27)*MAX(0,(A4938)-N(I27))^2/2+N(J27)*MAX(0,(A4938)-N(K27))^2/2+N(L27)*MAX(0,(A4938)-N(M27))^2/2)+$B$4507</f>
        <v>-695.31249999999989</v>
      </c>
      <c r="E4938" s="3">
        <f>$B$4505*(C4938)+$B$4506*(C4938)^2/2-$B$4504*(C4938)^3/6-(N(D27)*MAX(0,(C4938)-N(E27))^2/2+N(F27)*MAX(0,(C4938)-N(G27))^2/2+N(H27)*MAX(0,(C4938)-N(I27))^2/2+N(J27)*MAX(0,(C4938)-N(K27))^2/2+N(L27)*MAX(0,(C4938)-N(M27))^2/2)+$B$4507</f>
        <v>-695.31249999999989</v>
      </c>
    </row>
    <row r="4939" spans="1:5" hidden="1">
      <c r="A4939" s="3">
        <f t="shared" si="90"/>
        <v>0</v>
      </c>
      <c r="B4939" s="3">
        <f t="shared" si="91"/>
        <v>0</v>
      </c>
      <c r="C4939" s="3">
        <f t="shared" si="89"/>
        <v>0</v>
      </c>
      <c r="D4939" s="3">
        <f>$B$4505*(A4939)+$B$4506*(A4939)^2/2-$B$4504*(A4939)^3/6-(N(D27)*MAX(0,(A4939)-N(E27))^2/2+N(F27)*MAX(0,(A4939)-N(G27))^2/2+N(H27)*MAX(0,(A4939)-N(I27))^2/2+N(J27)*MAX(0,(A4939)-N(K27))^2/2+N(L27)*MAX(0,(A4939)-N(M27))^2/2)+$B$4507</f>
        <v>-695.31249999999989</v>
      </c>
      <c r="E4939" s="3">
        <f>$B$4505*(C4939)+$B$4506*(C4939)^2/2-$B$4504*(C4939)^3/6-(N(D27)*MAX(0,(C4939)-N(E27))^2/2+N(F27)*MAX(0,(C4939)-N(G27))^2/2+N(H27)*MAX(0,(C4939)-N(I27))^2/2+N(J27)*MAX(0,(C4939)-N(K27))^2/2+N(L27)*MAX(0,(C4939)-N(M27))^2/2)+$B$4507</f>
        <v>-695.31249999999989</v>
      </c>
    </row>
    <row r="4940" spans="1:5" hidden="1">
      <c r="A4940" s="3">
        <f t="shared" si="90"/>
        <v>0</v>
      </c>
      <c r="B4940" s="3">
        <f t="shared" si="91"/>
        <v>0</v>
      </c>
      <c r="C4940" s="3">
        <f t="shared" si="89"/>
        <v>0</v>
      </c>
      <c r="D4940" s="3">
        <f>$B$4505*(A4940)+$B$4506*(A4940)^2/2-$B$4504*(A4940)^3/6-(N(D27)*MAX(0,(A4940)-N(E27))^2/2+N(F27)*MAX(0,(A4940)-N(G27))^2/2+N(H27)*MAX(0,(A4940)-N(I27))^2/2+N(J27)*MAX(0,(A4940)-N(K27))^2/2+N(L27)*MAX(0,(A4940)-N(M27))^2/2)+$B$4507</f>
        <v>-695.31249999999989</v>
      </c>
      <c r="E4940" s="3">
        <f>$B$4505*(C4940)+$B$4506*(C4940)^2/2-$B$4504*(C4940)^3/6-(N(D27)*MAX(0,(C4940)-N(E27))^2/2+N(F27)*MAX(0,(C4940)-N(G27))^2/2+N(H27)*MAX(0,(C4940)-N(I27))^2/2+N(J27)*MAX(0,(C4940)-N(K27))^2/2+N(L27)*MAX(0,(C4940)-N(M27))^2/2)+$B$4507</f>
        <v>-695.31249999999989</v>
      </c>
    </row>
    <row r="4941" spans="1:5" hidden="1">
      <c r="A4941" s="3">
        <f t="shared" si="90"/>
        <v>0</v>
      </c>
      <c r="B4941" s="3">
        <f t="shared" si="91"/>
        <v>0</v>
      </c>
      <c r="C4941" s="3">
        <f t="shared" si="89"/>
        <v>0</v>
      </c>
      <c r="D4941" s="3">
        <f>$B$4505*(A4941)+$B$4506*(A4941)^2/2-$B$4504*(A4941)^3/6-(N(D27)*MAX(0,(A4941)-N(E27))^2/2+N(F27)*MAX(0,(A4941)-N(G27))^2/2+N(H27)*MAX(0,(A4941)-N(I27))^2/2+N(J27)*MAX(0,(A4941)-N(K27))^2/2+N(L27)*MAX(0,(A4941)-N(M27))^2/2)+$B$4507</f>
        <v>-695.31249999999989</v>
      </c>
      <c r="E4941" s="3">
        <f>$B$4505*(C4941)+$B$4506*(C4941)^2/2-$B$4504*(C4941)^3/6-(N(D27)*MAX(0,(C4941)-N(E27))^2/2+N(F27)*MAX(0,(C4941)-N(G27))^2/2+N(H27)*MAX(0,(C4941)-N(I27))^2/2+N(J27)*MAX(0,(C4941)-N(K27))^2/2+N(L27)*MAX(0,(C4941)-N(M27))^2/2)+$B$4507</f>
        <v>-695.31249999999989</v>
      </c>
    </row>
    <row r="4942" spans="1:5" hidden="1">
      <c r="A4942" s="3">
        <f t="shared" si="90"/>
        <v>0</v>
      </c>
      <c r="B4942" s="3">
        <f t="shared" si="91"/>
        <v>0</v>
      </c>
      <c r="C4942" s="3">
        <f t="shared" si="89"/>
        <v>0</v>
      </c>
      <c r="D4942" s="3">
        <f>$B$4505*(A4942)+$B$4506*(A4942)^2/2-$B$4504*(A4942)^3/6-(N(D27)*MAX(0,(A4942)-N(E27))^2/2+N(F27)*MAX(0,(A4942)-N(G27))^2/2+N(H27)*MAX(0,(A4942)-N(I27))^2/2+N(J27)*MAX(0,(A4942)-N(K27))^2/2+N(L27)*MAX(0,(A4942)-N(M27))^2/2)+$B$4507</f>
        <v>-695.31249999999989</v>
      </c>
      <c r="E4942" s="3">
        <f>$B$4505*(C4942)+$B$4506*(C4942)^2/2-$B$4504*(C4942)^3/6-(N(D27)*MAX(0,(C4942)-N(E27))^2/2+N(F27)*MAX(0,(C4942)-N(G27))^2/2+N(H27)*MAX(0,(C4942)-N(I27))^2/2+N(J27)*MAX(0,(C4942)-N(K27))^2/2+N(L27)*MAX(0,(C4942)-N(M27))^2/2)+$B$4507</f>
        <v>-695.31249999999989</v>
      </c>
    </row>
    <row r="4943" spans="1:5" hidden="1">
      <c r="A4943" s="3">
        <f t="shared" si="90"/>
        <v>0</v>
      </c>
      <c r="B4943" s="3">
        <f t="shared" si="91"/>
        <v>0</v>
      </c>
      <c r="C4943" s="3">
        <f t="shared" si="89"/>
        <v>0</v>
      </c>
      <c r="D4943" s="3">
        <f>$B$4505*(A4943)+$B$4506*(A4943)^2/2-$B$4504*(A4943)^3/6-(N(D27)*MAX(0,(A4943)-N(E27))^2/2+N(F27)*MAX(0,(A4943)-N(G27))^2/2+N(H27)*MAX(0,(A4943)-N(I27))^2/2+N(J27)*MAX(0,(A4943)-N(K27))^2/2+N(L27)*MAX(0,(A4943)-N(M27))^2/2)+$B$4507</f>
        <v>-695.31249999999989</v>
      </c>
      <c r="E4943" s="3">
        <f>$B$4505*(C4943)+$B$4506*(C4943)^2/2-$B$4504*(C4943)^3/6-(N(D27)*MAX(0,(C4943)-N(E27))^2/2+N(F27)*MAX(0,(C4943)-N(G27))^2/2+N(H27)*MAX(0,(C4943)-N(I27))^2/2+N(J27)*MAX(0,(C4943)-N(K27))^2/2+N(L27)*MAX(0,(C4943)-N(M27))^2/2)+$B$4507</f>
        <v>-695.31249999999989</v>
      </c>
    </row>
    <row r="4944" spans="1:5" hidden="1">
      <c r="A4944" s="3">
        <f t="shared" si="90"/>
        <v>0</v>
      </c>
      <c r="B4944" s="3">
        <f t="shared" si="91"/>
        <v>0</v>
      </c>
      <c r="C4944" s="3">
        <f t="shared" si="89"/>
        <v>0</v>
      </c>
      <c r="D4944" s="3">
        <f>$B$4505*(A4944)+$B$4506*(A4944)^2/2-$B$4504*(A4944)^3/6-(N(D27)*MAX(0,(A4944)-N(E27))^2/2+N(F27)*MAX(0,(A4944)-N(G27))^2/2+N(H27)*MAX(0,(A4944)-N(I27))^2/2+N(J27)*MAX(0,(A4944)-N(K27))^2/2+N(L27)*MAX(0,(A4944)-N(M27))^2/2)+$B$4507</f>
        <v>-695.31249999999989</v>
      </c>
      <c r="E4944" s="3">
        <f>$B$4505*(C4944)+$B$4506*(C4944)^2/2-$B$4504*(C4944)^3/6-(N(D27)*MAX(0,(C4944)-N(E27))^2/2+N(F27)*MAX(0,(C4944)-N(G27))^2/2+N(H27)*MAX(0,(C4944)-N(I27))^2/2+N(J27)*MAX(0,(C4944)-N(K27))^2/2+N(L27)*MAX(0,(C4944)-N(M27))^2/2)+$B$4507</f>
        <v>-695.31249999999989</v>
      </c>
    </row>
    <row r="4945" spans="1:5" hidden="1">
      <c r="A4945" s="3">
        <f t="shared" si="90"/>
        <v>0</v>
      </c>
      <c r="B4945" s="3">
        <f t="shared" si="91"/>
        <v>0</v>
      </c>
      <c r="C4945" s="3">
        <f t="shared" si="89"/>
        <v>0</v>
      </c>
      <c r="D4945" s="3">
        <f>$B$4505*(A4945)+$B$4506*(A4945)^2/2-$B$4504*(A4945)^3/6-(N(D27)*MAX(0,(A4945)-N(E27))^2/2+N(F27)*MAX(0,(A4945)-N(G27))^2/2+N(H27)*MAX(0,(A4945)-N(I27))^2/2+N(J27)*MAX(0,(A4945)-N(K27))^2/2+N(L27)*MAX(0,(A4945)-N(M27))^2/2)+$B$4507</f>
        <v>-695.31249999999989</v>
      </c>
      <c r="E4945" s="3">
        <f>$B$4505*(C4945)+$B$4506*(C4945)^2/2-$B$4504*(C4945)^3/6-(N(D27)*MAX(0,(C4945)-N(E27))^2/2+N(F27)*MAX(0,(C4945)-N(G27))^2/2+N(H27)*MAX(0,(C4945)-N(I27))^2/2+N(J27)*MAX(0,(C4945)-N(K27))^2/2+N(L27)*MAX(0,(C4945)-N(M27))^2/2)+$B$4507</f>
        <v>-695.31249999999989</v>
      </c>
    </row>
    <row r="4946" spans="1:5" hidden="1">
      <c r="A4946" s="3">
        <f t="shared" si="90"/>
        <v>0</v>
      </c>
      <c r="B4946" s="3">
        <f t="shared" si="91"/>
        <v>0</v>
      </c>
      <c r="C4946" s="3">
        <f t="shared" si="89"/>
        <v>0</v>
      </c>
      <c r="D4946" s="3">
        <f>$B$4505*(A4946)+$B$4506*(A4946)^2/2-$B$4504*(A4946)^3/6-(N(D27)*MAX(0,(A4946)-N(E27))^2/2+N(F27)*MAX(0,(A4946)-N(G27))^2/2+N(H27)*MAX(0,(A4946)-N(I27))^2/2+N(J27)*MAX(0,(A4946)-N(K27))^2/2+N(L27)*MAX(0,(A4946)-N(M27))^2/2)+$B$4507</f>
        <v>-695.31249999999989</v>
      </c>
      <c r="E4946" s="3">
        <f>$B$4505*(C4946)+$B$4506*(C4946)^2/2-$B$4504*(C4946)^3/6-(N(D27)*MAX(0,(C4946)-N(E27))^2/2+N(F27)*MAX(0,(C4946)-N(G27))^2/2+N(H27)*MAX(0,(C4946)-N(I27))^2/2+N(J27)*MAX(0,(C4946)-N(K27))^2/2+N(L27)*MAX(0,(C4946)-N(M27))^2/2)+$B$4507</f>
        <v>-695.31249999999989</v>
      </c>
    </row>
    <row r="4947" spans="1:5" hidden="1">
      <c r="A4947" s="3">
        <f t="shared" si="90"/>
        <v>0</v>
      </c>
      <c r="B4947" s="3">
        <f t="shared" si="91"/>
        <v>0</v>
      </c>
      <c r="C4947" s="3">
        <f t="shared" si="89"/>
        <v>0</v>
      </c>
      <c r="D4947" s="3">
        <f>$B$4505*(A4947)+$B$4506*(A4947)^2/2-$B$4504*(A4947)^3/6-(N(D27)*MAX(0,(A4947)-N(E27))^2/2+N(F27)*MAX(0,(A4947)-N(G27))^2/2+N(H27)*MAX(0,(A4947)-N(I27))^2/2+N(J27)*MAX(0,(A4947)-N(K27))^2/2+N(L27)*MAX(0,(A4947)-N(M27))^2/2)+$B$4507</f>
        <v>-695.31249999999989</v>
      </c>
      <c r="E4947" s="3">
        <f>$B$4505*(C4947)+$B$4506*(C4947)^2/2-$B$4504*(C4947)^3/6-(N(D27)*MAX(0,(C4947)-N(E27))^2/2+N(F27)*MAX(0,(C4947)-N(G27))^2/2+N(H27)*MAX(0,(C4947)-N(I27))^2/2+N(J27)*MAX(0,(C4947)-N(K27))^2/2+N(L27)*MAX(0,(C4947)-N(M27))^2/2)+$B$4507</f>
        <v>-695.31249999999989</v>
      </c>
    </row>
    <row r="4948" spans="1:5" hidden="1">
      <c r="A4948" s="3">
        <f t="shared" si="90"/>
        <v>0</v>
      </c>
      <c r="B4948" s="3">
        <f t="shared" si="91"/>
        <v>0</v>
      </c>
      <c r="C4948" s="3">
        <f t="shared" si="89"/>
        <v>0</v>
      </c>
      <c r="D4948" s="3">
        <f>$B$4505*(A4948)+$B$4506*(A4948)^2/2-$B$4504*(A4948)^3/6-(N(D27)*MAX(0,(A4948)-N(E27))^2/2+N(F27)*MAX(0,(A4948)-N(G27))^2/2+N(H27)*MAX(0,(A4948)-N(I27))^2/2+N(J27)*MAX(0,(A4948)-N(K27))^2/2+N(L27)*MAX(0,(A4948)-N(M27))^2/2)+$B$4507</f>
        <v>-695.31249999999989</v>
      </c>
      <c r="E4948" s="3">
        <f>$B$4505*(C4948)+$B$4506*(C4948)^2/2-$B$4504*(C4948)^3/6-(N(D27)*MAX(0,(C4948)-N(E27))^2/2+N(F27)*MAX(0,(C4948)-N(G27))^2/2+N(H27)*MAX(0,(C4948)-N(I27))^2/2+N(J27)*MAX(0,(C4948)-N(K27))^2/2+N(L27)*MAX(0,(C4948)-N(M27))^2/2)+$B$4507</f>
        <v>-695.31249999999989</v>
      </c>
    </row>
    <row r="4949" spans="1:5" hidden="1">
      <c r="A4949" s="3">
        <f t="shared" si="90"/>
        <v>0</v>
      </c>
      <c r="B4949" s="3">
        <f t="shared" si="91"/>
        <v>0</v>
      </c>
      <c r="C4949" s="3">
        <f t="shared" si="89"/>
        <v>0</v>
      </c>
      <c r="D4949" s="3">
        <f>$B$4505*(A4949)+$B$4506*(A4949)^2/2-$B$4504*(A4949)^3/6-(N(D27)*MAX(0,(A4949)-N(E27))^2/2+N(F27)*MAX(0,(A4949)-N(G27))^2/2+N(H27)*MAX(0,(A4949)-N(I27))^2/2+N(J27)*MAX(0,(A4949)-N(K27))^2/2+N(L27)*MAX(0,(A4949)-N(M27))^2/2)+$B$4507</f>
        <v>-695.31249999999989</v>
      </c>
      <c r="E4949" s="3">
        <f>$B$4505*(C4949)+$B$4506*(C4949)^2/2-$B$4504*(C4949)^3/6-(N(D27)*MAX(0,(C4949)-N(E27))^2/2+N(F27)*MAX(0,(C4949)-N(G27))^2/2+N(H27)*MAX(0,(C4949)-N(I27))^2/2+N(J27)*MAX(0,(C4949)-N(K27))^2/2+N(L27)*MAX(0,(C4949)-N(M27))^2/2)+$B$4507</f>
        <v>-695.31249999999989</v>
      </c>
    </row>
    <row r="4950" spans="1:5" hidden="1">
      <c r="A4950" s="3">
        <f t="shared" si="90"/>
        <v>0</v>
      </c>
      <c r="B4950" s="3">
        <f t="shared" si="91"/>
        <v>0</v>
      </c>
      <c r="C4950" s="3">
        <f t="shared" si="89"/>
        <v>0</v>
      </c>
      <c r="D4950" s="3">
        <f>$B$4505*(A4950)+$B$4506*(A4950)^2/2-$B$4504*(A4950)^3/6-(N(D27)*MAX(0,(A4950)-N(E27))^2/2+N(F27)*MAX(0,(A4950)-N(G27))^2/2+N(H27)*MAX(0,(A4950)-N(I27))^2/2+N(J27)*MAX(0,(A4950)-N(K27))^2/2+N(L27)*MAX(0,(A4950)-N(M27))^2/2)+$B$4507</f>
        <v>-695.31249999999989</v>
      </c>
      <c r="E4950" s="3">
        <f>$B$4505*(C4950)+$B$4506*(C4950)^2/2-$B$4504*(C4950)^3/6-(N(D27)*MAX(0,(C4950)-N(E27))^2/2+N(F27)*MAX(0,(C4950)-N(G27))^2/2+N(H27)*MAX(0,(C4950)-N(I27))^2/2+N(J27)*MAX(0,(C4950)-N(K27))^2/2+N(L27)*MAX(0,(C4950)-N(M27))^2/2)+$B$4507</f>
        <v>-695.31249999999989</v>
      </c>
    </row>
    <row r="4951" spans="1:5" hidden="1">
      <c r="A4951" s="3">
        <f t="shared" si="90"/>
        <v>0</v>
      </c>
      <c r="B4951" s="3">
        <f t="shared" si="91"/>
        <v>0</v>
      </c>
      <c r="C4951" s="3">
        <f t="shared" si="89"/>
        <v>0</v>
      </c>
      <c r="D4951" s="3">
        <f>$B$4505*(A4951)+$B$4506*(A4951)^2/2-$B$4504*(A4951)^3/6-(N(D27)*MAX(0,(A4951)-N(E27))^2/2+N(F27)*MAX(0,(A4951)-N(G27))^2/2+N(H27)*MAX(0,(A4951)-N(I27))^2/2+N(J27)*MAX(0,(A4951)-N(K27))^2/2+N(L27)*MAX(0,(A4951)-N(M27))^2/2)+$B$4507</f>
        <v>-695.31249999999989</v>
      </c>
      <c r="E4951" s="3">
        <f>$B$4505*(C4951)+$B$4506*(C4951)^2/2-$B$4504*(C4951)^3/6-(N(D27)*MAX(0,(C4951)-N(E27))^2/2+N(F27)*MAX(0,(C4951)-N(G27))^2/2+N(H27)*MAX(0,(C4951)-N(I27))^2/2+N(J27)*MAX(0,(C4951)-N(K27))^2/2+N(L27)*MAX(0,(C4951)-N(M27))^2/2)+$B$4507</f>
        <v>-695.31249999999989</v>
      </c>
    </row>
    <row r="4952" spans="1:5" hidden="1">
      <c r="A4952" s="3">
        <f t="shared" si="90"/>
        <v>0</v>
      </c>
      <c r="B4952" s="3">
        <f t="shared" si="91"/>
        <v>0</v>
      </c>
      <c r="C4952" s="3">
        <f t="shared" si="89"/>
        <v>0</v>
      </c>
      <c r="D4952" s="3">
        <f>$B$4505*(A4952)+$B$4506*(A4952)^2/2-$B$4504*(A4952)^3/6-(N(D27)*MAX(0,(A4952)-N(E27))^2/2+N(F27)*MAX(0,(A4952)-N(G27))^2/2+N(H27)*MAX(0,(A4952)-N(I27))^2/2+N(J27)*MAX(0,(A4952)-N(K27))^2/2+N(L27)*MAX(0,(A4952)-N(M27))^2/2)+$B$4507</f>
        <v>-695.31249999999989</v>
      </c>
      <c r="E4952" s="3">
        <f>$B$4505*(C4952)+$B$4506*(C4952)^2/2-$B$4504*(C4952)^3/6-(N(D27)*MAX(0,(C4952)-N(E27))^2/2+N(F27)*MAX(0,(C4952)-N(G27))^2/2+N(H27)*MAX(0,(C4952)-N(I27))^2/2+N(J27)*MAX(0,(C4952)-N(K27))^2/2+N(L27)*MAX(0,(C4952)-N(M27))^2/2)+$B$4507</f>
        <v>-695.31249999999989</v>
      </c>
    </row>
    <row r="4953" spans="1:5" hidden="1">
      <c r="A4953" s="3">
        <f t="shared" si="90"/>
        <v>0</v>
      </c>
      <c r="B4953" s="3">
        <f t="shared" si="91"/>
        <v>0</v>
      </c>
      <c r="C4953" s="3">
        <f t="shared" si="89"/>
        <v>0</v>
      </c>
      <c r="D4953" s="3">
        <f>$B$4505*(A4953)+$B$4506*(A4953)^2/2-$B$4504*(A4953)^3/6-(N(D27)*MAX(0,(A4953)-N(E27))^2/2+N(F27)*MAX(0,(A4953)-N(G27))^2/2+N(H27)*MAX(0,(A4953)-N(I27))^2/2+N(J27)*MAX(0,(A4953)-N(K27))^2/2+N(L27)*MAX(0,(A4953)-N(M27))^2/2)+$B$4507</f>
        <v>-695.31249999999989</v>
      </c>
      <c r="E4953" s="3">
        <f>$B$4505*(C4953)+$B$4506*(C4953)^2/2-$B$4504*(C4953)^3/6-(N(D27)*MAX(0,(C4953)-N(E27))^2/2+N(F27)*MAX(0,(C4953)-N(G27))^2/2+N(H27)*MAX(0,(C4953)-N(I27))^2/2+N(J27)*MAX(0,(C4953)-N(K27))^2/2+N(L27)*MAX(0,(C4953)-N(M27))^2/2)+$B$4507</f>
        <v>-695.31249999999989</v>
      </c>
    </row>
    <row r="4954" spans="1:5" hidden="1">
      <c r="A4954" s="3">
        <f t="shared" si="90"/>
        <v>0</v>
      </c>
      <c r="B4954" s="3">
        <f t="shared" si="91"/>
        <v>0</v>
      </c>
      <c r="C4954" s="3">
        <f t="shared" si="89"/>
        <v>0</v>
      </c>
      <c r="D4954" s="3">
        <f>$B$4505*(A4954)+$B$4506*(A4954)^2/2-$B$4504*(A4954)^3/6-(N(D27)*MAX(0,(A4954)-N(E27))^2/2+N(F27)*MAX(0,(A4954)-N(G27))^2/2+N(H27)*MAX(0,(A4954)-N(I27))^2/2+N(J27)*MAX(0,(A4954)-N(K27))^2/2+N(L27)*MAX(0,(A4954)-N(M27))^2/2)+$B$4507</f>
        <v>-695.31249999999989</v>
      </c>
      <c r="E4954" s="3">
        <f>$B$4505*(C4954)+$B$4506*(C4954)^2/2-$B$4504*(C4954)^3/6-(N(D27)*MAX(0,(C4954)-N(E27))^2/2+N(F27)*MAX(0,(C4954)-N(G27))^2/2+N(H27)*MAX(0,(C4954)-N(I27))^2/2+N(J27)*MAX(0,(C4954)-N(K27))^2/2+N(L27)*MAX(0,(C4954)-N(M27))^2/2)+$B$4507</f>
        <v>-695.31249999999989</v>
      </c>
    </row>
    <row r="4955" spans="1:5" hidden="1">
      <c r="A4955" s="3">
        <f t="shared" si="90"/>
        <v>0</v>
      </c>
      <c r="B4955" s="3">
        <f t="shared" si="91"/>
        <v>0</v>
      </c>
      <c r="C4955" s="3">
        <f t="shared" si="89"/>
        <v>0</v>
      </c>
      <c r="D4955" s="3">
        <f>$B$4505*(A4955)+$B$4506*(A4955)^2/2-$B$4504*(A4955)^3/6-(N(D27)*MAX(0,(A4955)-N(E27))^2/2+N(F27)*MAX(0,(A4955)-N(G27))^2/2+N(H27)*MAX(0,(A4955)-N(I27))^2/2+N(J27)*MAX(0,(A4955)-N(K27))^2/2+N(L27)*MAX(0,(A4955)-N(M27))^2/2)+$B$4507</f>
        <v>-695.31249999999989</v>
      </c>
      <c r="E4955" s="3">
        <f>$B$4505*(C4955)+$B$4506*(C4955)^2/2-$B$4504*(C4955)^3/6-(N(D27)*MAX(0,(C4955)-N(E27))^2/2+N(F27)*MAX(0,(C4955)-N(G27))^2/2+N(H27)*MAX(0,(C4955)-N(I27))^2/2+N(J27)*MAX(0,(C4955)-N(K27))^2/2+N(L27)*MAX(0,(C4955)-N(M27))^2/2)+$B$4507</f>
        <v>-695.31249999999989</v>
      </c>
    </row>
    <row r="4956" spans="1:5" hidden="1">
      <c r="A4956" s="3">
        <f t="shared" si="90"/>
        <v>0</v>
      </c>
      <c r="B4956" s="3">
        <f t="shared" si="91"/>
        <v>0</v>
      </c>
      <c r="C4956" s="3">
        <f t="shared" si="89"/>
        <v>0</v>
      </c>
      <c r="D4956" s="3">
        <f>$B$4505*(A4956)+$B$4506*(A4956)^2/2-$B$4504*(A4956)^3/6-(N(D27)*MAX(0,(A4956)-N(E27))^2/2+N(F27)*MAX(0,(A4956)-N(G27))^2/2+N(H27)*MAX(0,(A4956)-N(I27))^2/2+N(J27)*MAX(0,(A4956)-N(K27))^2/2+N(L27)*MAX(0,(A4956)-N(M27))^2/2)+$B$4507</f>
        <v>-695.31249999999989</v>
      </c>
      <c r="E4956" s="3">
        <f>$B$4505*(C4956)+$B$4506*(C4956)^2/2-$B$4504*(C4956)^3/6-(N(D27)*MAX(0,(C4956)-N(E27))^2/2+N(F27)*MAX(0,(C4956)-N(G27))^2/2+N(H27)*MAX(0,(C4956)-N(I27))^2/2+N(J27)*MAX(0,(C4956)-N(K27))^2/2+N(L27)*MAX(0,(C4956)-N(M27))^2/2)+$B$4507</f>
        <v>-695.31249999999989</v>
      </c>
    </row>
    <row r="4957" spans="1:5" hidden="1">
      <c r="A4957" s="3">
        <f t="shared" si="90"/>
        <v>0</v>
      </c>
      <c r="B4957" s="3">
        <f t="shared" si="91"/>
        <v>0</v>
      </c>
      <c r="C4957" s="3">
        <f t="shared" si="89"/>
        <v>0</v>
      </c>
      <c r="D4957" s="3">
        <f>$B$4505*(A4957)+$B$4506*(A4957)^2/2-$B$4504*(A4957)^3/6-(N(D27)*MAX(0,(A4957)-N(E27))^2/2+N(F27)*MAX(0,(A4957)-N(G27))^2/2+N(H27)*MAX(0,(A4957)-N(I27))^2/2+N(J27)*MAX(0,(A4957)-N(K27))^2/2+N(L27)*MAX(0,(A4957)-N(M27))^2/2)+$B$4507</f>
        <v>-695.31249999999989</v>
      </c>
      <c r="E4957" s="3">
        <f>$B$4505*(C4957)+$B$4506*(C4957)^2/2-$B$4504*(C4957)^3/6-(N(D27)*MAX(0,(C4957)-N(E27))^2/2+N(F27)*MAX(0,(C4957)-N(G27))^2/2+N(H27)*MAX(0,(C4957)-N(I27))^2/2+N(J27)*MAX(0,(C4957)-N(K27))^2/2+N(L27)*MAX(0,(C4957)-N(M27))^2/2)+$B$4507</f>
        <v>-695.31249999999989</v>
      </c>
    </row>
    <row r="4958" spans="1:5" hidden="1">
      <c r="A4958" s="3">
        <f t="shared" si="90"/>
        <v>0</v>
      </c>
      <c r="B4958" s="3">
        <f t="shared" si="91"/>
        <v>0</v>
      </c>
      <c r="C4958" s="3">
        <f t="shared" si="89"/>
        <v>0</v>
      </c>
      <c r="D4958" s="3">
        <f>$B$4505*(A4958)+$B$4506*(A4958)^2/2-$B$4504*(A4958)^3/6-(N(D27)*MAX(0,(A4958)-N(E27))^2/2+N(F27)*MAX(0,(A4958)-N(G27))^2/2+N(H27)*MAX(0,(A4958)-N(I27))^2/2+N(J27)*MAX(0,(A4958)-N(K27))^2/2+N(L27)*MAX(0,(A4958)-N(M27))^2/2)+$B$4507</f>
        <v>-695.31249999999989</v>
      </c>
      <c r="E4958" s="3">
        <f>$B$4505*(C4958)+$B$4506*(C4958)^2/2-$B$4504*(C4958)^3/6-(N(D27)*MAX(0,(C4958)-N(E27))^2/2+N(F27)*MAX(0,(C4958)-N(G27))^2/2+N(H27)*MAX(0,(C4958)-N(I27))^2/2+N(J27)*MAX(0,(C4958)-N(K27))^2/2+N(L27)*MAX(0,(C4958)-N(M27))^2/2)+$B$4507</f>
        <v>-695.31249999999989</v>
      </c>
    </row>
    <row r="4959" spans="1:5" hidden="1">
      <c r="A4959" s="3">
        <f t="shared" si="90"/>
        <v>0</v>
      </c>
      <c r="B4959" s="3">
        <f t="shared" si="91"/>
        <v>0</v>
      </c>
      <c r="C4959" s="3">
        <f t="shared" si="89"/>
        <v>0</v>
      </c>
      <c r="D4959" s="3">
        <f>$B$4505*(A4959)+$B$4506*(A4959)^2/2-$B$4504*(A4959)^3/6-(N(D27)*MAX(0,(A4959)-N(E27))^2/2+N(F27)*MAX(0,(A4959)-N(G27))^2/2+N(H27)*MAX(0,(A4959)-N(I27))^2/2+N(J27)*MAX(0,(A4959)-N(K27))^2/2+N(L27)*MAX(0,(A4959)-N(M27))^2/2)+$B$4507</f>
        <v>-695.31249999999989</v>
      </c>
      <c r="E4959" s="3">
        <f>$B$4505*(C4959)+$B$4506*(C4959)^2/2-$B$4504*(C4959)^3/6-(N(D27)*MAX(0,(C4959)-N(E27))^2/2+N(F27)*MAX(0,(C4959)-N(G27))^2/2+N(H27)*MAX(0,(C4959)-N(I27))^2/2+N(J27)*MAX(0,(C4959)-N(K27))^2/2+N(L27)*MAX(0,(C4959)-N(M27))^2/2)+$B$4507</f>
        <v>-695.31249999999989</v>
      </c>
    </row>
    <row r="4960" spans="1:5" hidden="1">
      <c r="A4960" s="3">
        <f t="shared" si="90"/>
        <v>0</v>
      </c>
      <c r="B4960" s="3">
        <f t="shared" si="91"/>
        <v>0</v>
      </c>
      <c r="C4960" s="3">
        <f t="shared" si="89"/>
        <v>0</v>
      </c>
      <c r="D4960" s="3">
        <f>$B$4505*(A4960)+$B$4506*(A4960)^2/2-$B$4504*(A4960)^3/6-(N(D27)*MAX(0,(A4960)-N(E27))^2/2+N(F27)*MAX(0,(A4960)-N(G27))^2/2+N(H27)*MAX(0,(A4960)-N(I27))^2/2+N(J27)*MAX(0,(A4960)-N(K27))^2/2+N(L27)*MAX(0,(A4960)-N(M27))^2/2)+$B$4507</f>
        <v>-695.31249999999989</v>
      </c>
      <c r="E4960" s="3">
        <f>$B$4505*(C4960)+$B$4506*(C4960)^2/2-$B$4504*(C4960)^3/6-(N(D27)*MAX(0,(C4960)-N(E27))^2/2+N(F27)*MAX(0,(C4960)-N(G27))^2/2+N(H27)*MAX(0,(C4960)-N(I27))^2/2+N(J27)*MAX(0,(C4960)-N(K27))^2/2+N(L27)*MAX(0,(C4960)-N(M27))^2/2)+$B$4507</f>
        <v>-695.31249999999989</v>
      </c>
    </row>
    <row r="4961" spans="1:5" hidden="1">
      <c r="A4961" s="3">
        <f t="shared" si="90"/>
        <v>0</v>
      </c>
      <c r="B4961" s="3">
        <f t="shared" si="91"/>
        <v>0</v>
      </c>
      <c r="C4961" s="3">
        <f t="shared" si="89"/>
        <v>0</v>
      </c>
      <c r="D4961" s="3">
        <f>$B$4505*(A4961)+$B$4506*(A4961)^2/2-$B$4504*(A4961)^3/6-(N(D27)*MAX(0,(A4961)-N(E27))^2/2+N(F27)*MAX(0,(A4961)-N(G27))^2/2+N(H27)*MAX(0,(A4961)-N(I27))^2/2+N(J27)*MAX(0,(A4961)-N(K27))^2/2+N(L27)*MAX(0,(A4961)-N(M27))^2/2)+$B$4507</f>
        <v>-695.31249999999989</v>
      </c>
      <c r="E4961" s="3">
        <f>$B$4505*(C4961)+$B$4506*(C4961)^2/2-$B$4504*(C4961)^3/6-(N(D27)*MAX(0,(C4961)-N(E27))^2/2+N(F27)*MAX(0,(C4961)-N(G27))^2/2+N(H27)*MAX(0,(C4961)-N(I27))^2/2+N(J27)*MAX(0,(C4961)-N(K27))^2/2+N(L27)*MAX(0,(C4961)-N(M27))^2/2)+$B$4507</f>
        <v>-695.31249999999989</v>
      </c>
    </row>
    <row r="4962" spans="1:5" hidden="1">
      <c r="A4962" s="3">
        <f t="shared" si="90"/>
        <v>0</v>
      </c>
      <c r="B4962" s="3">
        <f t="shared" si="91"/>
        <v>0</v>
      </c>
      <c r="C4962" s="3">
        <f t="shared" si="89"/>
        <v>0</v>
      </c>
      <c r="D4962" s="3">
        <f>$B$4505*(A4962)+$B$4506*(A4962)^2/2-$B$4504*(A4962)^3/6-(N(D27)*MAX(0,(A4962)-N(E27))^2/2+N(F27)*MAX(0,(A4962)-N(G27))^2/2+N(H27)*MAX(0,(A4962)-N(I27))^2/2+N(J27)*MAX(0,(A4962)-N(K27))^2/2+N(L27)*MAX(0,(A4962)-N(M27))^2/2)+$B$4507</f>
        <v>-695.31249999999989</v>
      </c>
      <c r="E4962" s="3">
        <f>$B$4505*(C4962)+$B$4506*(C4962)^2/2-$B$4504*(C4962)^3/6-(N(D27)*MAX(0,(C4962)-N(E27))^2/2+N(F27)*MAX(0,(C4962)-N(G27))^2/2+N(H27)*MAX(0,(C4962)-N(I27))^2/2+N(J27)*MAX(0,(C4962)-N(K27))^2/2+N(L27)*MAX(0,(C4962)-N(M27))^2/2)+$B$4507</f>
        <v>-695.31249999999989</v>
      </c>
    </row>
    <row r="4963" spans="1:5" hidden="1">
      <c r="A4963" s="3">
        <f t="shared" si="90"/>
        <v>0</v>
      </c>
      <c r="B4963" s="3">
        <f t="shared" si="91"/>
        <v>0</v>
      </c>
      <c r="C4963" s="3">
        <f t="shared" si="89"/>
        <v>0</v>
      </c>
      <c r="D4963" s="3">
        <f>$B$4505*(A4963)+$B$4506*(A4963)^2/2-$B$4504*(A4963)^3/6-(N(D27)*MAX(0,(A4963)-N(E27))^2/2+N(F27)*MAX(0,(A4963)-N(G27))^2/2+N(H27)*MAX(0,(A4963)-N(I27))^2/2+N(J27)*MAX(0,(A4963)-N(K27))^2/2+N(L27)*MAX(0,(A4963)-N(M27))^2/2)+$B$4507</f>
        <v>-695.31249999999989</v>
      </c>
      <c r="E4963" s="3">
        <f>$B$4505*(C4963)+$B$4506*(C4963)^2/2-$B$4504*(C4963)^3/6-(N(D27)*MAX(0,(C4963)-N(E27))^2/2+N(F27)*MAX(0,(C4963)-N(G27))^2/2+N(H27)*MAX(0,(C4963)-N(I27))^2/2+N(J27)*MAX(0,(C4963)-N(K27))^2/2+N(L27)*MAX(0,(C4963)-N(M27))^2/2)+$B$4507</f>
        <v>-695.31249999999989</v>
      </c>
    </row>
    <row r="4964" spans="1:5" hidden="1">
      <c r="A4964" s="3">
        <f t="shared" si="90"/>
        <v>0</v>
      </c>
      <c r="B4964" s="3">
        <f t="shared" si="91"/>
        <v>0</v>
      </c>
      <c r="C4964" s="3">
        <f t="shared" si="89"/>
        <v>0</v>
      </c>
      <c r="D4964" s="3">
        <f>$B$4505*(A4964)+$B$4506*(A4964)^2/2-$B$4504*(A4964)^3/6-(N(D27)*MAX(0,(A4964)-N(E27))^2/2+N(F27)*MAX(0,(A4964)-N(G27))^2/2+N(H27)*MAX(0,(A4964)-N(I27))^2/2+N(J27)*MAX(0,(A4964)-N(K27))^2/2+N(L27)*MAX(0,(A4964)-N(M27))^2/2)+$B$4507</f>
        <v>-695.31249999999989</v>
      </c>
      <c r="E4964" s="3">
        <f>$B$4505*(C4964)+$B$4506*(C4964)^2/2-$B$4504*(C4964)^3/6-(N(D27)*MAX(0,(C4964)-N(E27))^2/2+N(F27)*MAX(0,(C4964)-N(G27))^2/2+N(H27)*MAX(0,(C4964)-N(I27))^2/2+N(J27)*MAX(0,(C4964)-N(K27))^2/2+N(L27)*MAX(0,(C4964)-N(M27))^2/2)+$B$4507</f>
        <v>-695.31249999999989</v>
      </c>
    </row>
    <row r="4965" spans="1:5" hidden="1">
      <c r="A4965" s="3">
        <f t="shared" si="90"/>
        <v>0</v>
      </c>
      <c r="B4965" s="3">
        <f t="shared" si="91"/>
        <v>0</v>
      </c>
      <c r="C4965" s="3">
        <f t="shared" si="89"/>
        <v>0</v>
      </c>
      <c r="D4965" s="3">
        <f>$B$4505*(A4965)+$B$4506*(A4965)^2/2-$B$4504*(A4965)^3/6-(N(D27)*MAX(0,(A4965)-N(E27))^2/2+N(F27)*MAX(0,(A4965)-N(G27))^2/2+N(H27)*MAX(0,(A4965)-N(I27))^2/2+N(J27)*MAX(0,(A4965)-N(K27))^2/2+N(L27)*MAX(0,(A4965)-N(M27))^2/2)+$B$4507</f>
        <v>-695.31249999999989</v>
      </c>
      <c r="E4965" s="3">
        <f>$B$4505*(C4965)+$B$4506*(C4965)^2/2-$B$4504*(C4965)^3/6-(N(D27)*MAX(0,(C4965)-N(E27))^2/2+N(F27)*MAX(0,(C4965)-N(G27))^2/2+N(H27)*MAX(0,(C4965)-N(I27))^2/2+N(J27)*MAX(0,(C4965)-N(K27))^2/2+N(L27)*MAX(0,(C4965)-N(M27))^2/2)+$B$4507</f>
        <v>-695.31249999999989</v>
      </c>
    </row>
    <row r="4966" spans="1:5" hidden="1">
      <c r="A4966" s="3">
        <f t="shared" si="90"/>
        <v>0</v>
      </c>
      <c r="B4966" s="3">
        <f t="shared" si="91"/>
        <v>0</v>
      </c>
      <c r="C4966" s="3">
        <f t="shared" si="89"/>
        <v>0</v>
      </c>
      <c r="D4966" s="3">
        <f>$B$4505*(A4966)+$B$4506*(A4966)^2/2-$B$4504*(A4966)^3/6-(N(D27)*MAX(0,(A4966)-N(E27))^2/2+N(F27)*MAX(0,(A4966)-N(G27))^2/2+N(H27)*MAX(0,(A4966)-N(I27))^2/2+N(J27)*MAX(0,(A4966)-N(K27))^2/2+N(L27)*MAX(0,(A4966)-N(M27))^2/2)+$B$4507</f>
        <v>-695.31249999999989</v>
      </c>
      <c r="E4966" s="3">
        <f>$B$4505*(C4966)+$B$4506*(C4966)^2/2-$B$4504*(C4966)^3/6-(N(D27)*MAX(0,(C4966)-N(E27))^2/2+N(F27)*MAX(0,(C4966)-N(G27))^2/2+N(H27)*MAX(0,(C4966)-N(I27))^2/2+N(J27)*MAX(0,(C4966)-N(K27))^2/2+N(L27)*MAX(0,(C4966)-N(M27))^2/2)+$B$4507</f>
        <v>-695.31249999999989</v>
      </c>
    </row>
    <row r="4967" spans="1:5" hidden="1">
      <c r="A4967" s="3">
        <f t="shared" si="90"/>
        <v>0</v>
      </c>
      <c r="B4967" s="3">
        <f t="shared" si="91"/>
        <v>0</v>
      </c>
      <c r="C4967" s="3">
        <f t="shared" si="89"/>
        <v>0</v>
      </c>
      <c r="D4967" s="3">
        <f>$B$4505*(A4967)+$B$4506*(A4967)^2/2-$B$4504*(A4967)^3/6-(N(D27)*MAX(0,(A4967)-N(E27))^2/2+N(F27)*MAX(0,(A4967)-N(G27))^2/2+N(H27)*MAX(0,(A4967)-N(I27))^2/2+N(J27)*MAX(0,(A4967)-N(K27))^2/2+N(L27)*MAX(0,(A4967)-N(M27))^2/2)+$B$4507</f>
        <v>-695.31249999999989</v>
      </c>
      <c r="E4967" s="3">
        <f>$B$4505*(C4967)+$B$4506*(C4967)^2/2-$B$4504*(C4967)^3/6-(N(D27)*MAX(0,(C4967)-N(E27))^2/2+N(F27)*MAX(0,(C4967)-N(G27))^2/2+N(H27)*MAX(0,(C4967)-N(I27))^2/2+N(J27)*MAX(0,(C4967)-N(K27))^2/2+N(L27)*MAX(0,(C4967)-N(M27))^2/2)+$B$4507</f>
        <v>-695.31249999999989</v>
      </c>
    </row>
    <row r="4968" spans="1:5" hidden="1"/>
    <row r="4969" spans="1:5" hidden="1">
      <c r="A4969" s="3">
        <f>B4549</f>
        <v>0</v>
      </c>
      <c r="B4969" s="3">
        <f>IF(($B$4505*(B4549)+$B$4506*(B4549)^2/2-$B$4504*(B4549)^3/6-(N(D27)*MAX(0,(B4549)-N(E27))^2/2+N(F27)*MAX(0,(B4549)-N(G27))^2/2+N(H27)*MAX(0,(B4549)-N(I27))^2/2+N(J27)*MAX(0,(B4549)-N(K27))^2/2+N(L27)*MAX(0,(B4549)-N(M27))^2/2)+$B$4507)*($B$4505*(B4550)+$B$4506*(B4550)^2/2-$B$4504*(B4550)^3/6-(N(D27)*MAX(0,(B4550)-N(E27))^2/2+N(F27)*MAX(0,(B4550)-N(G27))^2/2+N(H27)*MAX(0,(B4550)-N(I27))^2/2+N(J27)*MAX(0,(B4550)-N(K27))^2/2+N(L27)*MAX(0,(B4550)-N(M27))^2/2)+$B$4507)&lt;=0,B4550,B4549)</f>
        <v>0</v>
      </c>
      <c r="C4969" s="3">
        <f t="shared" ref="C4969:C5013" si="92">(A4969+B4969)/2</f>
        <v>0</v>
      </c>
      <c r="D4969" s="3">
        <f>$B$4505*(A4969)+$B$4506*(A4969)^2/2-$B$4504*(A4969)^3/6-(N(D27)*MAX(0,(A4969)-N(E27))^2/2+N(F27)*MAX(0,(A4969)-N(G27))^2/2+N(H27)*MAX(0,(A4969)-N(I27))^2/2+N(J27)*MAX(0,(A4969)-N(K27))^2/2+N(L27)*MAX(0,(A4969)-N(M27))^2/2)+$B$4507</f>
        <v>-695.31249999999989</v>
      </c>
      <c r="E4969" s="3">
        <f>$B$4505*(C4969)+$B$4506*(C4969)^2/2-$B$4504*(C4969)^3/6-(N(D27)*MAX(0,(C4969)-N(E27))^2/2+N(F27)*MAX(0,(C4969)-N(G27))^2/2+N(H27)*MAX(0,(C4969)-N(I27))^2/2+N(J27)*MAX(0,(C4969)-N(K27))^2/2+N(L27)*MAX(0,(C4969)-N(M27))^2/2)+$B$4507</f>
        <v>-695.31249999999989</v>
      </c>
    </row>
    <row r="4970" spans="1:5" hidden="1">
      <c r="A4970" s="3">
        <f t="shared" ref="A4970:A5013" si="93">IF(D4969*E4969&lt;=0,A4969,C4969)</f>
        <v>0</v>
      </c>
      <c r="B4970" s="3">
        <f t="shared" ref="B4970:B5013" si="94">IF(D4969*E4969&lt;=0,C4969,B4969)</f>
        <v>0</v>
      </c>
      <c r="C4970" s="3">
        <f t="shared" si="92"/>
        <v>0</v>
      </c>
      <c r="D4970" s="3">
        <f>$B$4505*(A4970)+$B$4506*(A4970)^2/2-$B$4504*(A4970)^3/6-(N(D27)*MAX(0,(A4970)-N(E27))^2/2+N(F27)*MAX(0,(A4970)-N(G27))^2/2+N(H27)*MAX(0,(A4970)-N(I27))^2/2+N(J27)*MAX(0,(A4970)-N(K27))^2/2+N(L27)*MAX(0,(A4970)-N(M27))^2/2)+$B$4507</f>
        <v>-695.31249999999989</v>
      </c>
      <c r="E4970" s="3">
        <f>$B$4505*(C4970)+$B$4506*(C4970)^2/2-$B$4504*(C4970)^3/6-(N(D27)*MAX(0,(C4970)-N(E27))^2/2+N(F27)*MAX(0,(C4970)-N(G27))^2/2+N(H27)*MAX(0,(C4970)-N(I27))^2/2+N(J27)*MAX(0,(C4970)-N(K27))^2/2+N(L27)*MAX(0,(C4970)-N(M27))^2/2)+$B$4507</f>
        <v>-695.31249999999989</v>
      </c>
    </row>
    <row r="4971" spans="1:5" hidden="1">
      <c r="A4971" s="3">
        <f t="shared" si="93"/>
        <v>0</v>
      </c>
      <c r="B4971" s="3">
        <f t="shared" si="94"/>
        <v>0</v>
      </c>
      <c r="C4971" s="3">
        <f t="shared" si="92"/>
        <v>0</v>
      </c>
      <c r="D4971" s="3">
        <f>$B$4505*(A4971)+$B$4506*(A4971)^2/2-$B$4504*(A4971)^3/6-(N(D27)*MAX(0,(A4971)-N(E27))^2/2+N(F27)*MAX(0,(A4971)-N(G27))^2/2+N(H27)*MAX(0,(A4971)-N(I27))^2/2+N(J27)*MAX(0,(A4971)-N(K27))^2/2+N(L27)*MAX(0,(A4971)-N(M27))^2/2)+$B$4507</f>
        <v>-695.31249999999989</v>
      </c>
      <c r="E4971" s="3">
        <f>$B$4505*(C4971)+$B$4506*(C4971)^2/2-$B$4504*(C4971)^3/6-(N(D27)*MAX(0,(C4971)-N(E27))^2/2+N(F27)*MAX(0,(C4971)-N(G27))^2/2+N(H27)*MAX(0,(C4971)-N(I27))^2/2+N(J27)*MAX(0,(C4971)-N(K27))^2/2+N(L27)*MAX(0,(C4971)-N(M27))^2/2)+$B$4507</f>
        <v>-695.31249999999989</v>
      </c>
    </row>
    <row r="4972" spans="1:5" hidden="1">
      <c r="A4972" s="3">
        <f t="shared" si="93"/>
        <v>0</v>
      </c>
      <c r="B4972" s="3">
        <f t="shared" si="94"/>
        <v>0</v>
      </c>
      <c r="C4972" s="3">
        <f t="shared" si="92"/>
        <v>0</v>
      </c>
      <c r="D4972" s="3">
        <f>$B$4505*(A4972)+$B$4506*(A4972)^2/2-$B$4504*(A4972)^3/6-(N(D27)*MAX(0,(A4972)-N(E27))^2/2+N(F27)*MAX(0,(A4972)-N(G27))^2/2+N(H27)*MAX(0,(A4972)-N(I27))^2/2+N(J27)*MAX(0,(A4972)-N(K27))^2/2+N(L27)*MAX(0,(A4972)-N(M27))^2/2)+$B$4507</f>
        <v>-695.31249999999989</v>
      </c>
      <c r="E4972" s="3">
        <f>$B$4505*(C4972)+$B$4506*(C4972)^2/2-$B$4504*(C4972)^3/6-(N(D27)*MAX(0,(C4972)-N(E27))^2/2+N(F27)*MAX(0,(C4972)-N(G27))^2/2+N(H27)*MAX(0,(C4972)-N(I27))^2/2+N(J27)*MAX(0,(C4972)-N(K27))^2/2+N(L27)*MAX(0,(C4972)-N(M27))^2/2)+$B$4507</f>
        <v>-695.31249999999989</v>
      </c>
    </row>
    <row r="4973" spans="1:5" hidden="1">
      <c r="A4973" s="3">
        <f t="shared" si="93"/>
        <v>0</v>
      </c>
      <c r="B4973" s="3">
        <f t="shared" si="94"/>
        <v>0</v>
      </c>
      <c r="C4973" s="3">
        <f t="shared" si="92"/>
        <v>0</v>
      </c>
      <c r="D4973" s="3">
        <f>$B$4505*(A4973)+$B$4506*(A4973)^2/2-$B$4504*(A4973)^3/6-(N(D27)*MAX(0,(A4973)-N(E27))^2/2+N(F27)*MAX(0,(A4973)-N(G27))^2/2+N(H27)*MAX(0,(A4973)-N(I27))^2/2+N(J27)*MAX(0,(A4973)-N(K27))^2/2+N(L27)*MAX(0,(A4973)-N(M27))^2/2)+$B$4507</f>
        <v>-695.31249999999989</v>
      </c>
      <c r="E4973" s="3">
        <f>$B$4505*(C4973)+$B$4506*(C4973)^2/2-$B$4504*(C4973)^3/6-(N(D27)*MAX(0,(C4973)-N(E27))^2/2+N(F27)*MAX(0,(C4973)-N(G27))^2/2+N(H27)*MAX(0,(C4973)-N(I27))^2/2+N(J27)*MAX(0,(C4973)-N(K27))^2/2+N(L27)*MAX(0,(C4973)-N(M27))^2/2)+$B$4507</f>
        <v>-695.31249999999989</v>
      </c>
    </row>
    <row r="4974" spans="1:5" hidden="1">
      <c r="A4974" s="3">
        <f t="shared" si="93"/>
        <v>0</v>
      </c>
      <c r="B4974" s="3">
        <f t="shared" si="94"/>
        <v>0</v>
      </c>
      <c r="C4974" s="3">
        <f t="shared" si="92"/>
        <v>0</v>
      </c>
      <c r="D4974" s="3">
        <f>$B$4505*(A4974)+$B$4506*(A4974)^2/2-$B$4504*(A4974)^3/6-(N(D27)*MAX(0,(A4974)-N(E27))^2/2+N(F27)*MAX(0,(A4974)-N(G27))^2/2+N(H27)*MAX(0,(A4974)-N(I27))^2/2+N(J27)*MAX(0,(A4974)-N(K27))^2/2+N(L27)*MAX(0,(A4974)-N(M27))^2/2)+$B$4507</f>
        <v>-695.31249999999989</v>
      </c>
      <c r="E4974" s="3">
        <f>$B$4505*(C4974)+$B$4506*(C4974)^2/2-$B$4504*(C4974)^3/6-(N(D27)*MAX(0,(C4974)-N(E27))^2/2+N(F27)*MAX(0,(C4974)-N(G27))^2/2+N(H27)*MAX(0,(C4974)-N(I27))^2/2+N(J27)*MAX(0,(C4974)-N(K27))^2/2+N(L27)*MAX(0,(C4974)-N(M27))^2/2)+$B$4507</f>
        <v>-695.31249999999989</v>
      </c>
    </row>
    <row r="4975" spans="1:5" hidden="1">
      <c r="A4975" s="3">
        <f t="shared" si="93"/>
        <v>0</v>
      </c>
      <c r="B4975" s="3">
        <f t="shared" si="94"/>
        <v>0</v>
      </c>
      <c r="C4975" s="3">
        <f t="shared" si="92"/>
        <v>0</v>
      </c>
      <c r="D4975" s="3">
        <f>$B$4505*(A4975)+$B$4506*(A4975)^2/2-$B$4504*(A4975)^3/6-(N(D27)*MAX(0,(A4975)-N(E27))^2/2+N(F27)*MAX(0,(A4975)-N(G27))^2/2+N(H27)*MAX(0,(A4975)-N(I27))^2/2+N(J27)*MAX(0,(A4975)-N(K27))^2/2+N(L27)*MAX(0,(A4975)-N(M27))^2/2)+$B$4507</f>
        <v>-695.31249999999989</v>
      </c>
      <c r="E4975" s="3">
        <f>$B$4505*(C4975)+$B$4506*(C4975)^2/2-$B$4504*(C4975)^3/6-(N(D27)*MAX(0,(C4975)-N(E27))^2/2+N(F27)*MAX(0,(C4975)-N(G27))^2/2+N(H27)*MAX(0,(C4975)-N(I27))^2/2+N(J27)*MAX(0,(C4975)-N(K27))^2/2+N(L27)*MAX(0,(C4975)-N(M27))^2/2)+$B$4507</f>
        <v>-695.31249999999989</v>
      </c>
    </row>
    <row r="4976" spans="1:5" hidden="1">
      <c r="A4976" s="3">
        <f t="shared" si="93"/>
        <v>0</v>
      </c>
      <c r="B4976" s="3">
        <f t="shared" si="94"/>
        <v>0</v>
      </c>
      <c r="C4976" s="3">
        <f t="shared" si="92"/>
        <v>0</v>
      </c>
      <c r="D4976" s="3">
        <f>$B$4505*(A4976)+$B$4506*(A4976)^2/2-$B$4504*(A4976)^3/6-(N(D27)*MAX(0,(A4976)-N(E27))^2/2+N(F27)*MAX(0,(A4976)-N(G27))^2/2+N(H27)*MAX(0,(A4976)-N(I27))^2/2+N(J27)*MAX(0,(A4976)-N(K27))^2/2+N(L27)*MAX(0,(A4976)-N(M27))^2/2)+$B$4507</f>
        <v>-695.31249999999989</v>
      </c>
      <c r="E4976" s="3">
        <f>$B$4505*(C4976)+$B$4506*(C4976)^2/2-$B$4504*(C4976)^3/6-(N(D27)*MAX(0,(C4976)-N(E27))^2/2+N(F27)*MAX(0,(C4976)-N(G27))^2/2+N(H27)*MAX(0,(C4976)-N(I27))^2/2+N(J27)*MAX(0,(C4976)-N(K27))^2/2+N(L27)*MAX(0,(C4976)-N(M27))^2/2)+$B$4507</f>
        <v>-695.31249999999989</v>
      </c>
    </row>
    <row r="4977" spans="1:5" hidden="1">
      <c r="A4977" s="3">
        <f t="shared" si="93"/>
        <v>0</v>
      </c>
      <c r="B4977" s="3">
        <f t="shared" si="94"/>
        <v>0</v>
      </c>
      <c r="C4977" s="3">
        <f t="shared" si="92"/>
        <v>0</v>
      </c>
      <c r="D4977" s="3">
        <f>$B$4505*(A4977)+$B$4506*(A4977)^2/2-$B$4504*(A4977)^3/6-(N(D27)*MAX(0,(A4977)-N(E27))^2/2+N(F27)*MAX(0,(A4977)-N(G27))^2/2+N(H27)*MAX(0,(A4977)-N(I27))^2/2+N(J27)*MAX(0,(A4977)-N(K27))^2/2+N(L27)*MAX(0,(A4977)-N(M27))^2/2)+$B$4507</f>
        <v>-695.31249999999989</v>
      </c>
      <c r="E4977" s="3">
        <f>$B$4505*(C4977)+$B$4506*(C4977)^2/2-$B$4504*(C4977)^3/6-(N(D27)*MAX(0,(C4977)-N(E27))^2/2+N(F27)*MAX(0,(C4977)-N(G27))^2/2+N(H27)*MAX(0,(C4977)-N(I27))^2/2+N(J27)*MAX(0,(C4977)-N(K27))^2/2+N(L27)*MAX(0,(C4977)-N(M27))^2/2)+$B$4507</f>
        <v>-695.31249999999989</v>
      </c>
    </row>
    <row r="4978" spans="1:5" hidden="1">
      <c r="A4978" s="3">
        <f t="shared" si="93"/>
        <v>0</v>
      </c>
      <c r="B4978" s="3">
        <f t="shared" si="94"/>
        <v>0</v>
      </c>
      <c r="C4978" s="3">
        <f t="shared" si="92"/>
        <v>0</v>
      </c>
      <c r="D4978" s="3">
        <f>$B$4505*(A4978)+$B$4506*(A4978)^2/2-$B$4504*(A4978)^3/6-(N(D27)*MAX(0,(A4978)-N(E27))^2/2+N(F27)*MAX(0,(A4978)-N(G27))^2/2+N(H27)*MAX(0,(A4978)-N(I27))^2/2+N(J27)*MAX(0,(A4978)-N(K27))^2/2+N(L27)*MAX(0,(A4978)-N(M27))^2/2)+$B$4507</f>
        <v>-695.31249999999989</v>
      </c>
      <c r="E4978" s="3">
        <f>$B$4505*(C4978)+$B$4506*(C4978)^2/2-$B$4504*(C4978)^3/6-(N(D27)*MAX(0,(C4978)-N(E27))^2/2+N(F27)*MAX(0,(C4978)-N(G27))^2/2+N(H27)*MAX(0,(C4978)-N(I27))^2/2+N(J27)*MAX(0,(C4978)-N(K27))^2/2+N(L27)*MAX(0,(C4978)-N(M27))^2/2)+$B$4507</f>
        <v>-695.31249999999989</v>
      </c>
    </row>
    <row r="4979" spans="1:5" hidden="1">
      <c r="A4979" s="3">
        <f t="shared" si="93"/>
        <v>0</v>
      </c>
      <c r="B4979" s="3">
        <f t="shared" si="94"/>
        <v>0</v>
      </c>
      <c r="C4979" s="3">
        <f t="shared" si="92"/>
        <v>0</v>
      </c>
      <c r="D4979" s="3">
        <f>$B$4505*(A4979)+$B$4506*(A4979)^2/2-$B$4504*(A4979)^3/6-(N(D27)*MAX(0,(A4979)-N(E27))^2/2+N(F27)*MAX(0,(A4979)-N(G27))^2/2+N(H27)*MAX(0,(A4979)-N(I27))^2/2+N(J27)*MAX(0,(A4979)-N(K27))^2/2+N(L27)*MAX(0,(A4979)-N(M27))^2/2)+$B$4507</f>
        <v>-695.31249999999989</v>
      </c>
      <c r="E4979" s="3">
        <f>$B$4505*(C4979)+$B$4506*(C4979)^2/2-$B$4504*(C4979)^3/6-(N(D27)*MAX(0,(C4979)-N(E27))^2/2+N(F27)*MAX(0,(C4979)-N(G27))^2/2+N(H27)*MAX(0,(C4979)-N(I27))^2/2+N(J27)*MAX(0,(C4979)-N(K27))^2/2+N(L27)*MAX(0,(C4979)-N(M27))^2/2)+$B$4507</f>
        <v>-695.31249999999989</v>
      </c>
    </row>
    <row r="4980" spans="1:5" hidden="1">
      <c r="A4980" s="3">
        <f t="shared" si="93"/>
        <v>0</v>
      </c>
      <c r="B4980" s="3">
        <f t="shared" si="94"/>
        <v>0</v>
      </c>
      <c r="C4980" s="3">
        <f t="shared" si="92"/>
        <v>0</v>
      </c>
      <c r="D4980" s="3">
        <f>$B$4505*(A4980)+$B$4506*(A4980)^2/2-$B$4504*(A4980)^3/6-(N(D27)*MAX(0,(A4980)-N(E27))^2/2+N(F27)*MAX(0,(A4980)-N(G27))^2/2+N(H27)*MAX(0,(A4980)-N(I27))^2/2+N(J27)*MAX(0,(A4980)-N(K27))^2/2+N(L27)*MAX(0,(A4980)-N(M27))^2/2)+$B$4507</f>
        <v>-695.31249999999989</v>
      </c>
      <c r="E4980" s="3">
        <f>$B$4505*(C4980)+$B$4506*(C4980)^2/2-$B$4504*(C4980)^3/6-(N(D27)*MAX(0,(C4980)-N(E27))^2/2+N(F27)*MAX(0,(C4980)-N(G27))^2/2+N(H27)*MAX(0,(C4980)-N(I27))^2/2+N(J27)*MAX(0,(C4980)-N(K27))^2/2+N(L27)*MAX(0,(C4980)-N(M27))^2/2)+$B$4507</f>
        <v>-695.31249999999989</v>
      </c>
    </row>
    <row r="4981" spans="1:5" hidden="1">
      <c r="A4981" s="3">
        <f t="shared" si="93"/>
        <v>0</v>
      </c>
      <c r="B4981" s="3">
        <f t="shared" si="94"/>
        <v>0</v>
      </c>
      <c r="C4981" s="3">
        <f t="shared" si="92"/>
        <v>0</v>
      </c>
      <c r="D4981" s="3">
        <f>$B$4505*(A4981)+$B$4506*(A4981)^2/2-$B$4504*(A4981)^3/6-(N(D27)*MAX(0,(A4981)-N(E27))^2/2+N(F27)*MAX(0,(A4981)-N(G27))^2/2+N(H27)*MAX(0,(A4981)-N(I27))^2/2+N(J27)*MAX(0,(A4981)-N(K27))^2/2+N(L27)*MAX(0,(A4981)-N(M27))^2/2)+$B$4507</f>
        <v>-695.31249999999989</v>
      </c>
      <c r="E4981" s="3">
        <f>$B$4505*(C4981)+$B$4506*(C4981)^2/2-$B$4504*(C4981)^3/6-(N(D27)*MAX(0,(C4981)-N(E27))^2/2+N(F27)*MAX(0,(C4981)-N(G27))^2/2+N(H27)*MAX(0,(C4981)-N(I27))^2/2+N(J27)*MAX(0,(C4981)-N(K27))^2/2+N(L27)*MAX(0,(C4981)-N(M27))^2/2)+$B$4507</f>
        <v>-695.31249999999989</v>
      </c>
    </row>
    <row r="4982" spans="1:5" hidden="1">
      <c r="A4982" s="3">
        <f t="shared" si="93"/>
        <v>0</v>
      </c>
      <c r="B4982" s="3">
        <f t="shared" si="94"/>
        <v>0</v>
      </c>
      <c r="C4982" s="3">
        <f t="shared" si="92"/>
        <v>0</v>
      </c>
      <c r="D4982" s="3">
        <f>$B$4505*(A4982)+$B$4506*(A4982)^2/2-$B$4504*(A4982)^3/6-(N(D27)*MAX(0,(A4982)-N(E27))^2/2+N(F27)*MAX(0,(A4982)-N(G27))^2/2+N(H27)*MAX(0,(A4982)-N(I27))^2/2+N(J27)*MAX(0,(A4982)-N(K27))^2/2+N(L27)*MAX(0,(A4982)-N(M27))^2/2)+$B$4507</f>
        <v>-695.31249999999989</v>
      </c>
      <c r="E4982" s="3">
        <f>$B$4505*(C4982)+$B$4506*(C4982)^2/2-$B$4504*(C4982)^3/6-(N(D27)*MAX(0,(C4982)-N(E27))^2/2+N(F27)*MAX(0,(C4982)-N(G27))^2/2+N(H27)*MAX(0,(C4982)-N(I27))^2/2+N(J27)*MAX(0,(C4982)-N(K27))^2/2+N(L27)*MAX(0,(C4982)-N(M27))^2/2)+$B$4507</f>
        <v>-695.31249999999989</v>
      </c>
    </row>
    <row r="4983" spans="1:5" hidden="1">
      <c r="A4983" s="3">
        <f t="shared" si="93"/>
        <v>0</v>
      </c>
      <c r="B4983" s="3">
        <f t="shared" si="94"/>
        <v>0</v>
      </c>
      <c r="C4983" s="3">
        <f t="shared" si="92"/>
        <v>0</v>
      </c>
      <c r="D4983" s="3">
        <f>$B$4505*(A4983)+$B$4506*(A4983)^2/2-$B$4504*(A4983)^3/6-(N(D27)*MAX(0,(A4983)-N(E27))^2/2+N(F27)*MAX(0,(A4983)-N(G27))^2/2+N(H27)*MAX(0,(A4983)-N(I27))^2/2+N(J27)*MAX(0,(A4983)-N(K27))^2/2+N(L27)*MAX(0,(A4983)-N(M27))^2/2)+$B$4507</f>
        <v>-695.31249999999989</v>
      </c>
      <c r="E4983" s="3">
        <f>$B$4505*(C4983)+$B$4506*(C4983)^2/2-$B$4504*(C4983)^3/6-(N(D27)*MAX(0,(C4983)-N(E27))^2/2+N(F27)*MAX(0,(C4983)-N(G27))^2/2+N(H27)*MAX(0,(C4983)-N(I27))^2/2+N(J27)*MAX(0,(C4983)-N(K27))^2/2+N(L27)*MAX(0,(C4983)-N(M27))^2/2)+$B$4507</f>
        <v>-695.31249999999989</v>
      </c>
    </row>
    <row r="4984" spans="1:5" hidden="1">
      <c r="A4984" s="3">
        <f t="shared" si="93"/>
        <v>0</v>
      </c>
      <c r="B4984" s="3">
        <f t="shared" si="94"/>
        <v>0</v>
      </c>
      <c r="C4984" s="3">
        <f t="shared" si="92"/>
        <v>0</v>
      </c>
      <c r="D4984" s="3">
        <f>$B$4505*(A4984)+$B$4506*(A4984)^2/2-$B$4504*(A4984)^3/6-(N(D27)*MAX(0,(A4984)-N(E27))^2/2+N(F27)*MAX(0,(A4984)-N(G27))^2/2+N(H27)*MAX(0,(A4984)-N(I27))^2/2+N(J27)*MAX(0,(A4984)-N(K27))^2/2+N(L27)*MAX(0,(A4984)-N(M27))^2/2)+$B$4507</f>
        <v>-695.31249999999989</v>
      </c>
      <c r="E4984" s="3">
        <f>$B$4505*(C4984)+$B$4506*(C4984)^2/2-$B$4504*(C4984)^3/6-(N(D27)*MAX(0,(C4984)-N(E27))^2/2+N(F27)*MAX(0,(C4984)-N(G27))^2/2+N(H27)*MAX(0,(C4984)-N(I27))^2/2+N(J27)*MAX(0,(C4984)-N(K27))^2/2+N(L27)*MAX(0,(C4984)-N(M27))^2/2)+$B$4507</f>
        <v>-695.31249999999989</v>
      </c>
    </row>
    <row r="4985" spans="1:5" hidden="1">
      <c r="A4985" s="3">
        <f t="shared" si="93"/>
        <v>0</v>
      </c>
      <c r="B4985" s="3">
        <f t="shared" si="94"/>
        <v>0</v>
      </c>
      <c r="C4985" s="3">
        <f t="shared" si="92"/>
        <v>0</v>
      </c>
      <c r="D4985" s="3">
        <f>$B$4505*(A4985)+$B$4506*(A4985)^2/2-$B$4504*(A4985)^3/6-(N(D27)*MAX(0,(A4985)-N(E27))^2/2+N(F27)*MAX(0,(A4985)-N(G27))^2/2+N(H27)*MAX(0,(A4985)-N(I27))^2/2+N(J27)*MAX(0,(A4985)-N(K27))^2/2+N(L27)*MAX(0,(A4985)-N(M27))^2/2)+$B$4507</f>
        <v>-695.31249999999989</v>
      </c>
      <c r="E4985" s="3">
        <f>$B$4505*(C4985)+$B$4506*(C4985)^2/2-$B$4504*(C4985)^3/6-(N(D27)*MAX(0,(C4985)-N(E27))^2/2+N(F27)*MAX(0,(C4985)-N(G27))^2/2+N(H27)*MAX(0,(C4985)-N(I27))^2/2+N(J27)*MAX(0,(C4985)-N(K27))^2/2+N(L27)*MAX(0,(C4985)-N(M27))^2/2)+$B$4507</f>
        <v>-695.31249999999989</v>
      </c>
    </row>
    <row r="4986" spans="1:5" hidden="1">
      <c r="A4986" s="3">
        <f t="shared" si="93"/>
        <v>0</v>
      </c>
      <c r="B4986" s="3">
        <f t="shared" si="94"/>
        <v>0</v>
      </c>
      <c r="C4986" s="3">
        <f t="shared" si="92"/>
        <v>0</v>
      </c>
      <c r="D4986" s="3">
        <f>$B$4505*(A4986)+$B$4506*(A4986)^2/2-$B$4504*(A4986)^3/6-(N(D27)*MAX(0,(A4986)-N(E27))^2/2+N(F27)*MAX(0,(A4986)-N(G27))^2/2+N(H27)*MAX(0,(A4986)-N(I27))^2/2+N(J27)*MAX(0,(A4986)-N(K27))^2/2+N(L27)*MAX(0,(A4986)-N(M27))^2/2)+$B$4507</f>
        <v>-695.31249999999989</v>
      </c>
      <c r="E4986" s="3">
        <f>$B$4505*(C4986)+$B$4506*(C4986)^2/2-$B$4504*(C4986)^3/6-(N(D27)*MAX(0,(C4986)-N(E27))^2/2+N(F27)*MAX(0,(C4986)-N(G27))^2/2+N(H27)*MAX(0,(C4986)-N(I27))^2/2+N(J27)*MAX(0,(C4986)-N(K27))^2/2+N(L27)*MAX(0,(C4986)-N(M27))^2/2)+$B$4507</f>
        <v>-695.31249999999989</v>
      </c>
    </row>
    <row r="4987" spans="1:5" hidden="1">
      <c r="A4987" s="3">
        <f t="shared" si="93"/>
        <v>0</v>
      </c>
      <c r="B4987" s="3">
        <f t="shared" si="94"/>
        <v>0</v>
      </c>
      <c r="C4987" s="3">
        <f t="shared" si="92"/>
        <v>0</v>
      </c>
      <c r="D4987" s="3">
        <f>$B$4505*(A4987)+$B$4506*(A4987)^2/2-$B$4504*(A4987)^3/6-(N(D27)*MAX(0,(A4987)-N(E27))^2/2+N(F27)*MAX(0,(A4987)-N(G27))^2/2+N(H27)*MAX(0,(A4987)-N(I27))^2/2+N(J27)*MAX(0,(A4987)-N(K27))^2/2+N(L27)*MAX(0,(A4987)-N(M27))^2/2)+$B$4507</f>
        <v>-695.31249999999989</v>
      </c>
      <c r="E4987" s="3">
        <f>$B$4505*(C4987)+$B$4506*(C4987)^2/2-$B$4504*(C4987)^3/6-(N(D27)*MAX(0,(C4987)-N(E27))^2/2+N(F27)*MAX(0,(C4987)-N(G27))^2/2+N(H27)*MAX(0,(C4987)-N(I27))^2/2+N(J27)*MAX(0,(C4987)-N(K27))^2/2+N(L27)*MAX(0,(C4987)-N(M27))^2/2)+$B$4507</f>
        <v>-695.31249999999989</v>
      </c>
    </row>
    <row r="4988" spans="1:5" hidden="1">
      <c r="A4988" s="3">
        <f t="shared" si="93"/>
        <v>0</v>
      </c>
      <c r="B4988" s="3">
        <f t="shared" si="94"/>
        <v>0</v>
      </c>
      <c r="C4988" s="3">
        <f t="shared" si="92"/>
        <v>0</v>
      </c>
      <c r="D4988" s="3">
        <f>$B$4505*(A4988)+$B$4506*(A4988)^2/2-$B$4504*(A4988)^3/6-(N(D27)*MAX(0,(A4988)-N(E27))^2/2+N(F27)*MAX(0,(A4988)-N(G27))^2/2+N(H27)*MAX(0,(A4988)-N(I27))^2/2+N(J27)*MAX(0,(A4988)-N(K27))^2/2+N(L27)*MAX(0,(A4988)-N(M27))^2/2)+$B$4507</f>
        <v>-695.31249999999989</v>
      </c>
      <c r="E4988" s="3">
        <f>$B$4505*(C4988)+$B$4506*(C4988)^2/2-$B$4504*(C4988)^3/6-(N(D27)*MAX(0,(C4988)-N(E27))^2/2+N(F27)*MAX(0,(C4988)-N(G27))^2/2+N(H27)*MAX(0,(C4988)-N(I27))^2/2+N(J27)*MAX(0,(C4988)-N(K27))^2/2+N(L27)*MAX(0,(C4988)-N(M27))^2/2)+$B$4507</f>
        <v>-695.31249999999989</v>
      </c>
    </row>
    <row r="4989" spans="1:5" hidden="1">
      <c r="A4989" s="3">
        <f t="shared" si="93"/>
        <v>0</v>
      </c>
      <c r="B4989" s="3">
        <f t="shared" si="94"/>
        <v>0</v>
      </c>
      <c r="C4989" s="3">
        <f t="shared" si="92"/>
        <v>0</v>
      </c>
      <c r="D4989" s="3">
        <f>$B$4505*(A4989)+$B$4506*(A4989)^2/2-$B$4504*(A4989)^3/6-(N(D27)*MAX(0,(A4989)-N(E27))^2/2+N(F27)*MAX(0,(A4989)-N(G27))^2/2+N(H27)*MAX(0,(A4989)-N(I27))^2/2+N(J27)*MAX(0,(A4989)-N(K27))^2/2+N(L27)*MAX(0,(A4989)-N(M27))^2/2)+$B$4507</f>
        <v>-695.31249999999989</v>
      </c>
      <c r="E4989" s="3">
        <f>$B$4505*(C4989)+$B$4506*(C4989)^2/2-$B$4504*(C4989)^3/6-(N(D27)*MAX(0,(C4989)-N(E27))^2/2+N(F27)*MAX(0,(C4989)-N(G27))^2/2+N(H27)*MAX(0,(C4989)-N(I27))^2/2+N(J27)*MAX(0,(C4989)-N(K27))^2/2+N(L27)*MAX(0,(C4989)-N(M27))^2/2)+$B$4507</f>
        <v>-695.31249999999989</v>
      </c>
    </row>
    <row r="4990" spans="1:5" hidden="1">
      <c r="A4990" s="3">
        <f t="shared" si="93"/>
        <v>0</v>
      </c>
      <c r="B4990" s="3">
        <f t="shared" si="94"/>
        <v>0</v>
      </c>
      <c r="C4990" s="3">
        <f t="shared" si="92"/>
        <v>0</v>
      </c>
      <c r="D4990" s="3">
        <f>$B$4505*(A4990)+$B$4506*(A4990)^2/2-$B$4504*(A4990)^3/6-(N(D27)*MAX(0,(A4990)-N(E27))^2/2+N(F27)*MAX(0,(A4990)-N(G27))^2/2+N(H27)*MAX(0,(A4990)-N(I27))^2/2+N(J27)*MAX(0,(A4990)-N(K27))^2/2+N(L27)*MAX(0,(A4990)-N(M27))^2/2)+$B$4507</f>
        <v>-695.31249999999989</v>
      </c>
      <c r="E4990" s="3">
        <f>$B$4505*(C4990)+$B$4506*(C4990)^2/2-$B$4504*(C4990)^3/6-(N(D27)*MAX(0,(C4990)-N(E27))^2/2+N(F27)*MAX(0,(C4990)-N(G27))^2/2+N(H27)*MAX(0,(C4990)-N(I27))^2/2+N(J27)*MAX(0,(C4990)-N(K27))^2/2+N(L27)*MAX(0,(C4990)-N(M27))^2/2)+$B$4507</f>
        <v>-695.31249999999989</v>
      </c>
    </row>
    <row r="4991" spans="1:5" hidden="1">
      <c r="A4991" s="3">
        <f t="shared" si="93"/>
        <v>0</v>
      </c>
      <c r="B4991" s="3">
        <f t="shared" si="94"/>
        <v>0</v>
      </c>
      <c r="C4991" s="3">
        <f t="shared" si="92"/>
        <v>0</v>
      </c>
      <c r="D4991" s="3">
        <f>$B$4505*(A4991)+$B$4506*(A4991)^2/2-$B$4504*(A4991)^3/6-(N(D27)*MAX(0,(A4991)-N(E27))^2/2+N(F27)*MAX(0,(A4991)-N(G27))^2/2+N(H27)*MAX(0,(A4991)-N(I27))^2/2+N(J27)*MAX(0,(A4991)-N(K27))^2/2+N(L27)*MAX(0,(A4991)-N(M27))^2/2)+$B$4507</f>
        <v>-695.31249999999989</v>
      </c>
      <c r="E4991" s="3">
        <f>$B$4505*(C4991)+$B$4506*(C4991)^2/2-$B$4504*(C4991)^3/6-(N(D27)*MAX(0,(C4991)-N(E27))^2/2+N(F27)*MAX(0,(C4991)-N(G27))^2/2+N(H27)*MAX(0,(C4991)-N(I27))^2/2+N(J27)*MAX(0,(C4991)-N(K27))^2/2+N(L27)*MAX(0,(C4991)-N(M27))^2/2)+$B$4507</f>
        <v>-695.31249999999989</v>
      </c>
    </row>
    <row r="4992" spans="1:5" hidden="1">
      <c r="A4992" s="3">
        <f t="shared" si="93"/>
        <v>0</v>
      </c>
      <c r="B4992" s="3">
        <f t="shared" si="94"/>
        <v>0</v>
      </c>
      <c r="C4992" s="3">
        <f t="shared" si="92"/>
        <v>0</v>
      </c>
      <c r="D4992" s="3">
        <f>$B$4505*(A4992)+$B$4506*(A4992)^2/2-$B$4504*(A4992)^3/6-(N(D27)*MAX(0,(A4992)-N(E27))^2/2+N(F27)*MAX(0,(A4992)-N(G27))^2/2+N(H27)*MAX(0,(A4992)-N(I27))^2/2+N(J27)*MAX(0,(A4992)-N(K27))^2/2+N(L27)*MAX(0,(A4992)-N(M27))^2/2)+$B$4507</f>
        <v>-695.31249999999989</v>
      </c>
      <c r="E4992" s="3">
        <f>$B$4505*(C4992)+$B$4506*(C4992)^2/2-$B$4504*(C4992)^3/6-(N(D27)*MAX(0,(C4992)-N(E27))^2/2+N(F27)*MAX(0,(C4992)-N(G27))^2/2+N(H27)*MAX(0,(C4992)-N(I27))^2/2+N(J27)*MAX(0,(C4992)-N(K27))^2/2+N(L27)*MAX(0,(C4992)-N(M27))^2/2)+$B$4507</f>
        <v>-695.31249999999989</v>
      </c>
    </row>
    <row r="4993" spans="1:5" hidden="1">
      <c r="A4993" s="3">
        <f t="shared" si="93"/>
        <v>0</v>
      </c>
      <c r="B4993" s="3">
        <f t="shared" si="94"/>
        <v>0</v>
      </c>
      <c r="C4993" s="3">
        <f t="shared" si="92"/>
        <v>0</v>
      </c>
      <c r="D4993" s="3">
        <f>$B$4505*(A4993)+$B$4506*(A4993)^2/2-$B$4504*(A4993)^3/6-(N(D27)*MAX(0,(A4993)-N(E27))^2/2+N(F27)*MAX(0,(A4993)-N(G27))^2/2+N(H27)*MAX(0,(A4993)-N(I27))^2/2+N(J27)*MAX(0,(A4993)-N(K27))^2/2+N(L27)*MAX(0,(A4993)-N(M27))^2/2)+$B$4507</f>
        <v>-695.31249999999989</v>
      </c>
      <c r="E4993" s="3">
        <f>$B$4505*(C4993)+$B$4506*(C4993)^2/2-$B$4504*(C4993)^3/6-(N(D27)*MAX(0,(C4993)-N(E27))^2/2+N(F27)*MAX(0,(C4993)-N(G27))^2/2+N(H27)*MAX(0,(C4993)-N(I27))^2/2+N(J27)*MAX(0,(C4993)-N(K27))^2/2+N(L27)*MAX(0,(C4993)-N(M27))^2/2)+$B$4507</f>
        <v>-695.31249999999989</v>
      </c>
    </row>
    <row r="4994" spans="1:5" hidden="1">
      <c r="A4994" s="3">
        <f t="shared" si="93"/>
        <v>0</v>
      </c>
      <c r="B4994" s="3">
        <f t="shared" si="94"/>
        <v>0</v>
      </c>
      <c r="C4994" s="3">
        <f t="shared" si="92"/>
        <v>0</v>
      </c>
      <c r="D4994" s="3">
        <f>$B$4505*(A4994)+$B$4506*(A4994)^2/2-$B$4504*(A4994)^3/6-(N(D27)*MAX(0,(A4994)-N(E27))^2/2+N(F27)*MAX(0,(A4994)-N(G27))^2/2+N(H27)*MAX(0,(A4994)-N(I27))^2/2+N(J27)*MAX(0,(A4994)-N(K27))^2/2+N(L27)*MAX(0,(A4994)-N(M27))^2/2)+$B$4507</f>
        <v>-695.31249999999989</v>
      </c>
      <c r="E4994" s="3">
        <f>$B$4505*(C4994)+$B$4506*(C4994)^2/2-$B$4504*(C4994)^3/6-(N(D27)*MAX(0,(C4994)-N(E27))^2/2+N(F27)*MAX(0,(C4994)-N(G27))^2/2+N(H27)*MAX(0,(C4994)-N(I27))^2/2+N(J27)*MAX(0,(C4994)-N(K27))^2/2+N(L27)*MAX(0,(C4994)-N(M27))^2/2)+$B$4507</f>
        <v>-695.31249999999989</v>
      </c>
    </row>
    <row r="4995" spans="1:5" hidden="1">
      <c r="A4995" s="3">
        <f t="shared" si="93"/>
        <v>0</v>
      </c>
      <c r="B4995" s="3">
        <f t="shared" si="94"/>
        <v>0</v>
      </c>
      <c r="C4995" s="3">
        <f t="shared" si="92"/>
        <v>0</v>
      </c>
      <c r="D4995" s="3">
        <f>$B$4505*(A4995)+$B$4506*(A4995)^2/2-$B$4504*(A4995)^3/6-(N(D27)*MAX(0,(A4995)-N(E27))^2/2+N(F27)*MAX(0,(A4995)-N(G27))^2/2+N(H27)*MAX(0,(A4995)-N(I27))^2/2+N(J27)*MAX(0,(A4995)-N(K27))^2/2+N(L27)*MAX(0,(A4995)-N(M27))^2/2)+$B$4507</f>
        <v>-695.31249999999989</v>
      </c>
      <c r="E4995" s="3">
        <f>$B$4505*(C4995)+$B$4506*(C4995)^2/2-$B$4504*(C4995)^3/6-(N(D27)*MAX(0,(C4995)-N(E27))^2/2+N(F27)*MAX(0,(C4995)-N(G27))^2/2+N(H27)*MAX(0,(C4995)-N(I27))^2/2+N(J27)*MAX(0,(C4995)-N(K27))^2/2+N(L27)*MAX(0,(C4995)-N(M27))^2/2)+$B$4507</f>
        <v>-695.31249999999989</v>
      </c>
    </row>
    <row r="4996" spans="1:5" hidden="1">
      <c r="A4996" s="3">
        <f t="shared" si="93"/>
        <v>0</v>
      </c>
      <c r="B4996" s="3">
        <f t="shared" si="94"/>
        <v>0</v>
      </c>
      <c r="C4996" s="3">
        <f t="shared" si="92"/>
        <v>0</v>
      </c>
      <c r="D4996" s="3">
        <f>$B$4505*(A4996)+$B$4506*(A4996)^2/2-$B$4504*(A4996)^3/6-(N(D27)*MAX(0,(A4996)-N(E27))^2/2+N(F27)*MAX(0,(A4996)-N(G27))^2/2+N(H27)*MAX(0,(A4996)-N(I27))^2/2+N(J27)*MAX(0,(A4996)-N(K27))^2/2+N(L27)*MAX(0,(A4996)-N(M27))^2/2)+$B$4507</f>
        <v>-695.31249999999989</v>
      </c>
      <c r="E4996" s="3">
        <f>$B$4505*(C4996)+$B$4506*(C4996)^2/2-$B$4504*(C4996)^3/6-(N(D27)*MAX(0,(C4996)-N(E27))^2/2+N(F27)*MAX(0,(C4996)-N(G27))^2/2+N(H27)*MAX(0,(C4996)-N(I27))^2/2+N(J27)*MAX(0,(C4996)-N(K27))^2/2+N(L27)*MAX(0,(C4996)-N(M27))^2/2)+$B$4507</f>
        <v>-695.31249999999989</v>
      </c>
    </row>
    <row r="4997" spans="1:5" hidden="1">
      <c r="A4997" s="3">
        <f t="shared" si="93"/>
        <v>0</v>
      </c>
      <c r="B4997" s="3">
        <f t="shared" si="94"/>
        <v>0</v>
      </c>
      <c r="C4997" s="3">
        <f t="shared" si="92"/>
        <v>0</v>
      </c>
      <c r="D4997" s="3">
        <f>$B$4505*(A4997)+$B$4506*(A4997)^2/2-$B$4504*(A4997)^3/6-(N(D27)*MAX(0,(A4997)-N(E27))^2/2+N(F27)*MAX(0,(A4997)-N(G27))^2/2+N(H27)*MAX(0,(A4997)-N(I27))^2/2+N(J27)*MAX(0,(A4997)-N(K27))^2/2+N(L27)*MAX(0,(A4997)-N(M27))^2/2)+$B$4507</f>
        <v>-695.31249999999989</v>
      </c>
      <c r="E4997" s="3">
        <f>$B$4505*(C4997)+$B$4506*(C4997)^2/2-$B$4504*(C4997)^3/6-(N(D27)*MAX(0,(C4997)-N(E27))^2/2+N(F27)*MAX(0,(C4997)-N(G27))^2/2+N(H27)*MAX(0,(C4997)-N(I27))^2/2+N(J27)*MAX(0,(C4997)-N(K27))^2/2+N(L27)*MAX(0,(C4997)-N(M27))^2/2)+$B$4507</f>
        <v>-695.31249999999989</v>
      </c>
    </row>
    <row r="4998" spans="1:5" hidden="1">
      <c r="A4998" s="3">
        <f t="shared" si="93"/>
        <v>0</v>
      </c>
      <c r="B4998" s="3">
        <f t="shared" si="94"/>
        <v>0</v>
      </c>
      <c r="C4998" s="3">
        <f t="shared" si="92"/>
        <v>0</v>
      </c>
      <c r="D4998" s="3">
        <f>$B$4505*(A4998)+$B$4506*(A4998)^2/2-$B$4504*(A4998)^3/6-(N(D27)*MAX(0,(A4998)-N(E27))^2/2+N(F27)*MAX(0,(A4998)-N(G27))^2/2+N(H27)*MAX(0,(A4998)-N(I27))^2/2+N(J27)*MAX(0,(A4998)-N(K27))^2/2+N(L27)*MAX(0,(A4998)-N(M27))^2/2)+$B$4507</f>
        <v>-695.31249999999989</v>
      </c>
      <c r="E4998" s="3">
        <f>$B$4505*(C4998)+$B$4506*(C4998)^2/2-$B$4504*(C4998)^3/6-(N(D27)*MAX(0,(C4998)-N(E27))^2/2+N(F27)*MAX(0,(C4998)-N(G27))^2/2+N(H27)*MAX(0,(C4998)-N(I27))^2/2+N(J27)*MAX(0,(C4998)-N(K27))^2/2+N(L27)*MAX(0,(C4998)-N(M27))^2/2)+$B$4507</f>
        <v>-695.31249999999989</v>
      </c>
    </row>
    <row r="4999" spans="1:5" hidden="1">
      <c r="A4999" s="3">
        <f t="shared" si="93"/>
        <v>0</v>
      </c>
      <c r="B4999" s="3">
        <f t="shared" si="94"/>
        <v>0</v>
      </c>
      <c r="C4999" s="3">
        <f t="shared" si="92"/>
        <v>0</v>
      </c>
      <c r="D4999" s="3">
        <f>$B$4505*(A4999)+$B$4506*(A4999)^2/2-$B$4504*(A4999)^3/6-(N(D27)*MAX(0,(A4999)-N(E27))^2/2+N(F27)*MAX(0,(A4999)-N(G27))^2/2+N(H27)*MAX(0,(A4999)-N(I27))^2/2+N(J27)*MAX(0,(A4999)-N(K27))^2/2+N(L27)*MAX(0,(A4999)-N(M27))^2/2)+$B$4507</f>
        <v>-695.31249999999989</v>
      </c>
      <c r="E4999" s="3">
        <f>$B$4505*(C4999)+$B$4506*(C4999)^2/2-$B$4504*(C4999)^3/6-(N(D27)*MAX(0,(C4999)-N(E27))^2/2+N(F27)*MAX(0,(C4999)-N(G27))^2/2+N(H27)*MAX(0,(C4999)-N(I27))^2/2+N(J27)*MAX(0,(C4999)-N(K27))^2/2+N(L27)*MAX(0,(C4999)-N(M27))^2/2)+$B$4507</f>
        <v>-695.31249999999989</v>
      </c>
    </row>
    <row r="5000" spans="1:5" hidden="1">
      <c r="A5000" s="3">
        <f t="shared" si="93"/>
        <v>0</v>
      </c>
      <c r="B5000" s="3">
        <f t="shared" si="94"/>
        <v>0</v>
      </c>
      <c r="C5000" s="3">
        <f t="shared" si="92"/>
        <v>0</v>
      </c>
      <c r="D5000" s="3">
        <f>$B$4505*(A5000)+$B$4506*(A5000)^2/2-$B$4504*(A5000)^3/6-(N(D27)*MAX(0,(A5000)-N(E27))^2/2+N(F27)*MAX(0,(A5000)-N(G27))^2/2+N(H27)*MAX(0,(A5000)-N(I27))^2/2+N(J27)*MAX(0,(A5000)-N(K27))^2/2+N(L27)*MAX(0,(A5000)-N(M27))^2/2)+$B$4507</f>
        <v>-695.31249999999989</v>
      </c>
      <c r="E5000" s="3">
        <f>$B$4505*(C5000)+$B$4506*(C5000)^2/2-$B$4504*(C5000)^3/6-(N(D27)*MAX(0,(C5000)-N(E27))^2/2+N(F27)*MAX(0,(C5000)-N(G27))^2/2+N(H27)*MAX(0,(C5000)-N(I27))^2/2+N(J27)*MAX(0,(C5000)-N(K27))^2/2+N(L27)*MAX(0,(C5000)-N(M27))^2/2)+$B$4507</f>
        <v>-695.31249999999989</v>
      </c>
    </row>
    <row r="5001" spans="1:5" hidden="1">
      <c r="A5001" s="3">
        <f t="shared" si="93"/>
        <v>0</v>
      </c>
      <c r="B5001" s="3">
        <f t="shared" si="94"/>
        <v>0</v>
      </c>
      <c r="C5001" s="3">
        <f t="shared" si="92"/>
        <v>0</v>
      </c>
      <c r="D5001" s="3">
        <f>$B$4505*(A5001)+$B$4506*(A5001)^2/2-$B$4504*(A5001)^3/6-(N(D27)*MAX(0,(A5001)-N(E27))^2/2+N(F27)*MAX(0,(A5001)-N(G27))^2/2+N(H27)*MAX(0,(A5001)-N(I27))^2/2+N(J27)*MAX(0,(A5001)-N(K27))^2/2+N(L27)*MAX(0,(A5001)-N(M27))^2/2)+$B$4507</f>
        <v>-695.31249999999989</v>
      </c>
      <c r="E5001" s="3">
        <f>$B$4505*(C5001)+$B$4506*(C5001)^2/2-$B$4504*(C5001)^3/6-(N(D27)*MAX(0,(C5001)-N(E27))^2/2+N(F27)*MAX(0,(C5001)-N(G27))^2/2+N(H27)*MAX(0,(C5001)-N(I27))^2/2+N(J27)*MAX(0,(C5001)-N(K27))^2/2+N(L27)*MAX(0,(C5001)-N(M27))^2/2)+$B$4507</f>
        <v>-695.31249999999989</v>
      </c>
    </row>
    <row r="5002" spans="1:5" hidden="1">
      <c r="A5002" s="3">
        <f t="shared" si="93"/>
        <v>0</v>
      </c>
      <c r="B5002" s="3">
        <f t="shared" si="94"/>
        <v>0</v>
      </c>
      <c r="C5002" s="3">
        <f t="shared" si="92"/>
        <v>0</v>
      </c>
      <c r="D5002" s="3">
        <f>$B$4505*(A5002)+$B$4506*(A5002)^2/2-$B$4504*(A5002)^3/6-(N(D27)*MAX(0,(A5002)-N(E27))^2/2+N(F27)*MAX(0,(A5002)-N(G27))^2/2+N(H27)*MAX(0,(A5002)-N(I27))^2/2+N(J27)*MAX(0,(A5002)-N(K27))^2/2+N(L27)*MAX(0,(A5002)-N(M27))^2/2)+$B$4507</f>
        <v>-695.31249999999989</v>
      </c>
      <c r="E5002" s="3">
        <f>$B$4505*(C5002)+$B$4506*(C5002)^2/2-$B$4504*(C5002)^3/6-(N(D27)*MAX(0,(C5002)-N(E27))^2/2+N(F27)*MAX(0,(C5002)-N(G27))^2/2+N(H27)*MAX(0,(C5002)-N(I27))^2/2+N(J27)*MAX(0,(C5002)-N(K27))^2/2+N(L27)*MAX(0,(C5002)-N(M27))^2/2)+$B$4507</f>
        <v>-695.31249999999989</v>
      </c>
    </row>
    <row r="5003" spans="1:5" hidden="1">
      <c r="A5003" s="3">
        <f t="shared" si="93"/>
        <v>0</v>
      </c>
      <c r="B5003" s="3">
        <f t="shared" si="94"/>
        <v>0</v>
      </c>
      <c r="C5003" s="3">
        <f t="shared" si="92"/>
        <v>0</v>
      </c>
      <c r="D5003" s="3">
        <f>$B$4505*(A5003)+$B$4506*(A5003)^2/2-$B$4504*(A5003)^3/6-(N(D27)*MAX(0,(A5003)-N(E27))^2/2+N(F27)*MAX(0,(A5003)-N(G27))^2/2+N(H27)*MAX(0,(A5003)-N(I27))^2/2+N(J27)*MAX(0,(A5003)-N(K27))^2/2+N(L27)*MAX(0,(A5003)-N(M27))^2/2)+$B$4507</f>
        <v>-695.31249999999989</v>
      </c>
      <c r="E5003" s="3">
        <f>$B$4505*(C5003)+$B$4506*(C5003)^2/2-$B$4504*(C5003)^3/6-(N(D27)*MAX(0,(C5003)-N(E27))^2/2+N(F27)*MAX(0,(C5003)-N(G27))^2/2+N(H27)*MAX(0,(C5003)-N(I27))^2/2+N(J27)*MAX(0,(C5003)-N(K27))^2/2+N(L27)*MAX(0,(C5003)-N(M27))^2/2)+$B$4507</f>
        <v>-695.31249999999989</v>
      </c>
    </row>
    <row r="5004" spans="1:5" hidden="1">
      <c r="A5004" s="3">
        <f t="shared" si="93"/>
        <v>0</v>
      </c>
      <c r="B5004" s="3">
        <f t="shared" si="94"/>
        <v>0</v>
      </c>
      <c r="C5004" s="3">
        <f t="shared" si="92"/>
        <v>0</v>
      </c>
      <c r="D5004" s="3">
        <f>$B$4505*(A5004)+$B$4506*(A5004)^2/2-$B$4504*(A5004)^3/6-(N(D27)*MAX(0,(A5004)-N(E27))^2/2+N(F27)*MAX(0,(A5004)-N(G27))^2/2+N(H27)*MAX(0,(A5004)-N(I27))^2/2+N(J27)*MAX(0,(A5004)-N(K27))^2/2+N(L27)*MAX(0,(A5004)-N(M27))^2/2)+$B$4507</f>
        <v>-695.31249999999989</v>
      </c>
      <c r="E5004" s="3">
        <f>$B$4505*(C5004)+$B$4506*(C5004)^2/2-$B$4504*(C5004)^3/6-(N(D27)*MAX(0,(C5004)-N(E27))^2/2+N(F27)*MAX(0,(C5004)-N(G27))^2/2+N(H27)*MAX(0,(C5004)-N(I27))^2/2+N(J27)*MAX(0,(C5004)-N(K27))^2/2+N(L27)*MAX(0,(C5004)-N(M27))^2/2)+$B$4507</f>
        <v>-695.31249999999989</v>
      </c>
    </row>
    <row r="5005" spans="1:5" hidden="1">
      <c r="A5005" s="3">
        <f t="shared" si="93"/>
        <v>0</v>
      </c>
      <c r="B5005" s="3">
        <f t="shared" si="94"/>
        <v>0</v>
      </c>
      <c r="C5005" s="3">
        <f t="shared" si="92"/>
        <v>0</v>
      </c>
      <c r="D5005" s="3">
        <f>$B$4505*(A5005)+$B$4506*(A5005)^2/2-$B$4504*(A5005)^3/6-(N(D27)*MAX(0,(A5005)-N(E27))^2/2+N(F27)*MAX(0,(A5005)-N(G27))^2/2+N(H27)*MAX(0,(A5005)-N(I27))^2/2+N(J27)*MAX(0,(A5005)-N(K27))^2/2+N(L27)*MAX(0,(A5005)-N(M27))^2/2)+$B$4507</f>
        <v>-695.31249999999989</v>
      </c>
      <c r="E5005" s="3">
        <f>$B$4505*(C5005)+$B$4506*(C5005)^2/2-$B$4504*(C5005)^3/6-(N(D27)*MAX(0,(C5005)-N(E27))^2/2+N(F27)*MAX(0,(C5005)-N(G27))^2/2+N(H27)*MAX(0,(C5005)-N(I27))^2/2+N(J27)*MAX(0,(C5005)-N(K27))^2/2+N(L27)*MAX(0,(C5005)-N(M27))^2/2)+$B$4507</f>
        <v>-695.31249999999989</v>
      </c>
    </row>
    <row r="5006" spans="1:5" hidden="1">
      <c r="A5006" s="3">
        <f t="shared" si="93"/>
        <v>0</v>
      </c>
      <c r="B5006" s="3">
        <f t="shared" si="94"/>
        <v>0</v>
      </c>
      <c r="C5006" s="3">
        <f t="shared" si="92"/>
        <v>0</v>
      </c>
      <c r="D5006" s="3">
        <f>$B$4505*(A5006)+$B$4506*(A5006)^2/2-$B$4504*(A5006)^3/6-(N(D27)*MAX(0,(A5006)-N(E27))^2/2+N(F27)*MAX(0,(A5006)-N(G27))^2/2+N(H27)*MAX(0,(A5006)-N(I27))^2/2+N(J27)*MAX(0,(A5006)-N(K27))^2/2+N(L27)*MAX(0,(A5006)-N(M27))^2/2)+$B$4507</f>
        <v>-695.31249999999989</v>
      </c>
      <c r="E5006" s="3">
        <f>$B$4505*(C5006)+$B$4506*(C5006)^2/2-$B$4504*(C5006)^3/6-(N(D27)*MAX(0,(C5006)-N(E27))^2/2+N(F27)*MAX(0,(C5006)-N(G27))^2/2+N(H27)*MAX(0,(C5006)-N(I27))^2/2+N(J27)*MAX(0,(C5006)-N(K27))^2/2+N(L27)*MAX(0,(C5006)-N(M27))^2/2)+$B$4507</f>
        <v>-695.31249999999989</v>
      </c>
    </row>
    <row r="5007" spans="1:5" hidden="1">
      <c r="A5007" s="3">
        <f t="shared" si="93"/>
        <v>0</v>
      </c>
      <c r="B5007" s="3">
        <f t="shared" si="94"/>
        <v>0</v>
      </c>
      <c r="C5007" s="3">
        <f t="shared" si="92"/>
        <v>0</v>
      </c>
      <c r="D5007" s="3">
        <f>$B$4505*(A5007)+$B$4506*(A5007)^2/2-$B$4504*(A5007)^3/6-(N(D27)*MAX(0,(A5007)-N(E27))^2/2+N(F27)*MAX(0,(A5007)-N(G27))^2/2+N(H27)*MAX(0,(A5007)-N(I27))^2/2+N(J27)*MAX(0,(A5007)-N(K27))^2/2+N(L27)*MAX(0,(A5007)-N(M27))^2/2)+$B$4507</f>
        <v>-695.31249999999989</v>
      </c>
      <c r="E5007" s="3">
        <f>$B$4505*(C5007)+$B$4506*(C5007)^2/2-$B$4504*(C5007)^3/6-(N(D27)*MAX(0,(C5007)-N(E27))^2/2+N(F27)*MAX(0,(C5007)-N(G27))^2/2+N(H27)*MAX(0,(C5007)-N(I27))^2/2+N(J27)*MAX(0,(C5007)-N(K27))^2/2+N(L27)*MAX(0,(C5007)-N(M27))^2/2)+$B$4507</f>
        <v>-695.31249999999989</v>
      </c>
    </row>
    <row r="5008" spans="1:5" hidden="1">
      <c r="A5008" s="3">
        <f t="shared" si="93"/>
        <v>0</v>
      </c>
      <c r="B5008" s="3">
        <f t="shared" si="94"/>
        <v>0</v>
      </c>
      <c r="C5008" s="3">
        <f t="shared" si="92"/>
        <v>0</v>
      </c>
      <c r="D5008" s="3">
        <f>$B$4505*(A5008)+$B$4506*(A5008)^2/2-$B$4504*(A5008)^3/6-(N(D27)*MAX(0,(A5008)-N(E27))^2/2+N(F27)*MAX(0,(A5008)-N(G27))^2/2+N(H27)*MAX(0,(A5008)-N(I27))^2/2+N(J27)*MAX(0,(A5008)-N(K27))^2/2+N(L27)*MAX(0,(A5008)-N(M27))^2/2)+$B$4507</f>
        <v>-695.31249999999989</v>
      </c>
      <c r="E5008" s="3">
        <f>$B$4505*(C5008)+$B$4506*(C5008)^2/2-$B$4504*(C5008)^3/6-(N(D27)*MAX(0,(C5008)-N(E27))^2/2+N(F27)*MAX(0,(C5008)-N(G27))^2/2+N(H27)*MAX(0,(C5008)-N(I27))^2/2+N(J27)*MAX(0,(C5008)-N(K27))^2/2+N(L27)*MAX(0,(C5008)-N(M27))^2/2)+$B$4507</f>
        <v>-695.31249999999989</v>
      </c>
    </row>
    <row r="5009" spans="1:5" hidden="1">
      <c r="A5009" s="3">
        <f t="shared" si="93"/>
        <v>0</v>
      </c>
      <c r="B5009" s="3">
        <f t="shared" si="94"/>
        <v>0</v>
      </c>
      <c r="C5009" s="3">
        <f t="shared" si="92"/>
        <v>0</v>
      </c>
      <c r="D5009" s="3">
        <f>$B$4505*(A5009)+$B$4506*(A5009)^2/2-$B$4504*(A5009)^3/6-(N(D27)*MAX(0,(A5009)-N(E27))^2/2+N(F27)*MAX(0,(A5009)-N(G27))^2/2+N(H27)*MAX(0,(A5009)-N(I27))^2/2+N(J27)*MAX(0,(A5009)-N(K27))^2/2+N(L27)*MAX(0,(A5009)-N(M27))^2/2)+$B$4507</f>
        <v>-695.31249999999989</v>
      </c>
      <c r="E5009" s="3">
        <f>$B$4505*(C5009)+$B$4506*(C5009)^2/2-$B$4504*(C5009)^3/6-(N(D27)*MAX(0,(C5009)-N(E27))^2/2+N(F27)*MAX(0,(C5009)-N(G27))^2/2+N(H27)*MAX(0,(C5009)-N(I27))^2/2+N(J27)*MAX(0,(C5009)-N(K27))^2/2+N(L27)*MAX(0,(C5009)-N(M27))^2/2)+$B$4507</f>
        <v>-695.31249999999989</v>
      </c>
    </row>
    <row r="5010" spans="1:5" hidden="1">
      <c r="A5010" s="3">
        <f t="shared" si="93"/>
        <v>0</v>
      </c>
      <c r="B5010" s="3">
        <f t="shared" si="94"/>
        <v>0</v>
      </c>
      <c r="C5010" s="3">
        <f t="shared" si="92"/>
        <v>0</v>
      </c>
      <c r="D5010" s="3">
        <f>$B$4505*(A5010)+$B$4506*(A5010)^2/2-$B$4504*(A5010)^3/6-(N(D27)*MAX(0,(A5010)-N(E27))^2/2+N(F27)*MAX(0,(A5010)-N(G27))^2/2+N(H27)*MAX(0,(A5010)-N(I27))^2/2+N(J27)*MAX(0,(A5010)-N(K27))^2/2+N(L27)*MAX(0,(A5010)-N(M27))^2/2)+$B$4507</f>
        <v>-695.31249999999989</v>
      </c>
      <c r="E5010" s="3">
        <f>$B$4505*(C5010)+$B$4506*(C5010)^2/2-$B$4504*(C5010)^3/6-(N(D27)*MAX(0,(C5010)-N(E27))^2/2+N(F27)*MAX(0,(C5010)-N(G27))^2/2+N(H27)*MAX(0,(C5010)-N(I27))^2/2+N(J27)*MAX(0,(C5010)-N(K27))^2/2+N(L27)*MAX(0,(C5010)-N(M27))^2/2)+$B$4507</f>
        <v>-695.31249999999989</v>
      </c>
    </row>
    <row r="5011" spans="1:5" hidden="1">
      <c r="A5011" s="3">
        <f t="shared" si="93"/>
        <v>0</v>
      </c>
      <c r="B5011" s="3">
        <f t="shared" si="94"/>
        <v>0</v>
      </c>
      <c r="C5011" s="3">
        <f t="shared" si="92"/>
        <v>0</v>
      </c>
      <c r="D5011" s="3">
        <f>$B$4505*(A5011)+$B$4506*(A5011)^2/2-$B$4504*(A5011)^3/6-(N(D27)*MAX(0,(A5011)-N(E27))^2/2+N(F27)*MAX(0,(A5011)-N(G27))^2/2+N(H27)*MAX(0,(A5011)-N(I27))^2/2+N(J27)*MAX(0,(A5011)-N(K27))^2/2+N(L27)*MAX(0,(A5011)-N(M27))^2/2)+$B$4507</f>
        <v>-695.31249999999989</v>
      </c>
      <c r="E5011" s="3">
        <f>$B$4505*(C5011)+$B$4506*(C5011)^2/2-$B$4504*(C5011)^3/6-(N(D27)*MAX(0,(C5011)-N(E27))^2/2+N(F27)*MAX(0,(C5011)-N(G27))^2/2+N(H27)*MAX(0,(C5011)-N(I27))^2/2+N(J27)*MAX(0,(C5011)-N(K27))^2/2+N(L27)*MAX(0,(C5011)-N(M27))^2/2)+$B$4507</f>
        <v>-695.31249999999989</v>
      </c>
    </row>
    <row r="5012" spans="1:5" hidden="1">
      <c r="A5012" s="3">
        <f t="shared" si="93"/>
        <v>0</v>
      </c>
      <c r="B5012" s="3">
        <f t="shared" si="94"/>
        <v>0</v>
      </c>
      <c r="C5012" s="3">
        <f t="shared" si="92"/>
        <v>0</v>
      </c>
      <c r="D5012" s="3">
        <f>$B$4505*(A5012)+$B$4506*(A5012)^2/2-$B$4504*(A5012)^3/6-(N(D27)*MAX(0,(A5012)-N(E27))^2/2+N(F27)*MAX(0,(A5012)-N(G27))^2/2+N(H27)*MAX(0,(A5012)-N(I27))^2/2+N(J27)*MAX(0,(A5012)-N(K27))^2/2+N(L27)*MAX(0,(A5012)-N(M27))^2/2)+$B$4507</f>
        <v>-695.31249999999989</v>
      </c>
      <c r="E5012" s="3">
        <f>$B$4505*(C5012)+$B$4506*(C5012)^2/2-$B$4504*(C5012)^3/6-(N(D27)*MAX(0,(C5012)-N(E27))^2/2+N(F27)*MAX(0,(C5012)-N(G27))^2/2+N(H27)*MAX(0,(C5012)-N(I27))^2/2+N(J27)*MAX(0,(C5012)-N(K27))^2/2+N(L27)*MAX(0,(C5012)-N(M27))^2/2)+$B$4507</f>
        <v>-695.31249999999989</v>
      </c>
    </row>
    <row r="5013" spans="1:5" hidden="1">
      <c r="A5013" s="3">
        <f t="shared" si="93"/>
        <v>0</v>
      </c>
      <c r="B5013" s="3">
        <f t="shared" si="94"/>
        <v>0</v>
      </c>
      <c r="C5013" s="3">
        <f t="shared" si="92"/>
        <v>0</v>
      </c>
      <c r="D5013" s="3">
        <f>$B$4505*(A5013)+$B$4506*(A5013)^2/2-$B$4504*(A5013)^3/6-(N(D27)*MAX(0,(A5013)-N(E27))^2/2+N(F27)*MAX(0,(A5013)-N(G27))^2/2+N(H27)*MAX(0,(A5013)-N(I27))^2/2+N(J27)*MAX(0,(A5013)-N(K27))^2/2+N(L27)*MAX(0,(A5013)-N(M27))^2/2)+$B$4507</f>
        <v>-695.31249999999989</v>
      </c>
      <c r="E5013" s="3">
        <f>$B$4505*(C5013)+$B$4506*(C5013)^2/2-$B$4504*(C5013)^3/6-(N(D27)*MAX(0,(C5013)-N(E27))^2/2+N(F27)*MAX(0,(C5013)-N(G27))^2/2+N(H27)*MAX(0,(C5013)-N(I27))^2/2+N(J27)*MAX(0,(C5013)-N(K27))^2/2+N(L27)*MAX(0,(C5013)-N(M27))^2/2)+$B$4507</f>
        <v>-695.31249999999989</v>
      </c>
    </row>
    <row r="5014" spans="1:5" hidden="1"/>
    <row r="5015" spans="1:5" hidden="1">
      <c r="A5015" s="3">
        <f>B4550</f>
        <v>0</v>
      </c>
      <c r="B5015" s="3">
        <f>IF(($B$4505*(B4550)+$B$4506*(B4550)^2/2-$B$4504*(B4550)^3/6-(N(D27)*MAX(0,(B4550)-N(E27))^2/2+N(F27)*MAX(0,(B4550)-N(G27))^2/2+N(H27)*MAX(0,(B4550)-N(I27))^2/2+N(J27)*MAX(0,(B4550)-N(K27))^2/2+N(L27)*MAX(0,(B4550)-N(M27))^2/2)+$B$4507)*($B$4505*(B4551)+$B$4506*(B4551)^2/2-$B$4504*(B4551)^3/6-(N(D27)*MAX(0,(B4551)-N(E27))^2/2+N(F27)*MAX(0,(B4551)-N(G27))^2/2+N(H27)*MAX(0,(B4551)-N(I27))^2/2+N(J27)*MAX(0,(B4551)-N(K27))^2/2+N(L27)*MAX(0,(B4551)-N(M27))^2/2)+$B$4507)&lt;=0,B4551,B4550)</f>
        <v>0</v>
      </c>
      <c r="C5015" s="3">
        <f t="shared" ref="C5015:C5059" si="95">(A5015+B5015)/2</f>
        <v>0</v>
      </c>
      <c r="D5015" s="3">
        <f>$B$4505*(A5015)+$B$4506*(A5015)^2/2-$B$4504*(A5015)^3/6-(N(D27)*MAX(0,(A5015)-N(E27))^2/2+N(F27)*MAX(0,(A5015)-N(G27))^2/2+N(H27)*MAX(0,(A5015)-N(I27))^2/2+N(J27)*MAX(0,(A5015)-N(K27))^2/2+N(L27)*MAX(0,(A5015)-N(M27))^2/2)+$B$4507</f>
        <v>-695.31249999999989</v>
      </c>
      <c r="E5015" s="3">
        <f>$B$4505*(C5015)+$B$4506*(C5015)^2/2-$B$4504*(C5015)^3/6-(N(D27)*MAX(0,(C5015)-N(E27))^2/2+N(F27)*MAX(0,(C5015)-N(G27))^2/2+N(H27)*MAX(0,(C5015)-N(I27))^2/2+N(J27)*MAX(0,(C5015)-N(K27))^2/2+N(L27)*MAX(0,(C5015)-N(M27))^2/2)+$B$4507</f>
        <v>-695.31249999999989</v>
      </c>
    </row>
    <row r="5016" spans="1:5" hidden="1">
      <c r="A5016" s="3">
        <f t="shared" ref="A5016:A5059" si="96">IF(D5015*E5015&lt;=0,A5015,C5015)</f>
        <v>0</v>
      </c>
      <c r="B5016" s="3">
        <f t="shared" ref="B5016:B5059" si="97">IF(D5015*E5015&lt;=0,C5015,B5015)</f>
        <v>0</v>
      </c>
      <c r="C5016" s="3">
        <f t="shared" si="95"/>
        <v>0</v>
      </c>
      <c r="D5016" s="3">
        <f>$B$4505*(A5016)+$B$4506*(A5016)^2/2-$B$4504*(A5016)^3/6-(N(D27)*MAX(0,(A5016)-N(E27))^2/2+N(F27)*MAX(0,(A5016)-N(G27))^2/2+N(H27)*MAX(0,(A5016)-N(I27))^2/2+N(J27)*MAX(0,(A5016)-N(K27))^2/2+N(L27)*MAX(0,(A5016)-N(M27))^2/2)+$B$4507</f>
        <v>-695.31249999999989</v>
      </c>
      <c r="E5016" s="3">
        <f>$B$4505*(C5016)+$B$4506*(C5016)^2/2-$B$4504*(C5016)^3/6-(N(D27)*MAX(0,(C5016)-N(E27))^2/2+N(F27)*MAX(0,(C5016)-N(G27))^2/2+N(H27)*MAX(0,(C5016)-N(I27))^2/2+N(J27)*MAX(0,(C5016)-N(K27))^2/2+N(L27)*MAX(0,(C5016)-N(M27))^2/2)+$B$4507</f>
        <v>-695.31249999999989</v>
      </c>
    </row>
    <row r="5017" spans="1:5" hidden="1">
      <c r="A5017" s="3">
        <f t="shared" si="96"/>
        <v>0</v>
      </c>
      <c r="B5017" s="3">
        <f t="shared" si="97"/>
        <v>0</v>
      </c>
      <c r="C5017" s="3">
        <f t="shared" si="95"/>
        <v>0</v>
      </c>
      <c r="D5017" s="3">
        <f>$B$4505*(A5017)+$B$4506*(A5017)^2/2-$B$4504*(A5017)^3/6-(N(D27)*MAX(0,(A5017)-N(E27))^2/2+N(F27)*MAX(0,(A5017)-N(G27))^2/2+N(H27)*MAX(0,(A5017)-N(I27))^2/2+N(J27)*MAX(0,(A5017)-N(K27))^2/2+N(L27)*MAX(0,(A5017)-N(M27))^2/2)+$B$4507</f>
        <v>-695.31249999999989</v>
      </c>
      <c r="E5017" s="3">
        <f>$B$4505*(C5017)+$B$4506*(C5017)^2/2-$B$4504*(C5017)^3/6-(N(D27)*MAX(0,(C5017)-N(E27))^2/2+N(F27)*MAX(0,(C5017)-N(G27))^2/2+N(H27)*MAX(0,(C5017)-N(I27))^2/2+N(J27)*MAX(0,(C5017)-N(K27))^2/2+N(L27)*MAX(0,(C5017)-N(M27))^2/2)+$B$4507</f>
        <v>-695.31249999999989</v>
      </c>
    </row>
    <row r="5018" spans="1:5" hidden="1">
      <c r="A5018" s="3">
        <f t="shared" si="96"/>
        <v>0</v>
      </c>
      <c r="B5018" s="3">
        <f t="shared" si="97"/>
        <v>0</v>
      </c>
      <c r="C5018" s="3">
        <f t="shared" si="95"/>
        <v>0</v>
      </c>
      <c r="D5018" s="3">
        <f>$B$4505*(A5018)+$B$4506*(A5018)^2/2-$B$4504*(A5018)^3/6-(N(D27)*MAX(0,(A5018)-N(E27))^2/2+N(F27)*MAX(0,(A5018)-N(G27))^2/2+N(H27)*MAX(0,(A5018)-N(I27))^2/2+N(J27)*MAX(0,(A5018)-N(K27))^2/2+N(L27)*MAX(0,(A5018)-N(M27))^2/2)+$B$4507</f>
        <v>-695.31249999999989</v>
      </c>
      <c r="E5018" s="3">
        <f>$B$4505*(C5018)+$B$4506*(C5018)^2/2-$B$4504*(C5018)^3/6-(N(D27)*MAX(0,(C5018)-N(E27))^2/2+N(F27)*MAX(0,(C5018)-N(G27))^2/2+N(H27)*MAX(0,(C5018)-N(I27))^2/2+N(J27)*MAX(0,(C5018)-N(K27))^2/2+N(L27)*MAX(0,(C5018)-N(M27))^2/2)+$B$4507</f>
        <v>-695.31249999999989</v>
      </c>
    </row>
    <row r="5019" spans="1:5" hidden="1">
      <c r="A5019" s="3">
        <f t="shared" si="96"/>
        <v>0</v>
      </c>
      <c r="B5019" s="3">
        <f t="shared" si="97"/>
        <v>0</v>
      </c>
      <c r="C5019" s="3">
        <f t="shared" si="95"/>
        <v>0</v>
      </c>
      <c r="D5019" s="3">
        <f>$B$4505*(A5019)+$B$4506*(A5019)^2/2-$B$4504*(A5019)^3/6-(N(D27)*MAX(0,(A5019)-N(E27))^2/2+N(F27)*MAX(0,(A5019)-N(G27))^2/2+N(H27)*MAX(0,(A5019)-N(I27))^2/2+N(J27)*MAX(0,(A5019)-N(K27))^2/2+N(L27)*MAX(0,(A5019)-N(M27))^2/2)+$B$4507</f>
        <v>-695.31249999999989</v>
      </c>
      <c r="E5019" s="3">
        <f>$B$4505*(C5019)+$B$4506*(C5019)^2/2-$B$4504*(C5019)^3/6-(N(D27)*MAX(0,(C5019)-N(E27))^2/2+N(F27)*MAX(0,(C5019)-N(G27))^2/2+N(H27)*MAX(0,(C5019)-N(I27))^2/2+N(J27)*MAX(0,(C5019)-N(K27))^2/2+N(L27)*MAX(0,(C5019)-N(M27))^2/2)+$B$4507</f>
        <v>-695.31249999999989</v>
      </c>
    </row>
    <row r="5020" spans="1:5" hidden="1">
      <c r="A5020" s="3">
        <f t="shared" si="96"/>
        <v>0</v>
      </c>
      <c r="B5020" s="3">
        <f t="shared" si="97"/>
        <v>0</v>
      </c>
      <c r="C5020" s="3">
        <f t="shared" si="95"/>
        <v>0</v>
      </c>
      <c r="D5020" s="3">
        <f>$B$4505*(A5020)+$B$4506*(A5020)^2/2-$B$4504*(A5020)^3/6-(N(D27)*MAX(0,(A5020)-N(E27))^2/2+N(F27)*MAX(0,(A5020)-N(G27))^2/2+N(H27)*MAX(0,(A5020)-N(I27))^2/2+N(J27)*MAX(0,(A5020)-N(K27))^2/2+N(L27)*MAX(0,(A5020)-N(M27))^2/2)+$B$4507</f>
        <v>-695.31249999999989</v>
      </c>
      <c r="E5020" s="3">
        <f>$B$4505*(C5020)+$B$4506*(C5020)^2/2-$B$4504*(C5020)^3/6-(N(D27)*MAX(0,(C5020)-N(E27))^2/2+N(F27)*MAX(0,(C5020)-N(G27))^2/2+N(H27)*MAX(0,(C5020)-N(I27))^2/2+N(J27)*MAX(0,(C5020)-N(K27))^2/2+N(L27)*MAX(0,(C5020)-N(M27))^2/2)+$B$4507</f>
        <v>-695.31249999999989</v>
      </c>
    </row>
    <row r="5021" spans="1:5" hidden="1">
      <c r="A5021" s="3">
        <f t="shared" si="96"/>
        <v>0</v>
      </c>
      <c r="B5021" s="3">
        <f t="shared" si="97"/>
        <v>0</v>
      </c>
      <c r="C5021" s="3">
        <f t="shared" si="95"/>
        <v>0</v>
      </c>
      <c r="D5021" s="3">
        <f>$B$4505*(A5021)+$B$4506*(A5021)^2/2-$B$4504*(A5021)^3/6-(N(D27)*MAX(0,(A5021)-N(E27))^2/2+N(F27)*MAX(0,(A5021)-N(G27))^2/2+N(H27)*MAX(0,(A5021)-N(I27))^2/2+N(J27)*MAX(0,(A5021)-N(K27))^2/2+N(L27)*MAX(0,(A5021)-N(M27))^2/2)+$B$4507</f>
        <v>-695.31249999999989</v>
      </c>
      <c r="E5021" s="3">
        <f>$B$4505*(C5021)+$B$4506*(C5021)^2/2-$B$4504*(C5021)^3/6-(N(D27)*MAX(0,(C5021)-N(E27))^2/2+N(F27)*MAX(0,(C5021)-N(G27))^2/2+N(H27)*MAX(0,(C5021)-N(I27))^2/2+N(J27)*MAX(0,(C5021)-N(K27))^2/2+N(L27)*MAX(0,(C5021)-N(M27))^2/2)+$B$4507</f>
        <v>-695.31249999999989</v>
      </c>
    </row>
    <row r="5022" spans="1:5" hidden="1">
      <c r="A5022" s="3">
        <f t="shared" si="96"/>
        <v>0</v>
      </c>
      <c r="B5022" s="3">
        <f t="shared" si="97"/>
        <v>0</v>
      </c>
      <c r="C5022" s="3">
        <f t="shared" si="95"/>
        <v>0</v>
      </c>
      <c r="D5022" s="3">
        <f>$B$4505*(A5022)+$B$4506*(A5022)^2/2-$B$4504*(A5022)^3/6-(N(D27)*MAX(0,(A5022)-N(E27))^2/2+N(F27)*MAX(0,(A5022)-N(G27))^2/2+N(H27)*MAX(0,(A5022)-N(I27))^2/2+N(J27)*MAX(0,(A5022)-N(K27))^2/2+N(L27)*MAX(0,(A5022)-N(M27))^2/2)+$B$4507</f>
        <v>-695.31249999999989</v>
      </c>
      <c r="E5022" s="3">
        <f>$B$4505*(C5022)+$B$4506*(C5022)^2/2-$B$4504*(C5022)^3/6-(N(D27)*MAX(0,(C5022)-N(E27))^2/2+N(F27)*MAX(0,(C5022)-N(G27))^2/2+N(H27)*MAX(0,(C5022)-N(I27))^2/2+N(J27)*MAX(0,(C5022)-N(K27))^2/2+N(L27)*MAX(0,(C5022)-N(M27))^2/2)+$B$4507</f>
        <v>-695.31249999999989</v>
      </c>
    </row>
    <row r="5023" spans="1:5" hidden="1">
      <c r="A5023" s="3">
        <f t="shared" si="96"/>
        <v>0</v>
      </c>
      <c r="B5023" s="3">
        <f t="shared" si="97"/>
        <v>0</v>
      </c>
      <c r="C5023" s="3">
        <f t="shared" si="95"/>
        <v>0</v>
      </c>
      <c r="D5023" s="3">
        <f>$B$4505*(A5023)+$B$4506*(A5023)^2/2-$B$4504*(A5023)^3/6-(N(D27)*MAX(0,(A5023)-N(E27))^2/2+N(F27)*MAX(0,(A5023)-N(G27))^2/2+N(H27)*MAX(0,(A5023)-N(I27))^2/2+N(J27)*MAX(0,(A5023)-N(K27))^2/2+N(L27)*MAX(0,(A5023)-N(M27))^2/2)+$B$4507</f>
        <v>-695.31249999999989</v>
      </c>
      <c r="E5023" s="3">
        <f>$B$4505*(C5023)+$B$4506*(C5023)^2/2-$B$4504*(C5023)^3/6-(N(D27)*MAX(0,(C5023)-N(E27))^2/2+N(F27)*MAX(0,(C5023)-N(G27))^2/2+N(H27)*MAX(0,(C5023)-N(I27))^2/2+N(J27)*MAX(0,(C5023)-N(K27))^2/2+N(L27)*MAX(0,(C5023)-N(M27))^2/2)+$B$4507</f>
        <v>-695.31249999999989</v>
      </c>
    </row>
    <row r="5024" spans="1:5" hidden="1">
      <c r="A5024" s="3">
        <f t="shared" si="96"/>
        <v>0</v>
      </c>
      <c r="B5024" s="3">
        <f t="shared" si="97"/>
        <v>0</v>
      </c>
      <c r="C5024" s="3">
        <f t="shared" si="95"/>
        <v>0</v>
      </c>
      <c r="D5024" s="3">
        <f>$B$4505*(A5024)+$B$4506*(A5024)^2/2-$B$4504*(A5024)^3/6-(N(D27)*MAX(0,(A5024)-N(E27))^2/2+N(F27)*MAX(0,(A5024)-N(G27))^2/2+N(H27)*MAX(0,(A5024)-N(I27))^2/2+N(J27)*MAX(0,(A5024)-N(K27))^2/2+N(L27)*MAX(0,(A5024)-N(M27))^2/2)+$B$4507</f>
        <v>-695.31249999999989</v>
      </c>
      <c r="E5024" s="3">
        <f>$B$4505*(C5024)+$B$4506*(C5024)^2/2-$B$4504*(C5024)^3/6-(N(D27)*MAX(0,(C5024)-N(E27))^2/2+N(F27)*MAX(0,(C5024)-N(G27))^2/2+N(H27)*MAX(0,(C5024)-N(I27))^2/2+N(J27)*MAX(0,(C5024)-N(K27))^2/2+N(L27)*MAX(0,(C5024)-N(M27))^2/2)+$B$4507</f>
        <v>-695.31249999999989</v>
      </c>
    </row>
    <row r="5025" spans="1:5" hidden="1">
      <c r="A5025" s="3">
        <f t="shared" si="96"/>
        <v>0</v>
      </c>
      <c r="B5025" s="3">
        <f t="shared" si="97"/>
        <v>0</v>
      </c>
      <c r="C5025" s="3">
        <f t="shared" si="95"/>
        <v>0</v>
      </c>
      <c r="D5025" s="3">
        <f>$B$4505*(A5025)+$B$4506*(A5025)^2/2-$B$4504*(A5025)^3/6-(N(D27)*MAX(0,(A5025)-N(E27))^2/2+N(F27)*MAX(0,(A5025)-N(G27))^2/2+N(H27)*MAX(0,(A5025)-N(I27))^2/2+N(J27)*MAX(0,(A5025)-N(K27))^2/2+N(L27)*MAX(0,(A5025)-N(M27))^2/2)+$B$4507</f>
        <v>-695.31249999999989</v>
      </c>
      <c r="E5025" s="3">
        <f>$B$4505*(C5025)+$B$4506*(C5025)^2/2-$B$4504*(C5025)^3/6-(N(D27)*MAX(0,(C5025)-N(E27))^2/2+N(F27)*MAX(0,(C5025)-N(G27))^2/2+N(H27)*MAX(0,(C5025)-N(I27))^2/2+N(J27)*MAX(0,(C5025)-N(K27))^2/2+N(L27)*MAX(0,(C5025)-N(M27))^2/2)+$B$4507</f>
        <v>-695.31249999999989</v>
      </c>
    </row>
    <row r="5026" spans="1:5" hidden="1">
      <c r="A5026" s="3">
        <f t="shared" si="96"/>
        <v>0</v>
      </c>
      <c r="B5026" s="3">
        <f t="shared" si="97"/>
        <v>0</v>
      </c>
      <c r="C5026" s="3">
        <f t="shared" si="95"/>
        <v>0</v>
      </c>
      <c r="D5026" s="3">
        <f>$B$4505*(A5026)+$B$4506*(A5026)^2/2-$B$4504*(A5026)^3/6-(N(D27)*MAX(0,(A5026)-N(E27))^2/2+N(F27)*MAX(0,(A5026)-N(G27))^2/2+N(H27)*MAX(0,(A5026)-N(I27))^2/2+N(J27)*MAX(0,(A5026)-N(K27))^2/2+N(L27)*MAX(0,(A5026)-N(M27))^2/2)+$B$4507</f>
        <v>-695.31249999999989</v>
      </c>
      <c r="E5026" s="3">
        <f>$B$4505*(C5026)+$B$4506*(C5026)^2/2-$B$4504*(C5026)^3/6-(N(D27)*MAX(0,(C5026)-N(E27))^2/2+N(F27)*MAX(0,(C5026)-N(G27))^2/2+N(H27)*MAX(0,(C5026)-N(I27))^2/2+N(J27)*MAX(0,(C5026)-N(K27))^2/2+N(L27)*MAX(0,(C5026)-N(M27))^2/2)+$B$4507</f>
        <v>-695.31249999999989</v>
      </c>
    </row>
    <row r="5027" spans="1:5" hidden="1">
      <c r="A5027" s="3">
        <f t="shared" si="96"/>
        <v>0</v>
      </c>
      <c r="B5027" s="3">
        <f t="shared" si="97"/>
        <v>0</v>
      </c>
      <c r="C5027" s="3">
        <f t="shared" si="95"/>
        <v>0</v>
      </c>
      <c r="D5027" s="3">
        <f>$B$4505*(A5027)+$B$4506*(A5027)^2/2-$B$4504*(A5027)^3/6-(N(D27)*MAX(0,(A5027)-N(E27))^2/2+N(F27)*MAX(0,(A5027)-N(G27))^2/2+N(H27)*MAX(0,(A5027)-N(I27))^2/2+N(J27)*MAX(0,(A5027)-N(K27))^2/2+N(L27)*MAX(0,(A5027)-N(M27))^2/2)+$B$4507</f>
        <v>-695.31249999999989</v>
      </c>
      <c r="E5027" s="3">
        <f>$B$4505*(C5027)+$B$4506*(C5027)^2/2-$B$4504*(C5027)^3/6-(N(D27)*MAX(0,(C5027)-N(E27))^2/2+N(F27)*MAX(0,(C5027)-N(G27))^2/2+N(H27)*MAX(0,(C5027)-N(I27))^2/2+N(J27)*MAX(0,(C5027)-N(K27))^2/2+N(L27)*MAX(0,(C5027)-N(M27))^2/2)+$B$4507</f>
        <v>-695.31249999999989</v>
      </c>
    </row>
    <row r="5028" spans="1:5" hidden="1">
      <c r="A5028" s="3">
        <f t="shared" si="96"/>
        <v>0</v>
      </c>
      <c r="B5028" s="3">
        <f t="shared" si="97"/>
        <v>0</v>
      </c>
      <c r="C5028" s="3">
        <f t="shared" si="95"/>
        <v>0</v>
      </c>
      <c r="D5028" s="3">
        <f>$B$4505*(A5028)+$B$4506*(A5028)^2/2-$B$4504*(A5028)^3/6-(N(D27)*MAX(0,(A5028)-N(E27))^2/2+N(F27)*MAX(0,(A5028)-N(G27))^2/2+N(H27)*MAX(0,(A5028)-N(I27))^2/2+N(J27)*MAX(0,(A5028)-N(K27))^2/2+N(L27)*MAX(0,(A5028)-N(M27))^2/2)+$B$4507</f>
        <v>-695.31249999999989</v>
      </c>
      <c r="E5028" s="3">
        <f>$B$4505*(C5028)+$B$4506*(C5028)^2/2-$B$4504*(C5028)^3/6-(N(D27)*MAX(0,(C5028)-N(E27))^2/2+N(F27)*MAX(0,(C5028)-N(G27))^2/2+N(H27)*MAX(0,(C5028)-N(I27))^2/2+N(J27)*MAX(0,(C5028)-N(K27))^2/2+N(L27)*MAX(0,(C5028)-N(M27))^2/2)+$B$4507</f>
        <v>-695.31249999999989</v>
      </c>
    </row>
    <row r="5029" spans="1:5" hidden="1">
      <c r="A5029" s="3">
        <f t="shared" si="96"/>
        <v>0</v>
      </c>
      <c r="B5029" s="3">
        <f t="shared" si="97"/>
        <v>0</v>
      </c>
      <c r="C5029" s="3">
        <f t="shared" si="95"/>
        <v>0</v>
      </c>
      <c r="D5029" s="3">
        <f>$B$4505*(A5029)+$B$4506*(A5029)^2/2-$B$4504*(A5029)^3/6-(N(D27)*MAX(0,(A5029)-N(E27))^2/2+N(F27)*MAX(0,(A5029)-N(G27))^2/2+N(H27)*MAX(0,(A5029)-N(I27))^2/2+N(J27)*MAX(0,(A5029)-N(K27))^2/2+N(L27)*MAX(0,(A5029)-N(M27))^2/2)+$B$4507</f>
        <v>-695.31249999999989</v>
      </c>
      <c r="E5029" s="3">
        <f>$B$4505*(C5029)+$B$4506*(C5029)^2/2-$B$4504*(C5029)^3/6-(N(D27)*MAX(0,(C5029)-N(E27))^2/2+N(F27)*MAX(0,(C5029)-N(G27))^2/2+N(H27)*MAX(0,(C5029)-N(I27))^2/2+N(J27)*MAX(0,(C5029)-N(K27))^2/2+N(L27)*MAX(0,(C5029)-N(M27))^2/2)+$B$4507</f>
        <v>-695.31249999999989</v>
      </c>
    </row>
    <row r="5030" spans="1:5" hidden="1">
      <c r="A5030" s="3">
        <f t="shared" si="96"/>
        <v>0</v>
      </c>
      <c r="B5030" s="3">
        <f t="shared" si="97"/>
        <v>0</v>
      </c>
      <c r="C5030" s="3">
        <f t="shared" si="95"/>
        <v>0</v>
      </c>
      <c r="D5030" s="3">
        <f>$B$4505*(A5030)+$B$4506*(A5030)^2/2-$B$4504*(A5030)^3/6-(N(D27)*MAX(0,(A5030)-N(E27))^2/2+N(F27)*MAX(0,(A5030)-N(G27))^2/2+N(H27)*MAX(0,(A5030)-N(I27))^2/2+N(J27)*MAX(0,(A5030)-N(K27))^2/2+N(L27)*MAX(0,(A5030)-N(M27))^2/2)+$B$4507</f>
        <v>-695.31249999999989</v>
      </c>
      <c r="E5030" s="3">
        <f>$B$4505*(C5030)+$B$4506*(C5030)^2/2-$B$4504*(C5030)^3/6-(N(D27)*MAX(0,(C5030)-N(E27))^2/2+N(F27)*MAX(0,(C5030)-N(G27))^2/2+N(H27)*MAX(0,(C5030)-N(I27))^2/2+N(J27)*MAX(0,(C5030)-N(K27))^2/2+N(L27)*MAX(0,(C5030)-N(M27))^2/2)+$B$4507</f>
        <v>-695.31249999999989</v>
      </c>
    </row>
    <row r="5031" spans="1:5" hidden="1">
      <c r="A5031" s="3">
        <f t="shared" si="96"/>
        <v>0</v>
      </c>
      <c r="B5031" s="3">
        <f t="shared" si="97"/>
        <v>0</v>
      </c>
      <c r="C5031" s="3">
        <f t="shared" si="95"/>
        <v>0</v>
      </c>
      <c r="D5031" s="3">
        <f>$B$4505*(A5031)+$B$4506*(A5031)^2/2-$B$4504*(A5031)^3/6-(N(D27)*MAX(0,(A5031)-N(E27))^2/2+N(F27)*MAX(0,(A5031)-N(G27))^2/2+N(H27)*MAX(0,(A5031)-N(I27))^2/2+N(J27)*MAX(0,(A5031)-N(K27))^2/2+N(L27)*MAX(0,(A5031)-N(M27))^2/2)+$B$4507</f>
        <v>-695.31249999999989</v>
      </c>
      <c r="E5031" s="3">
        <f>$B$4505*(C5031)+$B$4506*(C5031)^2/2-$B$4504*(C5031)^3/6-(N(D27)*MAX(0,(C5031)-N(E27))^2/2+N(F27)*MAX(0,(C5031)-N(G27))^2/2+N(H27)*MAX(0,(C5031)-N(I27))^2/2+N(J27)*MAX(0,(C5031)-N(K27))^2/2+N(L27)*MAX(0,(C5031)-N(M27))^2/2)+$B$4507</f>
        <v>-695.31249999999989</v>
      </c>
    </row>
    <row r="5032" spans="1:5" hidden="1">
      <c r="A5032" s="3">
        <f t="shared" si="96"/>
        <v>0</v>
      </c>
      <c r="B5032" s="3">
        <f t="shared" si="97"/>
        <v>0</v>
      </c>
      <c r="C5032" s="3">
        <f t="shared" si="95"/>
        <v>0</v>
      </c>
      <c r="D5032" s="3">
        <f>$B$4505*(A5032)+$B$4506*(A5032)^2/2-$B$4504*(A5032)^3/6-(N(D27)*MAX(0,(A5032)-N(E27))^2/2+N(F27)*MAX(0,(A5032)-N(G27))^2/2+N(H27)*MAX(0,(A5032)-N(I27))^2/2+N(J27)*MAX(0,(A5032)-N(K27))^2/2+N(L27)*MAX(0,(A5032)-N(M27))^2/2)+$B$4507</f>
        <v>-695.31249999999989</v>
      </c>
      <c r="E5032" s="3">
        <f>$B$4505*(C5032)+$B$4506*(C5032)^2/2-$B$4504*(C5032)^3/6-(N(D27)*MAX(0,(C5032)-N(E27))^2/2+N(F27)*MAX(0,(C5032)-N(G27))^2/2+N(H27)*MAX(0,(C5032)-N(I27))^2/2+N(J27)*MAX(0,(C5032)-N(K27))^2/2+N(L27)*MAX(0,(C5032)-N(M27))^2/2)+$B$4507</f>
        <v>-695.31249999999989</v>
      </c>
    </row>
    <row r="5033" spans="1:5" hidden="1">
      <c r="A5033" s="3">
        <f t="shared" si="96"/>
        <v>0</v>
      </c>
      <c r="B5033" s="3">
        <f t="shared" si="97"/>
        <v>0</v>
      </c>
      <c r="C5033" s="3">
        <f t="shared" si="95"/>
        <v>0</v>
      </c>
      <c r="D5033" s="3">
        <f>$B$4505*(A5033)+$B$4506*(A5033)^2/2-$B$4504*(A5033)^3/6-(N(D27)*MAX(0,(A5033)-N(E27))^2/2+N(F27)*MAX(0,(A5033)-N(G27))^2/2+N(H27)*MAX(0,(A5033)-N(I27))^2/2+N(J27)*MAX(0,(A5033)-N(K27))^2/2+N(L27)*MAX(0,(A5033)-N(M27))^2/2)+$B$4507</f>
        <v>-695.31249999999989</v>
      </c>
      <c r="E5033" s="3">
        <f>$B$4505*(C5033)+$B$4506*(C5033)^2/2-$B$4504*(C5033)^3/6-(N(D27)*MAX(0,(C5033)-N(E27))^2/2+N(F27)*MAX(0,(C5033)-N(G27))^2/2+N(H27)*MAX(0,(C5033)-N(I27))^2/2+N(J27)*MAX(0,(C5033)-N(K27))^2/2+N(L27)*MAX(0,(C5033)-N(M27))^2/2)+$B$4507</f>
        <v>-695.31249999999989</v>
      </c>
    </row>
    <row r="5034" spans="1:5" hidden="1">
      <c r="A5034" s="3">
        <f t="shared" si="96"/>
        <v>0</v>
      </c>
      <c r="B5034" s="3">
        <f t="shared" si="97"/>
        <v>0</v>
      </c>
      <c r="C5034" s="3">
        <f t="shared" si="95"/>
        <v>0</v>
      </c>
      <c r="D5034" s="3">
        <f>$B$4505*(A5034)+$B$4506*(A5034)^2/2-$B$4504*(A5034)^3/6-(N(D27)*MAX(0,(A5034)-N(E27))^2/2+N(F27)*MAX(0,(A5034)-N(G27))^2/2+N(H27)*MAX(0,(A5034)-N(I27))^2/2+N(J27)*MAX(0,(A5034)-N(K27))^2/2+N(L27)*MAX(0,(A5034)-N(M27))^2/2)+$B$4507</f>
        <v>-695.31249999999989</v>
      </c>
      <c r="E5034" s="3">
        <f>$B$4505*(C5034)+$B$4506*(C5034)^2/2-$B$4504*(C5034)^3/6-(N(D27)*MAX(0,(C5034)-N(E27))^2/2+N(F27)*MAX(0,(C5034)-N(G27))^2/2+N(H27)*MAX(0,(C5034)-N(I27))^2/2+N(J27)*MAX(0,(C5034)-N(K27))^2/2+N(L27)*MAX(0,(C5034)-N(M27))^2/2)+$B$4507</f>
        <v>-695.31249999999989</v>
      </c>
    </row>
    <row r="5035" spans="1:5" hidden="1">
      <c r="A5035" s="3">
        <f t="shared" si="96"/>
        <v>0</v>
      </c>
      <c r="B5035" s="3">
        <f t="shared" si="97"/>
        <v>0</v>
      </c>
      <c r="C5035" s="3">
        <f t="shared" si="95"/>
        <v>0</v>
      </c>
      <c r="D5035" s="3">
        <f>$B$4505*(A5035)+$B$4506*(A5035)^2/2-$B$4504*(A5035)^3/6-(N(D27)*MAX(0,(A5035)-N(E27))^2/2+N(F27)*MAX(0,(A5035)-N(G27))^2/2+N(H27)*MAX(0,(A5035)-N(I27))^2/2+N(J27)*MAX(0,(A5035)-N(K27))^2/2+N(L27)*MAX(0,(A5035)-N(M27))^2/2)+$B$4507</f>
        <v>-695.31249999999989</v>
      </c>
      <c r="E5035" s="3">
        <f>$B$4505*(C5035)+$B$4506*(C5035)^2/2-$B$4504*(C5035)^3/6-(N(D27)*MAX(0,(C5035)-N(E27))^2/2+N(F27)*MAX(0,(C5035)-N(G27))^2/2+N(H27)*MAX(0,(C5035)-N(I27))^2/2+N(J27)*MAX(0,(C5035)-N(K27))^2/2+N(L27)*MAX(0,(C5035)-N(M27))^2/2)+$B$4507</f>
        <v>-695.31249999999989</v>
      </c>
    </row>
    <row r="5036" spans="1:5" hidden="1">
      <c r="A5036" s="3">
        <f t="shared" si="96"/>
        <v>0</v>
      </c>
      <c r="B5036" s="3">
        <f t="shared" si="97"/>
        <v>0</v>
      </c>
      <c r="C5036" s="3">
        <f t="shared" si="95"/>
        <v>0</v>
      </c>
      <c r="D5036" s="3">
        <f>$B$4505*(A5036)+$B$4506*(A5036)^2/2-$B$4504*(A5036)^3/6-(N(D27)*MAX(0,(A5036)-N(E27))^2/2+N(F27)*MAX(0,(A5036)-N(G27))^2/2+N(H27)*MAX(0,(A5036)-N(I27))^2/2+N(J27)*MAX(0,(A5036)-N(K27))^2/2+N(L27)*MAX(0,(A5036)-N(M27))^2/2)+$B$4507</f>
        <v>-695.31249999999989</v>
      </c>
      <c r="E5036" s="3">
        <f>$B$4505*(C5036)+$B$4506*(C5036)^2/2-$B$4504*(C5036)^3/6-(N(D27)*MAX(0,(C5036)-N(E27))^2/2+N(F27)*MAX(0,(C5036)-N(G27))^2/2+N(H27)*MAX(0,(C5036)-N(I27))^2/2+N(J27)*MAX(0,(C5036)-N(K27))^2/2+N(L27)*MAX(0,(C5036)-N(M27))^2/2)+$B$4507</f>
        <v>-695.31249999999989</v>
      </c>
    </row>
    <row r="5037" spans="1:5" hidden="1">
      <c r="A5037" s="3">
        <f t="shared" si="96"/>
        <v>0</v>
      </c>
      <c r="B5037" s="3">
        <f t="shared" si="97"/>
        <v>0</v>
      </c>
      <c r="C5037" s="3">
        <f t="shared" si="95"/>
        <v>0</v>
      </c>
      <c r="D5037" s="3">
        <f>$B$4505*(A5037)+$B$4506*(A5037)^2/2-$B$4504*(A5037)^3/6-(N(D27)*MAX(0,(A5037)-N(E27))^2/2+N(F27)*MAX(0,(A5037)-N(G27))^2/2+N(H27)*MAX(0,(A5037)-N(I27))^2/2+N(J27)*MAX(0,(A5037)-N(K27))^2/2+N(L27)*MAX(0,(A5037)-N(M27))^2/2)+$B$4507</f>
        <v>-695.31249999999989</v>
      </c>
      <c r="E5037" s="3">
        <f>$B$4505*(C5037)+$B$4506*(C5037)^2/2-$B$4504*(C5037)^3/6-(N(D27)*MAX(0,(C5037)-N(E27))^2/2+N(F27)*MAX(0,(C5037)-N(G27))^2/2+N(H27)*MAX(0,(C5037)-N(I27))^2/2+N(J27)*MAX(0,(C5037)-N(K27))^2/2+N(L27)*MAX(0,(C5037)-N(M27))^2/2)+$B$4507</f>
        <v>-695.31249999999989</v>
      </c>
    </row>
    <row r="5038" spans="1:5" hidden="1">
      <c r="A5038" s="3">
        <f t="shared" si="96"/>
        <v>0</v>
      </c>
      <c r="B5038" s="3">
        <f t="shared" si="97"/>
        <v>0</v>
      </c>
      <c r="C5038" s="3">
        <f t="shared" si="95"/>
        <v>0</v>
      </c>
      <c r="D5038" s="3">
        <f>$B$4505*(A5038)+$B$4506*(A5038)^2/2-$B$4504*(A5038)^3/6-(N(D27)*MAX(0,(A5038)-N(E27))^2/2+N(F27)*MAX(0,(A5038)-N(G27))^2/2+N(H27)*MAX(0,(A5038)-N(I27))^2/2+N(J27)*MAX(0,(A5038)-N(K27))^2/2+N(L27)*MAX(0,(A5038)-N(M27))^2/2)+$B$4507</f>
        <v>-695.31249999999989</v>
      </c>
      <c r="E5038" s="3">
        <f>$B$4505*(C5038)+$B$4506*(C5038)^2/2-$B$4504*(C5038)^3/6-(N(D27)*MAX(0,(C5038)-N(E27))^2/2+N(F27)*MAX(0,(C5038)-N(G27))^2/2+N(H27)*MAX(0,(C5038)-N(I27))^2/2+N(J27)*MAX(0,(C5038)-N(K27))^2/2+N(L27)*MAX(0,(C5038)-N(M27))^2/2)+$B$4507</f>
        <v>-695.31249999999989</v>
      </c>
    </row>
    <row r="5039" spans="1:5" hidden="1">
      <c r="A5039" s="3">
        <f t="shared" si="96"/>
        <v>0</v>
      </c>
      <c r="B5039" s="3">
        <f t="shared" si="97"/>
        <v>0</v>
      </c>
      <c r="C5039" s="3">
        <f t="shared" si="95"/>
        <v>0</v>
      </c>
      <c r="D5039" s="3">
        <f>$B$4505*(A5039)+$B$4506*(A5039)^2/2-$B$4504*(A5039)^3/6-(N(D27)*MAX(0,(A5039)-N(E27))^2/2+N(F27)*MAX(0,(A5039)-N(G27))^2/2+N(H27)*MAX(0,(A5039)-N(I27))^2/2+N(J27)*MAX(0,(A5039)-N(K27))^2/2+N(L27)*MAX(0,(A5039)-N(M27))^2/2)+$B$4507</f>
        <v>-695.31249999999989</v>
      </c>
      <c r="E5039" s="3">
        <f>$B$4505*(C5039)+$B$4506*(C5039)^2/2-$B$4504*(C5039)^3/6-(N(D27)*MAX(0,(C5039)-N(E27))^2/2+N(F27)*MAX(0,(C5039)-N(G27))^2/2+N(H27)*MAX(0,(C5039)-N(I27))^2/2+N(J27)*MAX(0,(C5039)-N(K27))^2/2+N(L27)*MAX(0,(C5039)-N(M27))^2/2)+$B$4507</f>
        <v>-695.31249999999989</v>
      </c>
    </row>
    <row r="5040" spans="1:5" hidden="1">
      <c r="A5040" s="3">
        <f t="shared" si="96"/>
        <v>0</v>
      </c>
      <c r="B5040" s="3">
        <f t="shared" si="97"/>
        <v>0</v>
      </c>
      <c r="C5040" s="3">
        <f t="shared" si="95"/>
        <v>0</v>
      </c>
      <c r="D5040" s="3">
        <f>$B$4505*(A5040)+$B$4506*(A5040)^2/2-$B$4504*(A5040)^3/6-(N(D27)*MAX(0,(A5040)-N(E27))^2/2+N(F27)*MAX(0,(A5040)-N(G27))^2/2+N(H27)*MAX(0,(A5040)-N(I27))^2/2+N(J27)*MAX(0,(A5040)-N(K27))^2/2+N(L27)*MAX(0,(A5040)-N(M27))^2/2)+$B$4507</f>
        <v>-695.31249999999989</v>
      </c>
      <c r="E5040" s="3">
        <f>$B$4505*(C5040)+$B$4506*(C5040)^2/2-$B$4504*(C5040)^3/6-(N(D27)*MAX(0,(C5040)-N(E27))^2/2+N(F27)*MAX(0,(C5040)-N(G27))^2/2+N(H27)*MAX(0,(C5040)-N(I27))^2/2+N(J27)*MAX(0,(C5040)-N(K27))^2/2+N(L27)*MAX(0,(C5040)-N(M27))^2/2)+$B$4507</f>
        <v>-695.31249999999989</v>
      </c>
    </row>
    <row r="5041" spans="1:5" hidden="1">
      <c r="A5041" s="3">
        <f t="shared" si="96"/>
        <v>0</v>
      </c>
      <c r="B5041" s="3">
        <f t="shared" si="97"/>
        <v>0</v>
      </c>
      <c r="C5041" s="3">
        <f t="shared" si="95"/>
        <v>0</v>
      </c>
      <c r="D5041" s="3">
        <f>$B$4505*(A5041)+$B$4506*(A5041)^2/2-$B$4504*(A5041)^3/6-(N(D27)*MAX(0,(A5041)-N(E27))^2/2+N(F27)*MAX(0,(A5041)-N(G27))^2/2+N(H27)*MAX(0,(A5041)-N(I27))^2/2+N(J27)*MAX(0,(A5041)-N(K27))^2/2+N(L27)*MAX(0,(A5041)-N(M27))^2/2)+$B$4507</f>
        <v>-695.31249999999989</v>
      </c>
      <c r="E5041" s="3">
        <f>$B$4505*(C5041)+$B$4506*(C5041)^2/2-$B$4504*(C5041)^3/6-(N(D27)*MAX(0,(C5041)-N(E27))^2/2+N(F27)*MAX(0,(C5041)-N(G27))^2/2+N(H27)*MAX(0,(C5041)-N(I27))^2/2+N(J27)*MAX(0,(C5041)-N(K27))^2/2+N(L27)*MAX(0,(C5041)-N(M27))^2/2)+$B$4507</f>
        <v>-695.31249999999989</v>
      </c>
    </row>
    <row r="5042" spans="1:5" hidden="1">
      <c r="A5042" s="3">
        <f t="shared" si="96"/>
        <v>0</v>
      </c>
      <c r="B5042" s="3">
        <f t="shared" si="97"/>
        <v>0</v>
      </c>
      <c r="C5042" s="3">
        <f t="shared" si="95"/>
        <v>0</v>
      </c>
      <c r="D5042" s="3">
        <f>$B$4505*(A5042)+$B$4506*(A5042)^2/2-$B$4504*(A5042)^3/6-(N(D27)*MAX(0,(A5042)-N(E27))^2/2+N(F27)*MAX(0,(A5042)-N(G27))^2/2+N(H27)*MAX(0,(A5042)-N(I27))^2/2+N(J27)*MAX(0,(A5042)-N(K27))^2/2+N(L27)*MAX(0,(A5042)-N(M27))^2/2)+$B$4507</f>
        <v>-695.31249999999989</v>
      </c>
      <c r="E5042" s="3">
        <f>$B$4505*(C5042)+$B$4506*(C5042)^2/2-$B$4504*(C5042)^3/6-(N(D27)*MAX(0,(C5042)-N(E27))^2/2+N(F27)*MAX(0,(C5042)-N(G27))^2/2+N(H27)*MAX(0,(C5042)-N(I27))^2/2+N(J27)*MAX(0,(C5042)-N(K27))^2/2+N(L27)*MAX(0,(C5042)-N(M27))^2/2)+$B$4507</f>
        <v>-695.31249999999989</v>
      </c>
    </row>
    <row r="5043" spans="1:5" hidden="1">
      <c r="A5043" s="3">
        <f t="shared" si="96"/>
        <v>0</v>
      </c>
      <c r="B5043" s="3">
        <f t="shared" si="97"/>
        <v>0</v>
      </c>
      <c r="C5043" s="3">
        <f t="shared" si="95"/>
        <v>0</v>
      </c>
      <c r="D5043" s="3">
        <f>$B$4505*(A5043)+$B$4506*(A5043)^2/2-$B$4504*(A5043)^3/6-(N(D27)*MAX(0,(A5043)-N(E27))^2/2+N(F27)*MAX(0,(A5043)-N(G27))^2/2+N(H27)*MAX(0,(A5043)-N(I27))^2/2+N(J27)*MAX(0,(A5043)-N(K27))^2/2+N(L27)*MAX(0,(A5043)-N(M27))^2/2)+$B$4507</f>
        <v>-695.31249999999989</v>
      </c>
      <c r="E5043" s="3">
        <f>$B$4505*(C5043)+$B$4506*(C5043)^2/2-$B$4504*(C5043)^3/6-(N(D27)*MAX(0,(C5043)-N(E27))^2/2+N(F27)*MAX(0,(C5043)-N(G27))^2/2+N(H27)*MAX(0,(C5043)-N(I27))^2/2+N(J27)*MAX(0,(C5043)-N(K27))^2/2+N(L27)*MAX(0,(C5043)-N(M27))^2/2)+$B$4507</f>
        <v>-695.31249999999989</v>
      </c>
    </row>
    <row r="5044" spans="1:5" hidden="1">
      <c r="A5044" s="3">
        <f t="shared" si="96"/>
        <v>0</v>
      </c>
      <c r="B5044" s="3">
        <f t="shared" si="97"/>
        <v>0</v>
      </c>
      <c r="C5044" s="3">
        <f t="shared" si="95"/>
        <v>0</v>
      </c>
      <c r="D5044" s="3">
        <f>$B$4505*(A5044)+$B$4506*(A5044)^2/2-$B$4504*(A5044)^3/6-(N(D27)*MAX(0,(A5044)-N(E27))^2/2+N(F27)*MAX(0,(A5044)-N(G27))^2/2+N(H27)*MAX(0,(A5044)-N(I27))^2/2+N(J27)*MAX(0,(A5044)-N(K27))^2/2+N(L27)*MAX(0,(A5044)-N(M27))^2/2)+$B$4507</f>
        <v>-695.31249999999989</v>
      </c>
      <c r="E5044" s="3">
        <f>$B$4505*(C5044)+$B$4506*(C5044)^2/2-$B$4504*(C5044)^3/6-(N(D27)*MAX(0,(C5044)-N(E27))^2/2+N(F27)*MAX(0,(C5044)-N(G27))^2/2+N(H27)*MAX(0,(C5044)-N(I27))^2/2+N(J27)*MAX(0,(C5044)-N(K27))^2/2+N(L27)*MAX(0,(C5044)-N(M27))^2/2)+$B$4507</f>
        <v>-695.31249999999989</v>
      </c>
    </row>
    <row r="5045" spans="1:5" hidden="1">
      <c r="A5045" s="3">
        <f t="shared" si="96"/>
        <v>0</v>
      </c>
      <c r="B5045" s="3">
        <f t="shared" si="97"/>
        <v>0</v>
      </c>
      <c r="C5045" s="3">
        <f t="shared" si="95"/>
        <v>0</v>
      </c>
      <c r="D5045" s="3">
        <f>$B$4505*(A5045)+$B$4506*(A5045)^2/2-$B$4504*(A5045)^3/6-(N(D27)*MAX(0,(A5045)-N(E27))^2/2+N(F27)*MAX(0,(A5045)-N(G27))^2/2+N(H27)*MAX(0,(A5045)-N(I27))^2/2+N(J27)*MAX(0,(A5045)-N(K27))^2/2+N(L27)*MAX(0,(A5045)-N(M27))^2/2)+$B$4507</f>
        <v>-695.31249999999989</v>
      </c>
      <c r="E5045" s="3">
        <f>$B$4505*(C5045)+$B$4506*(C5045)^2/2-$B$4504*(C5045)^3/6-(N(D27)*MAX(0,(C5045)-N(E27))^2/2+N(F27)*MAX(0,(C5045)-N(G27))^2/2+N(H27)*MAX(0,(C5045)-N(I27))^2/2+N(J27)*MAX(0,(C5045)-N(K27))^2/2+N(L27)*MAX(0,(C5045)-N(M27))^2/2)+$B$4507</f>
        <v>-695.31249999999989</v>
      </c>
    </row>
    <row r="5046" spans="1:5" hidden="1">
      <c r="A5046" s="3">
        <f t="shared" si="96"/>
        <v>0</v>
      </c>
      <c r="B5046" s="3">
        <f t="shared" si="97"/>
        <v>0</v>
      </c>
      <c r="C5046" s="3">
        <f t="shared" si="95"/>
        <v>0</v>
      </c>
      <c r="D5046" s="3">
        <f>$B$4505*(A5046)+$B$4506*(A5046)^2/2-$B$4504*(A5046)^3/6-(N(D27)*MAX(0,(A5046)-N(E27))^2/2+N(F27)*MAX(0,(A5046)-N(G27))^2/2+N(H27)*MAX(0,(A5046)-N(I27))^2/2+N(J27)*MAX(0,(A5046)-N(K27))^2/2+N(L27)*MAX(0,(A5046)-N(M27))^2/2)+$B$4507</f>
        <v>-695.31249999999989</v>
      </c>
      <c r="E5046" s="3">
        <f>$B$4505*(C5046)+$B$4506*(C5046)^2/2-$B$4504*(C5046)^3/6-(N(D27)*MAX(0,(C5046)-N(E27))^2/2+N(F27)*MAX(0,(C5046)-N(G27))^2/2+N(H27)*MAX(0,(C5046)-N(I27))^2/2+N(J27)*MAX(0,(C5046)-N(K27))^2/2+N(L27)*MAX(0,(C5046)-N(M27))^2/2)+$B$4507</f>
        <v>-695.31249999999989</v>
      </c>
    </row>
    <row r="5047" spans="1:5" hidden="1">
      <c r="A5047" s="3">
        <f t="shared" si="96"/>
        <v>0</v>
      </c>
      <c r="B5047" s="3">
        <f t="shared" si="97"/>
        <v>0</v>
      </c>
      <c r="C5047" s="3">
        <f t="shared" si="95"/>
        <v>0</v>
      </c>
      <c r="D5047" s="3">
        <f>$B$4505*(A5047)+$B$4506*(A5047)^2/2-$B$4504*(A5047)^3/6-(N(D27)*MAX(0,(A5047)-N(E27))^2/2+N(F27)*MAX(0,(A5047)-N(G27))^2/2+N(H27)*MAX(0,(A5047)-N(I27))^2/2+N(J27)*MAX(0,(A5047)-N(K27))^2/2+N(L27)*MAX(0,(A5047)-N(M27))^2/2)+$B$4507</f>
        <v>-695.31249999999989</v>
      </c>
      <c r="E5047" s="3">
        <f>$B$4505*(C5047)+$B$4506*(C5047)^2/2-$B$4504*(C5047)^3/6-(N(D27)*MAX(0,(C5047)-N(E27))^2/2+N(F27)*MAX(0,(C5047)-N(G27))^2/2+N(H27)*MAX(0,(C5047)-N(I27))^2/2+N(J27)*MAX(0,(C5047)-N(K27))^2/2+N(L27)*MAX(0,(C5047)-N(M27))^2/2)+$B$4507</f>
        <v>-695.31249999999989</v>
      </c>
    </row>
    <row r="5048" spans="1:5" hidden="1">
      <c r="A5048" s="3">
        <f t="shared" si="96"/>
        <v>0</v>
      </c>
      <c r="B5048" s="3">
        <f t="shared" si="97"/>
        <v>0</v>
      </c>
      <c r="C5048" s="3">
        <f t="shared" si="95"/>
        <v>0</v>
      </c>
      <c r="D5048" s="3">
        <f>$B$4505*(A5048)+$B$4506*(A5048)^2/2-$B$4504*(A5048)^3/6-(N(D27)*MAX(0,(A5048)-N(E27))^2/2+N(F27)*MAX(0,(A5048)-N(G27))^2/2+N(H27)*MAX(0,(A5048)-N(I27))^2/2+N(J27)*MAX(0,(A5048)-N(K27))^2/2+N(L27)*MAX(0,(A5048)-N(M27))^2/2)+$B$4507</f>
        <v>-695.31249999999989</v>
      </c>
      <c r="E5048" s="3">
        <f>$B$4505*(C5048)+$B$4506*(C5048)^2/2-$B$4504*(C5048)^3/6-(N(D27)*MAX(0,(C5048)-N(E27))^2/2+N(F27)*MAX(0,(C5048)-N(G27))^2/2+N(H27)*MAX(0,(C5048)-N(I27))^2/2+N(J27)*MAX(0,(C5048)-N(K27))^2/2+N(L27)*MAX(0,(C5048)-N(M27))^2/2)+$B$4507</f>
        <v>-695.31249999999989</v>
      </c>
    </row>
    <row r="5049" spans="1:5" hidden="1">
      <c r="A5049" s="3">
        <f t="shared" si="96"/>
        <v>0</v>
      </c>
      <c r="B5049" s="3">
        <f t="shared" si="97"/>
        <v>0</v>
      </c>
      <c r="C5049" s="3">
        <f t="shared" si="95"/>
        <v>0</v>
      </c>
      <c r="D5049" s="3">
        <f>$B$4505*(A5049)+$B$4506*(A5049)^2/2-$B$4504*(A5049)^3/6-(N(D27)*MAX(0,(A5049)-N(E27))^2/2+N(F27)*MAX(0,(A5049)-N(G27))^2/2+N(H27)*MAX(0,(A5049)-N(I27))^2/2+N(J27)*MAX(0,(A5049)-N(K27))^2/2+N(L27)*MAX(0,(A5049)-N(M27))^2/2)+$B$4507</f>
        <v>-695.31249999999989</v>
      </c>
      <c r="E5049" s="3">
        <f>$B$4505*(C5049)+$B$4506*(C5049)^2/2-$B$4504*(C5049)^3/6-(N(D27)*MAX(0,(C5049)-N(E27))^2/2+N(F27)*MAX(0,(C5049)-N(G27))^2/2+N(H27)*MAX(0,(C5049)-N(I27))^2/2+N(J27)*MAX(0,(C5049)-N(K27))^2/2+N(L27)*MAX(0,(C5049)-N(M27))^2/2)+$B$4507</f>
        <v>-695.31249999999989</v>
      </c>
    </row>
    <row r="5050" spans="1:5" hidden="1">
      <c r="A5050" s="3">
        <f t="shared" si="96"/>
        <v>0</v>
      </c>
      <c r="B5050" s="3">
        <f t="shared" si="97"/>
        <v>0</v>
      </c>
      <c r="C5050" s="3">
        <f t="shared" si="95"/>
        <v>0</v>
      </c>
      <c r="D5050" s="3">
        <f>$B$4505*(A5050)+$B$4506*(A5050)^2/2-$B$4504*(A5050)^3/6-(N(D27)*MAX(0,(A5050)-N(E27))^2/2+N(F27)*MAX(0,(A5050)-N(G27))^2/2+N(H27)*MAX(0,(A5050)-N(I27))^2/2+N(J27)*MAX(0,(A5050)-N(K27))^2/2+N(L27)*MAX(0,(A5050)-N(M27))^2/2)+$B$4507</f>
        <v>-695.31249999999989</v>
      </c>
      <c r="E5050" s="3">
        <f>$B$4505*(C5050)+$B$4506*(C5050)^2/2-$B$4504*(C5050)^3/6-(N(D27)*MAX(0,(C5050)-N(E27))^2/2+N(F27)*MAX(0,(C5050)-N(G27))^2/2+N(H27)*MAX(0,(C5050)-N(I27))^2/2+N(J27)*MAX(0,(C5050)-N(K27))^2/2+N(L27)*MAX(0,(C5050)-N(M27))^2/2)+$B$4507</f>
        <v>-695.31249999999989</v>
      </c>
    </row>
    <row r="5051" spans="1:5" hidden="1">
      <c r="A5051" s="3">
        <f t="shared" si="96"/>
        <v>0</v>
      </c>
      <c r="B5051" s="3">
        <f t="shared" si="97"/>
        <v>0</v>
      </c>
      <c r="C5051" s="3">
        <f t="shared" si="95"/>
        <v>0</v>
      </c>
      <c r="D5051" s="3">
        <f>$B$4505*(A5051)+$B$4506*(A5051)^2/2-$B$4504*(A5051)^3/6-(N(D27)*MAX(0,(A5051)-N(E27))^2/2+N(F27)*MAX(0,(A5051)-N(G27))^2/2+N(H27)*MAX(0,(A5051)-N(I27))^2/2+N(J27)*MAX(0,(A5051)-N(K27))^2/2+N(L27)*MAX(0,(A5051)-N(M27))^2/2)+$B$4507</f>
        <v>-695.31249999999989</v>
      </c>
      <c r="E5051" s="3">
        <f>$B$4505*(C5051)+$B$4506*(C5051)^2/2-$B$4504*(C5051)^3/6-(N(D27)*MAX(0,(C5051)-N(E27))^2/2+N(F27)*MAX(0,(C5051)-N(G27))^2/2+N(H27)*MAX(0,(C5051)-N(I27))^2/2+N(J27)*MAX(0,(C5051)-N(K27))^2/2+N(L27)*MAX(0,(C5051)-N(M27))^2/2)+$B$4507</f>
        <v>-695.31249999999989</v>
      </c>
    </row>
    <row r="5052" spans="1:5" hidden="1">
      <c r="A5052" s="3">
        <f t="shared" si="96"/>
        <v>0</v>
      </c>
      <c r="B5052" s="3">
        <f t="shared" si="97"/>
        <v>0</v>
      </c>
      <c r="C5052" s="3">
        <f t="shared" si="95"/>
        <v>0</v>
      </c>
      <c r="D5052" s="3">
        <f>$B$4505*(A5052)+$B$4506*(A5052)^2/2-$B$4504*(A5052)^3/6-(N(D27)*MAX(0,(A5052)-N(E27))^2/2+N(F27)*MAX(0,(A5052)-N(G27))^2/2+N(H27)*MAX(0,(A5052)-N(I27))^2/2+N(J27)*MAX(0,(A5052)-N(K27))^2/2+N(L27)*MAX(0,(A5052)-N(M27))^2/2)+$B$4507</f>
        <v>-695.31249999999989</v>
      </c>
      <c r="E5052" s="3">
        <f>$B$4505*(C5052)+$B$4506*(C5052)^2/2-$B$4504*(C5052)^3/6-(N(D27)*MAX(0,(C5052)-N(E27))^2/2+N(F27)*MAX(0,(C5052)-N(G27))^2/2+N(H27)*MAX(0,(C5052)-N(I27))^2/2+N(J27)*MAX(0,(C5052)-N(K27))^2/2+N(L27)*MAX(0,(C5052)-N(M27))^2/2)+$B$4507</f>
        <v>-695.31249999999989</v>
      </c>
    </row>
    <row r="5053" spans="1:5" hidden="1">
      <c r="A5053" s="3">
        <f t="shared" si="96"/>
        <v>0</v>
      </c>
      <c r="B5053" s="3">
        <f t="shared" si="97"/>
        <v>0</v>
      </c>
      <c r="C5053" s="3">
        <f t="shared" si="95"/>
        <v>0</v>
      </c>
      <c r="D5053" s="3">
        <f>$B$4505*(A5053)+$B$4506*(A5053)^2/2-$B$4504*(A5053)^3/6-(N(D27)*MAX(0,(A5053)-N(E27))^2/2+N(F27)*MAX(0,(A5053)-N(G27))^2/2+N(H27)*MAX(0,(A5053)-N(I27))^2/2+N(J27)*MAX(0,(A5053)-N(K27))^2/2+N(L27)*MAX(0,(A5053)-N(M27))^2/2)+$B$4507</f>
        <v>-695.31249999999989</v>
      </c>
      <c r="E5053" s="3">
        <f>$B$4505*(C5053)+$B$4506*(C5053)^2/2-$B$4504*(C5053)^3/6-(N(D27)*MAX(0,(C5053)-N(E27))^2/2+N(F27)*MAX(0,(C5053)-N(G27))^2/2+N(H27)*MAX(0,(C5053)-N(I27))^2/2+N(J27)*MAX(0,(C5053)-N(K27))^2/2+N(L27)*MAX(0,(C5053)-N(M27))^2/2)+$B$4507</f>
        <v>-695.31249999999989</v>
      </c>
    </row>
    <row r="5054" spans="1:5" hidden="1">
      <c r="A5054" s="3">
        <f t="shared" si="96"/>
        <v>0</v>
      </c>
      <c r="B5054" s="3">
        <f t="shared" si="97"/>
        <v>0</v>
      </c>
      <c r="C5054" s="3">
        <f t="shared" si="95"/>
        <v>0</v>
      </c>
      <c r="D5054" s="3">
        <f>$B$4505*(A5054)+$B$4506*(A5054)^2/2-$B$4504*(A5054)^3/6-(N(D27)*MAX(0,(A5054)-N(E27))^2/2+N(F27)*MAX(0,(A5054)-N(G27))^2/2+N(H27)*MAX(0,(A5054)-N(I27))^2/2+N(J27)*MAX(0,(A5054)-N(K27))^2/2+N(L27)*MAX(0,(A5054)-N(M27))^2/2)+$B$4507</f>
        <v>-695.31249999999989</v>
      </c>
      <c r="E5054" s="3">
        <f>$B$4505*(C5054)+$B$4506*(C5054)^2/2-$B$4504*(C5054)^3/6-(N(D27)*MAX(0,(C5054)-N(E27))^2/2+N(F27)*MAX(0,(C5054)-N(G27))^2/2+N(H27)*MAX(0,(C5054)-N(I27))^2/2+N(J27)*MAX(0,(C5054)-N(K27))^2/2+N(L27)*MAX(0,(C5054)-N(M27))^2/2)+$B$4507</f>
        <v>-695.31249999999989</v>
      </c>
    </row>
    <row r="5055" spans="1:5" hidden="1">
      <c r="A5055" s="3">
        <f t="shared" si="96"/>
        <v>0</v>
      </c>
      <c r="B5055" s="3">
        <f t="shared" si="97"/>
        <v>0</v>
      </c>
      <c r="C5055" s="3">
        <f t="shared" si="95"/>
        <v>0</v>
      </c>
      <c r="D5055" s="3">
        <f>$B$4505*(A5055)+$B$4506*(A5055)^2/2-$B$4504*(A5055)^3/6-(N(D27)*MAX(0,(A5055)-N(E27))^2/2+N(F27)*MAX(0,(A5055)-N(G27))^2/2+N(H27)*MAX(0,(A5055)-N(I27))^2/2+N(J27)*MAX(0,(A5055)-N(K27))^2/2+N(L27)*MAX(0,(A5055)-N(M27))^2/2)+$B$4507</f>
        <v>-695.31249999999989</v>
      </c>
      <c r="E5055" s="3">
        <f>$B$4505*(C5055)+$B$4506*(C5055)^2/2-$B$4504*(C5055)^3/6-(N(D27)*MAX(0,(C5055)-N(E27))^2/2+N(F27)*MAX(0,(C5055)-N(G27))^2/2+N(H27)*MAX(0,(C5055)-N(I27))^2/2+N(J27)*MAX(0,(C5055)-N(K27))^2/2+N(L27)*MAX(0,(C5055)-N(M27))^2/2)+$B$4507</f>
        <v>-695.31249999999989</v>
      </c>
    </row>
    <row r="5056" spans="1:5" hidden="1">
      <c r="A5056" s="3">
        <f t="shared" si="96"/>
        <v>0</v>
      </c>
      <c r="B5056" s="3">
        <f t="shared" si="97"/>
        <v>0</v>
      </c>
      <c r="C5056" s="3">
        <f t="shared" si="95"/>
        <v>0</v>
      </c>
      <c r="D5056" s="3">
        <f>$B$4505*(A5056)+$B$4506*(A5056)^2/2-$B$4504*(A5056)^3/6-(N(D27)*MAX(0,(A5056)-N(E27))^2/2+N(F27)*MAX(0,(A5056)-N(G27))^2/2+N(H27)*MAX(0,(A5056)-N(I27))^2/2+N(J27)*MAX(0,(A5056)-N(K27))^2/2+N(L27)*MAX(0,(A5056)-N(M27))^2/2)+$B$4507</f>
        <v>-695.31249999999989</v>
      </c>
      <c r="E5056" s="3">
        <f>$B$4505*(C5056)+$B$4506*(C5056)^2/2-$B$4504*(C5056)^3/6-(N(D27)*MAX(0,(C5056)-N(E27))^2/2+N(F27)*MAX(0,(C5056)-N(G27))^2/2+N(H27)*MAX(0,(C5056)-N(I27))^2/2+N(J27)*MAX(0,(C5056)-N(K27))^2/2+N(L27)*MAX(0,(C5056)-N(M27))^2/2)+$B$4507</f>
        <v>-695.31249999999989</v>
      </c>
    </row>
    <row r="5057" spans="1:5" hidden="1">
      <c r="A5057" s="3">
        <f t="shared" si="96"/>
        <v>0</v>
      </c>
      <c r="B5057" s="3">
        <f t="shared" si="97"/>
        <v>0</v>
      </c>
      <c r="C5057" s="3">
        <f t="shared" si="95"/>
        <v>0</v>
      </c>
      <c r="D5057" s="3">
        <f>$B$4505*(A5057)+$B$4506*(A5057)^2/2-$B$4504*(A5057)^3/6-(N(D27)*MAX(0,(A5057)-N(E27))^2/2+N(F27)*MAX(0,(A5057)-N(G27))^2/2+N(H27)*MAX(0,(A5057)-N(I27))^2/2+N(J27)*MAX(0,(A5057)-N(K27))^2/2+N(L27)*MAX(0,(A5057)-N(M27))^2/2)+$B$4507</f>
        <v>-695.31249999999989</v>
      </c>
      <c r="E5057" s="3">
        <f>$B$4505*(C5057)+$B$4506*(C5057)^2/2-$B$4504*(C5057)^3/6-(N(D27)*MAX(0,(C5057)-N(E27))^2/2+N(F27)*MAX(0,(C5057)-N(G27))^2/2+N(H27)*MAX(0,(C5057)-N(I27))^2/2+N(J27)*MAX(0,(C5057)-N(K27))^2/2+N(L27)*MAX(0,(C5057)-N(M27))^2/2)+$B$4507</f>
        <v>-695.31249999999989</v>
      </c>
    </row>
    <row r="5058" spans="1:5" hidden="1">
      <c r="A5058" s="3">
        <f t="shared" si="96"/>
        <v>0</v>
      </c>
      <c r="B5058" s="3">
        <f t="shared" si="97"/>
        <v>0</v>
      </c>
      <c r="C5058" s="3">
        <f t="shared" si="95"/>
        <v>0</v>
      </c>
      <c r="D5058" s="3">
        <f>$B$4505*(A5058)+$B$4506*(A5058)^2/2-$B$4504*(A5058)^3/6-(N(D27)*MAX(0,(A5058)-N(E27))^2/2+N(F27)*MAX(0,(A5058)-N(G27))^2/2+N(H27)*MAX(0,(A5058)-N(I27))^2/2+N(J27)*MAX(0,(A5058)-N(K27))^2/2+N(L27)*MAX(0,(A5058)-N(M27))^2/2)+$B$4507</f>
        <v>-695.31249999999989</v>
      </c>
      <c r="E5058" s="3">
        <f>$B$4505*(C5058)+$B$4506*(C5058)^2/2-$B$4504*(C5058)^3/6-(N(D27)*MAX(0,(C5058)-N(E27))^2/2+N(F27)*MAX(0,(C5058)-N(G27))^2/2+N(H27)*MAX(0,(C5058)-N(I27))^2/2+N(J27)*MAX(0,(C5058)-N(K27))^2/2+N(L27)*MAX(0,(C5058)-N(M27))^2/2)+$B$4507</f>
        <v>-695.31249999999989</v>
      </c>
    </row>
    <row r="5059" spans="1:5" hidden="1">
      <c r="A5059" s="3">
        <f t="shared" si="96"/>
        <v>0</v>
      </c>
      <c r="B5059" s="3">
        <f t="shared" si="97"/>
        <v>0</v>
      </c>
      <c r="C5059" s="3">
        <f t="shared" si="95"/>
        <v>0</v>
      </c>
      <c r="D5059" s="3">
        <f>$B$4505*(A5059)+$B$4506*(A5059)^2/2-$B$4504*(A5059)^3/6-(N(D27)*MAX(0,(A5059)-N(E27))^2/2+N(F27)*MAX(0,(A5059)-N(G27))^2/2+N(H27)*MAX(0,(A5059)-N(I27))^2/2+N(J27)*MAX(0,(A5059)-N(K27))^2/2+N(L27)*MAX(0,(A5059)-N(M27))^2/2)+$B$4507</f>
        <v>-695.31249999999989</v>
      </c>
      <c r="E5059" s="3">
        <f>$B$4505*(C5059)+$B$4506*(C5059)^2/2-$B$4504*(C5059)^3/6-(N(D27)*MAX(0,(C5059)-N(E27))^2/2+N(F27)*MAX(0,(C5059)-N(G27))^2/2+N(H27)*MAX(0,(C5059)-N(I27))^2/2+N(J27)*MAX(0,(C5059)-N(K27))^2/2+N(L27)*MAX(0,(C5059)-N(M27))^2/2)+$B$4507</f>
        <v>-695.31249999999989</v>
      </c>
    </row>
    <row r="5060" spans="1:5" hidden="1"/>
    <row r="5061" spans="1:5" hidden="1">
      <c r="A5061" s="3">
        <f>B4551</f>
        <v>0</v>
      </c>
      <c r="B5061" s="3">
        <f>IF(($B$4505*(B4551)+$B$4506*(B4551)^2/2-$B$4504*(B4551)^3/6-(N(D27)*MAX(0,(B4551)-N(E27))^2/2+N(F27)*MAX(0,(B4551)-N(G27))^2/2+N(H27)*MAX(0,(B4551)-N(I27))^2/2+N(J27)*MAX(0,(B4551)-N(K27))^2/2+N(L27)*MAX(0,(B4551)-N(M27))^2/2)+$B$4507)*($B$4505*(B4552)+$B$4506*(B4552)^2/2-$B$4504*(B4552)^3/6-(N(D27)*MAX(0,(B4552)-N(E27))^2/2+N(F27)*MAX(0,(B4552)-N(G27))^2/2+N(H27)*MAX(0,(B4552)-N(I27))^2/2+N(J27)*MAX(0,(B4552)-N(K27))^2/2+N(L27)*MAX(0,(B4552)-N(M27))^2/2)+$B$4507)&lt;=0,B4552,B4551)</f>
        <v>0</v>
      </c>
      <c r="C5061" s="3">
        <f t="shared" ref="C5061:C5105" si="98">(A5061+B5061)/2</f>
        <v>0</v>
      </c>
      <c r="D5061" s="3">
        <f>$B$4505*(A5061)+$B$4506*(A5061)^2/2-$B$4504*(A5061)^3/6-(N(D27)*MAX(0,(A5061)-N(E27))^2/2+N(F27)*MAX(0,(A5061)-N(G27))^2/2+N(H27)*MAX(0,(A5061)-N(I27))^2/2+N(J27)*MAX(0,(A5061)-N(K27))^2/2+N(L27)*MAX(0,(A5061)-N(M27))^2/2)+$B$4507</f>
        <v>-695.31249999999989</v>
      </c>
      <c r="E5061" s="3">
        <f>$B$4505*(C5061)+$B$4506*(C5061)^2/2-$B$4504*(C5061)^3/6-(N(D27)*MAX(0,(C5061)-N(E27))^2/2+N(F27)*MAX(0,(C5061)-N(G27))^2/2+N(H27)*MAX(0,(C5061)-N(I27))^2/2+N(J27)*MAX(0,(C5061)-N(K27))^2/2+N(L27)*MAX(0,(C5061)-N(M27))^2/2)+$B$4507</f>
        <v>-695.31249999999989</v>
      </c>
    </row>
    <row r="5062" spans="1:5" hidden="1">
      <c r="A5062" s="3">
        <f t="shared" ref="A5062:A5105" si="99">IF(D5061*E5061&lt;=0,A5061,C5061)</f>
        <v>0</v>
      </c>
      <c r="B5062" s="3">
        <f t="shared" ref="B5062:B5105" si="100">IF(D5061*E5061&lt;=0,C5061,B5061)</f>
        <v>0</v>
      </c>
      <c r="C5062" s="3">
        <f t="shared" si="98"/>
        <v>0</v>
      </c>
      <c r="D5062" s="3">
        <f>$B$4505*(A5062)+$B$4506*(A5062)^2/2-$B$4504*(A5062)^3/6-(N(D27)*MAX(0,(A5062)-N(E27))^2/2+N(F27)*MAX(0,(A5062)-N(G27))^2/2+N(H27)*MAX(0,(A5062)-N(I27))^2/2+N(J27)*MAX(0,(A5062)-N(K27))^2/2+N(L27)*MAX(0,(A5062)-N(M27))^2/2)+$B$4507</f>
        <v>-695.31249999999989</v>
      </c>
      <c r="E5062" s="3">
        <f>$B$4505*(C5062)+$B$4506*(C5062)^2/2-$B$4504*(C5062)^3/6-(N(D27)*MAX(0,(C5062)-N(E27))^2/2+N(F27)*MAX(0,(C5062)-N(G27))^2/2+N(H27)*MAX(0,(C5062)-N(I27))^2/2+N(J27)*MAX(0,(C5062)-N(K27))^2/2+N(L27)*MAX(0,(C5062)-N(M27))^2/2)+$B$4507</f>
        <v>-695.31249999999989</v>
      </c>
    </row>
    <row r="5063" spans="1:5" hidden="1">
      <c r="A5063" s="3">
        <f t="shared" si="99"/>
        <v>0</v>
      </c>
      <c r="B5063" s="3">
        <f t="shared" si="100"/>
        <v>0</v>
      </c>
      <c r="C5063" s="3">
        <f t="shared" si="98"/>
        <v>0</v>
      </c>
      <c r="D5063" s="3">
        <f>$B$4505*(A5063)+$B$4506*(A5063)^2/2-$B$4504*(A5063)^3/6-(N(D27)*MAX(0,(A5063)-N(E27))^2/2+N(F27)*MAX(0,(A5063)-N(G27))^2/2+N(H27)*MAX(0,(A5063)-N(I27))^2/2+N(J27)*MAX(0,(A5063)-N(K27))^2/2+N(L27)*MAX(0,(A5063)-N(M27))^2/2)+$B$4507</f>
        <v>-695.31249999999989</v>
      </c>
      <c r="E5063" s="3">
        <f>$B$4505*(C5063)+$B$4506*(C5063)^2/2-$B$4504*(C5063)^3/6-(N(D27)*MAX(0,(C5063)-N(E27))^2/2+N(F27)*MAX(0,(C5063)-N(G27))^2/2+N(H27)*MAX(0,(C5063)-N(I27))^2/2+N(J27)*MAX(0,(C5063)-N(K27))^2/2+N(L27)*MAX(0,(C5063)-N(M27))^2/2)+$B$4507</f>
        <v>-695.31249999999989</v>
      </c>
    </row>
    <row r="5064" spans="1:5" hidden="1">
      <c r="A5064" s="3">
        <f t="shared" si="99"/>
        <v>0</v>
      </c>
      <c r="B5064" s="3">
        <f t="shared" si="100"/>
        <v>0</v>
      </c>
      <c r="C5064" s="3">
        <f t="shared" si="98"/>
        <v>0</v>
      </c>
      <c r="D5064" s="3">
        <f>$B$4505*(A5064)+$B$4506*(A5064)^2/2-$B$4504*(A5064)^3/6-(N(D27)*MAX(0,(A5064)-N(E27))^2/2+N(F27)*MAX(0,(A5064)-N(G27))^2/2+N(H27)*MAX(0,(A5064)-N(I27))^2/2+N(J27)*MAX(0,(A5064)-N(K27))^2/2+N(L27)*MAX(0,(A5064)-N(M27))^2/2)+$B$4507</f>
        <v>-695.31249999999989</v>
      </c>
      <c r="E5064" s="3">
        <f>$B$4505*(C5064)+$B$4506*(C5064)^2/2-$B$4504*(C5064)^3/6-(N(D27)*MAX(0,(C5064)-N(E27))^2/2+N(F27)*MAX(0,(C5064)-N(G27))^2/2+N(H27)*MAX(0,(C5064)-N(I27))^2/2+N(J27)*MAX(0,(C5064)-N(K27))^2/2+N(L27)*MAX(0,(C5064)-N(M27))^2/2)+$B$4507</f>
        <v>-695.31249999999989</v>
      </c>
    </row>
    <row r="5065" spans="1:5" hidden="1">
      <c r="A5065" s="3">
        <f t="shared" si="99"/>
        <v>0</v>
      </c>
      <c r="B5065" s="3">
        <f t="shared" si="100"/>
        <v>0</v>
      </c>
      <c r="C5065" s="3">
        <f t="shared" si="98"/>
        <v>0</v>
      </c>
      <c r="D5065" s="3">
        <f>$B$4505*(A5065)+$B$4506*(A5065)^2/2-$B$4504*(A5065)^3/6-(N(D27)*MAX(0,(A5065)-N(E27))^2/2+N(F27)*MAX(0,(A5065)-N(G27))^2/2+N(H27)*MAX(0,(A5065)-N(I27))^2/2+N(J27)*MAX(0,(A5065)-N(K27))^2/2+N(L27)*MAX(0,(A5065)-N(M27))^2/2)+$B$4507</f>
        <v>-695.31249999999989</v>
      </c>
      <c r="E5065" s="3">
        <f>$B$4505*(C5065)+$B$4506*(C5065)^2/2-$B$4504*(C5065)^3/6-(N(D27)*MAX(0,(C5065)-N(E27))^2/2+N(F27)*MAX(0,(C5065)-N(G27))^2/2+N(H27)*MAX(0,(C5065)-N(I27))^2/2+N(J27)*MAX(0,(C5065)-N(K27))^2/2+N(L27)*MAX(0,(C5065)-N(M27))^2/2)+$B$4507</f>
        <v>-695.31249999999989</v>
      </c>
    </row>
    <row r="5066" spans="1:5" hidden="1">
      <c r="A5066" s="3">
        <f t="shared" si="99"/>
        <v>0</v>
      </c>
      <c r="B5066" s="3">
        <f t="shared" si="100"/>
        <v>0</v>
      </c>
      <c r="C5066" s="3">
        <f t="shared" si="98"/>
        <v>0</v>
      </c>
      <c r="D5066" s="3">
        <f>$B$4505*(A5066)+$B$4506*(A5066)^2/2-$B$4504*(A5066)^3/6-(N(D27)*MAX(0,(A5066)-N(E27))^2/2+N(F27)*MAX(0,(A5066)-N(G27))^2/2+N(H27)*MAX(0,(A5066)-N(I27))^2/2+N(J27)*MAX(0,(A5066)-N(K27))^2/2+N(L27)*MAX(0,(A5066)-N(M27))^2/2)+$B$4507</f>
        <v>-695.31249999999989</v>
      </c>
      <c r="E5066" s="3">
        <f>$B$4505*(C5066)+$B$4506*(C5066)^2/2-$B$4504*(C5066)^3/6-(N(D27)*MAX(0,(C5066)-N(E27))^2/2+N(F27)*MAX(0,(C5066)-N(G27))^2/2+N(H27)*MAX(0,(C5066)-N(I27))^2/2+N(J27)*MAX(0,(C5066)-N(K27))^2/2+N(L27)*MAX(0,(C5066)-N(M27))^2/2)+$B$4507</f>
        <v>-695.31249999999989</v>
      </c>
    </row>
    <row r="5067" spans="1:5" hidden="1">
      <c r="A5067" s="3">
        <f t="shared" si="99"/>
        <v>0</v>
      </c>
      <c r="B5067" s="3">
        <f t="shared" si="100"/>
        <v>0</v>
      </c>
      <c r="C5067" s="3">
        <f t="shared" si="98"/>
        <v>0</v>
      </c>
      <c r="D5067" s="3">
        <f>$B$4505*(A5067)+$B$4506*(A5067)^2/2-$B$4504*(A5067)^3/6-(N(D27)*MAX(0,(A5067)-N(E27))^2/2+N(F27)*MAX(0,(A5067)-N(G27))^2/2+N(H27)*MAX(0,(A5067)-N(I27))^2/2+N(J27)*MAX(0,(A5067)-N(K27))^2/2+N(L27)*MAX(0,(A5067)-N(M27))^2/2)+$B$4507</f>
        <v>-695.31249999999989</v>
      </c>
      <c r="E5067" s="3">
        <f>$B$4505*(C5067)+$B$4506*(C5067)^2/2-$B$4504*(C5067)^3/6-(N(D27)*MAX(0,(C5067)-N(E27))^2/2+N(F27)*MAX(0,(C5067)-N(G27))^2/2+N(H27)*MAX(0,(C5067)-N(I27))^2/2+N(J27)*MAX(0,(C5067)-N(K27))^2/2+N(L27)*MAX(0,(C5067)-N(M27))^2/2)+$B$4507</f>
        <v>-695.31249999999989</v>
      </c>
    </row>
    <row r="5068" spans="1:5" hidden="1">
      <c r="A5068" s="3">
        <f t="shared" si="99"/>
        <v>0</v>
      </c>
      <c r="B5068" s="3">
        <f t="shared" si="100"/>
        <v>0</v>
      </c>
      <c r="C5068" s="3">
        <f t="shared" si="98"/>
        <v>0</v>
      </c>
      <c r="D5068" s="3">
        <f>$B$4505*(A5068)+$B$4506*(A5068)^2/2-$B$4504*(A5068)^3/6-(N(D27)*MAX(0,(A5068)-N(E27))^2/2+N(F27)*MAX(0,(A5068)-N(G27))^2/2+N(H27)*MAX(0,(A5068)-N(I27))^2/2+N(J27)*MAX(0,(A5068)-N(K27))^2/2+N(L27)*MAX(0,(A5068)-N(M27))^2/2)+$B$4507</f>
        <v>-695.31249999999989</v>
      </c>
      <c r="E5068" s="3">
        <f>$B$4505*(C5068)+$B$4506*(C5068)^2/2-$B$4504*(C5068)^3/6-(N(D27)*MAX(0,(C5068)-N(E27))^2/2+N(F27)*MAX(0,(C5068)-N(G27))^2/2+N(H27)*MAX(0,(C5068)-N(I27))^2/2+N(J27)*MAX(0,(C5068)-N(K27))^2/2+N(L27)*MAX(0,(C5068)-N(M27))^2/2)+$B$4507</f>
        <v>-695.31249999999989</v>
      </c>
    </row>
    <row r="5069" spans="1:5" hidden="1">
      <c r="A5069" s="3">
        <f t="shared" si="99"/>
        <v>0</v>
      </c>
      <c r="B5069" s="3">
        <f t="shared" si="100"/>
        <v>0</v>
      </c>
      <c r="C5069" s="3">
        <f t="shared" si="98"/>
        <v>0</v>
      </c>
      <c r="D5069" s="3">
        <f>$B$4505*(A5069)+$B$4506*(A5069)^2/2-$B$4504*(A5069)^3/6-(N(D27)*MAX(0,(A5069)-N(E27))^2/2+N(F27)*MAX(0,(A5069)-N(G27))^2/2+N(H27)*MAX(0,(A5069)-N(I27))^2/2+N(J27)*MAX(0,(A5069)-N(K27))^2/2+N(L27)*MAX(0,(A5069)-N(M27))^2/2)+$B$4507</f>
        <v>-695.31249999999989</v>
      </c>
      <c r="E5069" s="3">
        <f>$B$4505*(C5069)+$B$4506*(C5069)^2/2-$B$4504*(C5069)^3/6-(N(D27)*MAX(0,(C5069)-N(E27))^2/2+N(F27)*MAX(0,(C5069)-N(G27))^2/2+N(H27)*MAX(0,(C5069)-N(I27))^2/2+N(J27)*MAX(0,(C5069)-N(K27))^2/2+N(L27)*MAX(0,(C5069)-N(M27))^2/2)+$B$4507</f>
        <v>-695.31249999999989</v>
      </c>
    </row>
    <row r="5070" spans="1:5" hidden="1">
      <c r="A5070" s="3">
        <f t="shared" si="99"/>
        <v>0</v>
      </c>
      <c r="B5070" s="3">
        <f t="shared" si="100"/>
        <v>0</v>
      </c>
      <c r="C5070" s="3">
        <f t="shared" si="98"/>
        <v>0</v>
      </c>
      <c r="D5070" s="3">
        <f>$B$4505*(A5070)+$B$4506*(A5070)^2/2-$B$4504*(A5070)^3/6-(N(D27)*MAX(0,(A5070)-N(E27))^2/2+N(F27)*MAX(0,(A5070)-N(G27))^2/2+N(H27)*MAX(0,(A5070)-N(I27))^2/2+N(J27)*MAX(0,(A5070)-N(K27))^2/2+N(L27)*MAX(0,(A5070)-N(M27))^2/2)+$B$4507</f>
        <v>-695.31249999999989</v>
      </c>
      <c r="E5070" s="3">
        <f>$B$4505*(C5070)+$B$4506*(C5070)^2/2-$B$4504*(C5070)^3/6-(N(D27)*MAX(0,(C5070)-N(E27))^2/2+N(F27)*MAX(0,(C5070)-N(G27))^2/2+N(H27)*MAX(0,(C5070)-N(I27))^2/2+N(J27)*MAX(0,(C5070)-N(K27))^2/2+N(L27)*MAX(0,(C5070)-N(M27))^2/2)+$B$4507</f>
        <v>-695.31249999999989</v>
      </c>
    </row>
    <row r="5071" spans="1:5" hidden="1">
      <c r="A5071" s="3">
        <f t="shared" si="99"/>
        <v>0</v>
      </c>
      <c r="B5071" s="3">
        <f t="shared" si="100"/>
        <v>0</v>
      </c>
      <c r="C5071" s="3">
        <f t="shared" si="98"/>
        <v>0</v>
      </c>
      <c r="D5071" s="3">
        <f>$B$4505*(A5071)+$B$4506*(A5071)^2/2-$B$4504*(A5071)^3/6-(N(D27)*MAX(0,(A5071)-N(E27))^2/2+N(F27)*MAX(0,(A5071)-N(G27))^2/2+N(H27)*MAX(0,(A5071)-N(I27))^2/2+N(J27)*MAX(0,(A5071)-N(K27))^2/2+N(L27)*MAX(0,(A5071)-N(M27))^2/2)+$B$4507</f>
        <v>-695.31249999999989</v>
      </c>
      <c r="E5071" s="3">
        <f>$B$4505*(C5071)+$B$4506*(C5071)^2/2-$B$4504*(C5071)^3/6-(N(D27)*MAX(0,(C5071)-N(E27))^2/2+N(F27)*MAX(0,(C5071)-N(G27))^2/2+N(H27)*MAX(0,(C5071)-N(I27))^2/2+N(J27)*MAX(0,(C5071)-N(K27))^2/2+N(L27)*MAX(0,(C5071)-N(M27))^2/2)+$B$4507</f>
        <v>-695.31249999999989</v>
      </c>
    </row>
    <row r="5072" spans="1:5" hidden="1">
      <c r="A5072" s="3">
        <f t="shared" si="99"/>
        <v>0</v>
      </c>
      <c r="B5072" s="3">
        <f t="shared" si="100"/>
        <v>0</v>
      </c>
      <c r="C5072" s="3">
        <f t="shared" si="98"/>
        <v>0</v>
      </c>
      <c r="D5072" s="3">
        <f>$B$4505*(A5072)+$B$4506*(A5072)^2/2-$B$4504*(A5072)^3/6-(N(D27)*MAX(0,(A5072)-N(E27))^2/2+N(F27)*MAX(0,(A5072)-N(G27))^2/2+N(H27)*MAX(0,(A5072)-N(I27))^2/2+N(J27)*MAX(0,(A5072)-N(K27))^2/2+N(L27)*MAX(0,(A5072)-N(M27))^2/2)+$B$4507</f>
        <v>-695.31249999999989</v>
      </c>
      <c r="E5072" s="3">
        <f>$B$4505*(C5072)+$B$4506*(C5072)^2/2-$B$4504*(C5072)^3/6-(N(D27)*MAX(0,(C5072)-N(E27))^2/2+N(F27)*MAX(0,(C5072)-N(G27))^2/2+N(H27)*MAX(0,(C5072)-N(I27))^2/2+N(J27)*MAX(0,(C5072)-N(K27))^2/2+N(L27)*MAX(0,(C5072)-N(M27))^2/2)+$B$4507</f>
        <v>-695.31249999999989</v>
      </c>
    </row>
    <row r="5073" spans="1:5" hidden="1">
      <c r="A5073" s="3">
        <f t="shared" si="99"/>
        <v>0</v>
      </c>
      <c r="B5073" s="3">
        <f t="shared" si="100"/>
        <v>0</v>
      </c>
      <c r="C5073" s="3">
        <f t="shared" si="98"/>
        <v>0</v>
      </c>
      <c r="D5073" s="3">
        <f>$B$4505*(A5073)+$B$4506*(A5073)^2/2-$B$4504*(A5073)^3/6-(N(D27)*MAX(0,(A5073)-N(E27))^2/2+N(F27)*MAX(0,(A5073)-N(G27))^2/2+N(H27)*MAX(0,(A5073)-N(I27))^2/2+N(J27)*MAX(0,(A5073)-N(K27))^2/2+N(L27)*MAX(0,(A5073)-N(M27))^2/2)+$B$4507</f>
        <v>-695.31249999999989</v>
      </c>
      <c r="E5073" s="3">
        <f>$B$4505*(C5073)+$B$4506*(C5073)^2/2-$B$4504*(C5073)^3/6-(N(D27)*MAX(0,(C5073)-N(E27))^2/2+N(F27)*MAX(0,(C5073)-N(G27))^2/2+N(H27)*MAX(0,(C5073)-N(I27))^2/2+N(J27)*MAX(0,(C5073)-N(K27))^2/2+N(L27)*MAX(0,(C5073)-N(M27))^2/2)+$B$4507</f>
        <v>-695.31249999999989</v>
      </c>
    </row>
    <row r="5074" spans="1:5" hidden="1">
      <c r="A5074" s="3">
        <f t="shared" si="99"/>
        <v>0</v>
      </c>
      <c r="B5074" s="3">
        <f t="shared" si="100"/>
        <v>0</v>
      </c>
      <c r="C5074" s="3">
        <f t="shared" si="98"/>
        <v>0</v>
      </c>
      <c r="D5074" s="3">
        <f>$B$4505*(A5074)+$B$4506*(A5074)^2/2-$B$4504*(A5074)^3/6-(N(D27)*MAX(0,(A5074)-N(E27))^2/2+N(F27)*MAX(0,(A5074)-N(G27))^2/2+N(H27)*MAX(0,(A5074)-N(I27))^2/2+N(J27)*MAX(0,(A5074)-N(K27))^2/2+N(L27)*MAX(0,(A5074)-N(M27))^2/2)+$B$4507</f>
        <v>-695.31249999999989</v>
      </c>
      <c r="E5074" s="3">
        <f>$B$4505*(C5074)+$B$4506*(C5074)^2/2-$B$4504*(C5074)^3/6-(N(D27)*MAX(0,(C5074)-N(E27))^2/2+N(F27)*MAX(0,(C5074)-N(G27))^2/2+N(H27)*MAX(0,(C5074)-N(I27))^2/2+N(J27)*MAX(0,(C5074)-N(K27))^2/2+N(L27)*MAX(0,(C5074)-N(M27))^2/2)+$B$4507</f>
        <v>-695.31249999999989</v>
      </c>
    </row>
    <row r="5075" spans="1:5" hidden="1">
      <c r="A5075" s="3">
        <f t="shared" si="99"/>
        <v>0</v>
      </c>
      <c r="B5075" s="3">
        <f t="shared" si="100"/>
        <v>0</v>
      </c>
      <c r="C5075" s="3">
        <f t="shared" si="98"/>
        <v>0</v>
      </c>
      <c r="D5075" s="3">
        <f>$B$4505*(A5075)+$B$4506*(A5075)^2/2-$B$4504*(A5075)^3/6-(N(D27)*MAX(0,(A5075)-N(E27))^2/2+N(F27)*MAX(0,(A5075)-N(G27))^2/2+N(H27)*MAX(0,(A5075)-N(I27))^2/2+N(J27)*MAX(0,(A5075)-N(K27))^2/2+N(L27)*MAX(0,(A5075)-N(M27))^2/2)+$B$4507</f>
        <v>-695.31249999999989</v>
      </c>
      <c r="E5075" s="3">
        <f>$B$4505*(C5075)+$B$4506*(C5075)^2/2-$B$4504*(C5075)^3/6-(N(D27)*MAX(0,(C5075)-N(E27))^2/2+N(F27)*MAX(0,(C5075)-N(G27))^2/2+N(H27)*MAX(0,(C5075)-N(I27))^2/2+N(J27)*MAX(0,(C5075)-N(K27))^2/2+N(L27)*MAX(0,(C5075)-N(M27))^2/2)+$B$4507</f>
        <v>-695.31249999999989</v>
      </c>
    </row>
    <row r="5076" spans="1:5" hidden="1">
      <c r="A5076" s="3">
        <f t="shared" si="99"/>
        <v>0</v>
      </c>
      <c r="B5076" s="3">
        <f t="shared" si="100"/>
        <v>0</v>
      </c>
      <c r="C5076" s="3">
        <f t="shared" si="98"/>
        <v>0</v>
      </c>
      <c r="D5076" s="3">
        <f>$B$4505*(A5076)+$B$4506*(A5076)^2/2-$B$4504*(A5076)^3/6-(N(D27)*MAX(0,(A5076)-N(E27))^2/2+N(F27)*MAX(0,(A5076)-N(G27))^2/2+N(H27)*MAX(0,(A5076)-N(I27))^2/2+N(J27)*MAX(0,(A5076)-N(K27))^2/2+N(L27)*MAX(0,(A5076)-N(M27))^2/2)+$B$4507</f>
        <v>-695.31249999999989</v>
      </c>
      <c r="E5076" s="3">
        <f>$B$4505*(C5076)+$B$4506*(C5076)^2/2-$B$4504*(C5076)^3/6-(N(D27)*MAX(0,(C5076)-N(E27))^2/2+N(F27)*MAX(0,(C5076)-N(G27))^2/2+N(H27)*MAX(0,(C5076)-N(I27))^2/2+N(J27)*MAX(0,(C5076)-N(K27))^2/2+N(L27)*MAX(0,(C5076)-N(M27))^2/2)+$B$4507</f>
        <v>-695.31249999999989</v>
      </c>
    </row>
    <row r="5077" spans="1:5" hidden="1">
      <c r="A5077" s="3">
        <f t="shared" si="99"/>
        <v>0</v>
      </c>
      <c r="B5077" s="3">
        <f t="shared" si="100"/>
        <v>0</v>
      </c>
      <c r="C5077" s="3">
        <f t="shared" si="98"/>
        <v>0</v>
      </c>
      <c r="D5077" s="3">
        <f>$B$4505*(A5077)+$B$4506*(A5077)^2/2-$B$4504*(A5077)^3/6-(N(D27)*MAX(0,(A5077)-N(E27))^2/2+N(F27)*MAX(0,(A5077)-N(G27))^2/2+N(H27)*MAX(0,(A5077)-N(I27))^2/2+N(J27)*MAX(0,(A5077)-N(K27))^2/2+N(L27)*MAX(0,(A5077)-N(M27))^2/2)+$B$4507</f>
        <v>-695.31249999999989</v>
      </c>
      <c r="E5077" s="3">
        <f>$B$4505*(C5077)+$B$4506*(C5077)^2/2-$B$4504*(C5077)^3/6-(N(D27)*MAX(0,(C5077)-N(E27))^2/2+N(F27)*MAX(0,(C5077)-N(G27))^2/2+N(H27)*MAX(0,(C5077)-N(I27))^2/2+N(J27)*MAX(0,(C5077)-N(K27))^2/2+N(L27)*MAX(0,(C5077)-N(M27))^2/2)+$B$4507</f>
        <v>-695.31249999999989</v>
      </c>
    </row>
    <row r="5078" spans="1:5" hidden="1">
      <c r="A5078" s="3">
        <f t="shared" si="99"/>
        <v>0</v>
      </c>
      <c r="B5078" s="3">
        <f t="shared" si="100"/>
        <v>0</v>
      </c>
      <c r="C5078" s="3">
        <f t="shared" si="98"/>
        <v>0</v>
      </c>
      <c r="D5078" s="3">
        <f>$B$4505*(A5078)+$B$4506*(A5078)^2/2-$B$4504*(A5078)^3/6-(N(D27)*MAX(0,(A5078)-N(E27))^2/2+N(F27)*MAX(0,(A5078)-N(G27))^2/2+N(H27)*MAX(0,(A5078)-N(I27))^2/2+N(J27)*MAX(0,(A5078)-N(K27))^2/2+N(L27)*MAX(0,(A5078)-N(M27))^2/2)+$B$4507</f>
        <v>-695.31249999999989</v>
      </c>
      <c r="E5078" s="3">
        <f>$B$4505*(C5078)+$B$4506*(C5078)^2/2-$B$4504*(C5078)^3/6-(N(D27)*MAX(0,(C5078)-N(E27))^2/2+N(F27)*MAX(0,(C5078)-N(G27))^2/2+N(H27)*MAX(0,(C5078)-N(I27))^2/2+N(J27)*MAX(0,(C5078)-N(K27))^2/2+N(L27)*MAX(0,(C5078)-N(M27))^2/2)+$B$4507</f>
        <v>-695.31249999999989</v>
      </c>
    </row>
    <row r="5079" spans="1:5" hidden="1">
      <c r="A5079" s="3">
        <f t="shared" si="99"/>
        <v>0</v>
      </c>
      <c r="B5079" s="3">
        <f t="shared" si="100"/>
        <v>0</v>
      </c>
      <c r="C5079" s="3">
        <f t="shared" si="98"/>
        <v>0</v>
      </c>
      <c r="D5079" s="3">
        <f>$B$4505*(A5079)+$B$4506*(A5079)^2/2-$B$4504*(A5079)^3/6-(N(D27)*MAX(0,(A5079)-N(E27))^2/2+N(F27)*MAX(0,(A5079)-N(G27))^2/2+N(H27)*MAX(0,(A5079)-N(I27))^2/2+N(J27)*MAX(0,(A5079)-N(K27))^2/2+N(L27)*MAX(0,(A5079)-N(M27))^2/2)+$B$4507</f>
        <v>-695.31249999999989</v>
      </c>
      <c r="E5079" s="3">
        <f>$B$4505*(C5079)+$B$4506*(C5079)^2/2-$B$4504*(C5079)^3/6-(N(D27)*MAX(0,(C5079)-N(E27))^2/2+N(F27)*MAX(0,(C5079)-N(G27))^2/2+N(H27)*MAX(0,(C5079)-N(I27))^2/2+N(J27)*MAX(0,(C5079)-N(K27))^2/2+N(L27)*MAX(0,(C5079)-N(M27))^2/2)+$B$4507</f>
        <v>-695.31249999999989</v>
      </c>
    </row>
    <row r="5080" spans="1:5" hidden="1">
      <c r="A5080" s="3">
        <f t="shared" si="99"/>
        <v>0</v>
      </c>
      <c r="B5080" s="3">
        <f t="shared" si="100"/>
        <v>0</v>
      </c>
      <c r="C5080" s="3">
        <f t="shared" si="98"/>
        <v>0</v>
      </c>
      <c r="D5080" s="3">
        <f>$B$4505*(A5080)+$B$4506*(A5080)^2/2-$B$4504*(A5080)^3/6-(N(D27)*MAX(0,(A5080)-N(E27))^2/2+N(F27)*MAX(0,(A5080)-N(G27))^2/2+N(H27)*MAX(0,(A5080)-N(I27))^2/2+N(J27)*MAX(0,(A5080)-N(K27))^2/2+N(L27)*MAX(0,(A5080)-N(M27))^2/2)+$B$4507</f>
        <v>-695.31249999999989</v>
      </c>
      <c r="E5080" s="3">
        <f>$B$4505*(C5080)+$B$4506*(C5080)^2/2-$B$4504*(C5080)^3/6-(N(D27)*MAX(0,(C5080)-N(E27))^2/2+N(F27)*MAX(0,(C5080)-N(G27))^2/2+N(H27)*MAX(0,(C5080)-N(I27))^2/2+N(J27)*MAX(0,(C5080)-N(K27))^2/2+N(L27)*MAX(0,(C5080)-N(M27))^2/2)+$B$4507</f>
        <v>-695.31249999999989</v>
      </c>
    </row>
    <row r="5081" spans="1:5" hidden="1">
      <c r="A5081" s="3">
        <f t="shared" si="99"/>
        <v>0</v>
      </c>
      <c r="B5081" s="3">
        <f t="shared" si="100"/>
        <v>0</v>
      </c>
      <c r="C5081" s="3">
        <f t="shared" si="98"/>
        <v>0</v>
      </c>
      <c r="D5081" s="3">
        <f>$B$4505*(A5081)+$B$4506*(A5081)^2/2-$B$4504*(A5081)^3/6-(N(D27)*MAX(0,(A5081)-N(E27))^2/2+N(F27)*MAX(0,(A5081)-N(G27))^2/2+N(H27)*MAX(0,(A5081)-N(I27))^2/2+N(J27)*MAX(0,(A5081)-N(K27))^2/2+N(L27)*MAX(0,(A5081)-N(M27))^2/2)+$B$4507</f>
        <v>-695.31249999999989</v>
      </c>
      <c r="E5081" s="3">
        <f>$B$4505*(C5081)+$B$4506*(C5081)^2/2-$B$4504*(C5081)^3/6-(N(D27)*MAX(0,(C5081)-N(E27))^2/2+N(F27)*MAX(0,(C5081)-N(G27))^2/2+N(H27)*MAX(0,(C5081)-N(I27))^2/2+N(J27)*MAX(0,(C5081)-N(K27))^2/2+N(L27)*MAX(0,(C5081)-N(M27))^2/2)+$B$4507</f>
        <v>-695.31249999999989</v>
      </c>
    </row>
    <row r="5082" spans="1:5" hidden="1">
      <c r="A5082" s="3">
        <f t="shared" si="99"/>
        <v>0</v>
      </c>
      <c r="B5082" s="3">
        <f t="shared" si="100"/>
        <v>0</v>
      </c>
      <c r="C5082" s="3">
        <f t="shared" si="98"/>
        <v>0</v>
      </c>
      <c r="D5082" s="3">
        <f>$B$4505*(A5082)+$B$4506*(A5082)^2/2-$B$4504*(A5082)^3/6-(N(D27)*MAX(0,(A5082)-N(E27))^2/2+N(F27)*MAX(0,(A5082)-N(G27))^2/2+N(H27)*MAX(0,(A5082)-N(I27))^2/2+N(J27)*MAX(0,(A5082)-N(K27))^2/2+N(L27)*MAX(0,(A5082)-N(M27))^2/2)+$B$4507</f>
        <v>-695.31249999999989</v>
      </c>
      <c r="E5082" s="3">
        <f>$B$4505*(C5082)+$B$4506*(C5082)^2/2-$B$4504*(C5082)^3/6-(N(D27)*MAX(0,(C5082)-N(E27))^2/2+N(F27)*MAX(0,(C5082)-N(G27))^2/2+N(H27)*MAX(0,(C5082)-N(I27))^2/2+N(J27)*MAX(0,(C5082)-N(K27))^2/2+N(L27)*MAX(0,(C5082)-N(M27))^2/2)+$B$4507</f>
        <v>-695.31249999999989</v>
      </c>
    </row>
    <row r="5083" spans="1:5" hidden="1">
      <c r="A5083" s="3">
        <f t="shared" si="99"/>
        <v>0</v>
      </c>
      <c r="B5083" s="3">
        <f t="shared" si="100"/>
        <v>0</v>
      </c>
      <c r="C5083" s="3">
        <f t="shared" si="98"/>
        <v>0</v>
      </c>
      <c r="D5083" s="3">
        <f>$B$4505*(A5083)+$B$4506*(A5083)^2/2-$B$4504*(A5083)^3/6-(N(D27)*MAX(0,(A5083)-N(E27))^2/2+N(F27)*MAX(0,(A5083)-N(G27))^2/2+N(H27)*MAX(0,(A5083)-N(I27))^2/2+N(J27)*MAX(0,(A5083)-N(K27))^2/2+N(L27)*MAX(0,(A5083)-N(M27))^2/2)+$B$4507</f>
        <v>-695.31249999999989</v>
      </c>
      <c r="E5083" s="3">
        <f>$B$4505*(C5083)+$B$4506*(C5083)^2/2-$B$4504*(C5083)^3/6-(N(D27)*MAX(0,(C5083)-N(E27))^2/2+N(F27)*MAX(0,(C5083)-N(G27))^2/2+N(H27)*MAX(0,(C5083)-N(I27))^2/2+N(J27)*MAX(0,(C5083)-N(K27))^2/2+N(L27)*MAX(0,(C5083)-N(M27))^2/2)+$B$4507</f>
        <v>-695.31249999999989</v>
      </c>
    </row>
    <row r="5084" spans="1:5" hidden="1">
      <c r="A5084" s="3">
        <f t="shared" si="99"/>
        <v>0</v>
      </c>
      <c r="B5084" s="3">
        <f t="shared" si="100"/>
        <v>0</v>
      </c>
      <c r="C5084" s="3">
        <f t="shared" si="98"/>
        <v>0</v>
      </c>
      <c r="D5084" s="3">
        <f>$B$4505*(A5084)+$B$4506*(A5084)^2/2-$B$4504*(A5084)^3/6-(N(D27)*MAX(0,(A5084)-N(E27))^2/2+N(F27)*MAX(0,(A5084)-N(G27))^2/2+N(H27)*MAX(0,(A5084)-N(I27))^2/2+N(J27)*MAX(0,(A5084)-N(K27))^2/2+N(L27)*MAX(0,(A5084)-N(M27))^2/2)+$B$4507</f>
        <v>-695.31249999999989</v>
      </c>
      <c r="E5084" s="3">
        <f>$B$4505*(C5084)+$B$4506*(C5084)^2/2-$B$4504*(C5084)^3/6-(N(D27)*MAX(0,(C5084)-N(E27))^2/2+N(F27)*MAX(0,(C5084)-N(G27))^2/2+N(H27)*MAX(0,(C5084)-N(I27))^2/2+N(J27)*MAX(0,(C5084)-N(K27))^2/2+N(L27)*MAX(0,(C5084)-N(M27))^2/2)+$B$4507</f>
        <v>-695.31249999999989</v>
      </c>
    </row>
    <row r="5085" spans="1:5" hidden="1">
      <c r="A5085" s="3">
        <f t="shared" si="99"/>
        <v>0</v>
      </c>
      <c r="B5085" s="3">
        <f t="shared" si="100"/>
        <v>0</v>
      </c>
      <c r="C5085" s="3">
        <f t="shared" si="98"/>
        <v>0</v>
      </c>
      <c r="D5085" s="3">
        <f>$B$4505*(A5085)+$B$4506*(A5085)^2/2-$B$4504*(A5085)^3/6-(N(D27)*MAX(0,(A5085)-N(E27))^2/2+N(F27)*MAX(0,(A5085)-N(G27))^2/2+N(H27)*MAX(0,(A5085)-N(I27))^2/2+N(J27)*MAX(0,(A5085)-N(K27))^2/2+N(L27)*MAX(0,(A5085)-N(M27))^2/2)+$B$4507</f>
        <v>-695.31249999999989</v>
      </c>
      <c r="E5085" s="3">
        <f>$B$4505*(C5085)+$B$4506*(C5085)^2/2-$B$4504*(C5085)^3/6-(N(D27)*MAX(0,(C5085)-N(E27))^2/2+N(F27)*MAX(0,(C5085)-N(G27))^2/2+N(H27)*MAX(0,(C5085)-N(I27))^2/2+N(J27)*MAX(0,(C5085)-N(K27))^2/2+N(L27)*MAX(0,(C5085)-N(M27))^2/2)+$B$4507</f>
        <v>-695.31249999999989</v>
      </c>
    </row>
    <row r="5086" spans="1:5" hidden="1">
      <c r="A5086" s="3">
        <f t="shared" si="99"/>
        <v>0</v>
      </c>
      <c r="B5086" s="3">
        <f t="shared" si="100"/>
        <v>0</v>
      </c>
      <c r="C5086" s="3">
        <f t="shared" si="98"/>
        <v>0</v>
      </c>
      <c r="D5086" s="3">
        <f>$B$4505*(A5086)+$B$4506*(A5086)^2/2-$B$4504*(A5086)^3/6-(N(D27)*MAX(0,(A5086)-N(E27))^2/2+N(F27)*MAX(0,(A5086)-N(G27))^2/2+N(H27)*MAX(0,(A5086)-N(I27))^2/2+N(J27)*MAX(0,(A5086)-N(K27))^2/2+N(L27)*MAX(0,(A5086)-N(M27))^2/2)+$B$4507</f>
        <v>-695.31249999999989</v>
      </c>
      <c r="E5086" s="3">
        <f>$B$4505*(C5086)+$B$4506*(C5086)^2/2-$B$4504*(C5086)^3/6-(N(D27)*MAX(0,(C5086)-N(E27))^2/2+N(F27)*MAX(0,(C5086)-N(G27))^2/2+N(H27)*MAX(0,(C5086)-N(I27))^2/2+N(J27)*MAX(0,(C5086)-N(K27))^2/2+N(L27)*MAX(0,(C5086)-N(M27))^2/2)+$B$4507</f>
        <v>-695.31249999999989</v>
      </c>
    </row>
    <row r="5087" spans="1:5" hidden="1">
      <c r="A5087" s="3">
        <f t="shared" si="99"/>
        <v>0</v>
      </c>
      <c r="B5087" s="3">
        <f t="shared" si="100"/>
        <v>0</v>
      </c>
      <c r="C5087" s="3">
        <f t="shared" si="98"/>
        <v>0</v>
      </c>
      <c r="D5087" s="3">
        <f>$B$4505*(A5087)+$B$4506*(A5087)^2/2-$B$4504*(A5087)^3/6-(N(D27)*MAX(0,(A5087)-N(E27))^2/2+N(F27)*MAX(0,(A5087)-N(G27))^2/2+N(H27)*MAX(0,(A5087)-N(I27))^2/2+N(J27)*MAX(0,(A5087)-N(K27))^2/2+N(L27)*MAX(0,(A5087)-N(M27))^2/2)+$B$4507</f>
        <v>-695.31249999999989</v>
      </c>
      <c r="E5087" s="3">
        <f>$B$4505*(C5087)+$B$4506*(C5087)^2/2-$B$4504*(C5087)^3/6-(N(D27)*MAX(0,(C5087)-N(E27))^2/2+N(F27)*MAX(0,(C5087)-N(G27))^2/2+N(H27)*MAX(0,(C5087)-N(I27))^2/2+N(J27)*MAX(0,(C5087)-N(K27))^2/2+N(L27)*MAX(0,(C5087)-N(M27))^2/2)+$B$4507</f>
        <v>-695.31249999999989</v>
      </c>
    </row>
    <row r="5088" spans="1:5" hidden="1">
      <c r="A5088" s="3">
        <f t="shared" si="99"/>
        <v>0</v>
      </c>
      <c r="B5088" s="3">
        <f t="shared" si="100"/>
        <v>0</v>
      </c>
      <c r="C5088" s="3">
        <f t="shared" si="98"/>
        <v>0</v>
      </c>
      <c r="D5088" s="3">
        <f>$B$4505*(A5088)+$B$4506*(A5088)^2/2-$B$4504*(A5088)^3/6-(N(D27)*MAX(0,(A5088)-N(E27))^2/2+N(F27)*MAX(0,(A5088)-N(G27))^2/2+N(H27)*MAX(0,(A5088)-N(I27))^2/2+N(J27)*MAX(0,(A5088)-N(K27))^2/2+N(L27)*MAX(0,(A5088)-N(M27))^2/2)+$B$4507</f>
        <v>-695.31249999999989</v>
      </c>
      <c r="E5088" s="3">
        <f>$B$4505*(C5088)+$B$4506*(C5088)^2/2-$B$4504*(C5088)^3/6-(N(D27)*MAX(0,(C5088)-N(E27))^2/2+N(F27)*MAX(0,(C5088)-N(G27))^2/2+N(H27)*MAX(0,(C5088)-N(I27))^2/2+N(J27)*MAX(0,(C5088)-N(K27))^2/2+N(L27)*MAX(0,(C5088)-N(M27))^2/2)+$B$4507</f>
        <v>-695.31249999999989</v>
      </c>
    </row>
    <row r="5089" spans="1:5" hidden="1">
      <c r="A5089" s="3">
        <f t="shared" si="99"/>
        <v>0</v>
      </c>
      <c r="B5089" s="3">
        <f t="shared" si="100"/>
        <v>0</v>
      </c>
      <c r="C5089" s="3">
        <f t="shared" si="98"/>
        <v>0</v>
      </c>
      <c r="D5089" s="3">
        <f>$B$4505*(A5089)+$B$4506*(A5089)^2/2-$B$4504*(A5089)^3/6-(N(D27)*MAX(0,(A5089)-N(E27))^2/2+N(F27)*MAX(0,(A5089)-N(G27))^2/2+N(H27)*MAX(0,(A5089)-N(I27))^2/2+N(J27)*MAX(0,(A5089)-N(K27))^2/2+N(L27)*MAX(0,(A5089)-N(M27))^2/2)+$B$4507</f>
        <v>-695.31249999999989</v>
      </c>
      <c r="E5089" s="3">
        <f>$B$4505*(C5089)+$B$4506*(C5089)^2/2-$B$4504*(C5089)^3/6-(N(D27)*MAX(0,(C5089)-N(E27))^2/2+N(F27)*MAX(0,(C5089)-N(G27))^2/2+N(H27)*MAX(0,(C5089)-N(I27))^2/2+N(J27)*MAX(0,(C5089)-N(K27))^2/2+N(L27)*MAX(0,(C5089)-N(M27))^2/2)+$B$4507</f>
        <v>-695.31249999999989</v>
      </c>
    </row>
    <row r="5090" spans="1:5" hidden="1">
      <c r="A5090" s="3">
        <f t="shared" si="99"/>
        <v>0</v>
      </c>
      <c r="B5090" s="3">
        <f t="shared" si="100"/>
        <v>0</v>
      </c>
      <c r="C5090" s="3">
        <f t="shared" si="98"/>
        <v>0</v>
      </c>
      <c r="D5090" s="3">
        <f>$B$4505*(A5090)+$B$4506*(A5090)^2/2-$B$4504*(A5090)^3/6-(N(D27)*MAX(0,(A5090)-N(E27))^2/2+N(F27)*MAX(0,(A5090)-N(G27))^2/2+N(H27)*MAX(0,(A5090)-N(I27))^2/2+N(J27)*MAX(0,(A5090)-N(K27))^2/2+N(L27)*MAX(0,(A5090)-N(M27))^2/2)+$B$4507</f>
        <v>-695.31249999999989</v>
      </c>
      <c r="E5090" s="3">
        <f>$B$4505*(C5090)+$B$4506*(C5090)^2/2-$B$4504*(C5090)^3/6-(N(D27)*MAX(0,(C5090)-N(E27))^2/2+N(F27)*MAX(0,(C5090)-N(G27))^2/2+N(H27)*MAX(0,(C5090)-N(I27))^2/2+N(J27)*MAX(0,(C5090)-N(K27))^2/2+N(L27)*MAX(0,(C5090)-N(M27))^2/2)+$B$4507</f>
        <v>-695.31249999999989</v>
      </c>
    </row>
    <row r="5091" spans="1:5" hidden="1">
      <c r="A5091" s="3">
        <f t="shared" si="99"/>
        <v>0</v>
      </c>
      <c r="B5091" s="3">
        <f t="shared" si="100"/>
        <v>0</v>
      </c>
      <c r="C5091" s="3">
        <f t="shared" si="98"/>
        <v>0</v>
      </c>
      <c r="D5091" s="3">
        <f>$B$4505*(A5091)+$B$4506*(A5091)^2/2-$B$4504*(A5091)^3/6-(N(D27)*MAX(0,(A5091)-N(E27))^2/2+N(F27)*MAX(0,(A5091)-N(G27))^2/2+N(H27)*MAX(0,(A5091)-N(I27))^2/2+N(J27)*MAX(0,(A5091)-N(K27))^2/2+N(L27)*MAX(0,(A5091)-N(M27))^2/2)+$B$4507</f>
        <v>-695.31249999999989</v>
      </c>
      <c r="E5091" s="3">
        <f>$B$4505*(C5091)+$B$4506*(C5091)^2/2-$B$4504*(C5091)^3/6-(N(D27)*MAX(0,(C5091)-N(E27))^2/2+N(F27)*MAX(0,(C5091)-N(G27))^2/2+N(H27)*MAX(0,(C5091)-N(I27))^2/2+N(J27)*MAX(0,(C5091)-N(K27))^2/2+N(L27)*MAX(0,(C5091)-N(M27))^2/2)+$B$4507</f>
        <v>-695.31249999999989</v>
      </c>
    </row>
    <row r="5092" spans="1:5" hidden="1">
      <c r="A5092" s="3">
        <f t="shared" si="99"/>
        <v>0</v>
      </c>
      <c r="B5092" s="3">
        <f t="shared" si="100"/>
        <v>0</v>
      </c>
      <c r="C5092" s="3">
        <f t="shared" si="98"/>
        <v>0</v>
      </c>
      <c r="D5092" s="3">
        <f>$B$4505*(A5092)+$B$4506*(A5092)^2/2-$B$4504*(A5092)^3/6-(N(D27)*MAX(0,(A5092)-N(E27))^2/2+N(F27)*MAX(0,(A5092)-N(G27))^2/2+N(H27)*MAX(0,(A5092)-N(I27))^2/2+N(J27)*MAX(0,(A5092)-N(K27))^2/2+N(L27)*MAX(0,(A5092)-N(M27))^2/2)+$B$4507</f>
        <v>-695.31249999999989</v>
      </c>
      <c r="E5092" s="3">
        <f>$B$4505*(C5092)+$B$4506*(C5092)^2/2-$B$4504*(C5092)^3/6-(N(D27)*MAX(0,(C5092)-N(E27))^2/2+N(F27)*MAX(0,(C5092)-N(G27))^2/2+N(H27)*MAX(0,(C5092)-N(I27))^2/2+N(J27)*MAX(0,(C5092)-N(K27))^2/2+N(L27)*MAX(0,(C5092)-N(M27))^2/2)+$B$4507</f>
        <v>-695.31249999999989</v>
      </c>
    </row>
    <row r="5093" spans="1:5" hidden="1">
      <c r="A5093" s="3">
        <f t="shared" si="99"/>
        <v>0</v>
      </c>
      <c r="B5093" s="3">
        <f t="shared" si="100"/>
        <v>0</v>
      </c>
      <c r="C5093" s="3">
        <f t="shared" si="98"/>
        <v>0</v>
      </c>
      <c r="D5093" s="3">
        <f>$B$4505*(A5093)+$B$4506*(A5093)^2/2-$B$4504*(A5093)^3/6-(N(D27)*MAX(0,(A5093)-N(E27))^2/2+N(F27)*MAX(0,(A5093)-N(G27))^2/2+N(H27)*MAX(0,(A5093)-N(I27))^2/2+N(J27)*MAX(0,(A5093)-N(K27))^2/2+N(L27)*MAX(0,(A5093)-N(M27))^2/2)+$B$4507</f>
        <v>-695.31249999999989</v>
      </c>
      <c r="E5093" s="3">
        <f>$B$4505*(C5093)+$B$4506*(C5093)^2/2-$B$4504*(C5093)^3/6-(N(D27)*MAX(0,(C5093)-N(E27))^2/2+N(F27)*MAX(0,(C5093)-N(G27))^2/2+N(H27)*MAX(0,(C5093)-N(I27))^2/2+N(J27)*MAX(0,(C5093)-N(K27))^2/2+N(L27)*MAX(0,(C5093)-N(M27))^2/2)+$B$4507</f>
        <v>-695.31249999999989</v>
      </c>
    </row>
    <row r="5094" spans="1:5" hidden="1">
      <c r="A5094" s="3">
        <f t="shared" si="99"/>
        <v>0</v>
      </c>
      <c r="B5094" s="3">
        <f t="shared" si="100"/>
        <v>0</v>
      </c>
      <c r="C5094" s="3">
        <f t="shared" si="98"/>
        <v>0</v>
      </c>
      <c r="D5094" s="3">
        <f>$B$4505*(A5094)+$B$4506*(A5094)^2/2-$B$4504*(A5094)^3/6-(N(D27)*MAX(0,(A5094)-N(E27))^2/2+N(F27)*MAX(0,(A5094)-N(G27))^2/2+N(H27)*MAX(0,(A5094)-N(I27))^2/2+N(J27)*MAX(0,(A5094)-N(K27))^2/2+N(L27)*MAX(0,(A5094)-N(M27))^2/2)+$B$4507</f>
        <v>-695.31249999999989</v>
      </c>
      <c r="E5094" s="3">
        <f>$B$4505*(C5094)+$B$4506*(C5094)^2/2-$B$4504*(C5094)^3/6-(N(D27)*MAX(0,(C5094)-N(E27))^2/2+N(F27)*MAX(0,(C5094)-N(G27))^2/2+N(H27)*MAX(0,(C5094)-N(I27))^2/2+N(J27)*MAX(0,(C5094)-N(K27))^2/2+N(L27)*MAX(0,(C5094)-N(M27))^2/2)+$B$4507</f>
        <v>-695.31249999999989</v>
      </c>
    </row>
    <row r="5095" spans="1:5" hidden="1">
      <c r="A5095" s="3">
        <f t="shared" si="99"/>
        <v>0</v>
      </c>
      <c r="B5095" s="3">
        <f t="shared" si="100"/>
        <v>0</v>
      </c>
      <c r="C5095" s="3">
        <f t="shared" si="98"/>
        <v>0</v>
      </c>
      <c r="D5095" s="3">
        <f>$B$4505*(A5095)+$B$4506*(A5095)^2/2-$B$4504*(A5095)^3/6-(N(D27)*MAX(0,(A5095)-N(E27))^2/2+N(F27)*MAX(0,(A5095)-N(G27))^2/2+N(H27)*MAX(0,(A5095)-N(I27))^2/2+N(J27)*MAX(0,(A5095)-N(K27))^2/2+N(L27)*MAX(0,(A5095)-N(M27))^2/2)+$B$4507</f>
        <v>-695.31249999999989</v>
      </c>
      <c r="E5095" s="3">
        <f>$B$4505*(C5095)+$B$4506*(C5095)^2/2-$B$4504*(C5095)^3/6-(N(D27)*MAX(0,(C5095)-N(E27))^2/2+N(F27)*MAX(0,(C5095)-N(G27))^2/2+N(H27)*MAX(0,(C5095)-N(I27))^2/2+N(J27)*MAX(0,(C5095)-N(K27))^2/2+N(L27)*MAX(0,(C5095)-N(M27))^2/2)+$B$4507</f>
        <v>-695.31249999999989</v>
      </c>
    </row>
    <row r="5096" spans="1:5" hidden="1">
      <c r="A5096" s="3">
        <f t="shared" si="99"/>
        <v>0</v>
      </c>
      <c r="B5096" s="3">
        <f t="shared" si="100"/>
        <v>0</v>
      </c>
      <c r="C5096" s="3">
        <f t="shared" si="98"/>
        <v>0</v>
      </c>
      <c r="D5096" s="3">
        <f>$B$4505*(A5096)+$B$4506*(A5096)^2/2-$B$4504*(A5096)^3/6-(N(D27)*MAX(0,(A5096)-N(E27))^2/2+N(F27)*MAX(0,(A5096)-N(G27))^2/2+N(H27)*MAX(0,(A5096)-N(I27))^2/2+N(J27)*MAX(0,(A5096)-N(K27))^2/2+N(L27)*MAX(0,(A5096)-N(M27))^2/2)+$B$4507</f>
        <v>-695.31249999999989</v>
      </c>
      <c r="E5096" s="3">
        <f>$B$4505*(C5096)+$B$4506*(C5096)^2/2-$B$4504*(C5096)^3/6-(N(D27)*MAX(0,(C5096)-N(E27))^2/2+N(F27)*MAX(0,(C5096)-N(G27))^2/2+N(H27)*MAX(0,(C5096)-N(I27))^2/2+N(J27)*MAX(0,(C5096)-N(K27))^2/2+N(L27)*MAX(0,(C5096)-N(M27))^2/2)+$B$4507</f>
        <v>-695.31249999999989</v>
      </c>
    </row>
    <row r="5097" spans="1:5" hidden="1">
      <c r="A5097" s="3">
        <f t="shared" si="99"/>
        <v>0</v>
      </c>
      <c r="B5097" s="3">
        <f t="shared" si="100"/>
        <v>0</v>
      </c>
      <c r="C5097" s="3">
        <f t="shared" si="98"/>
        <v>0</v>
      </c>
      <c r="D5097" s="3">
        <f>$B$4505*(A5097)+$B$4506*(A5097)^2/2-$B$4504*(A5097)^3/6-(N(D27)*MAX(0,(A5097)-N(E27))^2/2+N(F27)*MAX(0,(A5097)-N(G27))^2/2+N(H27)*MAX(0,(A5097)-N(I27))^2/2+N(J27)*MAX(0,(A5097)-N(K27))^2/2+N(L27)*MAX(0,(A5097)-N(M27))^2/2)+$B$4507</f>
        <v>-695.31249999999989</v>
      </c>
      <c r="E5097" s="3">
        <f>$B$4505*(C5097)+$B$4506*(C5097)^2/2-$B$4504*(C5097)^3/6-(N(D27)*MAX(0,(C5097)-N(E27))^2/2+N(F27)*MAX(0,(C5097)-N(G27))^2/2+N(H27)*MAX(0,(C5097)-N(I27))^2/2+N(J27)*MAX(0,(C5097)-N(K27))^2/2+N(L27)*MAX(0,(C5097)-N(M27))^2/2)+$B$4507</f>
        <v>-695.31249999999989</v>
      </c>
    </row>
    <row r="5098" spans="1:5" hidden="1">
      <c r="A5098" s="3">
        <f t="shared" si="99"/>
        <v>0</v>
      </c>
      <c r="B5098" s="3">
        <f t="shared" si="100"/>
        <v>0</v>
      </c>
      <c r="C5098" s="3">
        <f t="shared" si="98"/>
        <v>0</v>
      </c>
      <c r="D5098" s="3">
        <f>$B$4505*(A5098)+$B$4506*(A5098)^2/2-$B$4504*(A5098)^3/6-(N(D27)*MAX(0,(A5098)-N(E27))^2/2+N(F27)*MAX(0,(A5098)-N(G27))^2/2+N(H27)*MAX(0,(A5098)-N(I27))^2/2+N(J27)*MAX(0,(A5098)-N(K27))^2/2+N(L27)*MAX(0,(A5098)-N(M27))^2/2)+$B$4507</f>
        <v>-695.31249999999989</v>
      </c>
      <c r="E5098" s="3">
        <f>$B$4505*(C5098)+$B$4506*(C5098)^2/2-$B$4504*(C5098)^3/6-(N(D27)*MAX(0,(C5098)-N(E27))^2/2+N(F27)*MAX(0,(C5098)-N(G27))^2/2+N(H27)*MAX(0,(C5098)-N(I27))^2/2+N(J27)*MAX(0,(C5098)-N(K27))^2/2+N(L27)*MAX(0,(C5098)-N(M27))^2/2)+$B$4507</f>
        <v>-695.31249999999989</v>
      </c>
    </row>
    <row r="5099" spans="1:5" hidden="1">
      <c r="A5099" s="3">
        <f t="shared" si="99"/>
        <v>0</v>
      </c>
      <c r="B5099" s="3">
        <f t="shared" si="100"/>
        <v>0</v>
      </c>
      <c r="C5099" s="3">
        <f t="shared" si="98"/>
        <v>0</v>
      </c>
      <c r="D5099" s="3">
        <f>$B$4505*(A5099)+$B$4506*(A5099)^2/2-$B$4504*(A5099)^3/6-(N(D27)*MAX(0,(A5099)-N(E27))^2/2+N(F27)*MAX(0,(A5099)-N(G27))^2/2+N(H27)*MAX(0,(A5099)-N(I27))^2/2+N(J27)*MAX(0,(A5099)-N(K27))^2/2+N(L27)*MAX(0,(A5099)-N(M27))^2/2)+$B$4507</f>
        <v>-695.31249999999989</v>
      </c>
      <c r="E5099" s="3">
        <f>$B$4505*(C5099)+$B$4506*(C5099)^2/2-$B$4504*(C5099)^3/6-(N(D27)*MAX(0,(C5099)-N(E27))^2/2+N(F27)*MAX(0,(C5099)-N(G27))^2/2+N(H27)*MAX(0,(C5099)-N(I27))^2/2+N(J27)*MAX(0,(C5099)-N(K27))^2/2+N(L27)*MAX(0,(C5099)-N(M27))^2/2)+$B$4507</f>
        <v>-695.31249999999989</v>
      </c>
    </row>
    <row r="5100" spans="1:5" hidden="1">
      <c r="A5100" s="3">
        <f t="shared" si="99"/>
        <v>0</v>
      </c>
      <c r="B5100" s="3">
        <f t="shared" si="100"/>
        <v>0</v>
      </c>
      <c r="C5100" s="3">
        <f t="shared" si="98"/>
        <v>0</v>
      </c>
      <c r="D5100" s="3">
        <f>$B$4505*(A5100)+$B$4506*(A5100)^2/2-$B$4504*(A5100)^3/6-(N(D27)*MAX(0,(A5100)-N(E27))^2/2+N(F27)*MAX(0,(A5100)-N(G27))^2/2+N(H27)*MAX(0,(A5100)-N(I27))^2/2+N(J27)*MAX(0,(A5100)-N(K27))^2/2+N(L27)*MAX(0,(A5100)-N(M27))^2/2)+$B$4507</f>
        <v>-695.31249999999989</v>
      </c>
      <c r="E5100" s="3">
        <f>$B$4505*(C5100)+$B$4506*(C5100)^2/2-$B$4504*(C5100)^3/6-(N(D27)*MAX(0,(C5100)-N(E27))^2/2+N(F27)*MAX(0,(C5100)-N(G27))^2/2+N(H27)*MAX(0,(C5100)-N(I27))^2/2+N(J27)*MAX(0,(C5100)-N(K27))^2/2+N(L27)*MAX(0,(C5100)-N(M27))^2/2)+$B$4507</f>
        <v>-695.31249999999989</v>
      </c>
    </row>
    <row r="5101" spans="1:5" hidden="1">
      <c r="A5101" s="3">
        <f t="shared" si="99"/>
        <v>0</v>
      </c>
      <c r="B5101" s="3">
        <f t="shared" si="100"/>
        <v>0</v>
      </c>
      <c r="C5101" s="3">
        <f t="shared" si="98"/>
        <v>0</v>
      </c>
      <c r="D5101" s="3">
        <f>$B$4505*(A5101)+$B$4506*(A5101)^2/2-$B$4504*(A5101)^3/6-(N(D27)*MAX(0,(A5101)-N(E27))^2/2+N(F27)*MAX(0,(A5101)-N(G27))^2/2+N(H27)*MAX(0,(A5101)-N(I27))^2/2+N(J27)*MAX(0,(A5101)-N(K27))^2/2+N(L27)*MAX(0,(A5101)-N(M27))^2/2)+$B$4507</f>
        <v>-695.31249999999989</v>
      </c>
      <c r="E5101" s="3">
        <f>$B$4505*(C5101)+$B$4506*(C5101)^2/2-$B$4504*(C5101)^3/6-(N(D27)*MAX(0,(C5101)-N(E27))^2/2+N(F27)*MAX(0,(C5101)-N(G27))^2/2+N(H27)*MAX(0,(C5101)-N(I27))^2/2+N(J27)*MAX(0,(C5101)-N(K27))^2/2+N(L27)*MAX(0,(C5101)-N(M27))^2/2)+$B$4507</f>
        <v>-695.31249999999989</v>
      </c>
    </row>
    <row r="5102" spans="1:5" hidden="1">
      <c r="A5102" s="3">
        <f t="shared" si="99"/>
        <v>0</v>
      </c>
      <c r="B5102" s="3">
        <f t="shared" si="100"/>
        <v>0</v>
      </c>
      <c r="C5102" s="3">
        <f t="shared" si="98"/>
        <v>0</v>
      </c>
      <c r="D5102" s="3">
        <f>$B$4505*(A5102)+$B$4506*(A5102)^2/2-$B$4504*(A5102)^3/6-(N(D27)*MAX(0,(A5102)-N(E27))^2/2+N(F27)*MAX(0,(A5102)-N(G27))^2/2+N(H27)*MAX(0,(A5102)-N(I27))^2/2+N(J27)*MAX(0,(A5102)-N(K27))^2/2+N(L27)*MAX(0,(A5102)-N(M27))^2/2)+$B$4507</f>
        <v>-695.31249999999989</v>
      </c>
      <c r="E5102" s="3">
        <f>$B$4505*(C5102)+$B$4506*(C5102)^2/2-$B$4504*(C5102)^3/6-(N(D27)*MAX(0,(C5102)-N(E27))^2/2+N(F27)*MAX(0,(C5102)-N(G27))^2/2+N(H27)*MAX(0,(C5102)-N(I27))^2/2+N(J27)*MAX(0,(C5102)-N(K27))^2/2+N(L27)*MAX(0,(C5102)-N(M27))^2/2)+$B$4507</f>
        <v>-695.31249999999989</v>
      </c>
    </row>
    <row r="5103" spans="1:5" hidden="1">
      <c r="A5103" s="3">
        <f t="shared" si="99"/>
        <v>0</v>
      </c>
      <c r="B5103" s="3">
        <f t="shared" si="100"/>
        <v>0</v>
      </c>
      <c r="C5103" s="3">
        <f t="shared" si="98"/>
        <v>0</v>
      </c>
      <c r="D5103" s="3">
        <f>$B$4505*(A5103)+$B$4506*(A5103)^2/2-$B$4504*(A5103)^3/6-(N(D27)*MAX(0,(A5103)-N(E27))^2/2+N(F27)*MAX(0,(A5103)-N(G27))^2/2+N(H27)*MAX(0,(A5103)-N(I27))^2/2+N(J27)*MAX(0,(A5103)-N(K27))^2/2+N(L27)*MAX(0,(A5103)-N(M27))^2/2)+$B$4507</f>
        <v>-695.31249999999989</v>
      </c>
      <c r="E5103" s="3">
        <f>$B$4505*(C5103)+$B$4506*(C5103)^2/2-$B$4504*(C5103)^3/6-(N(D27)*MAX(0,(C5103)-N(E27))^2/2+N(F27)*MAX(0,(C5103)-N(G27))^2/2+N(H27)*MAX(0,(C5103)-N(I27))^2/2+N(J27)*MAX(0,(C5103)-N(K27))^2/2+N(L27)*MAX(0,(C5103)-N(M27))^2/2)+$B$4507</f>
        <v>-695.31249999999989</v>
      </c>
    </row>
    <row r="5104" spans="1:5" hidden="1">
      <c r="A5104" s="3">
        <f t="shared" si="99"/>
        <v>0</v>
      </c>
      <c r="B5104" s="3">
        <f t="shared" si="100"/>
        <v>0</v>
      </c>
      <c r="C5104" s="3">
        <f t="shared" si="98"/>
        <v>0</v>
      </c>
      <c r="D5104" s="3">
        <f>$B$4505*(A5104)+$B$4506*(A5104)^2/2-$B$4504*(A5104)^3/6-(N(D27)*MAX(0,(A5104)-N(E27))^2/2+N(F27)*MAX(0,(A5104)-N(G27))^2/2+N(H27)*MAX(0,(A5104)-N(I27))^2/2+N(J27)*MAX(0,(A5104)-N(K27))^2/2+N(L27)*MAX(0,(A5104)-N(M27))^2/2)+$B$4507</f>
        <v>-695.31249999999989</v>
      </c>
      <c r="E5104" s="3">
        <f>$B$4505*(C5104)+$B$4506*(C5104)^2/2-$B$4504*(C5104)^3/6-(N(D27)*MAX(0,(C5104)-N(E27))^2/2+N(F27)*MAX(0,(C5104)-N(G27))^2/2+N(H27)*MAX(0,(C5104)-N(I27))^2/2+N(J27)*MAX(0,(C5104)-N(K27))^2/2+N(L27)*MAX(0,(C5104)-N(M27))^2/2)+$B$4507</f>
        <v>-695.31249999999989</v>
      </c>
    </row>
    <row r="5105" spans="1:5" hidden="1">
      <c r="A5105" s="3">
        <f t="shared" si="99"/>
        <v>0</v>
      </c>
      <c r="B5105" s="3">
        <f t="shared" si="100"/>
        <v>0</v>
      </c>
      <c r="C5105" s="3">
        <f t="shared" si="98"/>
        <v>0</v>
      </c>
      <c r="D5105" s="3">
        <f>$B$4505*(A5105)+$B$4506*(A5105)^2/2-$B$4504*(A5105)^3/6-(N(D27)*MAX(0,(A5105)-N(E27))^2/2+N(F27)*MAX(0,(A5105)-N(G27))^2/2+N(H27)*MAX(0,(A5105)-N(I27))^2/2+N(J27)*MAX(0,(A5105)-N(K27))^2/2+N(L27)*MAX(0,(A5105)-N(M27))^2/2)+$B$4507</f>
        <v>-695.31249999999989</v>
      </c>
      <c r="E5105" s="3">
        <f>$B$4505*(C5105)+$B$4506*(C5105)^2/2-$B$4504*(C5105)^3/6-(N(D27)*MAX(0,(C5105)-N(E27))^2/2+N(F27)*MAX(0,(C5105)-N(G27))^2/2+N(H27)*MAX(0,(C5105)-N(I27))^2/2+N(J27)*MAX(0,(C5105)-N(K27))^2/2+N(L27)*MAX(0,(C5105)-N(M27))^2/2)+$B$4507</f>
        <v>-695.31249999999989</v>
      </c>
    </row>
    <row r="5106" spans="1:5" hidden="1"/>
    <row r="5107" spans="1:5" hidden="1">
      <c r="A5107" s="3">
        <f>B4552</f>
        <v>0</v>
      </c>
      <c r="B5107" s="3">
        <f>IF(($B$4505*(B4552)+$B$4506*(B4552)^2/2-$B$4504*(B4552)^3/6-(N(D27)*MAX(0,(B4552)-N(E27))^2/2+N(F27)*MAX(0,(B4552)-N(G27))^2/2+N(H27)*MAX(0,(B4552)-N(I27))^2/2+N(J27)*MAX(0,(B4552)-N(K27))^2/2+N(L27)*MAX(0,(B4552)-N(M27))^2/2)+$B$4507)*($B$4505*(B4553)+$B$4506*(B4553)^2/2-$B$4504*(B4553)^3/6-(N(D27)*MAX(0,(B4553)-N(E27))^2/2+N(F27)*MAX(0,(B4553)-N(G27))^2/2+N(H27)*MAX(0,(B4553)-N(I27))^2/2+N(J27)*MAX(0,(B4553)-N(K27))^2/2+N(L27)*MAX(0,(B4553)-N(M27))^2/2)+$B$4507)&lt;=0,B4553,B4552)</f>
        <v>0</v>
      </c>
      <c r="C5107" s="3">
        <f t="shared" ref="C5107:C5151" si="101">(A5107+B5107)/2</f>
        <v>0</v>
      </c>
      <c r="D5107" s="3">
        <f>$B$4505*(A5107)+$B$4506*(A5107)^2/2-$B$4504*(A5107)^3/6-(N(D27)*MAX(0,(A5107)-N(E27))^2/2+N(F27)*MAX(0,(A5107)-N(G27))^2/2+N(H27)*MAX(0,(A5107)-N(I27))^2/2+N(J27)*MAX(0,(A5107)-N(K27))^2/2+N(L27)*MAX(0,(A5107)-N(M27))^2/2)+$B$4507</f>
        <v>-695.31249999999989</v>
      </c>
      <c r="E5107" s="3">
        <f>$B$4505*(C5107)+$B$4506*(C5107)^2/2-$B$4504*(C5107)^3/6-(N(D27)*MAX(0,(C5107)-N(E27))^2/2+N(F27)*MAX(0,(C5107)-N(G27))^2/2+N(H27)*MAX(0,(C5107)-N(I27))^2/2+N(J27)*MAX(0,(C5107)-N(K27))^2/2+N(L27)*MAX(0,(C5107)-N(M27))^2/2)+$B$4507</f>
        <v>-695.31249999999989</v>
      </c>
    </row>
    <row r="5108" spans="1:5" hidden="1">
      <c r="A5108" s="3">
        <f t="shared" ref="A5108:A5151" si="102">IF(D5107*E5107&lt;=0,A5107,C5107)</f>
        <v>0</v>
      </c>
      <c r="B5108" s="3">
        <f t="shared" ref="B5108:B5151" si="103">IF(D5107*E5107&lt;=0,C5107,B5107)</f>
        <v>0</v>
      </c>
      <c r="C5108" s="3">
        <f t="shared" si="101"/>
        <v>0</v>
      </c>
      <c r="D5108" s="3">
        <f>$B$4505*(A5108)+$B$4506*(A5108)^2/2-$B$4504*(A5108)^3/6-(N(D27)*MAX(0,(A5108)-N(E27))^2/2+N(F27)*MAX(0,(A5108)-N(G27))^2/2+N(H27)*MAX(0,(A5108)-N(I27))^2/2+N(J27)*MAX(0,(A5108)-N(K27))^2/2+N(L27)*MAX(0,(A5108)-N(M27))^2/2)+$B$4507</f>
        <v>-695.31249999999989</v>
      </c>
      <c r="E5108" s="3">
        <f>$B$4505*(C5108)+$B$4506*(C5108)^2/2-$B$4504*(C5108)^3/6-(N(D27)*MAX(0,(C5108)-N(E27))^2/2+N(F27)*MAX(0,(C5108)-N(G27))^2/2+N(H27)*MAX(0,(C5108)-N(I27))^2/2+N(J27)*MAX(0,(C5108)-N(K27))^2/2+N(L27)*MAX(0,(C5108)-N(M27))^2/2)+$B$4507</f>
        <v>-695.31249999999989</v>
      </c>
    </row>
    <row r="5109" spans="1:5" hidden="1">
      <c r="A5109" s="3">
        <f t="shared" si="102"/>
        <v>0</v>
      </c>
      <c r="B5109" s="3">
        <f t="shared" si="103"/>
        <v>0</v>
      </c>
      <c r="C5109" s="3">
        <f t="shared" si="101"/>
        <v>0</v>
      </c>
      <c r="D5109" s="3">
        <f>$B$4505*(A5109)+$B$4506*(A5109)^2/2-$B$4504*(A5109)^3/6-(N(D27)*MAX(0,(A5109)-N(E27))^2/2+N(F27)*MAX(0,(A5109)-N(G27))^2/2+N(H27)*MAX(0,(A5109)-N(I27))^2/2+N(J27)*MAX(0,(A5109)-N(K27))^2/2+N(L27)*MAX(0,(A5109)-N(M27))^2/2)+$B$4507</f>
        <v>-695.31249999999989</v>
      </c>
      <c r="E5109" s="3">
        <f>$B$4505*(C5109)+$B$4506*(C5109)^2/2-$B$4504*(C5109)^3/6-(N(D27)*MAX(0,(C5109)-N(E27))^2/2+N(F27)*MAX(0,(C5109)-N(G27))^2/2+N(H27)*MAX(0,(C5109)-N(I27))^2/2+N(J27)*MAX(0,(C5109)-N(K27))^2/2+N(L27)*MAX(0,(C5109)-N(M27))^2/2)+$B$4507</f>
        <v>-695.31249999999989</v>
      </c>
    </row>
    <row r="5110" spans="1:5" hidden="1">
      <c r="A5110" s="3">
        <f t="shared" si="102"/>
        <v>0</v>
      </c>
      <c r="B5110" s="3">
        <f t="shared" si="103"/>
        <v>0</v>
      </c>
      <c r="C5110" s="3">
        <f t="shared" si="101"/>
        <v>0</v>
      </c>
      <c r="D5110" s="3">
        <f>$B$4505*(A5110)+$B$4506*(A5110)^2/2-$B$4504*(A5110)^3/6-(N(D27)*MAX(0,(A5110)-N(E27))^2/2+N(F27)*MAX(0,(A5110)-N(G27))^2/2+N(H27)*MAX(0,(A5110)-N(I27))^2/2+N(J27)*MAX(0,(A5110)-N(K27))^2/2+N(L27)*MAX(0,(A5110)-N(M27))^2/2)+$B$4507</f>
        <v>-695.31249999999989</v>
      </c>
      <c r="E5110" s="3">
        <f>$B$4505*(C5110)+$B$4506*(C5110)^2/2-$B$4504*(C5110)^3/6-(N(D27)*MAX(0,(C5110)-N(E27))^2/2+N(F27)*MAX(0,(C5110)-N(G27))^2/2+N(H27)*MAX(0,(C5110)-N(I27))^2/2+N(J27)*MAX(0,(C5110)-N(K27))^2/2+N(L27)*MAX(0,(C5110)-N(M27))^2/2)+$B$4507</f>
        <v>-695.31249999999989</v>
      </c>
    </row>
    <row r="5111" spans="1:5" hidden="1">
      <c r="A5111" s="3">
        <f t="shared" si="102"/>
        <v>0</v>
      </c>
      <c r="B5111" s="3">
        <f t="shared" si="103"/>
        <v>0</v>
      </c>
      <c r="C5111" s="3">
        <f t="shared" si="101"/>
        <v>0</v>
      </c>
      <c r="D5111" s="3">
        <f>$B$4505*(A5111)+$B$4506*(A5111)^2/2-$B$4504*(A5111)^3/6-(N(D27)*MAX(0,(A5111)-N(E27))^2/2+N(F27)*MAX(0,(A5111)-N(G27))^2/2+N(H27)*MAX(0,(A5111)-N(I27))^2/2+N(J27)*MAX(0,(A5111)-N(K27))^2/2+N(L27)*MAX(0,(A5111)-N(M27))^2/2)+$B$4507</f>
        <v>-695.31249999999989</v>
      </c>
      <c r="E5111" s="3">
        <f>$B$4505*(C5111)+$B$4506*(C5111)^2/2-$B$4504*(C5111)^3/6-(N(D27)*MAX(0,(C5111)-N(E27))^2/2+N(F27)*MAX(0,(C5111)-N(G27))^2/2+N(H27)*MAX(0,(C5111)-N(I27))^2/2+N(J27)*MAX(0,(C5111)-N(K27))^2/2+N(L27)*MAX(0,(C5111)-N(M27))^2/2)+$B$4507</f>
        <v>-695.31249999999989</v>
      </c>
    </row>
    <row r="5112" spans="1:5" hidden="1">
      <c r="A5112" s="3">
        <f t="shared" si="102"/>
        <v>0</v>
      </c>
      <c r="B5112" s="3">
        <f t="shared" si="103"/>
        <v>0</v>
      </c>
      <c r="C5112" s="3">
        <f t="shared" si="101"/>
        <v>0</v>
      </c>
      <c r="D5112" s="3">
        <f>$B$4505*(A5112)+$B$4506*(A5112)^2/2-$B$4504*(A5112)^3/6-(N(D27)*MAX(0,(A5112)-N(E27))^2/2+N(F27)*MAX(0,(A5112)-N(G27))^2/2+N(H27)*MAX(0,(A5112)-N(I27))^2/2+N(J27)*MAX(0,(A5112)-N(K27))^2/2+N(L27)*MAX(0,(A5112)-N(M27))^2/2)+$B$4507</f>
        <v>-695.31249999999989</v>
      </c>
      <c r="E5112" s="3">
        <f>$B$4505*(C5112)+$B$4506*(C5112)^2/2-$B$4504*(C5112)^3/6-(N(D27)*MAX(0,(C5112)-N(E27))^2/2+N(F27)*MAX(0,(C5112)-N(G27))^2/2+N(H27)*MAX(0,(C5112)-N(I27))^2/2+N(J27)*MAX(0,(C5112)-N(K27))^2/2+N(L27)*MAX(0,(C5112)-N(M27))^2/2)+$B$4507</f>
        <v>-695.31249999999989</v>
      </c>
    </row>
    <row r="5113" spans="1:5" hidden="1">
      <c r="A5113" s="3">
        <f t="shared" si="102"/>
        <v>0</v>
      </c>
      <c r="B5113" s="3">
        <f t="shared" si="103"/>
        <v>0</v>
      </c>
      <c r="C5113" s="3">
        <f t="shared" si="101"/>
        <v>0</v>
      </c>
      <c r="D5113" s="3">
        <f>$B$4505*(A5113)+$B$4506*(A5113)^2/2-$B$4504*(A5113)^3/6-(N(D27)*MAX(0,(A5113)-N(E27))^2/2+N(F27)*MAX(0,(A5113)-N(G27))^2/2+N(H27)*MAX(0,(A5113)-N(I27))^2/2+N(J27)*MAX(0,(A5113)-N(K27))^2/2+N(L27)*MAX(0,(A5113)-N(M27))^2/2)+$B$4507</f>
        <v>-695.31249999999989</v>
      </c>
      <c r="E5113" s="3">
        <f>$B$4505*(C5113)+$B$4506*(C5113)^2/2-$B$4504*(C5113)^3/6-(N(D27)*MAX(0,(C5113)-N(E27))^2/2+N(F27)*MAX(0,(C5113)-N(G27))^2/2+N(H27)*MAX(0,(C5113)-N(I27))^2/2+N(J27)*MAX(0,(C5113)-N(K27))^2/2+N(L27)*MAX(0,(C5113)-N(M27))^2/2)+$B$4507</f>
        <v>-695.31249999999989</v>
      </c>
    </row>
    <row r="5114" spans="1:5" hidden="1">
      <c r="A5114" s="3">
        <f t="shared" si="102"/>
        <v>0</v>
      </c>
      <c r="B5114" s="3">
        <f t="shared" si="103"/>
        <v>0</v>
      </c>
      <c r="C5114" s="3">
        <f t="shared" si="101"/>
        <v>0</v>
      </c>
      <c r="D5114" s="3">
        <f>$B$4505*(A5114)+$B$4506*(A5114)^2/2-$B$4504*(A5114)^3/6-(N(D27)*MAX(0,(A5114)-N(E27))^2/2+N(F27)*MAX(0,(A5114)-N(G27))^2/2+N(H27)*MAX(0,(A5114)-N(I27))^2/2+N(J27)*MAX(0,(A5114)-N(K27))^2/2+N(L27)*MAX(0,(A5114)-N(M27))^2/2)+$B$4507</f>
        <v>-695.31249999999989</v>
      </c>
      <c r="E5114" s="3">
        <f>$B$4505*(C5114)+$B$4506*(C5114)^2/2-$B$4504*(C5114)^3/6-(N(D27)*MAX(0,(C5114)-N(E27))^2/2+N(F27)*MAX(0,(C5114)-N(G27))^2/2+N(H27)*MAX(0,(C5114)-N(I27))^2/2+N(J27)*MAX(0,(C5114)-N(K27))^2/2+N(L27)*MAX(0,(C5114)-N(M27))^2/2)+$B$4507</f>
        <v>-695.31249999999989</v>
      </c>
    </row>
    <row r="5115" spans="1:5" hidden="1">
      <c r="A5115" s="3">
        <f t="shared" si="102"/>
        <v>0</v>
      </c>
      <c r="B5115" s="3">
        <f t="shared" si="103"/>
        <v>0</v>
      </c>
      <c r="C5115" s="3">
        <f t="shared" si="101"/>
        <v>0</v>
      </c>
      <c r="D5115" s="3">
        <f>$B$4505*(A5115)+$B$4506*(A5115)^2/2-$B$4504*(A5115)^3/6-(N(D27)*MAX(0,(A5115)-N(E27))^2/2+N(F27)*MAX(0,(A5115)-N(G27))^2/2+N(H27)*MAX(0,(A5115)-N(I27))^2/2+N(J27)*MAX(0,(A5115)-N(K27))^2/2+N(L27)*MAX(0,(A5115)-N(M27))^2/2)+$B$4507</f>
        <v>-695.31249999999989</v>
      </c>
      <c r="E5115" s="3">
        <f>$B$4505*(C5115)+$B$4506*(C5115)^2/2-$B$4504*(C5115)^3/6-(N(D27)*MAX(0,(C5115)-N(E27))^2/2+N(F27)*MAX(0,(C5115)-N(G27))^2/2+N(H27)*MAX(0,(C5115)-N(I27))^2/2+N(J27)*MAX(0,(C5115)-N(K27))^2/2+N(L27)*MAX(0,(C5115)-N(M27))^2/2)+$B$4507</f>
        <v>-695.31249999999989</v>
      </c>
    </row>
    <row r="5116" spans="1:5" hidden="1">
      <c r="A5116" s="3">
        <f t="shared" si="102"/>
        <v>0</v>
      </c>
      <c r="B5116" s="3">
        <f t="shared" si="103"/>
        <v>0</v>
      </c>
      <c r="C5116" s="3">
        <f t="shared" si="101"/>
        <v>0</v>
      </c>
      <c r="D5116" s="3">
        <f>$B$4505*(A5116)+$B$4506*(A5116)^2/2-$B$4504*(A5116)^3/6-(N(D27)*MAX(0,(A5116)-N(E27))^2/2+N(F27)*MAX(0,(A5116)-N(G27))^2/2+N(H27)*MAX(0,(A5116)-N(I27))^2/2+N(J27)*MAX(0,(A5116)-N(K27))^2/2+N(L27)*MAX(0,(A5116)-N(M27))^2/2)+$B$4507</f>
        <v>-695.31249999999989</v>
      </c>
      <c r="E5116" s="3">
        <f>$B$4505*(C5116)+$B$4506*(C5116)^2/2-$B$4504*(C5116)^3/6-(N(D27)*MAX(0,(C5116)-N(E27))^2/2+N(F27)*MAX(0,(C5116)-N(G27))^2/2+N(H27)*MAX(0,(C5116)-N(I27))^2/2+N(J27)*MAX(0,(C5116)-N(K27))^2/2+N(L27)*MAX(0,(C5116)-N(M27))^2/2)+$B$4507</f>
        <v>-695.31249999999989</v>
      </c>
    </row>
    <row r="5117" spans="1:5" hidden="1">
      <c r="A5117" s="3">
        <f t="shared" si="102"/>
        <v>0</v>
      </c>
      <c r="B5117" s="3">
        <f t="shared" si="103"/>
        <v>0</v>
      </c>
      <c r="C5117" s="3">
        <f t="shared" si="101"/>
        <v>0</v>
      </c>
      <c r="D5117" s="3">
        <f>$B$4505*(A5117)+$B$4506*(A5117)^2/2-$B$4504*(A5117)^3/6-(N(D27)*MAX(0,(A5117)-N(E27))^2/2+N(F27)*MAX(0,(A5117)-N(G27))^2/2+N(H27)*MAX(0,(A5117)-N(I27))^2/2+N(J27)*MAX(0,(A5117)-N(K27))^2/2+N(L27)*MAX(0,(A5117)-N(M27))^2/2)+$B$4507</f>
        <v>-695.31249999999989</v>
      </c>
      <c r="E5117" s="3">
        <f>$B$4505*(C5117)+$B$4506*(C5117)^2/2-$B$4504*(C5117)^3/6-(N(D27)*MAX(0,(C5117)-N(E27))^2/2+N(F27)*MAX(0,(C5117)-N(G27))^2/2+N(H27)*MAX(0,(C5117)-N(I27))^2/2+N(J27)*MAX(0,(C5117)-N(K27))^2/2+N(L27)*MAX(0,(C5117)-N(M27))^2/2)+$B$4507</f>
        <v>-695.31249999999989</v>
      </c>
    </row>
    <row r="5118" spans="1:5" hidden="1">
      <c r="A5118" s="3">
        <f t="shared" si="102"/>
        <v>0</v>
      </c>
      <c r="B5118" s="3">
        <f t="shared" si="103"/>
        <v>0</v>
      </c>
      <c r="C5118" s="3">
        <f t="shared" si="101"/>
        <v>0</v>
      </c>
      <c r="D5118" s="3">
        <f>$B$4505*(A5118)+$B$4506*(A5118)^2/2-$B$4504*(A5118)^3/6-(N(D27)*MAX(0,(A5118)-N(E27))^2/2+N(F27)*MAX(0,(A5118)-N(G27))^2/2+N(H27)*MAX(0,(A5118)-N(I27))^2/2+N(J27)*MAX(0,(A5118)-N(K27))^2/2+N(L27)*MAX(0,(A5118)-N(M27))^2/2)+$B$4507</f>
        <v>-695.31249999999989</v>
      </c>
      <c r="E5118" s="3">
        <f>$B$4505*(C5118)+$B$4506*(C5118)^2/2-$B$4504*(C5118)^3/6-(N(D27)*MAX(0,(C5118)-N(E27))^2/2+N(F27)*MAX(0,(C5118)-N(G27))^2/2+N(H27)*MAX(0,(C5118)-N(I27))^2/2+N(J27)*MAX(0,(C5118)-N(K27))^2/2+N(L27)*MAX(0,(C5118)-N(M27))^2/2)+$B$4507</f>
        <v>-695.31249999999989</v>
      </c>
    </row>
    <row r="5119" spans="1:5" hidden="1">
      <c r="A5119" s="3">
        <f t="shared" si="102"/>
        <v>0</v>
      </c>
      <c r="B5119" s="3">
        <f t="shared" si="103"/>
        <v>0</v>
      </c>
      <c r="C5119" s="3">
        <f t="shared" si="101"/>
        <v>0</v>
      </c>
      <c r="D5119" s="3">
        <f>$B$4505*(A5119)+$B$4506*(A5119)^2/2-$B$4504*(A5119)^3/6-(N(D27)*MAX(0,(A5119)-N(E27))^2/2+N(F27)*MAX(0,(A5119)-N(G27))^2/2+N(H27)*MAX(0,(A5119)-N(I27))^2/2+N(J27)*MAX(0,(A5119)-N(K27))^2/2+N(L27)*MAX(0,(A5119)-N(M27))^2/2)+$B$4507</f>
        <v>-695.31249999999989</v>
      </c>
      <c r="E5119" s="3">
        <f>$B$4505*(C5119)+$B$4506*(C5119)^2/2-$B$4504*(C5119)^3/6-(N(D27)*MAX(0,(C5119)-N(E27))^2/2+N(F27)*MAX(0,(C5119)-N(G27))^2/2+N(H27)*MAX(0,(C5119)-N(I27))^2/2+N(J27)*MAX(0,(C5119)-N(K27))^2/2+N(L27)*MAX(0,(C5119)-N(M27))^2/2)+$B$4507</f>
        <v>-695.31249999999989</v>
      </c>
    </row>
    <row r="5120" spans="1:5" hidden="1">
      <c r="A5120" s="3">
        <f t="shared" si="102"/>
        <v>0</v>
      </c>
      <c r="B5120" s="3">
        <f t="shared" si="103"/>
        <v>0</v>
      </c>
      <c r="C5120" s="3">
        <f t="shared" si="101"/>
        <v>0</v>
      </c>
      <c r="D5120" s="3">
        <f>$B$4505*(A5120)+$B$4506*(A5120)^2/2-$B$4504*(A5120)^3/6-(N(D27)*MAX(0,(A5120)-N(E27))^2/2+N(F27)*MAX(0,(A5120)-N(G27))^2/2+N(H27)*MAX(0,(A5120)-N(I27))^2/2+N(J27)*MAX(0,(A5120)-N(K27))^2/2+N(L27)*MAX(0,(A5120)-N(M27))^2/2)+$B$4507</f>
        <v>-695.31249999999989</v>
      </c>
      <c r="E5120" s="3">
        <f>$B$4505*(C5120)+$B$4506*(C5120)^2/2-$B$4504*(C5120)^3/6-(N(D27)*MAX(0,(C5120)-N(E27))^2/2+N(F27)*MAX(0,(C5120)-N(G27))^2/2+N(H27)*MAX(0,(C5120)-N(I27))^2/2+N(J27)*MAX(0,(C5120)-N(K27))^2/2+N(L27)*MAX(0,(C5120)-N(M27))^2/2)+$B$4507</f>
        <v>-695.31249999999989</v>
      </c>
    </row>
    <row r="5121" spans="1:5" hidden="1">
      <c r="A5121" s="3">
        <f t="shared" si="102"/>
        <v>0</v>
      </c>
      <c r="B5121" s="3">
        <f t="shared" si="103"/>
        <v>0</v>
      </c>
      <c r="C5121" s="3">
        <f t="shared" si="101"/>
        <v>0</v>
      </c>
      <c r="D5121" s="3">
        <f>$B$4505*(A5121)+$B$4506*(A5121)^2/2-$B$4504*(A5121)^3/6-(N(D27)*MAX(0,(A5121)-N(E27))^2/2+N(F27)*MAX(0,(A5121)-N(G27))^2/2+N(H27)*MAX(0,(A5121)-N(I27))^2/2+N(J27)*MAX(0,(A5121)-N(K27))^2/2+N(L27)*MAX(0,(A5121)-N(M27))^2/2)+$B$4507</f>
        <v>-695.31249999999989</v>
      </c>
      <c r="E5121" s="3">
        <f>$B$4505*(C5121)+$B$4506*(C5121)^2/2-$B$4504*(C5121)^3/6-(N(D27)*MAX(0,(C5121)-N(E27))^2/2+N(F27)*MAX(0,(C5121)-N(G27))^2/2+N(H27)*MAX(0,(C5121)-N(I27))^2/2+N(J27)*MAX(0,(C5121)-N(K27))^2/2+N(L27)*MAX(0,(C5121)-N(M27))^2/2)+$B$4507</f>
        <v>-695.31249999999989</v>
      </c>
    </row>
    <row r="5122" spans="1:5" hidden="1">
      <c r="A5122" s="3">
        <f t="shared" si="102"/>
        <v>0</v>
      </c>
      <c r="B5122" s="3">
        <f t="shared" si="103"/>
        <v>0</v>
      </c>
      <c r="C5122" s="3">
        <f t="shared" si="101"/>
        <v>0</v>
      </c>
      <c r="D5122" s="3">
        <f>$B$4505*(A5122)+$B$4506*(A5122)^2/2-$B$4504*(A5122)^3/6-(N(D27)*MAX(0,(A5122)-N(E27))^2/2+N(F27)*MAX(0,(A5122)-N(G27))^2/2+N(H27)*MAX(0,(A5122)-N(I27))^2/2+N(J27)*MAX(0,(A5122)-N(K27))^2/2+N(L27)*MAX(0,(A5122)-N(M27))^2/2)+$B$4507</f>
        <v>-695.31249999999989</v>
      </c>
      <c r="E5122" s="3">
        <f>$B$4505*(C5122)+$B$4506*(C5122)^2/2-$B$4504*(C5122)^3/6-(N(D27)*MAX(0,(C5122)-N(E27))^2/2+N(F27)*MAX(0,(C5122)-N(G27))^2/2+N(H27)*MAX(0,(C5122)-N(I27))^2/2+N(J27)*MAX(0,(C5122)-N(K27))^2/2+N(L27)*MAX(0,(C5122)-N(M27))^2/2)+$B$4507</f>
        <v>-695.31249999999989</v>
      </c>
    </row>
    <row r="5123" spans="1:5" hidden="1">
      <c r="A5123" s="3">
        <f t="shared" si="102"/>
        <v>0</v>
      </c>
      <c r="B5123" s="3">
        <f t="shared" si="103"/>
        <v>0</v>
      </c>
      <c r="C5123" s="3">
        <f t="shared" si="101"/>
        <v>0</v>
      </c>
      <c r="D5123" s="3">
        <f>$B$4505*(A5123)+$B$4506*(A5123)^2/2-$B$4504*(A5123)^3/6-(N(D27)*MAX(0,(A5123)-N(E27))^2/2+N(F27)*MAX(0,(A5123)-N(G27))^2/2+N(H27)*MAX(0,(A5123)-N(I27))^2/2+N(J27)*MAX(0,(A5123)-N(K27))^2/2+N(L27)*MAX(0,(A5123)-N(M27))^2/2)+$B$4507</f>
        <v>-695.31249999999989</v>
      </c>
      <c r="E5123" s="3">
        <f>$B$4505*(C5123)+$B$4506*(C5123)^2/2-$B$4504*(C5123)^3/6-(N(D27)*MAX(0,(C5123)-N(E27))^2/2+N(F27)*MAX(0,(C5123)-N(G27))^2/2+N(H27)*MAX(0,(C5123)-N(I27))^2/2+N(J27)*MAX(0,(C5123)-N(K27))^2/2+N(L27)*MAX(0,(C5123)-N(M27))^2/2)+$B$4507</f>
        <v>-695.31249999999989</v>
      </c>
    </row>
    <row r="5124" spans="1:5" hidden="1">
      <c r="A5124" s="3">
        <f t="shared" si="102"/>
        <v>0</v>
      </c>
      <c r="B5124" s="3">
        <f t="shared" si="103"/>
        <v>0</v>
      </c>
      <c r="C5124" s="3">
        <f t="shared" si="101"/>
        <v>0</v>
      </c>
      <c r="D5124" s="3">
        <f>$B$4505*(A5124)+$B$4506*(A5124)^2/2-$B$4504*(A5124)^3/6-(N(D27)*MAX(0,(A5124)-N(E27))^2/2+N(F27)*MAX(0,(A5124)-N(G27))^2/2+N(H27)*MAX(0,(A5124)-N(I27))^2/2+N(J27)*MAX(0,(A5124)-N(K27))^2/2+N(L27)*MAX(0,(A5124)-N(M27))^2/2)+$B$4507</f>
        <v>-695.31249999999989</v>
      </c>
      <c r="E5124" s="3">
        <f>$B$4505*(C5124)+$B$4506*(C5124)^2/2-$B$4504*(C5124)^3/6-(N(D27)*MAX(0,(C5124)-N(E27))^2/2+N(F27)*MAX(0,(C5124)-N(G27))^2/2+N(H27)*MAX(0,(C5124)-N(I27))^2/2+N(J27)*MAX(0,(C5124)-N(K27))^2/2+N(L27)*MAX(0,(C5124)-N(M27))^2/2)+$B$4507</f>
        <v>-695.31249999999989</v>
      </c>
    </row>
    <row r="5125" spans="1:5" hidden="1">
      <c r="A5125" s="3">
        <f t="shared" si="102"/>
        <v>0</v>
      </c>
      <c r="B5125" s="3">
        <f t="shared" si="103"/>
        <v>0</v>
      </c>
      <c r="C5125" s="3">
        <f t="shared" si="101"/>
        <v>0</v>
      </c>
      <c r="D5125" s="3">
        <f>$B$4505*(A5125)+$B$4506*(A5125)^2/2-$B$4504*(A5125)^3/6-(N(D27)*MAX(0,(A5125)-N(E27))^2/2+N(F27)*MAX(0,(A5125)-N(G27))^2/2+N(H27)*MAX(0,(A5125)-N(I27))^2/2+N(J27)*MAX(0,(A5125)-N(K27))^2/2+N(L27)*MAX(0,(A5125)-N(M27))^2/2)+$B$4507</f>
        <v>-695.31249999999989</v>
      </c>
      <c r="E5125" s="3">
        <f>$B$4505*(C5125)+$B$4506*(C5125)^2/2-$B$4504*(C5125)^3/6-(N(D27)*MAX(0,(C5125)-N(E27))^2/2+N(F27)*MAX(0,(C5125)-N(G27))^2/2+N(H27)*MAX(0,(C5125)-N(I27))^2/2+N(J27)*MAX(0,(C5125)-N(K27))^2/2+N(L27)*MAX(0,(C5125)-N(M27))^2/2)+$B$4507</f>
        <v>-695.31249999999989</v>
      </c>
    </row>
    <row r="5126" spans="1:5" hidden="1">
      <c r="A5126" s="3">
        <f t="shared" si="102"/>
        <v>0</v>
      </c>
      <c r="B5126" s="3">
        <f t="shared" si="103"/>
        <v>0</v>
      </c>
      <c r="C5126" s="3">
        <f t="shared" si="101"/>
        <v>0</v>
      </c>
      <c r="D5126" s="3">
        <f>$B$4505*(A5126)+$B$4506*(A5126)^2/2-$B$4504*(A5126)^3/6-(N(D27)*MAX(0,(A5126)-N(E27))^2/2+N(F27)*MAX(0,(A5126)-N(G27))^2/2+N(H27)*MAX(0,(A5126)-N(I27))^2/2+N(J27)*MAX(0,(A5126)-N(K27))^2/2+N(L27)*MAX(0,(A5126)-N(M27))^2/2)+$B$4507</f>
        <v>-695.31249999999989</v>
      </c>
      <c r="E5126" s="3">
        <f>$B$4505*(C5126)+$B$4506*(C5126)^2/2-$B$4504*(C5126)^3/6-(N(D27)*MAX(0,(C5126)-N(E27))^2/2+N(F27)*MAX(0,(C5126)-N(G27))^2/2+N(H27)*MAX(0,(C5126)-N(I27))^2/2+N(J27)*MAX(0,(C5126)-N(K27))^2/2+N(L27)*MAX(0,(C5126)-N(M27))^2/2)+$B$4507</f>
        <v>-695.31249999999989</v>
      </c>
    </row>
    <row r="5127" spans="1:5" hidden="1">
      <c r="A5127" s="3">
        <f t="shared" si="102"/>
        <v>0</v>
      </c>
      <c r="B5127" s="3">
        <f t="shared" si="103"/>
        <v>0</v>
      </c>
      <c r="C5127" s="3">
        <f t="shared" si="101"/>
        <v>0</v>
      </c>
      <c r="D5127" s="3">
        <f>$B$4505*(A5127)+$B$4506*(A5127)^2/2-$B$4504*(A5127)^3/6-(N(D27)*MAX(0,(A5127)-N(E27))^2/2+N(F27)*MAX(0,(A5127)-N(G27))^2/2+N(H27)*MAX(0,(A5127)-N(I27))^2/2+N(J27)*MAX(0,(A5127)-N(K27))^2/2+N(L27)*MAX(0,(A5127)-N(M27))^2/2)+$B$4507</f>
        <v>-695.31249999999989</v>
      </c>
      <c r="E5127" s="3">
        <f>$B$4505*(C5127)+$B$4506*(C5127)^2/2-$B$4504*(C5127)^3/6-(N(D27)*MAX(0,(C5127)-N(E27))^2/2+N(F27)*MAX(0,(C5127)-N(G27))^2/2+N(H27)*MAX(0,(C5127)-N(I27))^2/2+N(J27)*MAX(0,(C5127)-N(K27))^2/2+N(L27)*MAX(0,(C5127)-N(M27))^2/2)+$B$4507</f>
        <v>-695.31249999999989</v>
      </c>
    </row>
    <row r="5128" spans="1:5" hidden="1">
      <c r="A5128" s="3">
        <f t="shared" si="102"/>
        <v>0</v>
      </c>
      <c r="B5128" s="3">
        <f t="shared" si="103"/>
        <v>0</v>
      </c>
      <c r="C5128" s="3">
        <f t="shared" si="101"/>
        <v>0</v>
      </c>
      <c r="D5128" s="3">
        <f>$B$4505*(A5128)+$B$4506*(A5128)^2/2-$B$4504*(A5128)^3/6-(N(D27)*MAX(0,(A5128)-N(E27))^2/2+N(F27)*MAX(0,(A5128)-N(G27))^2/2+N(H27)*MAX(0,(A5128)-N(I27))^2/2+N(J27)*MAX(0,(A5128)-N(K27))^2/2+N(L27)*MAX(0,(A5128)-N(M27))^2/2)+$B$4507</f>
        <v>-695.31249999999989</v>
      </c>
      <c r="E5128" s="3">
        <f>$B$4505*(C5128)+$B$4506*(C5128)^2/2-$B$4504*(C5128)^3/6-(N(D27)*MAX(0,(C5128)-N(E27))^2/2+N(F27)*MAX(0,(C5128)-N(G27))^2/2+N(H27)*MAX(0,(C5128)-N(I27))^2/2+N(J27)*MAX(0,(C5128)-N(K27))^2/2+N(L27)*MAX(0,(C5128)-N(M27))^2/2)+$B$4507</f>
        <v>-695.31249999999989</v>
      </c>
    </row>
    <row r="5129" spans="1:5" hidden="1">
      <c r="A5129" s="3">
        <f t="shared" si="102"/>
        <v>0</v>
      </c>
      <c r="B5129" s="3">
        <f t="shared" si="103"/>
        <v>0</v>
      </c>
      <c r="C5129" s="3">
        <f t="shared" si="101"/>
        <v>0</v>
      </c>
      <c r="D5129" s="3">
        <f>$B$4505*(A5129)+$B$4506*(A5129)^2/2-$B$4504*(A5129)^3/6-(N(D27)*MAX(0,(A5129)-N(E27))^2/2+N(F27)*MAX(0,(A5129)-N(G27))^2/2+N(H27)*MAX(0,(A5129)-N(I27))^2/2+N(J27)*MAX(0,(A5129)-N(K27))^2/2+N(L27)*MAX(0,(A5129)-N(M27))^2/2)+$B$4507</f>
        <v>-695.31249999999989</v>
      </c>
      <c r="E5129" s="3">
        <f>$B$4505*(C5129)+$B$4506*(C5129)^2/2-$B$4504*(C5129)^3/6-(N(D27)*MAX(0,(C5129)-N(E27))^2/2+N(F27)*MAX(0,(C5129)-N(G27))^2/2+N(H27)*MAX(0,(C5129)-N(I27))^2/2+N(J27)*MAX(0,(C5129)-N(K27))^2/2+N(L27)*MAX(0,(C5129)-N(M27))^2/2)+$B$4507</f>
        <v>-695.31249999999989</v>
      </c>
    </row>
    <row r="5130" spans="1:5" hidden="1">
      <c r="A5130" s="3">
        <f t="shared" si="102"/>
        <v>0</v>
      </c>
      <c r="B5130" s="3">
        <f t="shared" si="103"/>
        <v>0</v>
      </c>
      <c r="C5130" s="3">
        <f t="shared" si="101"/>
        <v>0</v>
      </c>
      <c r="D5130" s="3">
        <f>$B$4505*(A5130)+$B$4506*(A5130)^2/2-$B$4504*(A5130)^3/6-(N(D27)*MAX(0,(A5130)-N(E27))^2/2+N(F27)*MAX(0,(A5130)-N(G27))^2/2+N(H27)*MAX(0,(A5130)-N(I27))^2/2+N(J27)*MAX(0,(A5130)-N(K27))^2/2+N(L27)*MAX(0,(A5130)-N(M27))^2/2)+$B$4507</f>
        <v>-695.31249999999989</v>
      </c>
      <c r="E5130" s="3">
        <f>$B$4505*(C5130)+$B$4506*(C5130)^2/2-$B$4504*(C5130)^3/6-(N(D27)*MAX(0,(C5130)-N(E27))^2/2+N(F27)*MAX(0,(C5130)-N(G27))^2/2+N(H27)*MAX(0,(C5130)-N(I27))^2/2+N(J27)*MAX(0,(C5130)-N(K27))^2/2+N(L27)*MAX(0,(C5130)-N(M27))^2/2)+$B$4507</f>
        <v>-695.31249999999989</v>
      </c>
    </row>
    <row r="5131" spans="1:5" hidden="1">
      <c r="A5131" s="3">
        <f t="shared" si="102"/>
        <v>0</v>
      </c>
      <c r="B5131" s="3">
        <f t="shared" si="103"/>
        <v>0</v>
      </c>
      <c r="C5131" s="3">
        <f t="shared" si="101"/>
        <v>0</v>
      </c>
      <c r="D5131" s="3">
        <f>$B$4505*(A5131)+$B$4506*(A5131)^2/2-$B$4504*(A5131)^3/6-(N(D27)*MAX(0,(A5131)-N(E27))^2/2+N(F27)*MAX(0,(A5131)-N(G27))^2/2+N(H27)*MAX(0,(A5131)-N(I27))^2/2+N(J27)*MAX(0,(A5131)-N(K27))^2/2+N(L27)*MAX(0,(A5131)-N(M27))^2/2)+$B$4507</f>
        <v>-695.31249999999989</v>
      </c>
      <c r="E5131" s="3">
        <f>$B$4505*(C5131)+$B$4506*(C5131)^2/2-$B$4504*(C5131)^3/6-(N(D27)*MAX(0,(C5131)-N(E27))^2/2+N(F27)*MAX(0,(C5131)-N(G27))^2/2+N(H27)*MAX(0,(C5131)-N(I27))^2/2+N(J27)*MAX(0,(C5131)-N(K27))^2/2+N(L27)*MAX(0,(C5131)-N(M27))^2/2)+$B$4507</f>
        <v>-695.31249999999989</v>
      </c>
    </row>
    <row r="5132" spans="1:5" hidden="1">
      <c r="A5132" s="3">
        <f t="shared" si="102"/>
        <v>0</v>
      </c>
      <c r="B5132" s="3">
        <f t="shared" si="103"/>
        <v>0</v>
      </c>
      <c r="C5132" s="3">
        <f t="shared" si="101"/>
        <v>0</v>
      </c>
      <c r="D5132" s="3">
        <f>$B$4505*(A5132)+$B$4506*(A5132)^2/2-$B$4504*(A5132)^3/6-(N(D27)*MAX(0,(A5132)-N(E27))^2/2+N(F27)*MAX(0,(A5132)-N(G27))^2/2+N(H27)*MAX(0,(A5132)-N(I27))^2/2+N(J27)*MAX(0,(A5132)-N(K27))^2/2+N(L27)*MAX(0,(A5132)-N(M27))^2/2)+$B$4507</f>
        <v>-695.31249999999989</v>
      </c>
      <c r="E5132" s="3">
        <f>$B$4505*(C5132)+$B$4506*(C5132)^2/2-$B$4504*(C5132)^3/6-(N(D27)*MAX(0,(C5132)-N(E27))^2/2+N(F27)*MAX(0,(C5132)-N(G27))^2/2+N(H27)*MAX(0,(C5132)-N(I27))^2/2+N(J27)*MAX(0,(C5132)-N(K27))^2/2+N(L27)*MAX(0,(C5132)-N(M27))^2/2)+$B$4507</f>
        <v>-695.31249999999989</v>
      </c>
    </row>
    <row r="5133" spans="1:5" hidden="1">
      <c r="A5133" s="3">
        <f t="shared" si="102"/>
        <v>0</v>
      </c>
      <c r="B5133" s="3">
        <f t="shared" si="103"/>
        <v>0</v>
      </c>
      <c r="C5133" s="3">
        <f t="shared" si="101"/>
        <v>0</v>
      </c>
      <c r="D5133" s="3">
        <f>$B$4505*(A5133)+$B$4506*(A5133)^2/2-$B$4504*(A5133)^3/6-(N(D27)*MAX(0,(A5133)-N(E27))^2/2+N(F27)*MAX(0,(A5133)-N(G27))^2/2+N(H27)*MAX(0,(A5133)-N(I27))^2/2+N(J27)*MAX(0,(A5133)-N(K27))^2/2+N(L27)*MAX(0,(A5133)-N(M27))^2/2)+$B$4507</f>
        <v>-695.31249999999989</v>
      </c>
      <c r="E5133" s="3">
        <f>$B$4505*(C5133)+$B$4506*(C5133)^2/2-$B$4504*(C5133)^3/6-(N(D27)*MAX(0,(C5133)-N(E27))^2/2+N(F27)*MAX(0,(C5133)-N(G27))^2/2+N(H27)*MAX(0,(C5133)-N(I27))^2/2+N(J27)*MAX(0,(C5133)-N(K27))^2/2+N(L27)*MAX(0,(C5133)-N(M27))^2/2)+$B$4507</f>
        <v>-695.31249999999989</v>
      </c>
    </row>
    <row r="5134" spans="1:5" hidden="1">
      <c r="A5134" s="3">
        <f t="shared" si="102"/>
        <v>0</v>
      </c>
      <c r="B5134" s="3">
        <f t="shared" si="103"/>
        <v>0</v>
      </c>
      <c r="C5134" s="3">
        <f t="shared" si="101"/>
        <v>0</v>
      </c>
      <c r="D5134" s="3">
        <f>$B$4505*(A5134)+$B$4506*(A5134)^2/2-$B$4504*(A5134)^3/6-(N(D27)*MAX(0,(A5134)-N(E27))^2/2+N(F27)*MAX(0,(A5134)-N(G27))^2/2+N(H27)*MAX(0,(A5134)-N(I27))^2/2+N(J27)*MAX(0,(A5134)-N(K27))^2/2+N(L27)*MAX(0,(A5134)-N(M27))^2/2)+$B$4507</f>
        <v>-695.31249999999989</v>
      </c>
      <c r="E5134" s="3">
        <f>$B$4505*(C5134)+$B$4506*(C5134)^2/2-$B$4504*(C5134)^3/6-(N(D27)*MAX(0,(C5134)-N(E27))^2/2+N(F27)*MAX(0,(C5134)-N(G27))^2/2+N(H27)*MAX(0,(C5134)-N(I27))^2/2+N(J27)*MAX(0,(C5134)-N(K27))^2/2+N(L27)*MAX(0,(C5134)-N(M27))^2/2)+$B$4507</f>
        <v>-695.31249999999989</v>
      </c>
    </row>
    <row r="5135" spans="1:5" hidden="1">
      <c r="A5135" s="3">
        <f t="shared" si="102"/>
        <v>0</v>
      </c>
      <c r="B5135" s="3">
        <f t="shared" si="103"/>
        <v>0</v>
      </c>
      <c r="C5135" s="3">
        <f t="shared" si="101"/>
        <v>0</v>
      </c>
      <c r="D5135" s="3">
        <f>$B$4505*(A5135)+$B$4506*(A5135)^2/2-$B$4504*(A5135)^3/6-(N(D27)*MAX(0,(A5135)-N(E27))^2/2+N(F27)*MAX(0,(A5135)-N(G27))^2/2+N(H27)*MAX(0,(A5135)-N(I27))^2/2+N(J27)*MAX(0,(A5135)-N(K27))^2/2+N(L27)*MAX(0,(A5135)-N(M27))^2/2)+$B$4507</f>
        <v>-695.31249999999989</v>
      </c>
      <c r="E5135" s="3">
        <f>$B$4505*(C5135)+$B$4506*(C5135)^2/2-$B$4504*(C5135)^3/6-(N(D27)*MAX(0,(C5135)-N(E27))^2/2+N(F27)*MAX(0,(C5135)-N(G27))^2/2+N(H27)*MAX(0,(C5135)-N(I27))^2/2+N(J27)*MAX(0,(C5135)-N(K27))^2/2+N(L27)*MAX(0,(C5135)-N(M27))^2/2)+$B$4507</f>
        <v>-695.31249999999989</v>
      </c>
    </row>
    <row r="5136" spans="1:5" hidden="1">
      <c r="A5136" s="3">
        <f t="shared" si="102"/>
        <v>0</v>
      </c>
      <c r="B5136" s="3">
        <f t="shared" si="103"/>
        <v>0</v>
      </c>
      <c r="C5136" s="3">
        <f t="shared" si="101"/>
        <v>0</v>
      </c>
      <c r="D5136" s="3">
        <f>$B$4505*(A5136)+$B$4506*(A5136)^2/2-$B$4504*(A5136)^3/6-(N(D27)*MAX(0,(A5136)-N(E27))^2/2+N(F27)*MAX(0,(A5136)-N(G27))^2/2+N(H27)*MAX(0,(A5136)-N(I27))^2/2+N(J27)*MAX(0,(A5136)-N(K27))^2/2+N(L27)*MAX(0,(A5136)-N(M27))^2/2)+$B$4507</f>
        <v>-695.31249999999989</v>
      </c>
      <c r="E5136" s="3">
        <f>$B$4505*(C5136)+$B$4506*(C5136)^2/2-$B$4504*(C5136)^3/6-(N(D27)*MAX(0,(C5136)-N(E27))^2/2+N(F27)*MAX(0,(C5136)-N(G27))^2/2+N(H27)*MAX(0,(C5136)-N(I27))^2/2+N(J27)*MAX(0,(C5136)-N(K27))^2/2+N(L27)*MAX(0,(C5136)-N(M27))^2/2)+$B$4507</f>
        <v>-695.31249999999989</v>
      </c>
    </row>
    <row r="5137" spans="1:5" hidden="1">
      <c r="A5137" s="3">
        <f t="shared" si="102"/>
        <v>0</v>
      </c>
      <c r="B5137" s="3">
        <f t="shared" si="103"/>
        <v>0</v>
      </c>
      <c r="C5137" s="3">
        <f t="shared" si="101"/>
        <v>0</v>
      </c>
      <c r="D5137" s="3">
        <f>$B$4505*(A5137)+$B$4506*(A5137)^2/2-$B$4504*(A5137)^3/6-(N(D27)*MAX(0,(A5137)-N(E27))^2/2+N(F27)*MAX(0,(A5137)-N(G27))^2/2+N(H27)*MAX(0,(A5137)-N(I27))^2/2+N(J27)*MAX(0,(A5137)-N(K27))^2/2+N(L27)*MAX(0,(A5137)-N(M27))^2/2)+$B$4507</f>
        <v>-695.31249999999989</v>
      </c>
      <c r="E5137" s="3">
        <f>$B$4505*(C5137)+$B$4506*(C5137)^2/2-$B$4504*(C5137)^3/6-(N(D27)*MAX(0,(C5137)-N(E27))^2/2+N(F27)*MAX(0,(C5137)-N(G27))^2/2+N(H27)*MAX(0,(C5137)-N(I27))^2/2+N(J27)*MAX(0,(C5137)-N(K27))^2/2+N(L27)*MAX(0,(C5137)-N(M27))^2/2)+$B$4507</f>
        <v>-695.31249999999989</v>
      </c>
    </row>
    <row r="5138" spans="1:5" hidden="1">
      <c r="A5138" s="3">
        <f t="shared" si="102"/>
        <v>0</v>
      </c>
      <c r="B5138" s="3">
        <f t="shared" si="103"/>
        <v>0</v>
      </c>
      <c r="C5138" s="3">
        <f t="shared" si="101"/>
        <v>0</v>
      </c>
      <c r="D5138" s="3">
        <f>$B$4505*(A5138)+$B$4506*(A5138)^2/2-$B$4504*(A5138)^3/6-(N(D27)*MAX(0,(A5138)-N(E27))^2/2+N(F27)*MAX(0,(A5138)-N(G27))^2/2+N(H27)*MAX(0,(A5138)-N(I27))^2/2+N(J27)*MAX(0,(A5138)-N(K27))^2/2+N(L27)*MAX(0,(A5138)-N(M27))^2/2)+$B$4507</f>
        <v>-695.31249999999989</v>
      </c>
      <c r="E5138" s="3">
        <f>$B$4505*(C5138)+$B$4506*(C5138)^2/2-$B$4504*(C5138)^3/6-(N(D27)*MAX(0,(C5138)-N(E27))^2/2+N(F27)*MAX(0,(C5138)-N(G27))^2/2+N(H27)*MAX(0,(C5138)-N(I27))^2/2+N(J27)*MAX(0,(C5138)-N(K27))^2/2+N(L27)*MAX(0,(C5138)-N(M27))^2/2)+$B$4507</f>
        <v>-695.31249999999989</v>
      </c>
    </row>
    <row r="5139" spans="1:5" hidden="1">
      <c r="A5139" s="3">
        <f t="shared" si="102"/>
        <v>0</v>
      </c>
      <c r="B5139" s="3">
        <f t="shared" si="103"/>
        <v>0</v>
      </c>
      <c r="C5139" s="3">
        <f t="shared" si="101"/>
        <v>0</v>
      </c>
      <c r="D5139" s="3">
        <f>$B$4505*(A5139)+$B$4506*(A5139)^2/2-$B$4504*(A5139)^3/6-(N(D27)*MAX(0,(A5139)-N(E27))^2/2+N(F27)*MAX(0,(A5139)-N(G27))^2/2+N(H27)*MAX(0,(A5139)-N(I27))^2/2+N(J27)*MAX(0,(A5139)-N(K27))^2/2+N(L27)*MAX(0,(A5139)-N(M27))^2/2)+$B$4507</f>
        <v>-695.31249999999989</v>
      </c>
      <c r="E5139" s="3">
        <f>$B$4505*(C5139)+$B$4506*(C5139)^2/2-$B$4504*(C5139)^3/6-(N(D27)*MAX(0,(C5139)-N(E27))^2/2+N(F27)*MAX(0,(C5139)-N(G27))^2/2+N(H27)*MAX(0,(C5139)-N(I27))^2/2+N(J27)*MAX(0,(C5139)-N(K27))^2/2+N(L27)*MAX(0,(C5139)-N(M27))^2/2)+$B$4507</f>
        <v>-695.31249999999989</v>
      </c>
    </row>
    <row r="5140" spans="1:5" hidden="1">
      <c r="A5140" s="3">
        <f t="shared" si="102"/>
        <v>0</v>
      </c>
      <c r="B5140" s="3">
        <f t="shared" si="103"/>
        <v>0</v>
      </c>
      <c r="C5140" s="3">
        <f t="shared" si="101"/>
        <v>0</v>
      </c>
      <c r="D5140" s="3">
        <f>$B$4505*(A5140)+$B$4506*(A5140)^2/2-$B$4504*(A5140)^3/6-(N(D27)*MAX(0,(A5140)-N(E27))^2/2+N(F27)*MAX(0,(A5140)-N(G27))^2/2+N(H27)*MAX(0,(A5140)-N(I27))^2/2+N(J27)*MAX(0,(A5140)-N(K27))^2/2+N(L27)*MAX(0,(A5140)-N(M27))^2/2)+$B$4507</f>
        <v>-695.31249999999989</v>
      </c>
      <c r="E5140" s="3">
        <f>$B$4505*(C5140)+$B$4506*(C5140)^2/2-$B$4504*(C5140)^3/6-(N(D27)*MAX(0,(C5140)-N(E27))^2/2+N(F27)*MAX(0,(C5140)-N(G27))^2/2+N(H27)*MAX(0,(C5140)-N(I27))^2/2+N(J27)*MAX(0,(C5140)-N(K27))^2/2+N(L27)*MAX(0,(C5140)-N(M27))^2/2)+$B$4507</f>
        <v>-695.31249999999989</v>
      </c>
    </row>
    <row r="5141" spans="1:5" hidden="1">
      <c r="A5141" s="3">
        <f t="shared" si="102"/>
        <v>0</v>
      </c>
      <c r="B5141" s="3">
        <f t="shared" si="103"/>
        <v>0</v>
      </c>
      <c r="C5141" s="3">
        <f t="shared" si="101"/>
        <v>0</v>
      </c>
      <c r="D5141" s="3">
        <f>$B$4505*(A5141)+$B$4506*(A5141)^2/2-$B$4504*(A5141)^3/6-(N(D27)*MAX(0,(A5141)-N(E27))^2/2+N(F27)*MAX(0,(A5141)-N(G27))^2/2+N(H27)*MAX(0,(A5141)-N(I27))^2/2+N(J27)*MAX(0,(A5141)-N(K27))^2/2+N(L27)*MAX(0,(A5141)-N(M27))^2/2)+$B$4507</f>
        <v>-695.31249999999989</v>
      </c>
      <c r="E5141" s="3">
        <f>$B$4505*(C5141)+$B$4506*(C5141)^2/2-$B$4504*(C5141)^3/6-(N(D27)*MAX(0,(C5141)-N(E27))^2/2+N(F27)*MAX(0,(C5141)-N(G27))^2/2+N(H27)*MAX(0,(C5141)-N(I27))^2/2+N(J27)*MAX(0,(C5141)-N(K27))^2/2+N(L27)*MAX(0,(C5141)-N(M27))^2/2)+$B$4507</f>
        <v>-695.31249999999989</v>
      </c>
    </row>
    <row r="5142" spans="1:5" hidden="1">
      <c r="A5142" s="3">
        <f t="shared" si="102"/>
        <v>0</v>
      </c>
      <c r="B5142" s="3">
        <f t="shared" si="103"/>
        <v>0</v>
      </c>
      <c r="C5142" s="3">
        <f t="shared" si="101"/>
        <v>0</v>
      </c>
      <c r="D5142" s="3">
        <f>$B$4505*(A5142)+$B$4506*(A5142)^2/2-$B$4504*(A5142)^3/6-(N(D27)*MAX(0,(A5142)-N(E27))^2/2+N(F27)*MAX(0,(A5142)-N(G27))^2/2+N(H27)*MAX(0,(A5142)-N(I27))^2/2+N(J27)*MAX(0,(A5142)-N(K27))^2/2+N(L27)*MAX(0,(A5142)-N(M27))^2/2)+$B$4507</f>
        <v>-695.31249999999989</v>
      </c>
      <c r="E5142" s="3">
        <f>$B$4505*(C5142)+$B$4506*(C5142)^2/2-$B$4504*(C5142)^3/6-(N(D27)*MAX(0,(C5142)-N(E27))^2/2+N(F27)*MAX(0,(C5142)-N(G27))^2/2+N(H27)*MAX(0,(C5142)-N(I27))^2/2+N(J27)*MAX(0,(C5142)-N(K27))^2/2+N(L27)*MAX(0,(C5142)-N(M27))^2/2)+$B$4507</f>
        <v>-695.31249999999989</v>
      </c>
    </row>
    <row r="5143" spans="1:5" hidden="1">
      <c r="A5143" s="3">
        <f t="shared" si="102"/>
        <v>0</v>
      </c>
      <c r="B5143" s="3">
        <f t="shared" si="103"/>
        <v>0</v>
      </c>
      <c r="C5143" s="3">
        <f t="shared" si="101"/>
        <v>0</v>
      </c>
      <c r="D5143" s="3">
        <f>$B$4505*(A5143)+$B$4506*(A5143)^2/2-$B$4504*(A5143)^3/6-(N(D27)*MAX(0,(A5143)-N(E27))^2/2+N(F27)*MAX(0,(A5143)-N(G27))^2/2+N(H27)*MAX(0,(A5143)-N(I27))^2/2+N(J27)*MAX(0,(A5143)-N(K27))^2/2+N(L27)*MAX(0,(A5143)-N(M27))^2/2)+$B$4507</f>
        <v>-695.31249999999989</v>
      </c>
      <c r="E5143" s="3">
        <f>$B$4505*(C5143)+$B$4506*(C5143)^2/2-$B$4504*(C5143)^3/6-(N(D27)*MAX(0,(C5143)-N(E27))^2/2+N(F27)*MAX(0,(C5143)-N(G27))^2/2+N(H27)*MAX(0,(C5143)-N(I27))^2/2+N(J27)*MAX(0,(C5143)-N(K27))^2/2+N(L27)*MAX(0,(C5143)-N(M27))^2/2)+$B$4507</f>
        <v>-695.31249999999989</v>
      </c>
    </row>
    <row r="5144" spans="1:5" hidden="1">
      <c r="A5144" s="3">
        <f t="shared" si="102"/>
        <v>0</v>
      </c>
      <c r="B5144" s="3">
        <f t="shared" si="103"/>
        <v>0</v>
      </c>
      <c r="C5144" s="3">
        <f t="shared" si="101"/>
        <v>0</v>
      </c>
      <c r="D5144" s="3">
        <f>$B$4505*(A5144)+$B$4506*(A5144)^2/2-$B$4504*(A5144)^3/6-(N(D27)*MAX(0,(A5144)-N(E27))^2/2+N(F27)*MAX(0,(A5144)-N(G27))^2/2+N(H27)*MAX(0,(A5144)-N(I27))^2/2+N(J27)*MAX(0,(A5144)-N(K27))^2/2+N(L27)*MAX(0,(A5144)-N(M27))^2/2)+$B$4507</f>
        <v>-695.31249999999989</v>
      </c>
      <c r="E5144" s="3">
        <f>$B$4505*(C5144)+$B$4506*(C5144)^2/2-$B$4504*(C5144)^3/6-(N(D27)*MAX(0,(C5144)-N(E27))^2/2+N(F27)*MAX(0,(C5144)-N(G27))^2/2+N(H27)*MAX(0,(C5144)-N(I27))^2/2+N(J27)*MAX(0,(C5144)-N(K27))^2/2+N(L27)*MAX(0,(C5144)-N(M27))^2/2)+$B$4507</f>
        <v>-695.31249999999989</v>
      </c>
    </row>
    <row r="5145" spans="1:5" hidden="1">
      <c r="A5145" s="3">
        <f t="shared" si="102"/>
        <v>0</v>
      </c>
      <c r="B5145" s="3">
        <f t="shared" si="103"/>
        <v>0</v>
      </c>
      <c r="C5145" s="3">
        <f t="shared" si="101"/>
        <v>0</v>
      </c>
      <c r="D5145" s="3">
        <f>$B$4505*(A5145)+$B$4506*(A5145)^2/2-$B$4504*(A5145)^3/6-(N(D27)*MAX(0,(A5145)-N(E27))^2/2+N(F27)*MAX(0,(A5145)-N(G27))^2/2+N(H27)*MAX(0,(A5145)-N(I27))^2/2+N(J27)*MAX(0,(A5145)-N(K27))^2/2+N(L27)*MAX(0,(A5145)-N(M27))^2/2)+$B$4507</f>
        <v>-695.31249999999989</v>
      </c>
      <c r="E5145" s="3">
        <f>$B$4505*(C5145)+$B$4506*(C5145)^2/2-$B$4504*(C5145)^3/6-(N(D27)*MAX(0,(C5145)-N(E27))^2/2+N(F27)*MAX(0,(C5145)-N(G27))^2/2+N(H27)*MAX(0,(C5145)-N(I27))^2/2+N(J27)*MAX(0,(C5145)-N(K27))^2/2+N(L27)*MAX(0,(C5145)-N(M27))^2/2)+$B$4507</f>
        <v>-695.31249999999989</v>
      </c>
    </row>
    <row r="5146" spans="1:5" hidden="1">
      <c r="A5146" s="3">
        <f t="shared" si="102"/>
        <v>0</v>
      </c>
      <c r="B5146" s="3">
        <f t="shared" si="103"/>
        <v>0</v>
      </c>
      <c r="C5146" s="3">
        <f t="shared" si="101"/>
        <v>0</v>
      </c>
      <c r="D5146" s="3">
        <f>$B$4505*(A5146)+$B$4506*(A5146)^2/2-$B$4504*(A5146)^3/6-(N(D27)*MAX(0,(A5146)-N(E27))^2/2+N(F27)*MAX(0,(A5146)-N(G27))^2/2+N(H27)*MAX(0,(A5146)-N(I27))^2/2+N(J27)*MAX(0,(A5146)-N(K27))^2/2+N(L27)*MAX(0,(A5146)-N(M27))^2/2)+$B$4507</f>
        <v>-695.31249999999989</v>
      </c>
      <c r="E5146" s="3">
        <f>$B$4505*(C5146)+$B$4506*(C5146)^2/2-$B$4504*(C5146)^3/6-(N(D27)*MAX(0,(C5146)-N(E27))^2/2+N(F27)*MAX(0,(C5146)-N(G27))^2/2+N(H27)*MAX(0,(C5146)-N(I27))^2/2+N(J27)*MAX(0,(C5146)-N(K27))^2/2+N(L27)*MAX(0,(C5146)-N(M27))^2/2)+$B$4507</f>
        <v>-695.31249999999989</v>
      </c>
    </row>
    <row r="5147" spans="1:5" hidden="1">
      <c r="A5147" s="3">
        <f t="shared" si="102"/>
        <v>0</v>
      </c>
      <c r="B5147" s="3">
        <f t="shared" si="103"/>
        <v>0</v>
      </c>
      <c r="C5147" s="3">
        <f t="shared" si="101"/>
        <v>0</v>
      </c>
      <c r="D5147" s="3">
        <f>$B$4505*(A5147)+$B$4506*(A5147)^2/2-$B$4504*(A5147)^3/6-(N(D27)*MAX(0,(A5147)-N(E27))^2/2+N(F27)*MAX(0,(A5147)-N(G27))^2/2+N(H27)*MAX(0,(A5147)-N(I27))^2/2+N(J27)*MAX(0,(A5147)-N(K27))^2/2+N(L27)*MAX(0,(A5147)-N(M27))^2/2)+$B$4507</f>
        <v>-695.31249999999989</v>
      </c>
      <c r="E5147" s="3">
        <f>$B$4505*(C5147)+$B$4506*(C5147)^2/2-$B$4504*(C5147)^3/6-(N(D27)*MAX(0,(C5147)-N(E27))^2/2+N(F27)*MAX(0,(C5147)-N(G27))^2/2+N(H27)*MAX(0,(C5147)-N(I27))^2/2+N(J27)*MAX(0,(C5147)-N(K27))^2/2+N(L27)*MAX(0,(C5147)-N(M27))^2/2)+$B$4507</f>
        <v>-695.31249999999989</v>
      </c>
    </row>
    <row r="5148" spans="1:5" hidden="1">
      <c r="A5148" s="3">
        <f t="shared" si="102"/>
        <v>0</v>
      </c>
      <c r="B5148" s="3">
        <f t="shared" si="103"/>
        <v>0</v>
      </c>
      <c r="C5148" s="3">
        <f t="shared" si="101"/>
        <v>0</v>
      </c>
      <c r="D5148" s="3">
        <f>$B$4505*(A5148)+$B$4506*(A5148)^2/2-$B$4504*(A5148)^3/6-(N(D27)*MAX(0,(A5148)-N(E27))^2/2+N(F27)*MAX(0,(A5148)-N(G27))^2/2+N(H27)*MAX(0,(A5148)-N(I27))^2/2+N(J27)*MAX(0,(A5148)-N(K27))^2/2+N(L27)*MAX(0,(A5148)-N(M27))^2/2)+$B$4507</f>
        <v>-695.31249999999989</v>
      </c>
      <c r="E5148" s="3">
        <f>$B$4505*(C5148)+$B$4506*(C5148)^2/2-$B$4504*(C5148)^3/6-(N(D27)*MAX(0,(C5148)-N(E27))^2/2+N(F27)*MAX(0,(C5148)-N(G27))^2/2+N(H27)*MAX(0,(C5148)-N(I27))^2/2+N(J27)*MAX(0,(C5148)-N(K27))^2/2+N(L27)*MAX(0,(C5148)-N(M27))^2/2)+$B$4507</f>
        <v>-695.31249999999989</v>
      </c>
    </row>
    <row r="5149" spans="1:5" hidden="1">
      <c r="A5149" s="3">
        <f t="shared" si="102"/>
        <v>0</v>
      </c>
      <c r="B5149" s="3">
        <f t="shared" si="103"/>
        <v>0</v>
      </c>
      <c r="C5149" s="3">
        <f t="shared" si="101"/>
        <v>0</v>
      </c>
      <c r="D5149" s="3">
        <f>$B$4505*(A5149)+$B$4506*(A5149)^2/2-$B$4504*(A5149)^3/6-(N(D27)*MAX(0,(A5149)-N(E27))^2/2+N(F27)*MAX(0,(A5149)-N(G27))^2/2+N(H27)*MAX(0,(A5149)-N(I27))^2/2+N(J27)*MAX(0,(A5149)-N(K27))^2/2+N(L27)*MAX(0,(A5149)-N(M27))^2/2)+$B$4507</f>
        <v>-695.31249999999989</v>
      </c>
      <c r="E5149" s="3">
        <f>$B$4505*(C5149)+$B$4506*(C5149)^2/2-$B$4504*(C5149)^3/6-(N(D27)*MAX(0,(C5149)-N(E27))^2/2+N(F27)*MAX(0,(C5149)-N(G27))^2/2+N(H27)*MAX(0,(C5149)-N(I27))^2/2+N(J27)*MAX(0,(C5149)-N(K27))^2/2+N(L27)*MAX(0,(C5149)-N(M27))^2/2)+$B$4507</f>
        <v>-695.31249999999989</v>
      </c>
    </row>
    <row r="5150" spans="1:5" hidden="1">
      <c r="A5150" s="3">
        <f t="shared" si="102"/>
        <v>0</v>
      </c>
      <c r="B5150" s="3">
        <f t="shared" si="103"/>
        <v>0</v>
      </c>
      <c r="C5150" s="3">
        <f t="shared" si="101"/>
        <v>0</v>
      </c>
      <c r="D5150" s="3">
        <f>$B$4505*(A5150)+$B$4506*(A5150)^2/2-$B$4504*(A5150)^3/6-(N(D27)*MAX(0,(A5150)-N(E27))^2/2+N(F27)*MAX(0,(A5150)-N(G27))^2/2+N(H27)*MAX(0,(A5150)-N(I27))^2/2+N(J27)*MAX(0,(A5150)-N(K27))^2/2+N(L27)*MAX(0,(A5150)-N(M27))^2/2)+$B$4507</f>
        <v>-695.31249999999989</v>
      </c>
      <c r="E5150" s="3">
        <f>$B$4505*(C5150)+$B$4506*(C5150)^2/2-$B$4504*(C5150)^3/6-(N(D27)*MAX(0,(C5150)-N(E27))^2/2+N(F27)*MAX(0,(C5150)-N(G27))^2/2+N(H27)*MAX(0,(C5150)-N(I27))^2/2+N(J27)*MAX(0,(C5150)-N(K27))^2/2+N(L27)*MAX(0,(C5150)-N(M27))^2/2)+$B$4507</f>
        <v>-695.31249999999989</v>
      </c>
    </row>
    <row r="5151" spans="1:5" hidden="1">
      <c r="A5151" s="3">
        <f t="shared" si="102"/>
        <v>0</v>
      </c>
      <c r="B5151" s="3">
        <f t="shared" si="103"/>
        <v>0</v>
      </c>
      <c r="C5151" s="3">
        <f t="shared" si="101"/>
        <v>0</v>
      </c>
      <c r="D5151" s="3">
        <f>$B$4505*(A5151)+$B$4506*(A5151)^2/2-$B$4504*(A5151)^3/6-(N(D27)*MAX(0,(A5151)-N(E27))^2/2+N(F27)*MAX(0,(A5151)-N(G27))^2/2+N(H27)*MAX(0,(A5151)-N(I27))^2/2+N(J27)*MAX(0,(A5151)-N(K27))^2/2+N(L27)*MAX(0,(A5151)-N(M27))^2/2)+$B$4507</f>
        <v>-695.31249999999989</v>
      </c>
      <c r="E5151" s="3">
        <f>$B$4505*(C5151)+$B$4506*(C5151)^2/2-$B$4504*(C5151)^3/6-(N(D27)*MAX(0,(C5151)-N(E27))^2/2+N(F27)*MAX(0,(C5151)-N(G27))^2/2+N(H27)*MAX(0,(C5151)-N(I27))^2/2+N(J27)*MAX(0,(C5151)-N(K27))^2/2+N(L27)*MAX(0,(C5151)-N(M27))^2/2)+$B$4507</f>
        <v>-695.31249999999989</v>
      </c>
    </row>
    <row r="5152" spans="1:5" hidden="1"/>
    <row r="5153" spans="1:5" hidden="1">
      <c r="A5153" s="3">
        <f>B4553</f>
        <v>0</v>
      </c>
      <c r="B5153" s="3">
        <f>IF(($B$4505*(B4553)+$B$4506*(B4553)^2/2-$B$4504*(B4553)^3/6-(N(D27)*MAX(0,(B4553)-N(E27))^2/2+N(F27)*MAX(0,(B4553)-N(G27))^2/2+N(H27)*MAX(0,(B4553)-N(I27))^2/2+N(J27)*MAX(0,(B4553)-N(K27))^2/2+N(L27)*MAX(0,(B4553)-N(M27))^2/2)+$B$4507)*($B$4505*(B4554)+$B$4506*(B4554)^2/2-$B$4504*(B4554)^3/6-(N(D27)*MAX(0,(B4554)-N(E27))^2/2+N(F27)*MAX(0,(B4554)-N(G27))^2/2+N(H27)*MAX(0,(B4554)-N(I27))^2/2+N(J27)*MAX(0,(B4554)-N(K27))^2/2+N(L27)*MAX(0,(B4554)-N(M27))^2/2)+$B$4507)&lt;=0,B4554,B4553)</f>
        <v>0</v>
      </c>
      <c r="C5153" s="3">
        <f t="shared" ref="C5153:C5197" si="104">(A5153+B5153)/2</f>
        <v>0</v>
      </c>
      <c r="D5153" s="3">
        <f>$B$4505*(A5153)+$B$4506*(A5153)^2/2-$B$4504*(A5153)^3/6-(N(D27)*MAX(0,(A5153)-N(E27))^2/2+N(F27)*MAX(0,(A5153)-N(G27))^2/2+N(H27)*MAX(0,(A5153)-N(I27))^2/2+N(J27)*MAX(0,(A5153)-N(K27))^2/2+N(L27)*MAX(0,(A5153)-N(M27))^2/2)+$B$4507</f>
        <v>-695.31249999999989</v>
      </c>
      <c r="E5153" s="3">
        <f>$B$4505*(C5153)+$B$4506*(C5153)^2/2-$B$4504*(C5153)^3/6-(N(D27)*MAX(0,(C5153)-N(E27))^2/2+N(F27)*MAX(0,(C5153)-N(G27))^2/2+N(H27)*MAX(0,(C5153)-N(I27))^2/2+N(J27)*MAX(0,(C5153)-N(K27))^2/2+N(L27)*MAX(0,(C5153)-N(M27))^2/2)+$B$4507</f>
        <v>-695.31249999999989</v>
      </c>
    </row>
    <row r="5154" spans="1:5" hidden="1">
      <c r="A5154" s="3">
        <f t="shared" ref="A5154:A5197" si="105">IF(D5153*E5153&lt;=0,A5153,C5153)</f>
        <v>0</v>
      </c>
      <c r="B5154" s="3">
        <f t="shared" ref="B5154:B5197" si="106">IF(D5153*E5153&lt;=0,C5153,B5153)</f>
        <v>0</v>
      </c>
      <c r="C5154" s="3">
        <f t="shared" si="104"/>
        <v>0</v>
      </c>
      <c r="D5154" s="3">
        <f>$B$4505*(A5154)+$B$4506*(A5154)^2/2-$B$4504*(A5154)^3/6-(N(D27)*MAX(0,(A5154)-N(E27))^2/2+N(F27)*MAX(0,(A5154)-N(G27))^2/2+N(H27)*MAX(0,(A5154)-N(I27))^2/2+N(J27)*MAX(0,(A5154)-N(K27))^2/2+N(L27)*MAX(0,(A5154)-N(M27))^2/2)+$B$4507</f>
        <v>-695.31249999999989</v>
      </c>
      <c r="E5154" s="3">
        <f>$B$4505*(C5154)+$B$4506*(C5154)^2/2-$B$4504*(C5154)^3/6-(N(D27)*MAX(0,(C5154)-N(E27))^2/2+N(F27)*MAX(0,(C5154)-N(G27))^2/2+N(H27)*MAX(0,(C5154)-N(I27))^2/2+N(J27)*MAX(0,(C5154)-N(K27))^2/2+N(L27)*MAX(0,(C5154)-N(M27))^2/2)+$B$4507</f>
        <v>-695.31249999999989</v>
      </c>
    </row>
    <row r="5155" spans="1:5" hidden="1">
      <c r="A5155" s="3">
        <f t="shared" si="105"/>
        <v>0</v>
      </c>
      <c r="B5155" s="3">
        <f t="shared" si="106"/>
        <v>0</v>
      </c>
      <c r="C5155" s="3">
        <f t="shared" si="104"/>
        <v>0</v>
      </c>
      <c r="D5155" s="3">
        <f>$B$4505*(A5155)+$B$4506*(A5155)^2/2-$B$4504*(A5155)^3/6-(N(D27)*MAX(0,(A5155)-N(E27))^2/2+N(F27)*MAX(0,(A5155)-N(G27))^2/2+N(H27)*MAX(0,(A5155)-N(I27))^2/2+N(J27)*MAX(0,(A5155)-N(K27))^2/2+N(L27)*MAX(0,(A5155)-N(M27))^2/2)+$B$4507</f>
        <v>-695.31249999999989</v>
      </c>
      <c r="E5155" s="3">
        <f>$B$4505*(C5155)+$B$4506*(C5155)^2/2-$B$4504*(C5155)^3/6-(N(D27)*MAX(0,(C5155)-N(E27))^2/2+N(F27)*MAX(0,(C5155)-N(G27))^2/2+N(H27)*MAX(0,(C5155)-N(I27))^2/2+N(J27)*MAX(0,(C5155)-N(K27))^2/2+N(L27)*MAX(0,(C5155)-N(M27))^2/2)+$B$4507</f>
        <v>-695.31249999999989</v>
      </c>
    </row>
    <row r="5156" spans="1:5" hidden="1">
      <c r="A5156" s="3">
        <f t="shared" si="105"/>
        <v>0</v>
      </c>
      <c r="B5156" s="3">
        <f t="shared" si="106"/>
        <v>0</v>
      </c>
      <c r="C5156" s="3">
        <f t="shared" si="104"/>
        <v>0</v>
      </c>
      <c r="D5156" s="3">
        <f>$B$4505*(A5156)+$B$4506*(A5156)^2/2-$B$4504*(A5156)^3/6-(N(D27)*MAX(0,(A5156)-N(E27))^2/2+N(F27)*MAX(0,(A5156)-N(G27))^2/2+N(H27)*MAX(0,(A5156)-N(I27))^2/2+N(J27)*MAX(0,(A5156)-N(K27))^2/2+N(L27)*MAX(0,(A5156)-N(M27))^2/2)+$B$4507</f>
        <v>-695.31249999999989</v>
      </c>
      <c r="E5156" s="3">
        <f>$B$4505*(C5156)+$B$4506*(C5156)^2/2-$B$4504*(C5156)^3/6-(N(D27)*MAX(0,(C5156)-N(E27))^2/2+N(F27)*MAX(0,(C5156)-N(G27))^2/2+N(H27)*MAX(0,(C5156)-N(I27))^2/2+N(J27)*MAX(0,(C5156)-N(K27))^2/2+N(L27)*MAX(0,(C5156)-N(M27))^2/2)+$B$4507</f>
        <v>-695.31249999999989</v>
      </c>
    </row>
    <row r="5157" spans="1:5" hidden="1">
      <c r="A5157" s="3">
        <f t="shared" si="105"/>
        <v>0</v>
      </c>
      <c r="B5157" s="3">
        <f t="shared" si="106"/>
        <v>0</v>
      </c>
      <c r="C5157" s="3">
        <f t="shared" si="104"/>
        <v>0</v>
      </c>
      <c r="D5157" s="3">
        <f>$B$4505*(A5157)+$B$4506*(A5157)^2/2-$B$4504*(A5157)^3/6-(N(D27)*MAX(0,(A5157)-N(E27))^2/2+N(F27)*MAX(0,(A5157)-N(G27))^2/2+N(H27)*MAX(0,(A5157)-N(I27))^2/2+N(J27)*MAX(0,(A5157)-N(K27))^2/2+N(L27)*MAX(0,(A5157)-N(M27))^2/2)+$B$4507</f>
        <v>-695.31249999999989</v>
      </c>
      <c r="E5157" s="3">
        <f>$B$4505*(C5157)+$B$4506*(C5157)^2/2-$B$4504*(C5157)^3/6-(N(D27)*MAX(0,(C5157)-N(E27))^2/2+N(F27)*MAX(0,(C5157)-N(G27))^2/2+N(H27)*MAX(0,(C5157)-N(I27))^2/2+N(J27)*MAX(0,(C5157)-N(K27))^2/2+N(L27)*MAX(0,(C5157)-N(M27))^2/2)+$B$4507</f>
        <v>-695.31249999999989</v>
      </c>
    </row>
    <row r="5158" spans="1:5" hidden="1">
      <c r="A5158" s="3">
        <f t="shared" si="105"/>
        <v>0</v>
      </c>
      <c r="B5158" s="3">
        <f t="shared" si="106"/>
        <v>0</v>
      </c>
      <c r="C5158" s="3">
        <f t="shared" si="104"/>
        <v>0</v>
      </c>
      <c r="D5158" s="3">
        <f>$B$4505*(A5158)+$B$4506*(A5158)^2/2-$B$4504*(A5158)^3/6-(N(D27)*MAX(0,(A5158)-N(E27))^2/2+N(F27)*MAX(0,(A5158)-N(G27))^2/2+N(H27)*MAX(0,(A5158)-N(I27))^2/2+N(J27)*MAX(0,(A5158)-N(K27))^2/2+N(L27)*MAX(0,(A5158)-N(M27))^2/2)+$B$4507</f>
        <v>-695.31249999999989</v>
      </c>
      <c r="E5158" s="3">
        <f>$B$4505*(C5158)+$B$4506*(C5158)^2/2-$B$4504*(C5158)^3/6-(N(D27)*MAX(0,(C5158)-N(E27))^2/2+N(F27)*MAX(0,(C5158)-N(G27))^2/2+N(H27)*MAX(0,(C5158)-N(I27))^2/2+N(J27)*MAX(0,(C5158)-N(K27))^2/2+N(L27)*MAX(0,(C5158)-N(M27))^2/2)+$B$4507</f>
        <v>-695.31249999999989</v>
      </c>
    </row>
    <row r="5159" spans="1:5" hidden="1">
      <c r="A5159" s="3">
        <f t="shared" si="105"/>
        <v>0</v>
      </c>
      <c r="B5159" s="3">
        <f t="shared" si="106"/>
        <v>0</v>
      </c>
      <c r="C5159" s="3">
        <f t="shared" si="104"/>
        <v>0</v>
      </c>
      <c r="D5159" s="3">
        <f>$B$4505*(A5159)+$B$4506*(A5159)^2/2-$B$4504*(A5159)^3/6-(N(D27)*MAX(0,(A5159)-N(E27))^2/2+N(F27)*MAX(0,(A5159)-N(G27))^2/2+N(H27)*MAX(0,(A5159)-N(I27))^2/2+N(J27)*MAX(0,(A5159)-N(K27))^2/2+N(L27)*MAX(0,(A5159)-N(M27))^2/2)+$B$4507</f>
        <v>-695.31249999999989</v>
      </c>
      <c r="E5159" s="3">
        <f>$B$4505*(C5159)+$B$4506*(C5159)^2/2-$B$4504*(C5159)^3/6-(N(D27)*MAX(0,(C5159)-N(E27))^2/2+N(F27)*MAX(0,(C5159)-N(G27))^2/2+N(H27)*MAX(0,(C5159)-N(I27))^2/2+N(J27)*MAX(0,(C5159)-N(K27))^2/2+N(L27)*MAX(0,(C5159)-N(M27))^2/2)+$B$4507</f>
        <v>-695.31249999999989</v>
      </c>
    </row>
    <row r="5160" spans="1:5" hidden="1">
      <c r="A5160" s="3">
        <f t="shared" si="105"/>
        <v>0</v>
      </c>
      <c r="B5160" s="3">
        <f t="shared" si="106"/>
        <v>0</v>
      </c>
      <c r="C5160" s="3">
        <f t="shared" si="104"/>
        <v>0</v>
      </c>
      <c r="D5160" s="3">
        <f>$B$4505*(A5160)+$B$4506*(A5160)^2/2-$B$4504*(A5160)^3/6-(N(D27)*MAX(0,(A5160)-N(E27))^2/2+N(F27)*MAX(0,(A5160)-N(G27))^2/2+N(H27)*MAX(0,(A5160)-N(I27))^2/2+N(J27)*MAX(0,(A5160)-N(K27))^2/2+N(L27)*MAX(0,(A5160)-N(M27))^2/2)+$B$4507</f>
        <v>-695.31249999999989</v>
      </c>
      <c r="E5160" s="3">
        <f>$B$4505*(C5160)+$B$4506*(C5160)^2/2-$B$4504*(C5160)^3/6-(N(D27)*MAX(0,(C5160)-N(E27))^2/2+N(F27)*MAX(0,(C5160)-N(G27))^2/2+N(H27)*MAX(0,(C5160)-N(I27))^2/2+N(J27)*MAX(0,(C5160)-N(K27))^2/2+N(L27)*MAX(0,(C5160)-N(M27))^2/2)+$B$4507</f>
        <v>-695.31249999999989</v>
      </c>
    </row>
    <row r="5161" spans="1:5" hidden="1">
      <c r="A5161" s="3">
        <f t="shared" si="105"/>
        <v>0</v>
      </c>
      <c r="B5161" s="3">
        <f t="shared" si="106"/>
        <v>0</v>
      </c>
      <c r="C5161" s="3">
        <f t="shared" si="104"/>
        <v>0</v>
      </c>
      <c r="D5161" s="3">
        <f>$B$4505*(A5161)+$B$4506*(A5161)^2/2-$B$4504*(A5161)^3/6-(N(D27)*MAX(0,(A5161)-N(E27))^2/2+N(F27)*MAX(0,(A5161)-N(G27))^2/2+N(H27)*MAX(0,(A5161)-N(I27))^2/2+N(J27)*MAX(0,(A5161)-N(K27))^2/2+N(L27)*MAX(0,(A5161)-N(M27))^2/2)+$B$4507</f>
        <v>-695.31249999999989</v>
      </c>
      <c r="E5161" s="3">
        <f>$B$4505*(C5161)+$B$4506*(C5161)^2/2-$B$4504*(C5161)^3/6-(N(D27)*MAX(0,(C5161)-N(E27))^2/2+N(F27)*MAX(0,(C5161)-N(G27))^2/2+N(H27)*MAX(0,(C5161)-N(I27))^2/2+N(J27)*MAX(0,(C5161)-N(K27))^2/2+N(L27)*MAX(0,(C5161)-N(M27))^2/2)+$B$4507</f>
        <v>-695.31249999999989</v>
      </c>
    </row>
    <row r="5162" spans="1:5" hidden="1">
      <c r="A5162" s="3">
        <f t="shared" si="105"/>
        <v>0</v>
      </c>
      <c r="B5162" s="3">
        <f t="shared" si="106"/>
        <v>0</v>
      </c>
      <c r="C5162" s="3">
        <f t="shared" si="104"/>
        <v>0</v>
      </c>
      <c r="D5162" s="3">
        <f>$B$4505*(A5162)+$B$4506*(A5162)^2/2-$B$4504*(A5162)^3/6-(N(D27)*MAX(0,(A5162)-N(E27))^2/2+N(F27)*MAX(0,(A5162)-N(G27))^2/2+N(H27)*MAX(0,(A5162)-N(I27))^2/2+N(J27)*MAX(0,(A5162)-N(K27))^2/2+N(L27)*MAX(0,(A5162)-N(M27))^2/2)+$B$4507</f>
        <v>-695.31249999999989</v>
      </c>
      <c r="E5162" s="3">
        <f>$B$4505*(C5162)+$B$4506*(C5162)^2/2-$B$4504*(C5162)^3/6-(N(D27)*MAX(0,(C5162)-N(E27))^2/2+N(F27)*MAX(0,(C5162)-N(G27))^2/2+N(H27)*MAX(0,(C5162)-N(I27))^2/2+N(J27)*MAX(0,(C5162)-N(K27))^2/2+N(L27)*MAX(0,(C5162)-N(M27))^2/2)+$B$4507</f>
        <v>-695.31249999999989</v>
      </c>
    </row>
    <row r="5163" spans="1:5" hidden="1">
      <c r="A5163" s="3">
        <f t="shared" si="105"/>
        <v>0</v>
      </c>
      <c r="B5163" s="3">
        <f t="shared" si="106"/>
        <v>0</v>
      </c>
      <c r="C5163" s="3">
        <f t="shared" si="104"/>
        <v>0</v>
      </c>
      <c r="D5163" s="3">
        <f>$B$4505*(A5163)+$B$4506*(A5163)^2/2-$B$4504*(A5163)^3/6-(N(D27)*MAX(0,(A5163)-N(E27))^2/2+N(F27)*MAX(0,(A5163)-N(G27))^2/2+N(H27)*MAX(0,(A5163)-N(I27))^2/2+N(J27)*MAX(0,(A5163)-N(K27))^2/2+N(L27)*MAX(0,(A5163)-N(M27))^2/2)+$B$4507</f>
        <v>-695.31249999999989</v>
      </c>
      <c r="E5163" s="3">
        <f>$B$4505*(C5163)+$B$4506*(C5163)^2/2-$B$4504*(C5163)^3/6-(N(D27)*MAX(0,(C5163)-N(E27))^2/2+N(F27)*MAX(0,(C5163)-N(G27))^2/2+N(H27)*MAX(0,(C5163)-N(I27))^2/2+N(J27)*MAX(0,(C5163)-N(K27))^2/2+N(L27)*MAX(0,(C5163)-N(M27))^2/2)+$B$4507</f>
        <v>-695.31249999999989</v>
      </c>
    </row>
    <row r="5164" spans="1:5" hidden="1">
      <c r="A5164" s="3">
        <f t="shared" si="105"/>
        <v>0</v>
      </c>
      <c r="B5164" s="3">
        <f t="shared" si="106"/>
        <v>0</v>
      </c>
      <c r="C5164" s="3">
        <f t="shared" si="104"/>
        <v>0</v>
      </c>
      <c r="D5164" s="3">
        <f>$B$4505*(A5164)+$B$4506*(A5164)^2/2-$B$4504*(A5164)^3/6-(N(D27)*MAX(0,(A5164)-N(E27))^2/2+N(F27)*MAX(0,(A5164)-N(G27))^2/2+N(H27)*MAX(0,(A5164)-N(I27))^2/2+N(J27)*MAX(0,(A5164)-N(K27))^2/2+N(L27)*MAX(0,(A5164)-N(M27))^2/2)+$B$4507</f>
        <v>-695.31249999999989</v>
      </c>
      <c r="E5164" s="3">
        <f>$B$4505*(C5164)+$B$4506*(C5164)^2/2-$B$4504*(C5164)^3/6-(N(D27)*MAX(0,(C5164)-N(E27))^2/2+N(F27)*MAX(0,(C5164)-N(G27))^2/2+N(H27)*MAX(0,(C5164)-N(I27))^2/2+N(J27)*MAX(0,(C5164)-N(K27))^2/2+N(L27)*MAX(0,(C5164)-N(M27))^2/2)+$B$4507</f>
        <v>-695.31249999999989</v>
      </c>
    </row>
    <row r="5165" spans="1:5" hidden="1">
      <c r="A5165" s="3">
        <f t="shared" si="105"/>
        <v>0</v>
      </c>
      <c r="B5165" s="3">
        <f t="shared" si="106"/>
        <v>0</v>
      </c>
      <c r="C5165" s="3">
        <f t="shared" si="104"/>
        <v>0</v>
      </c>
      <c r="D5165" s="3">
        <f>$B$4505*(A5165)+$B$4506*(A5165)^2/2-$B$4504*(A5165)^3/6-(N(D27)*MAX(0,(A5165)-N(E27))^2/2+N(F27)*MAX(0,(A5165)-N(G27))^2/2+N(H27)*MAX(0,(A5165)-N(I27))^2/2+N(J27)*MAX(0,(A5165)-N(K27))^2/2+N(L27)*MAX(0,(A5165)-N(M27))^2/2)+$B$4507</f>
        <v>-695.31249999999989</v>
      </c>
      <c r="E5165" s="3">
        <f>$B$4505*(C5165)+$B$4506*(C5165)^2/2-$B$4504*(C5165)^3/6-(N(D27)*MAX(0,(C5165)-N(E27))^2/2+N(F27)*MAX(0,(C5165)-N(G27))^2/2+N(H27)*MAX(0,(C5165)-N(I27))^2/2+N(J27)*MAX(0,(C5165)-N(K27))^2/2+N(L27)*MAX(0,(C5165)-N(M27))^2/2)+$B$4507</f>
        <v>-695.31249999999989</v>
      </c>
    </row>
    <row r="5166" spans="1:5" hidden="1">
      <c r="A5166" s="3">
        <f t="shared" si="105"/>
        <v>0</v>
      </c>
      <c r="B5166" s="3">
        <f t="shared" si="106"/>
        <v>0</v>
      </c>
      <c r="C5166" s="3">
        <f t="shared" si="104"/>
        <v>0</v>
      </c>
      <c r="D5166" s="3">
        <f>$B$4505*(A5166)+$B$4506*(A5166)^2/2-$B$4504*(A5166)^3/6-(N(D27)*MAX(0,(A5166)-N(E27))^2/2+N(F27)*MAX(0,(A5166)-N(G27))^2/2+N(H27)*MAX(0,(A5166)-N(I27))^2/2+N(J27)*MAX(0,(A5166)-N(K27))^2/2+N(L27)*MAX(0,(A5166)-N(M27))^2/2)+$B$4507</f>
        <v>-695.31249999999989</v>
      </c>
      <c r="E5166" s="3">
        <f>$B$4505*(C5166)+$B$4506*(C5166)^2/2-$B$4504*(C5166)^3/6-(N(D27)*MAX(0,(C5166)-N(E27))^2/2+N(F27)*MAX(0,(C5166)-N(G27))^2/2+N(H27)*MAX(0,(C5166)-N(I27))^2/2+N(J27)*MAX(0,(C5166)-N(K27))^2/2+N(L27)*MAX(0,(C5166)-N(M27))^2/2)+$B$4507</f>
        <v>-695.31249999999989</v>
      </c>
    </row>
    <row r="5167" spans="1:5" hidden="1">
      <c r="A5167" s="3">
        <f t="shared" si="105"/>
        <v>0</v>
      </c>
      <c r="B5167" s="3">
        <f t="shared" si="106"/>
        <v>0</v>
      </c>
      <c r="C5167" s="3">
        <f t="shared" si="104"/>
        <v>0</v>
      </c>
      <c r="D5167" s="3">
        <f>$B$4505*(A5167)+$B$4506*(A5167)^2/2-$B$4504*(A5167)^3/6-(N(D27)*MAX(0,(A5167)-N(E27))^2/2+N(F27)*MAX(0,(A5167)-N(G27))^2/2+N(H27)*MAX(0,(A5167)-N(I27))^2/2+N(J27)*MAX(0,(A5167)-N(K27))^2/2+N(L27)*MAX(0,(A5167)-N(M27))^2/2)+$B$4507</f>
        <v>-695.31249999999989</v>
      </c>
      <c r="E5167" s="3">
        <f>$B$4505*(C5167)+$B$4506*(C5167)^2/2-$B$4504*(C5167)^3/6-(N(D27)*MAX(0,(C5167)-N(E27))^2/2+N(F27)*MAX(0,(C5167)-N(G27))^2/2+N(H27)*MAX(0,(C5167)-N(I27))^2/2+N(J27)*MAX(0,(C5167)-N(K27))^2/2+N(L27)*MAX(0,(C5167)-N(M27))^2/2)+$B$4507</f>
        <v>-695.31249999999989</v>
      </c>
    </row>
    <row r="5168" spans="1:5" hidden="1">
      <c r="A5168" s="3">
        <f t="shared" si="105"/>
        <v>0</v>
      </c>
      <c r="B5168" s="3">
        <f t="shared" si="106"/>
        <v>0</v>
      </c>
      <c r="C5168" s="3">
        <f t="shared" si="104"/>
        <v>0</v>
      </c>
      <c r="D5168" s="3">
        <f>$B$4505*(A5168)+$B$4506*(A5168)^2/2-$B$4504*(A5168)^3/6-(N(D27)*MAX(0,(A5168)-N(E27))^2/2+N(F27)*MAX(0,(A5168)-N(G27))^2/2+N(H27)*MAX(0,(A5168)-N(I27))^2/2+N(J27)*MAX(0,(A5168)-N(K27))^2/2+N(L27)*MAX(0,(A5168)-N(M27))^2/2)+$B$4507</f>
        <v>-695.31249999999989</v>
      </c>
      <c r="E5168" s="3">
        <f>$B$4505*(C5168)+$B$4506*(C5168)^2/2-$B$4504*(C5168)^3/6-(N(D27)*MAX(0,(C5168)-N(E27))^2/2+N(F27)*MAX(0,(C5168)-N(G27))^2/2+N(H27)*MAX(0,(C5168)-N(I27))^2/2+N(J27)*MAX(0,(C5168)-N(K27))^2/2+N(L27)*MAX(0,(C5168)-N(M27))^2/2)+$B$4507</f>
        <v>-695.31249999999989</v>
      </c>
    </row>
    <row r="5169" spans="1:5" hidden="1">
      <c r="A5169" s="3">
        <f t="shared" si="105"/>
        <v>0</v>
      </c>
      <c r="B5169" s="3">
        <f t="shared" si="106"/>
        <v>0</v>
      </c>
      <c r="C5169" s="3">
        <f t="shared" si="104"/>
        <v>0</v>
      </c>
      <c r="D5169" s="3">
        <f>$B$4505*(A5169)+$B$4506*(A5169)^2/2-$B$4504*(A5169)^3/6-(N(D27)*MAX(0,(A5169)-N(E27))^2/2+N(F27)*MAX(0,(A5169)-N(G27))^2/2+N(H27)*MAX(0,(A5169)-N(I27))^2/2+N(J27)*MAX(0,(A5169)-N(K27))^2/2+N(L27)*MAX(0,(A5169)-N(M27))^2/2)+$B$4507</f>
        <v>-695.31249999999989</v>
      </c>
      <c r="E5169" s="3">
        <f>$B$4505*(C5169)+$B$4506*(C5169)^2/2-$B$4504*(C5169)^3/6-(N(D27)*MAX(0,(C5169)-N(E27))^2/2+N(F27)*MAX(0,(C5169)-N(G27))^2/2+N(H27)*MAX(0,(C5169)-N(I27))^2/2+N(J27)*MAX(0,(C5169)-N(K27))^2/2+N(L27)*MAX(0,(C5169)-N(M27))^2/2)+$B$4507</f>
        <v>-695.31249999999989</v>
      </c>
    </row>
    <row r="5170" spans="1:5" hidden="1">
      <c r="A5170" s="3">
        <f t="shared" si="105"/>
        <v>0</v>
      </c>
      <c r="B5170" s="3">
        <f t="shared" si="106"/>
        <v>0</v>
      </c>
      <c r="C5170" s="3">
        <f t="shared" si="104"/>
        <v>0</v>
      </c>
      <c r="D5170" s="3">
        <f>$B$4505*(A5170)+$B$4506*(A5170)^2/2-$B$4504*(A5170)^3/6-(N(D27)*MAX(0,(A5170)-N(E27))^2/2+N(F27)*MAX(0,(A5170)-N(G27))^2/2+N(H27)*MAX(0,(A5170)-N(I27))^2/2+N(J27)*MAX(0,(A5170)-N(K27))^2/2+N(L27)*MAX(0,(A5170)-N(M27))^2/2)+$B$4507</f>
        <v>-695.31249999999989</v>
      </c>
      <c r="E5170" s="3">
        <f>$B$4505*(C5170)+$B$4506*(C5170)^2/2-$B$4504*(C5170)^3/6-(N(D27)*MAX(0,(C5170)-N(E27))^2/2+N(F27)*MAX(0,(C5170)-N(G27))^2/2+N(H27)*MAX(0,(C5170)-N(I27))^2/2+N(J27)*MAX(0,(C5170)-N(K27))^2/2+N(L27)*MAX(0,(C5170)-N(M27))^2/2)+$B$4507</f>
        <v>-695.31249999999989</v>
      </c>
    </row>
    <row r="5171" spans="1:5" hidden="1">
      <c r="A5171" s="3">
        <f t="shared" si="105"/>
        <v>0</v>
      </c>
      <c r="B5171" s="3">
        <f t="shared" si="106"/>
        <v>0</v>
      </c>
      <c r="C5171" s="3">
        <f t="shared" si="104"/>
        <v>0</v>
      </c>
      <c r="D5171" s="3">
        <f>$B$4505*(A5171)+$B$4506*(A5171)^2/2-$B$4504*(A5171)^3/6-(N(D27)*MAX(0,(A5171)-N(E27))^2/2+N(F27)*MAX(0,(A5171)-N(G27))^2/2+N(H27)*MAX(0,(A5171)-N(I27))^2/2+N(J27)*MAX(0,(A5171)-N(K27))^2/2+N(L27)*MAX(0,(A5171)-N(M27))^2/2)+$B$4507</f>
        <v>-695.31249999999989</v>
      </c>
      <c r="E5171" s="3">
        <f>$B$4505*(C5171)+$B$4506*(C5171)^2/2-$B$4504*(C5171)^3/6-(N(D27)*MAX(0,(C5171)-N(E27))^2/2+N(F27)*MAX(0,(C5171)-N(G27))^2/2+N(H27)*MAX(0,(C5171)-N(I27))^2/2+N(J27)*MAX(0,(C5171)-N(K27))^2/2+N(L27)*MAX(0,(C5171)-N(M27))^2/2)+$B$4507</f>
        <v>-695.31249999999989</v>
      </c>
    </row>
    <row r="5172" spans="1:5" hidden="1">
      <c r="A5172" s="3">
        <f t="shared" si="105"/>
        <v>0</v>
      </c>
      <c r="B5172" s="3">
        <f t="shared" si="106"/>
        <v>0</v>
      </c>
      <c r="C5172" s="3">
        <f t="shared" si="104"/>
        <v>0</v>
      </c>
      <c r="D5172" s="3">
        <f>$B$4505*(A5172)+$B$4506*(A5172)^2/2-$B$4504*(A5172)^3/6-(N(D27)*MAX(0,(A5172)-N(E27))^2/2+N(F27)*MAX(0,(A5172)-N(G27))^2/2+N(H27)*MAX(0,(A5172)-N(I27))^2/2+N(J27)*MAX(0,(A5172)-N(K27))^2/2+N(L27)*MAX(0,(A5172)-N(M27))^2/2)+$B$4507</f>
        <v>-695.31249999999989</v>
      </c>
      <c r="E5172" s="3">
        <f>$B$4505*(C5172)+$B$4506*(C5172)^2/2-$B$4504*(C5172)^3/6-(N(D27)*MAX(0,(C5172)-N(E27))^2/2+N(F27)*MAX(0,(C5172)-N(G27))^2/2+N(H27)*MAX(0,(C5172)-N(I27))^2/2+N(J27)*MAX(0,(C5172)-N(K27))^2/2+N(L27)*MAX(0,(C5172)-N(M27))^2/2)+$B$4507</f>
        <v>-695.31249999999989</v>
      </c>
    </row>
    <row r="5173" spans="1:5" hidden="1">
      <c r="A5173" s="3">
        <f t="shared" si="105"/>
        <v>0</v>
      </c>
      <c r="B5173" s="3">
        <f t="shared" si="106"/>
        <v>0</v>
      </c>
      <c r="C5173" s="3">
        <f t="shared" si="104"/>
        <v>0</v>
      </c>
      <c r="D5173" s="3">
        <f>$B$4505*(A5173)+$B$4506*(A5173)^2/2-$B$4504*(A5173)^3/6-(N(D27)*MAX(0,(A5173)-N(E27))^2/2+N(F27)*MAX(0,(A5173)-N(G27))^2/2+N(H27)*MAX(0,(A5173)-N(I27))^2/2+N(J27)*MAX(0,(A5173)-N(K27))^2/2+N(L27)*MAX(0,(A5173)-N(M27))^2/2)+$B$4507</f>
        <v>-695.31249999999989</v>
      </c>
      <c r="E5173" s="3">
        <f>$B$4505*(C5173)+$B$4506*(C5173)^2/2-$B$4504*(C5173)^3/6-(N(D27)*MAX(0,(C5173)-N(E27))^2/2+N(F27)*MAX(0,(C5173)-N(G27))^2/2+N(H27)*MAX(0,(C5173)-N(I27))^2/2+N(J27)*MAX(0,(C5173)-N(K27))^2/2+N(L27)*MAX(0,(C5173)-N(M27))^2/2)+$B$4507</f>
        <v>-695.31249999999989</v>
      </c>
    </row>
    <row r="5174" spans="1:5" hidden="1">
      <c r="A5174" s="3">
        <f t="shared" si="105"/>
        <v>0</v>
      </c>
      <c r="B5174" s="3">
        <f t="shared" si="106"/>
        <v>0</v>
      </c>
      <c r="C5174" s="3">
        <f t="shared" si="104"/>
        <v>0</v>
      </c>
      <c r="D5174" s="3">
        <f>$B$4505*(A5174)+$B$4506*(A5174)^2/2-$B$4504*(A5174)^3/6-(N(D27)*MAX(0,(A5174)-N(E27))^2/2+N(F27)*MAX(0,(A5174)-N(G27))^2/2+N(H27)*MAX(0,(A5174)-N(I27))^2/2+N(J27)*MAX(0,(A5174)-N(K27))^2/2+N(L27)*MAX(0,(A5174)-N(M27))^2/2)+$B$4507</f>
        <v>-695.31249999999989</v>
      </c>
      <c r="E5174" s="3">
        <f>$B$4505*(C5174)+$B$4506*(C5174)^2/2-$B$4504*(C5174)^3/6-(N(D27)*MAX(0,(C5174)-N(E27))^2/2+N(F27)*MAX(0,(C5174)-N(G27))^2/2+N(H27)*MAX(0,(C5174)-N(I27))^2/2+N(J27)*MAX(0,(C5174)-N(K27))^2/2+N(L27)*MAX(0,(C5174)-N(M27))^2/2)+$B$4507</f>
        <v>-695.31249999999989</v>
      </c>
    </row>
    <row r="5175" spans="1:5" hidden="1">
      <c r="A5175" s="3">
        <f t="shared" si="105"/>
        <v>0</v>
      </c>
      <c r="B5175" s="3">
        <f t="shared" si="106"/>
        <v>0</v>
      </c>
      <c r="C5175" s="3">
        <f t="shared" si="104"/>
        <v>0</v>
      </c>
      <c r="D5175" s="3">
        <f>$B$4505*(A5175)+$B$4506*(A5175)^2/2-$B$4504*(A5175)^3/6-(N(D27)*MAX(0,(A5175)-N(E27))^2/2+N(F27)*MAX(0,(A5175)-N(G27))^2/2+N(H27)*MAX(0,(A5175)-N(I27))^2/2+N(J27)*MAX(0,(A5175)-N(K27))^2/2+N(L27)*MAX(0,(A5175)-N(M27))^2/2)+$B$4507</f>
        <v>-695.31249999999989</v>
      </c>
      <c r="E5175" s="3">
        <f>$B$4505*(C5175)+$B$4506*(C5175)^2/2-$B$4504*(C5175)^3/6-(N(D27)*MAX(0,(C5175)-N(E27))^2/2+N(F27)*MAX(0,(C5175)-N(G27))^2/2+N(H27)*MAX(0,(C5175)-N(I27))^2/2+N(J27)*MAX(0,(C5175)-N(K27))^2/2+N(L27)*MAX(0,(C5175)-N(M27))^2/2)+$B$4507</f>
        <v>-695.31249999999989</v>
      </c>
    </row>
    <row r="5176" spans="1:5" hidden="1">
      <c r="A5176" s="3">
        <f t="shared" si="105"/>
        <v>0</v>
      </c>
      <c r="B5176" s="3">
        <f t="shared" si="106"/>
        <v>0</v>
      </c>
      <c r="C5176" s="3">
        <f t="shared" si="104"/>
        <v>0</v>
      </c>
      <c r="D5176" s="3">
        <f>$B$4505*(A5176)+$B$4506*(A5176)^2/2-$B$4504*(A5176)^3/6-(N(D27)*MAX(0,(A5176)-N(E27))^2/2+N(F27)*MAX(0,(A5176)-N(G27))^2/2+N(H27)*MAX(0,(A5176)-N(I27))^2/2+N(J27)*MAX(0,(A5176)-N(K27))^2/2+N(L27)*MAX(0,(A5176)-N(M27))^2/2)+$B$4507</f>
        <v>-695.31249999999989</v>
      </c>
      <c r="E5176" s="3">
        <f>$B$4505*(C5176)+$B$4506*(C5176)^2/2-$B$4504*(C5176)^3/6-(N(D27)*MAX(0,(C5176)-N(E27))^2/2+N(F27)*MAX(0,(C5176)-N(G27))^2/2+N(H27)*MAX(0,(C5176)-N(I27))^2/2+N(J27)*MAX(0,(C5176)-N(K27))^2/2+N(L27)*MAX(0,(C5176)-N(M27))^2/2)+$B$4507</f>
        <v>-695.31249999999989</v>
      </c>
    </row>
    <row r="5177" spans="1:5" hidden="1">
      <c r="A5177" s="3">
        <f t="shared" si="105"/>
        <v>0</v>
      </c>
      <c r="B5177" s="3">
        <f t="shared" si="106"/>
        <v>0</v>
      </c>
      <c r="C5177" s="3">
        <f t="shared" si="104"/>
        <v>0</v>
      </c>
      <c r="D5177" s="3">
        <f>$B$4505*(A5177)+$B$4506*(A5177)^2/2-$B$4504*(A5177)^3/6-(N(D27)*MAX(0,(A5177)-N(E27))^2/2+N(F27)*MAX(0,(A5177)-N(G27))^2/2+N(H27)*MAX(0,(A5177)-N(I27))^2/2+N(J27)*MAX(0,(A5177)-N(K27))^2/2+N(L27)*MAX(0,(A5177)-N(M27))^2/2)+$B$4507</f>
        <v>-695.31249999999989</v>
      </c>
      <c r="E5177" s="3">
        <f>$B$4505*(C5177)+$B$4506*(C5177)^2/2-$B$4504*(C5177)^3/6-(N(D27)*MAX(0,(C5177)-N(E27))^2/2+N(F27)*MAX(0,(C5177)-N(G27))^2/2+N(H27)*MAX(0,(C5177)-N(I27))^2/2+N(J27)*MAX(0,(C5177)-N(K27))^2/2+N(L27)*MAX(0,(C5177)-N(M27))^2/2)+$B$4507</f>
        <v>-695.31249999999989</v>
      </c>
    </row>
    <row r="5178" spans="1:5" hidden="1">
      <c r="A5178" s="3">
        <f t="shared" si="105"/>
        <v>0</v>
      </c>
      <c r="B5178" s="3">
        <f t="shared" si="106"/>
        <v>0</v>
      </c>
      <c r="C5178" s="3">
        <f t="shared" si="104"/>
        <v>0</v>
      </c>
      <c r="D5178" s="3">
        <f>$B$4505*(A5178)+$B$4506*(A5178)^2/2-$B$4504*(A5178)^3/6-(N(D27)*MAX(0,(A5178)-N(E27))^2/2+N(F27)*MAX(0,(A5178)-N(G27))^2/2+N(H27)*MAX(0,(A5178)-N(I27))^2/2+N(J27)*MAX(0,(A5178)-N(K27))^2/2+N(L27)*MAX(0,(A5178)-N(M27))^2/2)+$B$4507</f>
        <v>-695.31249999999989</v>
      </c>
      <c r="E5178" s="3">
        <f>$B$4505*(C5178)+$B$4506*(C5178)^2/2-$B$4504*(C5178)^3/6-(N(D27)*MAX(0,(C5178)-N(E27))^2/2+N(F27)*MAX(0,(C5178)-N(G27))^2/2+N(H27)*MAX(0,(C5178)-N(I27))^2/2+N(J27)*MAX(0,(C5178)-N(K27))^2/2+N(L27)*MAX(0,(C5178)-N(M27))^2/2)+$B$4507</f>
        <v>-695.31249999999989</v>
      </c>
    </row>
    <row r="5179" spans="1:5" hidden="1">
      <c r="A5179" s="3">
        <f t="shared" si="105"/>
        <v>0</v>
      </c>
      <c r="B5179" s="3">
        <f t="shared" si="106"/>
        <v>0</v>
      </c>
      <c r="C5179" s="3">
        <f t="shared" si="104"/>
        <v>0</v>
      </c>
      <c r="D5179" s="3">
        <f>$B$4505*(A5179)+$B$4506*(A5179)^2/2-$B$4504*(A5179)^3/6-(N(D27)*MAX(0,(A5179)-N(E27))^2/2+N(F27)*MAX(0,(A5179)-N(G27))^2/2+N(H27)*MAX(0,(A5179)-N(I27))^2/2+N(J27)*MAX(0,(A5179)-N(K27))^2/2+N(L27)*MAX(0,(A5179)-N(M27))^2/2)+$B$4507</f>
        <v>-695.31249999999989</v>
      </c>
      <c r="E5179" s="3">
        <f>$B$4505*(C5179)+$B$4506*(C5179)^2/2-$B$4504*(C5179)^3/6-(N(D27)*MAX(0,(C5179)-N(E27))^2/2+N(F27)*MAX(0,(C5179)-N(G27))^2/2+N(H27)*MAX(0,(C5179)-N(I27))^2/2+N(J27)*MAX(0,(C5179)-N(K27))^2/2+N(L27)*MAX(0,(C5179)-N(M27))^2/2)+$B$4507</f>
        <v>-695.31249999999989</v>
      </c>
    </row>
    <row r="5180" spans="1:5" hidden="1">
      <c r="A5180" s="3">
        <f t="shared" si="105"/>
        <v>0</v>
      </c>
      <c r="B5180" s="3">
        <f t="shared" si="106"/>
        <v>0</v>
      </c>
      <c r="C5180" s="3">
        <f t="shared" si="104"/>
        <v>0</v>
      </c>
      <c r="D5180" s="3">
        <f>$B$4505*(A5180)+$B$4506*(A5180)^2/2-$B$4504*(A5180)^3/6-(N(D27)*MAX(0,(A5180)-N(E27))^2/2+N(F27)*MAX(0,(A5180)-N(G27))^2/2+N(H27)*MAX(0,(A5180)-N(I27))^2/2+N(J27)*MAX(0,(A5180)-N(K27))^2/2+N(L27)*MAX(0,(A5180)-N(M27))^2/2)+$B$4507</f>
        <v>-695.31249999999989</v>
      </c>
      <c r="E5180" s="3">
        <f>$B$4505*(C5180)+$B$4506*(C5180)^2/2-$B$4504*(C5180)^3/6-(N(D27)*MAX(0,(C5180)-N(E27))^2/2+N(F27)*MAX(0,(C5180)-N(G27))^2/2+N(H27)*MAX(0,(C5180)-N(I27))^2/2+N(J27)*MAX(0,(C5180)-N(K27))^2/2+N(L27)*MAX(0,(C5180)-N(M27))^2/2)+$B$4507</f>
        <v>-695.31249999999989</v>
      </c>
    </row>
    <row r="5181" spans="1:5" hidden="1">
      <c r="A5181" s="3">
        <f t="shared" si="105"/>
        <v>0</v>
      </c>
      <c r="B5181" s="3">
        <f t="shared" si="106"/>
        <v>0</v>
      </c>
      <c r="C5181" s="3">
        <f t="shared" si="104"/>
        <v>0</v>
      </c>
      <c r="D5181" s="3">
        <f>$B$4505*(A5181)+$B$4506*(A5181)^2/2-$B$4504*(A5181)^3/6-(N(D27)*MAX(0,(A5181)-N(E27))^2/2+N(F27)*MAX(0,(A5181)-N(G27))^2/2+N(H27)*MAX(0,(A5181)-N(I27))^2/2+N(J27)*MAX(0,(A5181)-N(K27))^2/2+N(L27)*MAX(0,(A5181)-N(M27))^2/2)+$B$4507</f>
        <v>-695.31249999999989</v>
      </c>
      <c r="E5181" s="3">
        <f>$B$4505*(C5181)+$B$4506*(C5181)^2/2-$B$4504*(C5181)^3/6-(N(D27)*MAX(0,(C5181)-N(E27))^2/2+N(F27)*MAX(0,(C5181)-N(G27))^2/2+N(H27)*MAX(0,(C5181)-N(I27))^2/2+N(J27)*MAX(0,(C5181)-N(K27))^2/2+N(L27)*MAX(0,(C5181)-N(M27))^2/2)+$B$4507</f>
        <v>-695.31249999999989</v>
      </c>
    </row>
    <row r="5182" spans="1:5" hidden="1">
      <c r="A5182" s="3">
        <f t="shared" si="105"/>
        <v>0</v>
      </c>
      <c r="B5182" s="3">
        <f t="shared" si="106"/>
        <v>0</v>
      </c>
      <c r="C5182" s="3">
        <f t="shared" si="104"/>
        <v>0</v>
      </c>
      <c r="D5182" s="3">
        <f>$B$4505*(A5182)+$B$4506*(A5182)^2/2-$B$4504*(A5182)^3/6-(N(D27)*MAX(0,(A5182)-N(E27))^2/2+N(F27)*MAX(0,(A5182)-N(G27))^2/2+N(H27)*MAX(0,(A5182)-N(I27))^2/2+N(J27)*MAX(0,(A5182)-N(K27))^2/2+N(L27)*MAX(0,(A5182)-N(M27))^2/2)+$B$4507</f>
        <v>-695.31249999999989</v>
      </c>
      <c r="E5182" s="3">
        <f>$B$4505*(C5182)+$B$4506*(C5182)^2/2-$B$4504*(C5182)^3/6-(N(D27)*MAX(0,(C5182)-N(E27))^2/2+N(F27)*MAX(0,(C5182)-N(G27))^2/2+N(H27)*MAX(0,(C5182)-N(I27))^2/2+N(J27)*MAX(0,(C5182)-N(K27))^2/2+N(L27)*MAX(0,(C5182)-N(M27))^2/2)+$B$4507</f>
        <v>-695.31249999999989</v>
      </c>
    </row>
    <row r="5183" spans="1:5" hidden="1">
      <c r="A5183" s="3">
        <f t="shared" si="105"/>
        <v>0</v>
      </c>
      <c r="B5183" s="3">
        <f t="shared" si="106"/>
        <v>0</v>
      </c>
      <c r="C5183" s="3">
        <f t="shared" si="104"/>
        <v>0</v>
      </c>
      <c r="D5183" s="3">
        <f>$B$4505*(A5183)+$B$4506*(A5183)^2/2-$B$4504*(A5183)^3/6-(N(D27)*MAX(0,(A5183)-N(E27))^2/2+N(F27)*MAX(0,(A5183)-N(G27))^2/2+N(H27)*MAX(0,(A5183)-N(I27))^2/2+N(J27)*MAX(0,(A5183)-N(K27))^2/2+N(L27)*MAX(0,(A5183)-N(M27))^2/2)+$B$4507</f>
        <v>-695.31249999999989</v>
      </c>
      <c r="E5183" s="3">
        <f>$B$4505*(C5183)+$B$4506*(C5183)^2/2-$B$4504*(C5183)^3/6-(N(D27)*MAX(0,(C5183)-N(E27))^2/2+N(F27)*MAX(0,(C5183)-N(G27))^2/2+N(H27)*MAX(0,(C5183)-N(I27))^2/2+N(J27)*MAX(0,(C5183)-N(K27))^2/2+N(L27)*MAX(0,(C5183)-N(M27))^2/2)+$B$4507</f>
        <v>-695.31249999999989</v>
      </c>
    </row>
    <row r="5184" spans="1:5" hidden="1">
      <c r="A5184" s="3">
        <f t="shared" si="105"/>
        <v>0</v>
      </c>
      <c r="B5184" s="3">
        <f t="shared" si="106"/>
        <v>0</v>
      </c>
      <c r="C5184" s="3">
        <f t="shared" si="104"/>
        <v>0</v>
      </c>
      <c r="D5184" s="3">
        <f>$B$4505*(A5184)+$B$4506*(A5184)^2/2-$B$4504*(A5184)^3/6-(N(D27)*MAX(0,(A5184)-N(E27))^2/2+N(F27)*MAX(0,(A5184)-N(G27))^2/2+N(H27)*MAX(0,(A5184)-N(I27))^2/2+N(J27)*MAX(0,(A5184)-N(K27))^2/2+N(L27)*MAX(0,(A5184)-N(M27))^2/2)+$B$4507</f>
        <v>-695.31249999999989</v>
      </c>
      <c r="E5184" s="3">
        <f>$B$4505*(C5184)+$B$4506*(C5184)^2/2-$B$4504*(C5184)^3/6-(N(D27)*MAX(0,(C5184)-N(E27))^2/2+N(F27)*MAX(0,(C5184)-N(G27))^2/2+N(H27)*MAX(0,(C5184)-N(I27))^2/2+N(J27)*MAX(0,(C5184)-N(K27))^2/2+N(L27)*MAX(0,(C5184)-N(M27))^2/2)+$B$4507</f>
        <v>-695.31249999999989</v>
      </c>
    </row>
    <row r="5185" spans="1:5" hidden="1">
      <c r="A5185" s="3">
        <f t="shared" si="105"/>
        <v>0</v>
      </c>
      <c r="B5185" s="3">
        <f t="shared" si="106"/>
        <v>0</v>
      </c>
      <c r="C5185" s="3">
        <f t="shared" si="104"/>
        <v>0</v>
      </c>
      <c r="D5185" s="3">
        <f>$B$4505*(A5185)+$B$4506*(A5185)^2/2-$B$4504*(A5185)^3/6-(N(D27)*MAX(0,(A5185)-N(E27))^2/2+N(F27)*MAX(0,(A5185)-N(G27))^2/2+N(H27)*MAX(0,(A5185)-N(I27))^2/2+N(J27)*MAX(0,(A5185)-N(K27))^2/2+N(L27)*MAX(0,(A5185)-N(M27))^2/2)+$B$4507</f>
        <v>-695.31249999999989</v>
      </c>
      <c r="E5185" s="3">
        <f>$B$4505*(C5185)+$B$4506*(C5185)^2/2-$B$4504*(C5185)^3/6-(N(D27)*MAX(0,(C5185)-N(E27))^2/2+N(F27)*MAX(0,(C5185)-N(G27))^2/2+N(H27)*MAX(0,(C5185)-N(I27))^2/2+N(J27)*MAX(0,(C5185)-N(K27))^2/2+N(L27)*MAX(0,(C5185)-N(M27))^2/2)+$B$4507</f>
        <v>-695.31249999999989</v>
      </c>
    </row>
    <row r="5186" spans="1:5" hidden="1">
      <c r="A5186" s="3">
        <f t="shared" si="105"/>
        <v>0</v>
      </c>
      <c r="B5186" s="3">
        <f t="shared" si="106"/>
        <v>0</v>
      </c>
      <c r="C5186" s="3">
        <f t="shared" si="104"/>
        <v>0</v>
      </c>
      <c r="D5186" s="3">
        <f>$B$4505*(A5186)+$B$4506*(A5186)^2/2-$B$4504*(A5186)^3/6-(N(D27)*MAX(0,(A5186)-N(E27))^2/2+N(F27)*MAX(0,(A5186)-N(G27))^2/2+N(H27)*MAX(0,(A5186)-N(I27))^2/2+N(J27)*MAX(0,(A5186)-N(K27))^2/2+N(L27)*MAX(0,(A5186)-N(M27))^2/2)+$B$4507</f>
        <v>-695.31249999999989</v>
      </c>
      <c r="E5186" s="3">
        <f>$B$4505*(C5186)+$B$4506*(C5186)^2/2-$B$4504*(C5186)^3/6-(N(D27)*MAX(0,(C5186)-N(E27))^2/2+N(F27)*MAX(0,(C5186)-N(G27))^2/2+N(H27)*MAX(0,(C5186)-N(I27))^2/2+N(J27)*MAX(0,(C5186)-N(K27))^2/2+N(L27)*MAX(0,(C5186)-N(M27))^2/2)+$B$4507</f>
        <v>-695.31249999999989</v>
      </c>
    </row>
    <row r="5187" spans="1:5" hidden="1">
      <c r="A5187" s="3">
        <f t="shared" si="105"/>
        <v>0</v>
      </c>
      <c r="B5187" s="3">
        <f t="shared" si="106"/>
        <v>0</v>
      </c>
      <c r="C5187" s="3">
        <f t="shared" si="104"/>
        <v>0</v>
      </c>
      <c r="D5187" s="3">
        <f>$B$4505*(A5187)+$B$4506*(A5187)^2/2-$B$4504*(A5187)^3/6-(N(D27)*MAX(0,(A5187)-N(E27))^2/2+N(F27)*MAX(0,(A5187)-N(G27))^2/2+N(H27)*MAX(0,(A5187)-N(I27))^2/2+N(J27)*MAX(0,(A5187)-N(K27))^2/2+N(L27)*MAX(0,(A5187)-N(M27))^2/2)+$B$4507</f>
        <v>-695.31249999999989</v>
      </c>
      <c r="E5187" s="3">
        <f>$B$4505*(C5187)+$B$4506*(C5187)^2/2-$B$4504*(C5187)^3/6-(N(D27)*MAX(0,(C5187)-N(E27))^2/2+N(F27)*MAX(0,(C5187)-N(G27))^2/2+N(H27)*MAX(0,(C5187)-N(I27))^2/2+N(J27)*MAX(0,(C5187)-N(K27))^2/2+N(L27)*MAX(0,(C5187)-N(M27))^2/2)+$B$4507</f>
        <v>-695.31249999999989</v>
      </c>
    </row>
    <row r="5188" spans="1:5" hidden="1">
      <c r="A5188" s="3">
        <f t="shared" si="105"/>
        <v>0</v>
      </c>
      <c r="B5188" s="3">
        <f t="shared" si="106"/>
        <v>0</v>
      </c>
      <c r="C5188" s="3">
        <f t="shared" si="104"/>
        <v>0</v>
      </c>
      <c r="D5188" s="3">
        <f>$B$4505*(A5188)+$B$4506*(A5188)^2/2-$B$4504*(A5188)^3/6-(N(D27)*MAX(0,(A5188)-N(E27))^2/2+N(F27)*MAX(0,(A5188)-N(G27))^2/2+N(H27)*MAX(0,(A5188)-N(I27))^2/2+N(J27)*MAX(0,(A5188)-N(K27))^2/2+N(L27)*MAX(0,(A5188)-N(M27))^2/2)+$B$4507</f>
        <v>-695.31249999999989</v>
      </c>
      <c r="E5188" s="3">
        <f>$B$4505*(C5188)+$B$4506*(C5188)^2/2-$B$4504*(C5188)^3/6-(N(D27)*MAX(0,(C5188)-N(E27))^2/2+N(F27)*MAX(0,(C5188)-N(G27))^2/2+N(H27)*MAX(0,(C5188)-N(I27))^2/2+N(J27)*MAX(0,(C5188)-N(K27))^2/2+N(L27)*MAX(0,(C5188)-N(M27))^2/2)+$B$4507</f>
        <v>-695.31249999999989</v>
      </c>
    </row>
    <row r="5189" spans="1:5" hidden="1">
      <c r="A5189" s="3">
        <f t="shared" si="105"/>
        <v>0</v>
      </c>
      <c r="B5189" s="3">
        <f t="shared" si="106"/>
        <v>0</v>
      </c>
      <c r="C5189" s="3">
        <f t="shared" si="104"/>
        <v>0</v>
      </c>
      <c r="D5189" s="3">
        <f>$B$4505*(A5189)+$B$4506*(A5189)^2/2-$B$4504*(A5189)^3/6-(N(D27)*MAX(0,(A5189)-N(E27))^2/2+N(F27)*MAX(0,(A5189)-N(G27))^2/2+N(H27)*MAX(0,(A5189)-N(I27))^2/2+N(J27)*MAX(0,(A5189)-N(K27))^2/2+N(L27)*MAX(0,(A5189)-N(M27))^2/2)+$B$4507</f>
        <v>-695.31249999999989</v>
      </c>
      <c r="E5189" s="3">
        <f>$B$4505*(C5189)+$B$4506*(C5189)^2/2-$B$4504*(C5189)^3/6-(N(D27)*MAX(0,(C5189)-N(E27))^2/2+N(F27)*MAX(0,(C5189)-N(G27))^2/2+N(H27)*MAX(0,(C5189)-N(I27))^2/2+N(J27)*MAX(0,(C5189)-N(K27))^2/2+N(L27)*MAX(0,(C5189)-N(M27))^2/2)+$B$4507</f>
        <v>-695.31249999999989</v>
      </c>
    </row>
    <row r="5190" spans="1:5" hidden="1">
      <c r="A5190" s="3">
        <f t="shared" si="105"/>
        <v>0</v>
      </c>
      <c r="B5190" s="3">
        <f t="shared" si="106"/>
        <v>0</v>
      </c>
      <c r="C5190" s="3">
        <f t="shared" si="104"/>
        <v>0</v>
      </c>
      <c r="D5190" s="3">
        <f>$B$4505*(A5190)+$B$4506*(A5190)^2/2-$B$4504*(A5190)^3/6-(N(D27)*MAX(0,(A5190)-N(E27))^2/2+N(F27)*MAX(0,(A5190)-N(G27))^2/2+N(H27)*MAX(0,(A5190)-N(I27))^2/2+N(J27)*MAX(0,(A5190)-N(K27))^2/2+N(L27)*MAX(0,(A5190)-N(M27))^2/2)+$B$4507</f>
        <v>-695.31249999999989</v>
      </c>
      <c r="E5190" s="3">
        <f>$B$4505*(C5190)+$B$4506*(C5190)^2/2-$B$4504*(C5190)^3/6-(N(D27)*MAX(0,(C5190)-N(E27))^2/2+N(F27)*MAX(0,(C5190)-N(G27))^2/2+N(H27)*MAX(0,(C5190)-N(I27))^2/2+N(J27)*MAX(0,(C5190)-N(K27))^2/2+N(L27)*MAX(0,(C5190)-N(M27))^2/2)+$B$4507</f>
        <v>-695.31249999999989</v>
      </c>
    </row>
    <row r="5191" spans="1:5" hidden="1">
      <c r="A5191" s="3">
        <f t="shared" si="105"/>
        <v>0</v>
      </c>
      <c r="B5191" s="3">
        <f t="shared" si="106"/>
        <v>0</v>
      </c>
      <c r="C5191" s="3">
        <f t="shared" si="104"/>
        <v>0</v>
      </c>
      <c r="D5191" s="3">
        <f>$B$4505*(A5191)+$B$4506*(A5191)^2/2-$B$4504*(A5191)^3/6-(N(D27)*MAX(0,(A5191)-N(E27))^2/2+N(F27)*MAX(0,(A5191)-N(G27))^2/2+N(H27)*MAX(0,(A5191)-N(I27))^2/2+N(J27)*MAX(0,(A5191)-N(K27))^2/2+N(L27)*MAX(0,(A5191)-N(M27))^2/2)+$B$4507</f>
        <v>-695.31249999999989</v>
      </c>
      <c r="E5191" s="3">
        <f>$B$4505*(C5191)+$B$4506*(C5191)^2/2-$B$4504*(C5191)^3/6-(N(D27)*MAX(0,(C5191)-N(E27))^2/2+N(F27)*MAX(0,(C5191)-N(G27))^2/2+N(H27)*MAX(0,(C5191)-N(I27))^2/2+N(J27)*MAX(0,(C5191)-N(K27))^2/2+N(L27)*MAX(0,(C5191)-N(M27))^2/2)+$B$4507</f>
        <v>-695.31249999999989</v>
      </c>
    </row>
    <row r="5192" spans="1:5" hidden="1">
      <c r="A5192" s="3">
        <f t="shared" si="105"/>
        <v>0</v>
      </c>
      <c r="B5192" s="3">
        <f t="shared" si="106"/>
        <v>0</v>
      </c>
      <c r="C5192" s="3">
        <f t="shared" si="104"/>
        <v>0</v>
      </c>
      <c r="D5192" s="3">
        <f>$B$4505*(A5192)+$B$4506*(A5192)^2/2-$B$4504*(A5192)^3/6-(N(D27)*MAX(0,(A5192)-N(E27))^2/2+N(F27)*MAX(0,(A5192)-N(G27))^2/2+N(H27)*MAX(0,(A5192)-N(I27))^2/2+N(J27)*MAX(0,(A5192)-N(K27))^2/2+N(L27)*MAX(0,(A5192)-N(M27))^2/2)+$B$4507</f>
        <v>-695.31249999999989</v>
      </c>
      <c r="E5192" s="3">
        <f>$B$4505*(C5192)+$B$4506*(C5192)^2/2-$B$4504*(C5192)^3/6-(N(D27)*MAX(0,(C5192)-N(E27))^2/2+N(F27)*MAX(0,(C5192)-N(G27))^2/2+N(H27)*MAX(0,(C5192)-N(I27))^2/2+N(J27)*MAX(0,(C5192)-N(K27))^2/2+N(L27)*MAX(0,(C5192)-N(M27))^2/2)+$B$4507</f>
        <v>-695.31249999999989</v>
      </c>
    </row>
    <row r="5193" spans="1:5" hidden="1">
      <c r="A5193" s="3">
        <f t="shared" si="105"/>
        <v>0</v>
      </c>
      <c r="B5193" s="3">
        <f t="shared" si="106"/>
        <v>0</v>
      </c>
      <c r="C5193" s="3">
        <f t="shared" si="104"/>
        <v>0</v>
      </c>
      <c r="D5193" s="3">
        <f>$B$4505*(A5193)+$B$4506*(A5193)^2/2-$B$4504*(A5193)^3/6-(N(D27)*MAX(0,(A5193)-N(E27))^2/2+N(F27)*MAX(0,(A5193)-N(G27))^2/2+N(H27)*MAX(0,(A5193)-N(I27))^2/2+N(J27)*MAX(0,(A5193)-N(K27))^2/2+N(L27)*MAX(0,(A5193)-N(M27))^2/2)+$B$4507</f>
        <v>-695.31249999999989</v>
      </c>
      <c r="E5193" s="3">
        <f>$B$4505*(C5193)+$B$4506*(C5193)^2/2-$B$4504*(C5193)^3/6-(N(D27)*MAX(0,(C5193)-N(E27))^2/2+N(F27)*MAX(0,(C5193)-N(G27))^2/2+N(H27)*MAX(0,(C5193)-N(I27))^2/2+N(J27)*MAX(0,(C5193)-N(K27))^2/2+N(L27)*MAX(0,(C5193)-N(M27))^2/2)+$B$4507</f>
        <v>-695.31249999999989</v>
      </c>
    </row>
    <row r="5194" spans="1:5" hidden="1">
      <c r="A5194" s="3">
        <f t="shared" si="105"/>
        <v>0</v>
      </c>
      <c r="B5194" s="3">
        <f t="shared" si="106"/>
        <v>0</v>
      </c>
      <c r="C5194" s="3">
        <f t="shared" si="104"/>
        <v>0</v>
      </c>
      <c r="D5194" s="3">
        <f>$B$4505*(A5194)+$B$4506*(A5194)^2/2-$B$4504*(A5194)^3/6-(N(D27)*MAX(0,(A5194)-N(E27))^2/2+N(F27)*MAX(0,(A5194)-N(G27))^2/2+N(H27)*MAX(0,(A5194)-N(I27))^2/2+N(J27)*MAX(0,(A5194)-N(K27))^2/2+N(L27)*MAX(0,(A5194)-N(M27))^2/2)+$B$4507</f>
        <v>-695.31249999999989</v>
      </c>
      <c r="E5194" s="3">
        <f>$B$4505*(C5194)+$B$4506*(C5194)^2/2-$B$4504*(C5194)^3/6-(N(D27)*MAX(0,(C5194)-N(E27))^2/2+N(F27)*MAX(0,(C5194)-N(G27))^2/2+N(H27)*MAX(0,(C5194)-N(I27))^2/2+N(J27)*MAX(0,(C5194)-N(K27))^2/2+N(L27)*MAX(0,(C5194)-N(M27))^2/2)+$B$4507</f>
        <v>-695.31249999999989</v>
      </c>
    </row>
    <row r="5195" spans="1:5" hidden="1">
      <c r="A5195" s="3">
        <f t="shared" si="105"/>
        <v>0</v>
      </c>
      <c r="B5195" s="3">
        <f t="shared" si="106"/>
        <v>0</v>
      </c>
      <c r="C5195" s="3">
        <f t="shared" si="104"/>
        <v>0</v>
      </c>
      <c r="D5195" s="3">
        <f>$B$4505*(A5195)+$B$4506*(A5195)^2/2-$B$4504*(A5195)^3/6-(N(D27)*MAX(0,(A5195)-N(E27))^2/2+N(F27)*MAX(0,(A5195)-N(G27))^2/2+N(H27)*MAX(0,(A5195)-N(I27))^2/2+N(J27)*MAX(0,(A5195)-N(K27))^2/2+N(L27)*MAX(0,(A5195)-N(M27))^2/2)+$B$4507</f>
        <v>-695.31249999999989</v>
      </c>
      <c r="E5195" s="3">
        <f>$B$4505*(C5195)+$B$4506*(C5195)^2/2-$B$4504*(C5195)^3/6-(N(D27)*MAX(0,(C5195)-N(E27))^2/2+N(F27)*MAX(0,(C5195)-N(G27))^2/2+N(H27)*MAX(0,(C5195)-N(I27))^2/2+N(J27)*MAX(0,(C5195)-N(K27))^2/2+N(L27)*MAX(0,(C5195)-N(M27))^2/2)+$B$4507</f>
        <v>-695.31249999999989</v>
      </c>
    </row>
    <row r="5196" spans="1:5" hidden="1">
      <c r="A5196" s="3">
        <f t="shared" si="105"/>
        <v>0</v>
      </c>
      <c r="B5196" s="3">
        <f t="shared" si="106"/>
        <v>0</v>
      </c>
      <c r="C5196" s="3">
        <f t="shared" si="104"/>
        <v>0</v>
      </c>
      <c r="D5196" s="3">
        <f>$B$4505*(A5196)+$B$4506*(A5196)^2/2-$B$4504*(A5196)^3/6-(N(D27)*MAX(0,(A5196)-N(E27))^2/2+N(F27)*MAX(0,(A5196)-N(G27))^2/2+N(H27)*MAX(0,(A5196)-N(I27))^2/2+N(J27)*MAX(0,(A5196)-N(K27))^2/2+N(L27)*MAX(0,(A5196)-N(M27))^2/2)+$B$4507</f>
        <v>-695.31249999999989</v>
      </c>
      <c r="E5196" s="3">
        <f>$B$4505*(C5196)+$B$4506*(C5196)^2/2-$B$4504*(C5196)^3/6-(N(D27)*MAX(0,(C5196)-N(E27))^2/2+N(F27)*MAX(0,(C5196)-N(G27))^2/2+N(H27)*MAX(0,(C5196)-N(I27))^2/2+N(J27)*MAX(0,(C5196)-N(K27))^2/2+N(L27)*MAX(0,(C5196)-N(M27))^2/2)+$B$4507</f>
        <v>-695.31249999999989</v>
      </c>
    </row>
    <row r="5197" spans="1:5" hidden="1">
      <c r="A5197" s="3">
        <f t="shared" si="105"/>
        <v>0</v>
      </c>
      <c r="B5197" s="3">
        <f t="shared" si="106"/>
        <v>0</v>
      </c>
      <c r="C5197" s="3">
        <f t="shared" si="104"/>
        <v>0</v>
      </c>
      <c r="D5197" s="3">
        <f>$B$4505*(A5197)+$B$4506*(A5197)^2/2-$B$4504*(A5197)^3/6-(N(D27)*MAX(0,(A5197)-N(E27))^2/2+N(F27)*MAX(0,(A5197)-N(G27))^2/2+N(H27)*MAX(0,(A5197)-N(I27))^2/2+N(J27)*MAX(0,(A5197)-N(K27))^2/2+N(L27)*MAX(0,(A5197)-N(M27))^2/2)+$B$4507</f>
        <v>-695.31249999999989</v>
      </c>
      <c r="E5197" s="3">
        <f>$B$4505*(C5197)+$B$4506*(C5197)^2/2-$B$4504*(C5197)^3/6-(N(D27)*MAX(0,(C5197)-N(E27))^2/2+N(F27)*MAX(0,(C5197)-N(G27))^2/2+N(H27)*MAX(0,(C5197)-N(I27))^2/2+N(J27)*MAX(0,(C5197)-N(K27))^2/2+N(L27)*MAX(0,(C5197)-N(M27))^2/2)+$B$4507</f>
        <v>-695.31249999999989</v>
      </c>
    </row>
    <row r="5198" spans="1:5" hidden="1"/>
    <row r="5199" spans="1:5" hidden="1">
      <c r="A5199" s="3">
        <f>B4554</f>
        <v>0</v>
      </c>
      <c r="B5199" s="3">
        <f>IF(($B$4505*(B4554)+$B$4506*(B4554)^2/2-$B$4504*(B4554)^3/6-(N(D27)*MAX(0,(B4554)-N(E27))^2/2+N(F27)*MAX(0,(B4554)-N(G27))^2/2+N(H27)*MAX(0,(B4554)-N(I27))^2/2+N(J27)*MAX(0,(B4554)-N(K27))^2/2+N(L27)*MAX(0,(B4554)-N(M27))^2/2)+$B$4507)*($B$4505*(B4555)+$B$4506*(B4555)^2/2-$B$4504*(B4555)^3/6-(N(D27)*MAX(0,(B4555)-N(E27))^2/2+N(F27)*MAX(0,(B4555)-N(G27))^2/2+N(H27)*MAX(0,(B4555)-N(I27))^2/2+N(J27)*MAX(0,(B4555)-N(K27))^2/2+N(L27)*MAX(0,(B4555)-N(M27))^2/2)+$B$4507)&lt;=0,B4555,B4554)</f>
        <v>0</v>
      </c>
      <c r="C5199" s="3">
        <f t="shared" ref="C5199:C5243" si="107">(A5199+B5199)/2</f>
        <v>0</v>
      </c>
      <c r="D5199" s="3">
        <f>$B$4505*(A5199)+$B$4506*(A5199)^2/2-$B$4504*(A5199)^3/6-(N(D27)*MAX(0,(A5199)-N(E27))^2/2+N(F27)*MAX(0,(A5199)-N(G27))^2/2+N(H27)*MAX(0,(A5199)-N(I27))^2/2+N(J27)*MAX(0,(A5199)-N(K27))^2/2+N(L27)*MAX(0,(A5199)-N(M27))^2/2)+$B$4507</f>
        <v>-695.31249999999989</v>
      </c>
      <c r="E5199" s="3">
        <f>$B$4505*(C5199)+$B$4506*(C5199)^2/2-$B$4504*(C5199)^3/6-(N(D27)*MAX(0,(C5199)-N(E27))^2/2+N(F27)*MAX(0,(C5199)-N(G27))^2/2+N(H27)*MAX(0,(C5199)-N(I27))^2/2+N(J27)*MAX(0,(C5199)-N(K27))^2/2+N(L27)*MAX(0,(C5199)-N(M27))^2/2)+$B$4507</f>
        <v>-695.31249999999989</v>
      </c>
    </row>
    <row r="5200" spans="1:5" hidden="1">
      <c r="A5200" s="3">
        <f t="shared" ref="A5200:A5243" si="108">IF(D5199*E5199&lt;=0,A5199,C5199)</f>
        <v>0</v>
      </c>
      <c r="B5200" s="3">
        <f t="shared" ref="B5200:B5243" si="109">IF(D5199*E5199&lt;=0,C5199,B5199)</f>
        <v>0</v>
      </c>
      <c r="C5200" s="3">
        <f t="shared" si="107"/>
        <v>0</v>
      </c>
      <c r="D5200" s="3">
        <f>$B$4505*(A5200)+$B$4506*(A5200)^2/2-$B$4504*(A5200)^3/6-(N(D27)*MAX(0,(A5200)-N(E27))^2/2+N(F27)*MAX(0,(A5200)-N(G27))^2/2+N(H27)*MAX(0,(A5200)-N(I27))^2/2+N(J27)*MAX(0,(A5200)-N(K27))^2/2+N(L27)*MAX(0,(A5200)-N(M27))^2/2)+$B$4507</f>
        <v>-695.31249999999989</v>
      </c>
      <c r="E5200" s="3">
        <f>$B$4505*(C5200)+$B$4506*(C5200)^2/2-$B$4504*(C5200)^3/6-(N(D27)*MAX(0,(C5200)-N(E27))^2/2+N(F27)*MAX(0,(C5200)-N(G27))^2/2+N(H27)*MAX(0,(C5200)-N(I27))^2/2+N(J27)*MAX(0,(C5200)-N(K27))^2/2+N(L27)*MAX(0,(C5200)-N(M27))^2/2)+$B$4507</f>
        <v>-695.31249999999989</v>
      </c>
    </row>
    <row r="5201" spans="1:5" hidden="1">
      <c r="A5201" s="3">
        <f t="shared" si="108"/>
        <v>0</v>
      </c>
      <c r="B5201" s="3">
        <f t="shared" si="109"/>
        <v>0</v>
      </c>
      <c r="C5201" s="3">
        <f t="shared" si="107"/>
        <v>0</v>
      </c>
      <c r="D5201" s="3">
        <f>$B$4505*(A5201)+$B$4506*(A5201)^2/2-$B$4504*(A5201)^3/6-(N(D27)*MAX(0,(A5201)-N(E27))^2/2+N(F27)*MAX(0,(A5201)-N(G27))^2/2+N(H27)*MAX(0,(A5201)-N(I27))^2/2+N(J27)*MAX(0,(A5201)-N(K27))^2/2+N(L27)*MAX(0,(A5201)-N(M27))^2/2)+$B$4507</f>
        <v>-695.31249999999989</v>
      </c>
      <c r="E5201" s="3">
        <f>$B$4505*(C5201)+$B$4506*(C5201)^2/2-$B$4504*(C5201)^3/6-(N(D27)*MAX(0,(C5201)-N(E27))^2/2+N(F27)*MAX(0,(C5201)-N(G27))^2/2+N(H27)*MAX(0,(C5201)-N(I27))^2/2+N(J27)*MAX(0,(C5201)-N(K27))^2/2+N(L27)*MAX(0,(C5201)-N(M27))^2/2)+$B$4507</f>
        <v>-695.31249999999989</v>
      </c>
    </row>
    <row r="5202" spans="1:5" hidden="1">
      <c r="A5202" s="3">
        <f t="shared" si="108"/>
        <v>0</v>
      </c>
      <c r="B5202" s="3">
        <f t="shared" si="109"/>
        <v>0</v>
      </c>
      <c r="C5202" s="3">
        <f t="shared" si="107"/>
        <v>0</v>
      </c>
      <c r="D5202" s="3">
        <f>$B$4505*(A5202)+$B$4506*(A5202)^2/2-$B$4504*(A5202)^3/6-(N(D27)*MAX(0,(A5202)-N(E27))^2/2+N(F27)*MAX(0,(A5202)-N(G27))^2/2+N(H27)*MAX(0,(A5202)-N(I27))^2/2+N(J27)*MAX(0,(A5202)-N(K27))^2/2+N(L27)*MAX(0,(A5202)-N(M27))^2/2)+$B$4507</f>
        <v>-695.31249999999989</v>
      </c>
      <c r="E5202" s="3">
        <f>$B$4505*(C5202)+$B$4506*(C5202)^2/2-$B$4504*(C5202)^3/6-(N(D27)*MAX(0,(C5202)-N(E27))^2/2+N(F27)*MAX(0,(C5202)-N(G27))^2/2+N(H27)*MAX(0,(C5202)-N(I27))^2/2+N(J27)*MAX(0,(C5202)-N(K27))^2/2+N(L27)*MAX(0,(C5202)-N(M27))^2/2)+$B$4507</f>
        <v>-695.31249999999989</v>
      </c>
    </row>
    <row r="5203" spans="1:5" hidden="1">
      <c r="A5203" s="3">
        <f t="shared" si="108"/>
        <v>0</v>
      </c>
      <c r="B5203" s="3">
        <f t="shared" si="109"/>
        <v>0</v>
      </c>
      <c r="C5203" s="3">
        <f t="shared" si="107"/>
        <v>0</v>
      </c>
      <c r="D5203" s="3">
        <f>$B$4505*(A5203)+$B$4506*(A5203)^2/2-$B$4504*(A5203)^3/6-(N(D27)*MAX(0,(A5203)-N(E27))^2/2+N(F27)*MAX(0,(A5203)-N(G27))^2/2+N(H27)*MAX(0,(A5203)-N(I27))^2/2+N(J27)*MAX(0,(A5203)-N(K27))^2/2+N(L27)*MAX(0,(A5203)-N(M27))^2/2)+$B$4507</f>
        <v>-695.31249999999989</v>
      </c>
      <c r="E5203" s="3">
        <f>$B$4505*(C5203)+$B$4506*(C5203)^2/2-$B$4504*(C5203)^3/6-(N(D27)*MAX(0,(C5203)-N(E27))^2/2+N(F27)*MAX(0,(C5203)-N(G27))^2/2+N(H27)*MAX(0,(C5203)-N(I27))^2/2+N(J27)*MAX(0,(C5203)-N(K27))^2/2+N(L27)*MAX(0,(C5203)-N(M27))^2/2)+$B$4507</f>
        <v>-695.31249999999989</v>
      </c>
    </row>
    <row r="5204" spans="1:5" hidden="1">
      <c r="A5204" s="3">
        <f t="shared" si="108"/>
        <v>0</v>
      </c>
      <c r="B5204" s="3">
        <f t="shared" si="109"/>
        <v>0</v>
      </c>
      <c r="C5204" s="3">
        <f t="shared" si="107"/>
        <v>0</v>
      </c>
      <c r="D5204" s="3">
        <f>$B$4505*(A5204)+$B$4506*(A5204)^2/2-$B$4504*(A5204)^3/6-(N(D27)*MAX(0,(A5204)-N(E27))^2/2+N(F27)*MAX(0,(A5204)-N(G27))^2/2+N(H27)*MAX(0,(A5204)-N(I27))^2/2+N(J27)*MAX(0,(A5204)-N(K27))^2/2+N(L27)*MAX(0,(A5204)-N(M27))^2/2)+$B$4507</f>
        <v>-695.31249999999989</v>
      </c>
      <c r="E5204" s="3">
        <f>$B$4505*(C5204)+$B$4506*(C5204)^2/2-$B$4504*(C5204)^3/6-(N(D27)*MAX(0,(C5204)-N(E27))^2/2+N(F27)*MAX(0,(C5204)-N(G27))^2/2+N(H27)*MAX(0,(C5204)-N(I27))^2/2+N(J27)*MAX(0,(C5204)-N(K27))^2/2+N(L27)*MAX(0,(C5204)-N(M27))^2/2)+$B$4507</f>
        <v>-695.31249999999989</v>
      </c>
    </row>
    <row r="5205" spans="1:5" hidden="1">
      <c r="A5205" s="3">
        <f t="shared" si="108"/>
        <v>0</v>
      </c>
      <c r="B5205" s="3">
        <f t="shared" si="109"/>
        <v>0</v>
      </c>
      <c r="C5205" s="3">
        <f t="shared" si="107"/>
        <v>0</v>
      </c>
      <c r="D5205" s="3">
        <f>$B$4505*(A5205)+$B$4506*(A5205)^2/2-$B$4504*(A5205)^3/6-(N(D27)*MAX(0,(A5205)-N(E27))^2/2+N(F27)*MAX(0,(A5205)-N(G27))^2/2+N(H27)*MAX(0,(A5205)-N(I27))^2/2+N(J27)*MAX(0,(A5205)-N(K27))^2/2+N(L27)*MAX(0,(A5205)-N(M27))^2/2)+$B$4507</f>
        <v>-695.31249999999989</v>
      </c>
      <c r="E5205" s="3">
        <f>$B$4505*(C5205)+$B$4506*(C5205)^2/2-$B$4504*(C5205)^3/6-(N(D27)*MAX(0,(C5205)-N(E27))^2/2+N(F27)*MAX(0,(C5205)-N(G27))^2/2+N(H27)*MAX(0,(C5205)-N(I27))^2/2+N(J27)*MAX(0,(C5205)-N(K27))^2/2+N(L27)*MAX(0,(C5205)-N(M27))^2/2)+$B$4507</f>
        <v>-695.31249999999989</v>
      </c>
    </row>
    <row r="5206" spans="1:5" hidden="1">
      <c r="A5206" s="3">
        <f t="shared" si="108"/>
        <v>0</v>
      </c>
      <c r="B5206" s="3">
        <f t="shared" si="109"/>
        <v>0</v>
      </c>
      <c r="C5206" s="3">
        <f t="shared" si="107"/>
        <v>0</v>
      </c>
      <c r="D5206" s="3">
        <f>$B$4505*(A5206)+$B$4506*(A5206)^2/2-$B$4504*(A5206)^3/6-(N(D27)*MAX(0,(A5206)-N(E27))^2/2+N(F27)*MAX(0,(A5206)-N(G27))^2/2+N(H27)*MAX(0,(A5206)-N(I27))^2/2+N(J27)*MAX(0,(A5206)-N(K27))^2/2+N(L27)*MAX(0,(A5206)-N(M27))^2/2)+$B$4507</f>
        <v>-695.31249999999989</v>
      </c>
      <c r="E5206" s="3">
        <f>$B$4505*(C5206)+$B$4506*(C5206)^2/2-$B$4504*(C5206)^3/6-(N(D27)*MAX(0,(C5206)-N(E27))^2/2+N(F27)*MAX(0,(C5206)-N(G27))^2/2+N(H27)*MAX(0,(C5206)-N(I27))^2/2+N(J27)*MAX(0,(C5206)-N(K27))^2/2+N(L27)*MAX(0,(C5206)-N(M27))^2/2)+$B$4507</f>
        <v>-695.31249999999989</v>
      </c>
    </row>
    <row r="5207" spans="1:5" hidden="1">
      <c r="A5207" s="3">
        <f t="shared" si="108"/>
        <v>0</v>
      </c>
      <c r="B5207" s="3">
        <f t="shared" si="109"/>
        <v>0</v>
      </c>
      <c r="C5207" s="3">
        <f t="shared" si="107"/>
        <v>0</v>
      </c>
      <c r="D5207" s="3">
        <f>$B$4505*(A5207)+$B$4506*(A5207)^2/2-$B$4504*(A5207)^3/6-(N(D27)*MAX(0,(A5207)-N(E27))^2/2+N(F27)*MAX(0,(A5207)-N(G27))^2/2+N(H27)*MAX(0,(A5207)-N(I27))^2/2+N(J27)*MAX(0,(A5207)-N(K27))^2/2+N(L27)*MAX(0,(A5207)-N(M27))^2/2)+$B$4507</f>
        <v>-695.31249999999989</v>
      </c>
      <c r="E5207" s="3">
        <f>$B$4505*(C5207)+$B$4506*(C5207)^2/2-$B$4504*(C5207)^3/6-(N(D27)*MAX(0,(C5207)-N(E27))^2/2+N(F27)*MAX(0,(C5207)-N(G27))^2/2+N(H27)*MAX(0,(C5207)-N(I27))^2/2+N(J27)*MAX(0,(C5207)-N(K27))^2/2+N(L27)*MAX(0,(C5207)-N(M27))^2/2)+$B$4507</f>
        <v>-695.31249999999989</v>
      </c>
    </row>
    <row r="5208" spans="1:5" hidden="1">
      <c r="A5208" s="3">
        <f t="shared" si="108"/>
        <v>0</v>
      </c>
      <c r="B5208" s="3">
        <f t="shared" si="109"/>
        <v>0</v>
      </c>
      <c r="C5208" s="3">
        <f t="shared" si="107"/>
        <v>0</v>
      </c>
      <c r="D5208" s="3">
        <f>$B$4505*(A5208)+$B$4506*(A5208)^2/2-$B$4504*(A5208)^3/6-(N(D27)*MAX(0,(A5208)-N(E27))^2/2+N(F27)*MAX(0,(A5208)-N(G27))^2/2+N(H27)*MAX(0,(A5208)-N(I27))^2/2+N(J27)*MAX(0,(A5208)-N(K27))^2/2+N(L27)*MAX(0,(A5208)-N(M27))^2/2)+$B$4507</f>
        <v>-695.31249999999989</v>
      </c>
      <c r="E5208" s="3">
        <f>$B$4505*(C5208)+$B$4506*(C5208)^2/2-$B$4504*(C5208)^3/6-(N(D27)*MAX(0,(C5208)-N(E27))^2/2+N(F27)*MAX(0,(C5208)-N(G27))^2/2+N(H27)*MAX(0,(C5208)-N(I27))^2/2+N(J27)*MAX(0,(C5208)-N(K27))^2/2+N(L27)*MAX(0,(C5208)-N(M27))^2/2)+$B$4507</f>
        <v>-695.31249999999989</v>
      </c>
    </row>
    <row r="5209" spans="1:5" hidden="1">
      <c r="A5209" s="3">
        <f t="shared" si="108"/>
        <v>0</v>
      </c>
      <c r="B5209" s="3">
        <f t="shared" si="109"/>
        <v>0</v>
      </c>
      <c r="C5209" s="3">
        <f t="shared" si="107"/>
        <v>0</v>
      </c>
      <c r="D5209" s="3">
        <f>$B$4505*(A5209)+$B$4506*(A5209)^2/2-$B$4504*(A5209)^3/6-(N(D27)*MAX(0,(A5209)-N(E27))^2/2+N(F27)*MAX(0,(A5209)-N(G27))^2/2+N(H27)*MAX(0,(A5209)-N(I27))^2/2+N(J27)*MAX(0,(A5209)-N(K27))^2/2+N(L27)*MAX(0,(A5209)-N(M27))^2/2)+$B$4507</f>
        <v>-695.31249999999989</v>
      </c>
      <c r="E5209" s="3">
        <f>$B$4505*(C5209)+$B$4506*(C5209)^2/2-$B$4504*(C5209)^3/6-(N(D27)*MAX(0,(C5209)-N(E27))^2/2+N(F27)*MAX(0,(C5209)-N(G27))^2/2+N(H27)*MAX(0,(C5209)-N(I27))^2/2+N(J27)*MAX(0,(C5209)-N(K27))^2/2+N(L27)*MAX(0,(C5209)-N(M27))^2/2)+$B$4507</f>
        <v>-695.31249999999989</v>
      </c>
    </row>
    <row r="5210" spans="1:5" hidden="1">
      <c r="A5210" s="3">
        <f t="shared" si="108"/>
        <v>0</v>
      </c>
      <c r="B5210" s="3">
        <f t="shared" si="109"/>
        <v>0</v>
      </c>
      <c r="C5210" s="3">
        <f t="shared" si="107"/>
        <v>0</v>
      </c>
      <c r="D5210" s="3">
        <f>$B$4505*(A5210)+$B$4506*(A5210)^2/2-$B$4504*(A5210)^3/6-(N(D27)*MAX(0,(A5210)-N(E27))^2/2+N(F27)*MAX(0,(A5210)-N(G27))^2/2+N(H27)*MAX(0,(A5210)-N(I27))^2/2+N(J27)*MAX(0,(A5210)-N(K27))^2/2+N(L27)*MAX(0,(A5210)-N(M27))^2/2)+$B$4507</f>
        <v>-695.31249999999989</v>
      </c>
      <c r="E5210" s="3">
        <f>$B$4505*(C5210)+$B$4506*(C5210)^2/2-$B$4504*(C5210)^3/6-(N(D27)*MAX(0,(C5210)-N(E27))^2/2+N(F27)*MAX(0,(C5210)-N(G27))^2/2+N(H27)*MAX(0,(C5210)-N(I27))^2/2+N(J27)*MAX(0,(C5210)-N(K27))^2/2+N(L27)*MAX(0,(C5210)-N(M27))^2/2)+$B$4507</f>
        <v>-695.31249999999989</v>
      </c>
    </row>
    <row r="5211" spans="1:5" hidden="1">
      <c r="A5211" s="3">
        <f t="shared" si="108"/>
        <v>0</v>
      </c>
      <c r="B5211" s="3">
        <f t="shared" si="109"/>
        <v>0</v>
      </c>
      <c r="C5211" s="3">
        <f t="shared" si="107"/>
        <v>0</v>
      </c>
      <c r="D5211" s="3">
        <f>$B$4505*(A5211)+$B$4506*(A5211)^2/2-$B$4504*(A5211)^3/6-(N(D27)*MAX(0,(A5211)-N(E27))^2/2+N(F27)*MAX(0,(A5211)-N(G27))^2/2+N(H27)*MAX(0,(A5211)-N(I27))^2/2+N(J27)*MAX(0,(A5211)-N(K27))^2/2+N(L27)*MAX(0,(A5211)-N(M27))^2/2)+$B$4507</f>
        <v>-695.31249999999989</v>
      </c>
      <c r="E5211" s="3">
        <f>$B$4505*(C5211)+$B$4506*(C5211)^2/2-$B$4504*(C5211)^3/6-(N(D27)*MAX(0,(C5211)-N(E27))^2/2+N(F27)*MAX(0,(C5211)-N(G27))^2/2+N(H27)*MAX(0,(C5211)-N(I27))^2/2+N(J27)*MAX(0,(C5211)-N(K27))^2/2+N(L27)*MAX(0,(C5211)-N(M27))^2/2)+$B$4507</f>
        <v>-695.31249999999989</v>
      </c>
    </row>
    <row r="5212" spans="1:5" hidden="1">
      <c r="A5212" s="3">
        <f t="shared" si="108"/>
        <v>0</v>
      </c>
      <c r="B5212" s="3">
        <f t="shared" si="109"/>
        <v>0</v>
      </c>
      <c r="C5212" s="3">
        <f t="shared" si="107"/>
        <v>0</v>
      </c>
      <c r="D5212" s="3">
        <f>$B$4505*(A5212)+$B$4506*(A5212)^2/2-$B$4504*(A5212)^3/6-(N(D27)*MAX(0,(A5212)-N(E27))^2/2+N(F27)*MAX(0,(A5212)-N(G27))^2/2+N(H27)*MAX(0,(A5212)-N(I27))^2/2+N(J27)*MAX(0,(A5212)-N(K27))^2/2+N(L27)*MAX(0,(A5212)-N(M27))^2/2)+$B$4507</f>
        <v>-695.31249999999989</v>
      </c>
      <c r="E5212" s="3">
        <f>$B$4505*(C5212)+$B$4506*(C5212)^2/2-$B$4504*(C5212)^3/6-(N(D27)*MAX(0,(C5212)-N(E27))^2/2+N(F27)*MAX(0,(C5212)-N(G27))^2/2+N(H27)*MAX(0,(C5212)-N(I27))^2/2+N(J27)*MAX(0,(C5212)-N(K27))^2/2+N(L27)*MAX(0,(C5212)-N(M27))^2/2)+$B$4507</f>
        <v>-695.31249999999989</v>
      </c>
    </row>
    <row r="5213" spans="1:5" hidden="1">
      <c r="A5213" s="3">
        <f t="shared" si="108"/>
        <v>0</v>
      </c>
      <c r="B5213" s="3">
        <f t="shared" si="109"/>
        <v>0</v>
      </c>
      <c r="C5213" s="3">
        <f t="shared" si="107"/>
        <v>0</v>
      </c>
      <c r="D5213" s="3">
        <f>$B$4505*(A5213)+$B$4506*(A5213)^2/2-$B$4504*(A5213)^3/6-(N(D27)*MAX(0,(A5213)-N(E27))^2/2+N(F27)*MAX(0,(A5213)-N(G27))^2/2+N(H27)*MAX(0,(A5213)-N(I27))^2/2+N(J27)*MAX(0,(A5213)-N(K27))^2/2+N(L27)*MAX(0,(A5213)-N(M27))^2/2)+$B$4507</f>
        <v>-695.31249999999989</v>
      </c>
      <c r="E5213" s="3">
        <f>$B$4505*(C5213)+$B$4506*(C5213)^2/2-$B$4504*(C5213)^3/6-(N(D27)*MAX(0,(C5213)-N(E27))^2/2+N(F27)*MAX(0,(C5213)-N(G27))^2/2+N(H27)*MAX(0,(C5213)-N(I27))^2/2+N(J27)*MAX(0,(C5213)-N(K27))^2/2+N(L27)*MAX(0,(C5213)-N(M27))^2/2)+$B$4507</f>
        <v>-695.31249999999989</v>
      </c>
    </row>
    <row r="5214" spans="1:5" hidden="1">
      <c r="A5214" s="3">
        <f t="shared" si="108"/>
        <v>0</v>
      </c>
      <c r="B5214" s="3">
        <f t="shared" si="109"/>
        <v>0</v>
      </c>
      <c r="C5214" s="3">
        <f t="shared" si="107"/>
        <v>0</v>
      </c>
      <c r="D5214" s="3">
        <f>$B$4505*(A5214)+$B$4506*(A5214)^2/2-$B$4504*(A5214)^3/6-(N(D27)*MAX(0,(A5214)-N(E27))^2/2+N(F27)*MAX(0,(A5214)-N(G27))^2/2+N(H27)*MAX(0,(A5214)-N(I27))^2/2+N(J27)*MAX(0,(A5214)-N(K27))^2/2+N(L27)*MAX(0,(A5214)-N(M27))^2/2)+$B$4507</f>
        <v>-695.31249999999989</v>
      </c>
      <c r="E5214" s="3">
        <f>$B$4505*(C5214)+$B$4506*(C5214)^2/2-$B$4504*(C5214)^3/6-(N(D27)*MAX(0,(C5214)-N(E27))^2/2+N(F27)*MAX(0,(C5214)-N(G27))^2/2+N(H27)*MAX(0,(C5214)-N(I27))^2/2+N(J27)*MAX(0,(C5214)-N(K27))^2/2+N(L27)*MAX(0,(C5214)-N(M27))^2/2)+$B$4507</f>
        <v>-695.31249999999989</v>
      </c>
    </row>
    <row r="5215" spans="1:5" hidden="1">
      <c r="A5215" s="3">
        <f t="shared" si="108"/>
        <v>0</v>
      </c>
      <c r="B5215" s="3">
        <f t="shared" si="109"/>
        <v>0</v>
      </c>
      <c r="C5215" s="3">
        <f t="shared" si="107"/>
        <v>0</v>
      </c>
      <c r="D5215" s="3">
        <f>$B$4505*(A5215)+$B$4506*(A5215)^2/2-$B$4504*(A5215)^3/6-(N(D27)*MAX(0,(A5215)-N(E27))^2/2+N(F27)*MAX(0,(A5215)-N(G27))^2/2+N(H27)*MAX(0,(A5215)-N(I27))^2/2+N(J27)*MAX(0,(A5215)-N(K27))^2/2+N(L27)*MAX(0,(A5215)-N(M27))^2/2)+$B$4507</f>
        <v>-695.31249999999989</v>
      </c>
      <c r="E5215" s="3">
        <f>$B$4505*(C5215)+$B$4506*(C5215)^2/2-$B$4504*(C5215)^3/6-(N(D27)*MAX(0,(C5215)-N(E27))^2/2+N(F27)*MAX(0,(C5215)-N(G27))^2/2+N(H27)*MAX(0,(C5215)-N(I27))^2/2+N(J27)*MAX(0,(C5215)-N(K27))^2/2+N(L27)*MAX(0,(C5215)-N(M27))^2/2)+$B$4507</f>
        <v>-695.31249999999989</v>
      </c>
    </row>
    <row r="5216" spans="1:5" hidden="1">
      <c r="A5216" s="3">
        <f t="shared" si="108"/>
        <v>0</v>
      </c>
      <c r="B5216" s="3">
        <f t="shared" si="109"/>
        <v>0</v>
      </c>
      <c r="C5216" s="3">
        <f t="shared" si="107"/>
        <v>0</v>
      </c>
      <c r="D5216" s="3">
        <f>$B$4505*(A5216)+$B$4506*(A5216)^2/2-$B$4504*(A5216)^3/6-(N(D27)*MAX(0,(A5216)-N(E27))^2/2+N(F27)*MAX(0,(A5216)-N(G27))^2/2+N(H27)*MAX(0,(A5216)-N(I27))^2/2+N(J27)*MAX(0,(A5216)-N(K27))^2/2+N(L27)*MAX(0,(A5216)-N(M27))^2/2)+$B$4507</f>
        <v>-695.31249999999989</v>
      </c>
      <c r="E5216" s="3">
        <f>$B$4505*(C5216)+$B$4506*(C5216)^2/2-$B$4504*(C5216)^3/6-(N(D27)*MAX(0,(C5216)-N(E27))^2/2+N(F27)*MAX(0,(C5216)-N(G27))^2/2+N(H27)*MAX(0,(C5216)-N(I27))^2/2+N(J27)*MAX(0,(C5216)-N(K27))^2/2+N(L27)*MAX(0,(C5216)-N(M27))^2/2)+$B$4507</f>
        <v>-695.31249999999989</v>
      </c>
    </row>
    <row r="5217" spans="1:5" hidden="1">
      <c r="A5217" s="3">
        <f t="shared" si="108"/>
        <v>0</v>
      </c>
      <c r="B5217" s="3">
        <f t="shared" si="109"/>
        <v>0</v>
      </c>
      <c r="C5217" s="3">
        <f t="shared" si="107"/>
        <v>0</v>
      </c>
      <c r="D5217" s="3">
        <f>$B$4505*(A5217)+$B$4506*(A5217)^2/2-$B$4504*(A5217)^3/6-(N(D27)*MAX(0,(A5217)-N(E27))^2/2+N(F27)*MAX(0,(A5217)-N(G27))^2/2+N(H27)*MAX(0,(A5217)-N(I27))^2/2+N(J27)*MAX(0,(A5217)-N(K27))^2/2+N(L27)*MAX(0,(A5217)-N(M27))^2/2)+$B$4507</f>
        <v>-695.31249999999989</v>
      </c>
      <c r="E5217" s="3">
        <f>$B$4505*(C5217)+$B$4506*(C5217)^2/2-$B$4504*(C5217)^3/6-(N(D27)*MAX(0,(C5217)-N(E27))^2/2+N(F27)*MAX(0,(C5217)-N(G27))^2/2+N(H27)*MAX(0,(C5217)-N(I27))^2/2+N(J27)*MAX(0,(C5217)-N(K27))^2/2+N(L27)*MAX(0,(C5217)-N(M27))^2/2)+$B$4507</f>
        <v>-695.31249999999989</v>
      </c>
    </row>
    <row r="5218" spans="1:5" hidden="1">
      <c r="A5218" s="3">
        <f t="shared" si="108"/>
        <v>0</v>
      </c>
      <c r="B5218" s="3">
        <f t="shared" si="109"/>
        <v>0</v>
      </c>
      <c r="C5218" s="3">
        <f t="shared" si="107"/>
        <v>0</v>
      </c>
      <c r="D5218" s="3">
        <f>$B$4505*(A5218)+$B$4506*(A5218)^2/2-$B$4504*(A5218)^3/6-(N(D27)*MAX(0,(A5218)-N(E27))^2/2+N(F27)*MAX(0,(A5218)-N(G27))^2/2+N(H27)*MAX(0,(A5218)-N(I27))^2/2+N(J27)*MAX(0,(A5218)-N(K27))^2/2+N(L27)*MAX(0,(A5218)-N(M27))^2/2)+$B$4507</f>
        <v>-695.31249999999989</v>
      </c>
      <c r="E5218" s="3">
        <f>$B$4505*(C5218)+$B$4506*(C5218)^2/2-$B$4504*(C5218)^3/6-(N(D27)*MAX(0,(C5218)-N(E27))^2/2+N(F27)*MAX(0,(C5218)-N(G27))^2/2+N(H27)*MAX(0,(C5218)-N(I27))^2/2+N(J27)*MAX(0,(C5218)-N(K27))^2/2+N(L27)*MAX(0,(C5218)-N(M27))^2/2)+$B$4507</f>
        <v>-695.31249999999989</v>
      </c>
    </row>
    <row r="5219" spans="1:5" hidden="1">
      <c r="A5219" s="3">
        <f t="shared" si="108"/>
        <v>0</v>
      </c>
      <c r="B5219" s="3">
        <f t="shared" si="109"/>
        <v>0</v>
      </c>
      <c r="C5219" s="3">
        <f t="shared" si="107"/>
        <v>0</v>
      </c>
      <c r="D5219" s="3">
        <f>$B$4505*(A5219)+$B$4506*(A5219)^2/2-$B$4504*(A5219)^3/6-(N(D27)*MAX(0,(A5219)-N(E27))^2/2+N(F27)*MAX(0,(A5219)-N(G27))^2/2+N(H27)*MAX(0,(A5219)-N(I27))^2/2+N(J27)*MAX(0,(A5219)-N(K27))^2/2+N(L27)*MAX(0,(A5219)-N(M27))^2/2)+$B$4507</f>
        <v>-695.31249999999989</v>
      </c>
      <c r="E5219" s="3">
        <f>$B$4505*(C5219)+$B$4506*(C5219)^2/2-$B$4504*(C5219)^3/6-(N(D27)*MAX(0,(C5219)-N(E27))^2/2+N(F27)*MAX(0,(C5219)-N(G27))^2/2+N(H27)*MAX(0,(C5219)-N(I27))^2/2+N(J27)*MAX(0,(C5219)-N(K27))^2/2+N(L27)*MAX(0,(C5219)-N(M27))^2/2)+$B$4507</f>
        <v>-695.31249999999989</v>
      </c>
    </row>
    <row r="5220" spans="1:5" hidden="1">
      <c r="A5220" s="3">
        <f t="shared" si="108"/>
        <v>0</v>
      </c>
      <c r="B5220" s="3">
        <f t="shared" si="109"/>
        <v>0</v>
      </c>
      <c r="C5220" s="3">
        <f t="shared" si="107"/>
        <v>0</v>
      </c>
      <c r="D5220" s="3">
        <f>$B$4505*(A5220)+$B$4506*(A5220)^2/2-$B$4504*(A5220)^3/6-(N(D27)*MAX(0,(A5220)-N(E27))^2/2+N(F27)*MAX(0,(A5220)-N(G27))^2/2+N(H27)*MAX(0,(A5220)-N(I27))^2/2+N(J27)*MAX(0,(A5220)-N(K27))^2/2+N(L27)*MAX(0,(A5220)-N(M27))^2/2)+$B$4507</f>
        <v>-695.31249999999989</v>
      </c>
      <c r="E5220" s="3">
        <f>$B$4505*(C5220)+$B$4506*(C5220)^2/2-$B$4504*(C5220)^3/6-(N(D27)*MAX(0,(C5220)-N(E27))^2/2+N(F27)*MAX(0,(C5220)-N(G27))^2/2+N(H27)*MAX(0,(C5220)-N(I27))^2/2+N(J27)*MAX(0,(C5220)-N(K27))^2/2+N(L27)*MAX(0,(C5220)-N(M27))^2/2)+$B$4507</f>
        <v>-695.31249999999989</v>
      </c>
    </row>
    <row r="5221" spans="1:5" hidden="1">
      <c r="A5221" s="3">
        <f t="shared" si="108"/>
        <v>0</v>
      </c>
      <c r="B5221" s="3">
        <f t="shared" si="109"/>
        <v>0</v>
      </c>
      <c r="C5221" s="3">
        <f t="shared" si="107"/>
        <v>0</v>
      </c>
      <c r="D5221" s="3">
        <f>$B$4505*(A5221)+$B$4506*(A5221)^2/2-$B$4504*(A5221)^3/6-(N(D27)*MAX(0,(A5221)-N(E27))^2/2+N(F27)*MAX(0,(A5221)-N(G27))^2/2+N(H27)*MAX(0,(A5221)-N(I27))^2/2+N(J27)*MAX(0,(A5221)-N(K27))^2/2+N(L27)*MAX(0,(A5221)-N(M27))^2/2)+$B$4507</f>
        <v>-695.31249999999989</v>
      </c>
      <c r="E5221" s="3">
        <f>$B$4505*(C5221)+$B$4506*(C5221)^2/2-$B$4504*(C5221)^3/6-(N(D27)*MAX(0,(C5221)-N(E27))^2/2+N(F27)*MAX(0,(C5221)-N(G27))^2/2+N(H27)*MAX(0,(C5221)-N(I27))^2/2+N(J27)*MAX(0,(C5221)-N(K27))^2/2+N(L27)*MAX(0,(C5221)-N(M27))^2/2)+$B$4507</f>
        <v>-695.31249999999989</v>
      </c>
    </row>
    <row r="5222" spans="1:5" hidden="1">
      <c r="A5222" s="3">
        <f t="shared" si="108"/>
        <v>0</v>
      </c>
      <c r="B5222" s="3">
        <f t="shared" si="109"/>
        <v>0</v>
      </c>
      <c r="C5222" s="3">
        <f t="shared" si="107"/>
        <v>0</v>
      </c>
      <c r="D5222" s="3">
        <f>$B$4505*(A5222)+$B$4506*(A5222)^2/2-$B$4504*(A5222)^3/6-(N(D27)*MAX(0,(A5222)-N(E27))^2/2+N(F27)*MAX(0,(A5222)-N(G27))^2/2+N(H27)*MAX(0,(A5222)-N(I27))^2/2+N(J27)*MAX(0,(A5222)-N(K27))^2/2+N(L27)*MAX(0,(A5222)-N(M27))^2/2)+$B$4507</f>
        <v>-695.31249999999989</v>
      </c>
      <c r="E5222" s="3">
        <f>$B$4505*(C5222)+$B$4506*(C5222)^2/2-$B$4504*(C5222)^3/6-(N(D27)*MAX(0,(C5222)-N(E27))^2/2+N(F27)*MAX(0,(C5222)-N(G27))^2/2+N(H27)*MAX(0,(C5222)-N(I27))^2/2+N(J27)*MAX(0,(C5222)-N(K27))^2/2+N(L27)*MAX(0,(C5222)-N(M27))^2/2)+$B$4507</f>
        <v>-695.31249999999989</v>
      </c>
    </row>
    <row r="5223" spans="1:5" hidden="1">
      <c r="A5223" s="3">
        <f t="shared" si="108"/>
        <v>0</v>
      </c>
      <c r="B5223" s="3">
        <f t="shared" si="109"/>
        <v>0</v>
      </c>
      <c r="C5223" s="3">
        <f t="shared" si="107"/>
        <v>0</v>
      </c>
      <c r="D5223" s="3">
        <f>$B$4505*(A5223)+$B$4506*(A5223)^2/2-$B$4504*(A5223)^3/6-(N(D27)*MAX(0,(A5223)-N(E27))^2/2+N(F27)*MAX(0,(A5223)-N(G27))^2/2+N(H27)*MAX(0,(A5223)-N(I27))^2/2+N(J27)*MAX(0,(A5223)-N(K27))^2/2+N(L27)*MAX(0,(A5223)-N(M27))^2/2)+$B$4507</f>
        <v>-695.31249999999989</v>
      </c>
      <c r="E5223" s="3">
        <f>$B$4505*(C5223)+$B$4506*(C5223)^2/2-$B$4504*(C5223)^3/6-(N(D27)*MAX(0,(C5223)-N(E27))^2/2+N(F27)*MAX(0,(C5223)-N(G27))^2/2+N(H27)*MAX(0,(C5223)-N(I27))^2/2+N(J27)*MAX(0,(C5223)-N(K27))^2/2+N(L27)*MAX(0,(C5223)-N(M27))^2/2)+$B$4507</f>
        <v>-695.31249999999989</v>
      </c>
    </row>
    <row r="5224" spans="1:5" hidden="1">
      <c r="A5224" s="3">
        <f t="shared" si="108"/>
        <v>0</v>
      </c>
      <c r="B5224" s="3">
        <f t="shared" si="109"/>
        <v>0</v>
      </c>
      <c r="C5224" s="3">
        <f t="shared" si="107"/>
        <v>0</v>
      </c>
      <c r="D5224" s="3">
        <f>$B$4505*(A5224)+$B$4506*(A5224)^2/2-$B$4504*(A5224)^3/6-(N(D27)*MAX(0,(A5224)-N(E27))^2/2+N(F27)*MAX(0,(A5224)-N(G27))^2/2+N(H27)*MAX(0,(A5224)-N(I27))^2/2+N(J27)*MAX(0,(A5224)-N(K27))^2/2+N(L27)*MAX(0,(A5224)-N(M27))^2/2)+$B$4507</f>
        <v>-695.31249999999989</v>
      </c>
      <c r="E5224" s="3">
        <f>$B$4505*(C5224)+$B$4506*(C5224)^2/2-$B$4504*(C5224)^3/6-(N(D27)*MAX(0,(C5224)-N(E27))^2/2+N(F27)*MAX(0,(C5224)-N(G27))^2/2+N(H27)*MAX(0,(C5224)-N(I27))^2/2+N(J27)*MAX(0,(C5224)-N(K27))^2/2+N(L27)*MAX(0,(C5224)-N(M27))^2/2)+$B$4507</f>
        <v>-695.31249999999989</v>
      </c>
    </row>
    <row r="5225" spans="1:5" hidden="1">
      <c r="A5225" s="3">
        <f t="shared" si="108"/>
        <v>0</v>
      </c>
      <c r="B5225" s="3">
        <f t="shared" si="109"/>
        <v>0</v>
      </c>
      <c r="C5225" s="3">
        <f t="shared" si="107"/>
        <v>0</v>
      </c>
      <c r="D5225" s="3">
        <f>$B$4505*(A5225)+$B$4506*(A5225)^2/2-$B$4504*(A5225)^3/6-(N(D27)*MAX(0,(A5225)-N(E27))^2/2+N(F27)*MAX(0,(A5225)-N(G27))^2/2+N(H27)*MAX(0,(A5225)-N(I27))^2/2+N(J27)*MAX(0,(A5225)-N(K27))^2/2+N(L27)*MAX(0,(A5225)-N(M27))^2/2)+$B$4507</f>
        <v>-695.31249999999989</v>
      </c>
      <c r="E5225" s="3">
        <f>$B$4505*(C5225)+$B$4506*(C5225)^2/2-$B$4504*(C5225)^3/6-(N(D27)*MAX(0,(C5225)-N(E27))^2/2+N(F27)*MAX(0,(C5225)-N(G27))^2/2+N(H27)*MAX(0,(C5225)-N(I27))^2/2+N(J27)*MAX(0,(C5225)-N(K27))^2/2+N(L27)*MAX(0,(C5225)-N(M27))^2/2)+$B$4507</f>
        <v>-695.31249999999989</v>
      </c>
    </row>
    <row r="5226" spans="1:5" hidden="1">
      <c r="A5226" s="3">
        <f t="shared" si="108"/>
        <v>0</v>
      </c>
      <c r="B5226" s="3">
        <f t="shared" si="109"/>
        <v>0</v>
      </c>
      <c r="C5226" s="3">
        <f t="shared" si="107"/>
        <v>0</v>
      </c>
      <c r="D5226" s="3">
        <f>$B$4505*(A5226)+$B$4506*(A5226)^2/2-$B$4504*(A5226)^3/6-(N(D27)*MAX(0,(A5226)-N(E27))^2/2+N(F27)*MAX(0,(A5226)-N(G27))^2/2+N(H27)*MAX(0,(A5226)-N(I27))^2/2+N(J27)*MAX(0,(A5226)-N(K27))^2/2+N(L27)*MAX(0,(A5226)-N(M27))^2/2)+$B$4507</f>
        <v>-695.31249999999989</v>
      </c>
      <c r="E5226" s="3">
        <f>$B$4505*(C5226)+$B$4506*(C5226)^2/2-$B$4504*(C5226)^3/6-(N(D27)*MAX(0,(C5226)-N(E27))^2/2+N(F27)*MAX(0,(C5226)-N(G27))^2/2+N(H27)*MAX(0,(C5226)-N(I27))^2/2+N(J27)*MAX(0,(C5226)-N(K27))^2/2+N(L27)*MAX(0,(C5226)-N(M27))^2/2)+$B$4507</f>
        <v>-695.31249999999989</v>
      </c>
    </row>
    <row r="5227" spans="1:5" hidden="1">
      <c r="A5227" s="3">
        <f t="shared" si="108"/>
        <v>0</v>
      </c>
      <c r="B5227" s="3">
        <f t="shared" si="109"/>
        <v>0</v>
      </c>
      <c r="C5227" s="3">
        <f t="shared" si="107"/>
        <v>0</v>
      </c>
      <c r="D5227" s="3">
        <f>$B$4505*(A5227)+$B$4506*(A5227)^2/2-$B$4504*(A5227)^3/6-(N(D27)*MAX(0,(A5227)-N(E27))^2/2+N(F27)*MAX(0,(A5227)-N(G27))^2/2+N(H27)*MAX(0,(A5227)-N(I27))^2/2+N(J27)*MAX(0,(A5227)-N(K27))^2/2+N(L27)*MAX(0,(A5227)-N(M27))^2/2)+$B$4507</f>
        <v>-695.31249999999989</v>
      </c>
      <c r="E5227" s="3">
        <f>$B$4505*(C5227)+$B$4506*(C5227)^2/2-$B$4504*(C5227)^3/6-(N(D27)*MAX(0,(C5227)-N(E27))^2/2+N(F27)*MAX(0,(C5227)-N(G27))^2/2+N(H27)*MAX(0,(C5227)-N(I27))^2/2+N(J27)*MAX(0,(C5227)-N(K27))^2/2+N(L27)*MAX(0,(C5227)-N(M27))^2/2)+$B$4507</f>
        <v>-695.31249999999989</v>
      </c>
    </row>
    <row r="5228" spans="1:5" hidden="1">
      <c r="A5228" s="3">
        <f t="shared" si="108"/>
        <v>0</v>
      </c>
      <c r="B5228" s="3">
        <f t="shared" si="109"/>
        <v>0</v>
      </c>
      <c r="C5228" s="3">
        <f t="shared" si="107"/>
        <v>0</v>
      </c>
      <c r="D5228" s="3">
        <f>$B$4505*(A5228)+$B$4506*(A5228)^2/2-$B$4504*(A5228)^3/6-(N(D27)*MAX(0,(A5228)-N(E27))^2/2+N(F27)*MAX(0,(A5228)-N(G27))^2/2+N(H27)*MAX(0,(A5228)-N(I27))^2/2+N(J27)*MAX(0,(A5228)-N(K27))^2/2+N(L27)*MAX(0,(A5228)-N(M27))^2/2)+$B$4507</f>
        <v>-695.31249999999989</v>
      </c>
      <c r="E5228" s="3">
        <f>$B$4505*(C5228)+$B$4506*(C5228)^2/2-$B$4504*(C5228)^3/6-(N(D27)*MAX(0,(C5228)-N(E27))^2/2+N(F27)*MAX(0,(C5228)-N(G27))^2/2+N(H27)*MAX(0,(C5228)-N(I27))^2/2+N(J27)*MAX(0,(C5228)-N(K27))^2/2+N(L27)*MAX(0,(C5228)-N(M27))^2/2)+$B$4507</f>
        <v>-695.31249999999989</v>
      </c>
    </row>
    <row r="5229" spans="1:5" hidden="1">
      <c r="A5229" s="3">
        <f t="shared" si="108"/>
        <v>0</v>
      </c>
      <c r="B5229" s="3">
        <f t="shared" si="109"/>
        <v>0</v>
      </c>
      <c r="C5229" s="3">
        <f t="shared" si="107"/>
        <v>0</v>
      </c>
      <c r="D5229" s="3">
        <f>$B$4505*(A5229)+$B$4506*(A5229)^2/2-$B$4504*(A5229)^3/6-(N(D27)*MAX(0,(A5229)-N(E27))^2/2+N(F27)*MAX(0,(A5229)-N(G27))^2/2+N(H27)*MAX(0,(A5229)-N(I27))^2/2+N(J27)*MAX(0,(A5229)-N(K27))^2/2+N(L27)*MAX(0,(A5229)-N(M27))^2/2)+$B$4507</f>
        <v>-695.31249999999989</v>
      </c>
      <c r="E5229" s="3">
        <f>$B$4505*(C5229)+$B$4506*(C5229)^2/2-$B$4504*(C5229)^3/6-(N(D27)*MAX(0,(C5229)-N(E27))^2/2+N(F27)*MAX(0,(C5229)-N(G27))^2/2+N(H27)*MAX(0,(C5229)-N(I27))^2/2+N(J27)*MAX(0,(C5229)-N(K27))^2/2+N(L27)*MAX(0,(C5229)-N(M27))^2/2)+$B$4507</f>
        <v>-695.31249999999989</v>
      </c>
    </row>
    <row r="5230" spans="1:5" hidden="1">
      <c r="A5230" s="3">
        <f t="shared" si="108"/>
        <v>0</v>
      </c>
      <c r="B5230" s="3">
        <f t="shared" si="109"/>
        <v>0</v>
      </c>
      <c r="C5230" s="3">
        <f t="shared" si="107"/>
        <v>0</v>
      </c>
      <c r="D5230" s="3">
        <f>$B$4505*(A5230)+$B$4506*(A5230)^2/2-$B$4504*(A5230)^3/6-(N(D27)*MAX(0,(A5230)-N(E27))^2/2+N(F27)*MAX(0,(A5230)-N(G27))^2/2+N(H27)*MAX(0,(A5230)-N(I27))^2/2+N(J27)*MAX(0,(A5230)-N(K27))^2/2+N(L27)*MAX(0,(A5230)-N(M27))^2/2)+$B$4507</f>
        <v>-695.31249999999989</v>
      </c>
      <c r="E5230" s="3">
        <f>$B$4505*(C5230)+$B$4506*(C5230)^2/2-$B$4504*(C5230)^3/6-(N(D27)*MAX(0,(C5230)-N(E27))^2/2+N(F27)*MAX(0,(C5230)-N(G27))^2/2+N(H27)*MAX(0,(C5230)-N(I27))^2/2+N(J27)*MAX(0,(C5230)-N(K27))^2/2+N(L27)*MAX(0,(C5230)-N(M27))^2/2)+$B$4507</f>
        <v>-695.31249999999989</v>
      </c>
    </row>
    <row r="5231" spans="1:5" hidden="1">
      <c r="A5231" s="3">
        <f t="shared" si="108"/>
        <v>0</v>
      </c>
      <c r="B5231" s="3">
        <f t="shared" si="109"/>
        <v>0</v>
      </c>
      <c r="C5231" s="3">
        <f t="shared" si="107"/>
        <v>0</v>
      </c>
      <c r="D5231" s="3">
        <f>$B$4505*(A5231)+$B$4506*(A5231)^2/2-$B$4504*(A5231)^3/6-(N(D27)*MAX(0,(A5231)-N(E27))^2/2+N(F27)*MAX(0,(A5231)-N(G27))^2/2+N(H27)*MAX(0,(A5231)-N(I27))^2/2+N(J27)*MAX(0,(A5231)-N(K27))^2/2+N(L27)*MAX(0,(A5231)-N(M27))^2/2)+$B$4507</f>
        <v>-695.31249999999989</v>
      </c>
      <c r="E5231" s="3">
        <f>$B$4505*(C5231)+$B$4506*(C5231)^2/2-$B$4504*(C5231)^3/6-(N(D27)*MAX(0,(C5231)-N(E27))^2/2+N(F27)*MAX(0,(C5231)-N(G27))^2/2+N(H27)*MAX(0,(C5231)-N(I27))^2/2+N(J27)*MAX(0,(C5231)-N(K27))^2/2+N(L27)*MAX(0,(C5231)-N(M27))^2/2)+$B$4507</f>
        <v>-695.31249999999989</v>
      </c>
    </row>
    <row r="5232" spans="1:5" hidden="1">
      <c r="A5232" s="3">
        <f t="shared" si="108"/>
        <v>0</v>
      </c>
      <c r="B5232" s="3">
        <f t="shared" si="109"/>
        <v>0</v>
      </c>
      <c r="C5232" s="3">
        <f t="shared" si="107"/>
        <v>0</v>
      </c>
      <c r="D5232" s="3">
        <f>$B$4505*(A5232)+$B$4506*(A5232)^2/2-$B$4504*(A5232)^3/6-(N(D27)*MAX(0,(A5232)-N(E27))^2/2+N(F27)*MAX(0,(A5232)-N(G27))^2/2+N(H27)*MAX(0,(A5232)-N(I27))^2/2+N(J27)*MAX(0,(A5232)-N(K27))^2/2+N(L27)*MAX(0,(A5232)-N(M27))^2/2)+$B$4507</f>
        <v>-695.31249999999989</v>
      </c>
      <c r="E5232" s="3">
        <f>$B$4505*(C5232)+$B$4506*(C5232)^2/2-$B$4504*(C5232)^3/6-(N(D27)*MAX(0,(C5232)-N(E27))^2/2+N(F27)*MAX(0,(C5232)-N(G27))^2/2+N(H27)*MAX(0,(C5232)-N(I27))^2/2+N(J27)*MAX(0,(C5232)-N(K27))^2/2+N(L27)*MAX(0,(C5232)-N(M27))^2/2)+$B$4507</f>
        <v>-695.31249999999989</v>
      </c>
    </row>
    <row r="5233" spans="1:5" hidden="1">
      <c r="A5233" s="3">
        <f t="shared" si="108"/>
        <v>0</v>
      </c>
      <c r="B5233" s="3">
        <f t="shared" si="109"/>
        <v>0</v>
      </c>
      <c r="C5233" s="3">
        <f t="shared" si="107"/>
        <v>0</v>
      </c>
      <c r="D5233" s="3">
        <f>$B$4505*(A5233)+$B$4506*(A5233)^2/2-$B$4504*(A5233)^3/6-(N(D27)*MAX(0,(A5233)-N(E27))^2/2+N(F27)*MAX(0,(A5233)-N(G27))^2/2+N(H27)*MAX(0,(A5233)-N(I27))^2/2+N(J27)*MAX(0,(A5233)-N(K27))^2/2+N(L27)*MAX(0,(A5233)-N(M27))^2/2)+$B$4507</f>
        <v>-695.31249999999989</v>
      </c>
      <c r="E5233" s="3">
        <f>$B$4505*(C5233)+$B$4506*(C5233)^2/2-$B$4504*(C5233)^3/6-(N(D27)*MAX(0,(C5233)-N(E27))^2/2+N(F27)*MAX(0,(C5233)-N(G27))^2/2+N(H27)*MAX(0,(C5233)-N(I27))^2/2+N(J27)*MAX(0,(C5233)-N(K27))^2/2+N(L27)*MAX(0,(C5233)-N(M27))^2/2)+$B$4507</f>
        <v>-695.31249999999989</v>
      </c>
    </row>
    <row r="5234" spans="1:5" hidden="1">
      <c r="A5234" s="3">
        <f t="shared" si="108"/>
        <v>0</v>
      </c>
      <c r="B5234" s="3">
        <f t="shared" si="109"/>
        <v>0</v>
      </c>
      <c r="C5234" s="3">
        <f t="shared" si="107"/>
        <v>0</v>
      </c>
      <c r="D5234" s="3">
        <f>$B$4505*(A5234)+$B$4506*(A5234)^2/2-$B$4504*(A5234)^3/6-(N(D27)*MAX(0,(A5234)-N(E27))^2/2+N(F27)*MAX(0,(A5234)-N(G27))^2/2+N(H27)*MAX(0,(A5234)-N(I27))^2/2+N(J27)*MAX(0,(A5234)-N(K27))^2/2+N(L27)*MAX(0,(A5234)-N(M27))^2/2)+$B$4507</f>
        <v>-695.31249999999989</v>
      </c>
      <c r="E5234" s="3">
        <f>$B$4505*(C5234)+$B$4506*(C5234)^2/2-$B$4504*(C5234)^3/6-(N(D27)*MAX(0,(C5234)-N(E27))^2/2+N(F27)*MAX(0,(C5234)-N(G27))^2/2+N(H27)*MAX(0,(C5234)-N(I27))^2/2+N(J27)*MAX(0,(C5234)-N(K27))^2/2+N(L27)*MAX(0,(C5234)-N(M27))^2/2)+$B$4507</f>
        <v>-695.31249999999989</v>
      </c>
    </row>
    <row r="5235" spans="1:5" hidden="1">
      <c r="A5235" s="3">
        <f t="shared" si="108"/>
        <v>0</v>
      </c>
      <c r="B5235" s="3">
        <f t="shared" si="109"/>
        <v>0</v>
      </c>
      <c r="C5235" s="3">
        <f t="shared" si="107"/>
        <v>0</v>
      </c>
      <c r="D5235" s="3">
        <f>$B$4505*(A5235)+$B$4506*(A5235)^2/2-$B$4504*(A5235)^3/6-(N(D27)*MAX(0,(A5235)-N(E27))^2/2+N(F27)*MAX(0,(A5235)-N(G27))^2/2+N(H27)*MAX(0,(A5235)-N(I27))^2/2+N(J27)*MAX(0,(A5235)-N(K27))^2/2+N(L27)*MAX(0,(A5235)-N(M27))^2/2)+$B$4507</f>
        <v>-695.31249999999989</v>
      </c>
      <c r="E5235" s="3">
        <f>$B$4505*(C5235)+$B$4506*(C5235)^2/2-$B$4504*(C5235)^3/6-(N(D27)*MAX(0,(C5235)-N(E27))^2/2+N(F27)*MAX(0,(C5235)-N(G27))^2/2+N(H27)*MAX(0,(C5235)-N(I27))^2/2+N(J27)*MAX(0,(C5235)-N(K27))^2/2+N(L27)*MAX(0,(C5235)-N(M27))^2/2)+$B$4507</f>
        <v>-695.31249999999989</v>
      </c>
    </row>
    <row r="5236" spans="1:5" hidden="1">
      <c r="A5236" s="3">
        <f t="shared" si="108"/>
        <v>0</v>
      </c>
      <c r="B5236" s="3">
        <f t="shared" si="109"/>
        <v>0</v>
      </c>
      <c r="C5236" s="3">
        <f t="shared" si="107"/>
        <v>0</v>
      </c>
      <c r="D5236" s="3">
        <f>$B$4505*(A5236)+$B$4506*(A5236)^2/2-$B$4504*(A5236)^3/6-(N(D27)*MAX(0,(A5236)-N(E27))^2/2+N(F27)*MAX(0,(A5236)-N(G27))^2/2+N(H27)*MAX(0,(A5236)-N(I27))^2/2+N(J27)*MAX(0,(A5236)-N(K27))^2/2+N(L27)*MAX(0,(A5236)-N(M27))^2/2)+$B$4507</f>
        <v>-695.31249999999989</v>
      </c>
      <c r="E5236" s="3">
        <f>$B$4505*(C5236)+$B$4506*(C5236)^2/2-$B$4504*(C5236)^3/6-(N(D27)*MAX(0,(C5236)-N(E27))^2/2+N(F27)*MAX(0,(C5236)-N(G27))^2/2+N(H27)*MAX(0,(C5236)-N(I27))^2/2+N(J27)*MAX(0,(C5236)-N(K27))^2/2+N(L27)*MAX(0,(C5236)-N(M27))^2/2)+$B$4507</f>
        <v>-695.31249999999989</v>
      </c>
    </row>
    <row r="5237" spans="1:5" hidden="1">
      <c r="A5237" s="3">
        <f t="shared" si="108"/>
        <v>0</v>
      </c>
      <c r="B5237" s="3">
        <f t="shared" si="109"/>
        <v>0</v>
      </c>
      <c r="C5237" s="3">
        <f t="shared" si="107"/>
        <v>0</v>
      </c>
      <c r="D5237" s="3">
        <f>$B$4505*(A5237)+$B$4506*(A5237)^2/2-$B$4504*(A5237)^3/6-(N(D27)*MAX(0,(A5237)-N(E27))^2/2+N(F27)*MAX(0,(A5237)-N(G27))^2/2+N(H27)*MAX(0,(A5237)-N(I27))^2/2+N(J27)*MAX(0,(A5237)-N(K27))^2/2+N(L27)*MAX(0,(A5237)-N(M27))^2/2)+$B$4507</f>
        <v>-695.31249999999989</v>
      </c>
      <c r="E5237" s="3">
        <f>$B$4505*(C5237)+$B$4506*(C5237)^2/2-$B$4504*(C5237)^3/6-(N(D27)*MAX(0,(C5237)-N(E27))^2/2+N(F27)*MAX(0,(C5237)-N(G27))^2/2+N(H27)*MAX(0,(C5237)-N(I27))^2/2+N(J27)*MAX(0,(C5237)-N(K27))^2/2+N(L27)*MAX(0,(C5237)-N(M27))^2/2)+$B$4507</f>
        <v>-695.31249999999989</v>
      </c>
    </row>
    <row r="5238" spans="1:5" hidden="1">
      <c r="A5238" s="3">
        <f t="shared" si="108"/>
        <v>0</v>
      </c>
      <c r="B5238" s="3">
        <f t="shared" si="109"/>
        <v>0</v>
      </c>
      <c r="C5238" s="3">
        <f t="shared" si="107"/>
        <v>0</v>
      </c>
      <c r="D5238" s="3">
        <f>$B$4505*(A5238)+$B$4506*(A5238)^2/2-$B$4504*(A5238)^3/6-(N(D27)*MAX(0,(A5238)-N(E27))^2/2+N(F27)*MAX(0,(A5238)-N(G27))^2/2+N(H27)*MAX(0,(A5238)-N(I27))^2/2+N(J27)*MAX(0,(A5238)-N(K27))^2/2+N(L27)*MAX(0,(A5238)-N(M27))^2/2)+$B$4507</f>
        <v>-695.31249999999989</v>
      </c>
      <c r="E5238" s="3">
        <f>$B$4505*(C5238)+$B$4506*(C5238)^2/2-$B$4504*(C5238)^3/6-(N(D27)*MAX(0,(C5238)-N(E27))^2/2+N(F27)*MAX(0,(C5238)-N(G27))^2/2+N(H27)*MAX(0,(C5238)-N(I27))^2/2+N(J27)*MAX(0,(C5238)-N(K27))^2/2+N(L27)*MAX(0,(C5238)-N(M27))^2/2)+$B$4507</f>
        <v>-695.31249999999989</v>
      </c>
    </row>
    <row r="5239" spans="1:5" hidden="1">
      <c r="A5239" s="3">
        <f t="shared" si="108"/>
        <v>0</v>
      </c>
      <c r="B5239" s="3">
        <f t="shared" si="109"/>
        <v>0</v>
      </c>
      <c r="C5239" s="3">
        <f t="shared" si="107"/>
        <v>0</v>
      </c>
      <c r="D5239" s="3">
        <f>$B$4505*(A5239)+$B$4506*(A5239)^2/2-$B$4504*(A5239)^3/6-(N(D27)*MAX(0,(A5239)-N(E27))^2/2+N(F27)*MAX(0,(A5239)-N(G27))^2/2+N(H27)*MAX(0,(A5239)-N(I27))^2/2+N(J27)*MAX(0,(A5239)-N(K27))^2/2+N(L27)*MAX(0,(A5239)-N(M27))^2/2)+$B$4507</f>
        <v>-695.31249999999989</v>
      </c>
      <c r="E5239" s="3">
        <f>$B$4505*(C5239)+$B$4506*(C5239)^2/2-$B$4504*(C5239)^3/6-(N(D27)*MAX(0,(C5239)-N(E27))^2/2+N(F27)*MAX(0,(C5239)-N(G27))^2/2+N(H27)*MAX(0,(C5239)-N(I27))^2/2+N(J27)*MAX(0,(C5239)-N(K27))^2/2+N(L27)*MAX(0,(C5239)-N(M27))^2/2)+$B$4507</f>
        <v>-695.31249999999989</v>
      </c>
    </row>
    <row r="5240" spans="1:5" hidden="1">
      <c r="A5240" s="3">
        <f t="shared" si="108"/>
        <v>0</v>
      </c>
      <c r="B5240" s="3">
        <f t="shared" si="109"/>
        <v>0</v>
      </c>
      <c r="C5240" s="3">
        <f t="shared" si="107"/>
        <v>0</v>
      </c>
      <c r="D5240" s="3">
        <f>$B$4505*(A5240)+$B$4506*(A5240)^2/2-$B$4504*(A5240)^3/6-(N(D27)*MAX(0,(A5240)-N(E27))^2/2+N(F27)*MAX(0,(A5240)-N(G27))^2/2+N(H27)*MAX(0,(A5240)-N(I27))^2/2+N(J27)*MAX(0,(A5240)-N(K27))^2/2+N(L27)*MAX(0,(A5240)-N(M27))^2/2)+$B$4507</f>
        <v>-695.31249999999989</v>
      </c>
      <c r="E5240" s="3">
        <f>$B$4505*(C5240)+$B$4506*(C5240)^2/2-$B$4504*(C5240)^3/6-(N(D27)*MAX(0,(C5240)-N(E27))^2/2+N(F27)*MAX(0,(C5240)-N(G27))^2/2+N(H27)*MAX(0,(C5240)-N(I27))^2/2+N(J27)*MAX(0,(C5240)-N(K27))^2/2+N(L27)*MAX(0,(C5240)-N(M27))^2/2)+$B$4507</f>
        <v>-695.31249999999989</v>
      </c>
    </row>
    <row r="5241" spans="1:5" hidden="1">
      <c r="A5241" s="3">
        <f t="shared" si="108"/>
        <v>0</v>
      </c>
      <c r="B5241" s="3">
        <f t="shared" si="109"/>
        <v>0</v>
      </c>
      <c r="C5241" s="3">
        <f t="shared" si="107"/>
        <v>0</v>
      </c>
      <c r="D5241" s="3">
        <f>$B$4505*(A5241)+$B$4506*(A5241)^2/2-$B$4504*(A5241)^3/6-(N(D27)*MAX(0,(A5241)-N(E27))^2/2+N(F27)*MAX(0,(A5241)-N(G27))^2/2+N(H27)*MAX(0,(A5241)-N(I27))^2/2+N(J27)*MAX(0,(A5241)-N(K27))^2/2+N(L27)*MAX(0,(A5241)-N(M27))^2/2)+$B$4507</f>
        <v>-695.31249999999989</v>
      </c>
      <c r="E5241" s="3">
        <f>$B$4505*(C5241)+$B$4506*(C5241)^2/2-$B$4504*(C5241)^3/6-(N(D27)*MAX(0,(C5241)-N(E27))^2/2+N(F27)*MAX(0,(C5241)-N(G27))^2/2+N(H27)*MAX(0,(C5241)-N(I27))^2/2+N(J27)*MAX(0,(C5241)-N(K27))^2/2+N(L27)*MAX(0,(C5241)-N(M27))^2/2)+$B$4507</f>
        <v>-695.31249999999989</v>
      </c>
    </row>
    <row r="5242" spans="1:5" hidden="1">
      <c r="A5242" s="3">
        <f t="shared" si="108"/>
        <v>0</v>
      </c>
      <c r="B5242" s="3">
        <f t="shared" si="109"/>
        <v>0</v>
      </c>
      <c r="C5242" s="3">
        <f t="shared" si="107"/>
        <v>0</v>
      </c>
      <c r="D5242" s="3">
        <f>$B$4505*(A5242)+$B$4506*(A5242)^2/2-$B$4504*(A5242)^3/6-(N(D27)*MAX(0,(A5242)-N(E27))^2/2+N(F27)*MAX(0,(A5242)-N(G27))^2/2+N(H27)*MAX(0,(A5242)-N(I27))^2/2+N(J27)*MAX(0,(A5242)-N(K27))^2/2+N(L27)*MAX(0,(A5242)-N(M27))^2/2)+$B$4507</f>
        <v>-695.31249999999989</v>
      </c>
      <c r="E5242" s="3">
        <f>$B$4505*(C5242)+$B$4506*(C5242)^2/2-$B$4504*(C5242)^3/6-(N(D27)*MAX(0,(C5242)-N(E27))^2/2+N(F27)*MAX(0,(C5242)-N(G27))^2/2+N(H27)*MAX(0,(C5242)-N(I27))^2/2+N(J27)*MAX(0,(C5242)-N(K27))^2/2+N(L27)*MAX(0,(C5242)-N(M27))^2/2)+$B$4507</f>
        <v>-695.31249999999989</v>
      </c>
    </row>
    <row r="5243" spans="1:5" hidden="1">
      <c r="A5243" s="3">
        <f t="shared" si="108"/>
        <v>0</v>
      </c>
      <c r="B5243" s="3">
        <f t="shared" si="109"/>
        <v>0</v>
      </c>
      <c r="C5243" s="3">
        <f t="shared" si="107"/>
        <v>0</v>
      </c>
      <c r="D5243" s="3">
        <f>$B$4505*(A5243)+$B$4506*(A5243)^2/2-$B$4504*(A5243)^3/6-(N(D27)*MAX(0,(A5243)-N(E27))^2/2+N(F27)*MAX(0,(A5243)-N(G27))^2/2+N(H27)*MAX(0,(A5243)-N(I27))^2/2+N(J27)*MAX(0,(A5243)-N(K27))^2/2+N(L27)*MAX(0,(A5243)-N(M27))^2/2)+$B$4507</f>
        <v>-695.31249999999989</v>
      </c>
      <c r="E5243" s="3">
        <f>$B$4505*(C5243)+$B$4506*(C5243)^2/2-$B$4504*(C5243)^3/6-(N(D27)*MAX(0,(C5243)-N(E27))^2/2+N(F27)*MAX(0,(C5243)-N(G27))^2/2+N(H27)*MAX(0,(C5243)-N(I27))^2/2+N(J27)*MAX(0,(C5243)-N(K27))^2/2+N(L27)*MAX(0,(C5243)-N(M27))^2/2)+$B$4507</f>
        <v>-695.31249999999989</v>
      </c>
    </row>
    <row r="5244" spans="1:5" hidden="1"/>
    <row r="5245" spans="1:5" hidden="1">
      <c r="A5245" s="3">
        <f>B4555</f>
        <v>0</v>
      </c>
      <c r="B5245" s="3">
        <f>IF(($B$4505*(B4555)+$B$4506*(B4555)^2/2-$B$4504*(B4555)^3/6-(N(D27)*MAX(0,(B4555)-N(E27))^2/2+N(F27)*MAX(0,(B4555)-N(G27))^2/2+N(H27)*MAX(0,(B4555)-N(I27))^2/2+N(J27)*MAX(0,(B4555)-N(K27))^2/2+N(L27)*MAX(0,(B4555)-N(M27))^2/2)+$B$4507)*($B$4505*(B4556)+$B$4506*(B4556)^2/2-$B$4504*(B4556)^3/6-(N(D27)*MAX(0,(B4556)-N(E27))^2/2+N(F27)*MAX(0,(B4556)-N(G27))^2/2+N(H27)*MAX(0,(B4556)-N(I27))^2/2+N(J27)*MAX(0,(B4556)-N(K27))^2/2+N(L27)*MAX(0,(B4556)-N(M27))^2/2)+$B$4507)&lt;=0,B4556,B4555)</f>
        <v>5</v>
      </c>
      <c r="C5245" s="3">
        <f t="shared" ref="C5245:C5289" si="110">(A5245+B5245)/2</f>
        <v>2.5</v>
      </c>
      <c r="D5245" s="3">
        <f>$B$4505*(A5245)+$B$4506*(A5245)^2/2-$B$4504*(A5245)^3/6-(N(D27)*MAX(0,(A5245)-N(E27))^2/2+N(F27)*MAX(0,(A5245)-N(G27))^2/2+N(H27)*MAX(0,(A5245)-N(I27))^2/2+N(J27)*MAX(0,(A5245)-N(K27))^2/2+N(L27)*MAX(0,(A5245)-N(M27))^2/2)+$B$4507</f>
        <v>-695.31249999999989</v>
      </c>
      <c r="E5245" s="3">
        <f>$B$4505*(C5245)+$B$4506*(C5245)^2/2-$B$4504*(C5245)^3/6-(N(D27)*MAX(0,(C5245)-N(E27))^2/2+N(F27)*MAX(0,(C5245)-N(G27))^2/2+N(H27)*MAX(0,(C5245)-N(I27))^2/2+N(J27)*MAX(0,(C5245)-N(K27))^2/2+N(L27)*MAX(0,(C5245)-N(M27))^2/2)+$B$4507</f>
        <v>-521.48437499999989</v>
      </c>
    </row>
    <row r="5246" spans="1:5" hidden="1">
      <c r="A5246" s="3">
        <f t="shared" ref="A5246:A5289" si="111">IF(D5245*E5245&lt;=0,A5245,C5245)</f>
        <v>2.5</v>
      </c>
      <c r="B5246" s="3">
        <f t="shared" ref="B5246:B5289" si="112">IF(D5245*E5245&lt;=0,C5245,B5245)</f>
        <v>5</v>
      </c>
      <c r="C5246" s="3">
        <f t="shared" si="110"/>
        <v>3.75</v>
      </c>
      <c r="D5246" s="3">
        <f>$B$4505*(A5246)+$B$4506*(A5246)^2/2-$B$4504*(A5246)^3/6-(N(D27)*MAX(0,(A5246)-N(E27))^2/2+N(F27)*MAX(0,(A5246)-N(G27))^2/2+N(H27)*MAX(0,(A5246)-N(I27))^2/2+N(J27)*MAX(0,(A5246)-N(K27))^2/2+N(L27)*MAX(0,(A5246)-N(M27))^2/2)+$B$4507</f>
        <v>-521.48437499999989</v>
      </c>
      <c r="E5246" s="3">
        <f>$B$4505*(C5246)+$B$4506*(C5246)^2/2-$B$4504*(C5246)^3/6-(N(D27)*MAX(0,(C5246)-N(E27))^2/2+N(F27)*MAX(0,(C5246)-N(G27))^2/2+N(H27)*MAX(0,(C5246)-N(I27))^2/2+N(J27)*MAX(0,(C5246)-N(K27))^2/2+N(L27)*MAX(0,(C5246)-N(M27))^2/2)+$B$4507</f>
        <v>-304.19921874999994</v>
      </c>
    </row>
    <row r="5247" spans="1:5" hidden="1">
      <c r="A5247" s="3">
        <f t="shared" si="111"/>
        <v>3.75</v>
      </c>
      <c r="B5247" s="3">
        <f t="shared" si="112"/>
        <v>5</v>
      </c>
      <c r="C5247" s="3">
        <f t="shared" si="110"/>
        <v>4.375</v>
      </c>
      <c r="D5247" s="3">
        <f>$B$4505*(A5247)+$B$4506*(A5247)^2/2-$B$4504*(A5247)^3/6-(N(D27)*MAX(0,(A5247)-N(E27))^2/2+N(F27)*MAX(0,(A5247)-N(G27))^2/2+N(H27)*MAX(0,(A5247)-N(I27))^2/2+N(J27)*MAX(0,(A5247)-N(K27))^2/2+N(L27)*MAX(0,(A5247)-N(M27))^2/2)+$B$4507</f>
        <v>-304.19921874999994</v>
      </c>
      <c r="E5247" s="3">
        <f>$B$4505*(C5247)+$B$4506*(C5247)^2/2-$B$4504*(C5247)^3/6-(N(D27)*MAX(0,(C5247)-N(E27))^2/2+N(F27)*MAX(0,(C5247)-N(G27))^2/2+N(H27)*MAX(0,(C5247)-N(I27))^2/2+N(J27)*MAX(0,(C5247)-N(K27))^2/2+N(L27)*MAX(0,(C5247)-N(M27))^2/2)+$B$4507</f>
        <v>-162.9638671875</v>
      </c>
    </row>
    <row r="5248" spans="1:5" hidden="1">
      <c r="A5248" s="3">
        <f t="shared" si="111"/>
        <v>4.375</v>
      </c>
      <c r="B5248" s="3">
        <f t="shared" si="112"/>
        <v>5</v>
      </c>
      <c r="C5248" s="3">
        <f t="shared" si="110"/>
        <v>4.6875</v>
      </c>
      <c r="D5248" s="3">
        <f>$B$4505*(A5248)+$B$4506*(A5248)^2/2-$B$4504*(A5248)^3/6-(N(D27)*MAX(0,(A5248)-N(E27))^2/2+N(F27)*MAX(0,(A5248)-N(G27))^2/2+N(H27)*MAX(0,(A5248)-N(I27))^2/2+N(J27)*MAX(0,(A5248)-N(K27))^2/2+N(L27)*MAX(0,(A5248)-N(M27))^2/2)+$B$4507</f>
        <v>-162.9638671875</v>
      </c>
      <c r="E5248" s="3">
        <f>$B$4505*(C5248)+$B$4506*(C5248)^2/2-$B$4504*(C5248)^3/6-(N(D27)*MAX(0,(C5248)-N(E27))^2/2+N(F27)*MAX(0,(C5248)-N(G27))^2/2+N(H27)*MAX(0,(C5248)-N(I27))^2/2+N(J27)*MAX(0,(C5248)-N(K27))^2/2+N(L27)*MAX(0,(C5248)-N(M27))^2/2)+$B$4507</f>
        <v>-84.197998046875</v>
      </c>
    </row>
    <row r="5249" spans="1:5" hidden="1">
      <c r="A5249" s="3">
        <f t="shared" si="111"/>
        <v>4.6875</v>
      </c>
      <c r="B5249" s="3">
        <f t="shared" si="112"/>
        <v>5</v>
      </c>
      <c r="C5249" s="3">
        <f t="shared" si="110"/>
        <v>4.84375</v>
      </c>
      <c r="D5249" s="3">
        <f>$B$4505*(A5249)+$B$4506*(A5249)^2/2-$B$4504*(A5249)^3/6-(N(D27)*MAX(0,(A5249)-N(E27))^2/2+N(F27)*MAX(0,(A5249)-N(G27))^2/2+N(H27)*MAX(0,(A5249)-N(I27))^2/2+N(J27)*MAX(0,(A5249)-N(K27))^2/2+N(L27)*MAX(0,(A5249)-N(M27))^2/2)+$B$4507</f>
        <v>-84.197998046875</v>
      </c>
      <c r="E5249" s="3">
        <f>$B$4505*(C5249)+$B$4506*(C5249)^2/2-$B$4504*(C5249)^3/6-(N(D27)*MAX(0,(C5249)-N(E27))^2/2+N(F27)*MAX(0,(C5249)-N(G27))^2/2+N(H27)*MAX(0,(C5249)-N(I27))^2/2+N(J27)*MAX(0,(C5249)-N(K27))^2/2+N(L27)*MAX(0,(C5249)-N(M27))^2/2)+$B$4507</f>
        <v>-42.77801513671875</v>
      </c>
    </row>
    <row r="5250" spans="1:5" hidden="1">
      <c r="A5250" s="3">
        <f t="shared" si="111"/>
        <v>4.84375</v>
      </c>
      <c r="B5250" s="3">
        <f t="shared" si="112"/>
        <v>5</v>
      </c>
      <c r="C5250" s="3">
        <f t="shared" si="110"/>
        <v>4.921875</v>
      </c>
      <c r="D5250" s="3">
        <f>$B$4505*(A5250)+$B$4506*(A5250)^2/2-$B$4504*(A5250)^3/6-(N(D27)*MAX(0,(A5250)-N(E27))^2/2+N(F27)*MAX(0,(A5250)-N(G27))^2/2+N(H27)*MAX(0,(A5250)-N(I27))^2/2+N(J27)*MAX(0,(A5250)-N(K27))^2/2+N(L27)*MAX(0,(A5250)-N(M27))^2/2)+$B$4507</f>
        <v>-42.77801513671875</v>
      </c>
      <c r="E5250" s="3">
        <f>$B$4505*(C5250)+$B$4506*(C5250)^2/2-$B$4504*(C5250)^3/6-(N(D27)*MAX(0,(C5250)-N(E27))^2/2+N(F27)*MAX(0,(C5250)-N(G27))^2/2+N(H27)*MAX(0,(C5250)-N(I27))^2/2+N(J27)*MAX(0,(C5250)-N(K27))^2/2+N(L27)*MAX(0,(C5250)-N(M27))^2/2)+$B$4507</f>
        <v>-21.558761596679688</v>
      </c>
    </row>
    <row r="5251" spans="1:5" hidden="1">
      <c r="A5251" s="3">
        <f t="shared" si="111"/>
        <v>4.921875</v>
      </c>
      <c r="B5251" s="3">
        <f t="shared" si="112"/>
        <v>5</v>
      </c>
      <c r="C5251" s="3">
        <f t="shared" si="110"/>
        <v>4.9609375</v>
      </c>
      <c r="D5251" s="3">
        <f>$B$4505*(A5251)+$B$4506*(A5251)^2/2-$B$4504*(A5251)^3/6-(N(D27)*MAX(0,(A5251)-N(E27))^2/2+N(F27)*MAX(0,(A5251)-N(G27))^2/2+N(H27)*MAX(0,(A5251)-N(I27))^2/2+N(J27)*MAX(0,(A5251)-N(K27))^2/2+N(L27)*MAX(0,(A5251)-N(M27))^2/2)+$B$4507</f>
        <v>-21.558761596679688</v>
      </c>
      <c r="E5251" s="3">
        <f>$B$4505*(C5251)+$B$4506*(C5251)^2/2-$B$4504*(C5251)^3/6-(N(D27)*MAX(0,(C5251)-N(E27))^2/2+N(F27)*MAX(0,(C5251)-N(G27))^2/2+N(H27)*MAX(0,(C5251)-N(I27))^2/2+N(J27)*MAX(0,(C5251)-N(K27))^2/2+N(L27)*MAX(0,(C5251)-N(M27))^2/2)+$B$4507</f>
        <v>-10.821819305419922</v>
      </c>
    </row>
    <row r="5252" spans="1:5" hidden="1">
      <c r="A5252" s="3">
        <f t="shared" si="111"/>
        <v>4.9609375</v>
      </c>
      <c r="B5252" s="3">
        <f t="shared" si="112"/>
        <v>5</v>
      </c>
      <c r="C5252" s="3">
        <f t="shared" si="110"/>
        <v>4.98046875</v>
      </c>
      <c r="D5252" s="3">
        <f>$B$4505*(A5252)+$B$4506*(A5252)^2/2-$B$4504*(A5252)^3/6-(N(D27)*MAX(0,(A5252)-N(E27))^2/2+N(F27)*MAX(0,(A5252)-N(G27))^2/2+N(H27)*MAX(0,(A5252)-N(I27))^2/2+N(J27)*MAX(0,(A5252)-N(K27))^2/2+N(L27)*MAX(0,(A5252)-N(M27))^2/2)+$B$4507</f>
        <v>-10.821819305419922</v>
      </c>
      <c r="E5252" s="3">
        <f>$B$4505*(C5252)+$B$4506*(C5252)^2/2-$B$4504*(C5252)^3/6-(N(D27)*MAX(0,(C5252)-N(E27))^2/2+N(F27)*MAX(0,(C5252)-N(G27))^2/2+N(H27)*MAX(0,(C5252)-N(I27))^2/2+N(J27)*MAX(0,(C5252)-N(K27))^2/2+N(L27)*MAX(0,(C5252)-N(M27))^2/2)+$B$4507</f>
        <v>-5.4215192794799805</v>
      </c>
    </row>
    <row r="5253" spans="1:5" hidden="1">
      <c r="A5253" s="3">
        <f t="shared" si="111"/>
        <v>4.98046875</v>
      </c>
      <c r="B5253" s="3">
        <f t="shared" si="112"/>
        <v>5</v>
      </c>
      <c r="C5253" s="3">
        <f t="shared" si="110"/>
        <v>4.990234375</v>
      </c>
      <c r="D5253" s="3">
        <f>$B$4505*(A5253)+$B$4506*(A5253)^2/2-$B$4504*(A5253)^3/6-(N(D27)*MAX(0,(A5253)-N(E27))^2/2+N(F27)*MAX(0,(A5253)-N(G27))^2/2+N(H27)*MAX(0,(A5253)-N(I27))^2/2+N(J27)*MAX(0,(A5253)-N(K27))^2/2+N(L27)*MAX(0,(A5253)-N(M27))^2/2)+$B$4507</f>
        <v>-5.4215192794799805</v>
      </c>
      <c r="E5253" s="3">
        <f>$B$4505*(C5253)+$B$4506*(C5253)^2/2-$B$4504*(C5253)^3/6-(N(D27)*MAX(0,(C5253)-N(E27))^2/2+N(F27)*MAX(0,(C5253)-N(G27))^2/2+N(H27)*MAX(0,(C5253)-N(I27))^2/2+N(J27)*MAX(0,(C5253)-N(K27))^2/2+N(L27)*MAX(0,(C5253)-N(M27))^2/2)+$B$4507</f>
        <v>-2.7134120464324951</v>
      </c>
    </row>
    <row r="5254" spans="1:5" hidden="1">
      <c r="A5254" s="3">
        <f t="shared" si="111"/>
        <v>4.990234375</v>
      </c>
      <c r="B5254" s="3">
        <f t="shared" si="112"/>
        <v>5</v>
      </c>
      <c r="C5254" s="3">
        <f t="shared" si="110"/>
        <v>4.9951171875</v>
      </c>
      <c r="D5254" s="3">
        <f>$B$4505*(A5254)+$B$4506*(A5254)^2/2-$B$4504*(A5254)^3/6-(N(D27)*MAX(0,(A5254)-N(E27))^2/2+N(F27)*MAX(0,(A5254)-N(G27))^2/2+N(H27)*MAX(0,(A5254)-N(I27))^2/2+N(J27)*MAX(0,(A5254)-N(K27))^2/2+N(L27)*MAX(0,(A5254)-N(M27))^2/2)+$B$4507</f>
        <v>-2.7134120464324951</v>
      </c>
      <c r="E5254" s="3">
        <f>$B$4505*(C5254)+$B$4506*(C5254)^2/2-$B$4504*(C5254)^3/6-(N(D27)*MAX(0,(C5254)-N(E27))^2/2+N(F27)*MAX(0,(C5254)-N(G27))^2/2+N(H27)*MAX(0,(C5254)-N(I27))^2/2+N(J27)*MAX(0,(C5254)-N(K27))^2/2+N(L27)*MAX(0,(C5254)-N(M27))^2/2)+$B$4507</f>
        <v>-1.3573691248893738</v>
      </c>
    </row>
    <row r="5255" spans="1:5" hidden="1">
      <c r="A5255" s="3">
        <f t="shared" si="111"/>
        <v>4.9951171875</v>
      </c>
      <c r="B5255" s="3">
        <f t="shared" si="112"/>
        <v>5</v>
      </c>
      <c r="C5255" s="3">
        <f t="shared" si="110"/>
        <v>4.99755859375</v>
      </c>
      <c r="D5255" s="3">
        <f>$B$4505*(A5255)+$B$4506*(A5255)^2/2-$B$4504*(A5255)^3/6-(N(D27)*MAX(0,(A5255)-N(E27))^2/2+N(F27)*MAX(0,(A5255)-N(G27))^2/2+N(H27)*MAX(0,(A5255)-N(I27))^2/2+N(J27)*MAX(0,(A5255)-N(K27))^2/2+N(L27)*MAX(0,(A5255)-N(M27))^2/2)+$B$4507</f>
        <v>-1.3573691248893738</v>
      </c>
      <c r="E5255" s="3">
        <f>$B$4505*(C5255)+$B$4506*(C5255)^2/2-$B$4504*(C5255)^3/6-(N(D27)*MAX(0,(C5255)-N(E27))^2/2+N(F27)*MAX(0,(C5255)-N(G27))^2/2+N(H27)*MAX(0,(C5255)-N(I27))^2/2+N(J27)*MAX(0,(C5255)-N(K27))^2/2+N(L27)*MAX(0,(C5255)-N(M27))^2/2)+$B$4507</f>
        <v>-0.67885033786296844</v>
      </c>
    </row>
    <row r="5256" spans="1:5" hidden="1">
      <c r="A5256" s="3">
        <f t="shared" si="111"/>
        <v>4.99755859375</v>
      </c>
      <c r="B5256" s="3">
        <f t="shared" si="112"/>
        <v>5</v>
      </c>
      <c r="C5256" s="3">
        <f t="shared" si="110"/>
        <v>4.998779296875</v>
      </c>
      <c r="D5256" s="3">
        <f>$B$4505*(A5256)+$B$4506*(A5256)^2/2-$B$4504*(A5256)^3/6-(N(D27)*MAX(0,(A5256)-N(E27))^2/2+N(F27)*MAX(0,(A5256)-N(G27))^2/2+N(H27)*MAX(0,(A5256)-N(I27))^2/2+N(J27)*MAX(0,(A5256)-N(K27))^2/2+N(L27)*MAX(0,(A5256)-N(M27))^2/2)+$B$4507</f>
        <v>-0.67885033786296844</v>
      </c>
      <c r="E5256" s="3">
        <f>$B$4505*(C5256)+$B$4506*(C5256)^2/2-$B$4504*(C5256)^3/6-(N(D27)*MAX(0,(C5256)-N(E27))^2/2+N(F27)*MAX(0,(C5256)-N(G27))^2/2+N(H27)*MAX(0,(C5256)-N(I27))^2/2+N(J27)*MAX(0,(C5256)-N(K27))^2/2+N(L27)*MAX(0,(C5256)-N(M27))^2/2)+$B$4507</f>
        <v>-0.33946661278605461</v>
      </c>
    </row>
    <row r="5257" spans="1:5" hidden="1">
      <c r="A5257" s="3">
        <f t="shared" si="111"/>
        <v>4.998779296875</v>
      </c>
      <c r="B5257" s="3">
        <f t="shared" si="112"/>
        <v>5</v>
      </c>
      <c r="C5257" s="3">
        <f t="shared" si="110"/>
        <v>4.9993896484375</v>
      </c>
      <c r="D5257" s="3">
        <f>$B$4505*(A5257)+$B$4506*(A5257)^2/2-$B$4504*(A5257)^3/6-(N(D27)*MAX(0,(A5257)-N(E27))^2/2+N(F27)*MAX(0,(A5257)-N(G27))^2/2+N(H27)*MAX(0,(A5257)-N(I27))^2/2+N(J27)*MAX(0,(A5257)-N(K27))^2/2+N(L27)*MAX(0,(A5257)-N(M27))^2/2)+$B$4507</f>
        <v>-0.33946661278605461</v>
      </c>
      <c r="E5257" s="3">
        <f>$B$4505*(C5257)+$B$4506*(C5257)^2/2-$B$4504*(C5257)^3/6-(N(D27)*MAX(0,(C5257)-N(E27))^2/2+N(F27)*MAX(0,(C5257)-N(G27))^2/2+N(H27)*MAX(0,(C5257)-N(I27))^2/2+N(J27)*MAX(0,(C5257)-N(K27))^2/2+N(L27)*MAX(0,(C5257)-N(M27))^2/2)+$B$4507</f>
        <v>-0.1697436673566699</v>
      </c>
    </row>
    <row r="5258" spans="1:5" hidden="1">
      <c r="A5258" s="3">
        <f t="shared" si="111"/>
        <v>4.9993896484375</v>
      </c>
      <c r="B5258" s="3">
        <f t="shared" si="112"/>
        <v>5</v>
      </c>
      <c r="C5258" s="3">
        <f t="shared" si="110"/>
        <v>4.99969482421875</v>
      </c>
      <c r="D5258" s="3">
        <f>$B$4505*(A5258)+$B$4506*(A5258)^2/2-$B$4504*(A5258)^3/6-(N(D27)*MAX(0,(A5258)-N(E27))^2/2+N(F27)*MAX(0,(A5258)-N(G27))^2/2+N(H27)*MAX(0,(A5258)-N(I27))^2/2+N(J27)*MAX(0,(A5258)-N(K27))^2/2+N(L27)*MAX(0,(A5258)-N(M27))^2/2)+$B$4507</f>
        <v>-0.1697436673566699</v>
      </c>
      <c r="E5258" s="3">
        <f>$B$4505*(C5258)+$B$4506*(C5258)^2/2-$B$4504*(C5258)^3/6-(N(D27)*MAX(0,(C5258)-N(E27))^2/2+N(F27)*MAX(0,(C5258)-N(G27))^2/2+N(H27)*MAX(0,(C5258)-N(I27))^2/2+N(J27)*MAX(0,(C5258)-N(K27))^2/2+N(L27)*MAX(0,(C5258)-N(M27))^2/2)+$B$4507</f>
        <v>-8.4874423919245601E-2</v>
      </c>
    </row>
    <row r="5259" spans="1:5" hidden="1">
      <c r="A5259" s="3">
        <f t="shared" si="111"/>
        <v>4.99969482421875</v>
      </c>
      <c r="B5259" s="3">
        <f t="shared" si="112"/>
        <v>5</v>
      </c>
      <c r="C5259" s="3">
        <f t="shared" si="110"/>
        <v>4.999847412109375</v>
      </c>
      <c r="D5259" s="3">
        <f>$B$4505*(A5259)+$B$4506*(A5259)^2/2-$B$4504*(A5259)^3/6-(N(D27)*MAX(0,(A5259)-N(E27))^2/2+N(F27)*MAX(0,(A5259)-N(G27))^2/2+N(H27)*MAX(0,(A5259)-N(I27))^2/2+N(J27)*MAX(0,(A5259)-N(K27))^2/2+N(L27)*MAX(0,(A5259)-N(M27))^2/2)+$B$4507</f>
        <v>-8.4874423919245601E-2</v>
      </c>
      <c r="E5259" s="3">
        <f>$B$4505*(C5259)+$B$4506*(C5259)^2/2-$B$4504*(C5259)^3/6-(N(D27)*MAX(0,(C5259)-N(E27))^2/2+N(F27)*MAX(0,(C5259)-N(G27))^2/2+N(H27)*MAX(0,(C5259)-N(I27))^2/2+N(J27)*MAX(0,(C5259)-N(K27))^2/2+N(L27)*MAX(0,(C5259)-N(M27))^2/2)+$B$4507</f>
        <v>-4.2437859519850463E-2</v>
      </c>
    </row>
    <row r="5260" spans="1:5" hidden="1">
      <c r="A5260" s="3">
        <f t="shared" si="111"/>
        <v>4.999847412109375</v>
      </c>
      <c r="B5260" s="3">
        <f t="shared" si="112"/>
        <v>5</v>
      </c>
      <c r="C5260" s="3">
        <f t="shared" si="110"/>
        <v>4.9999237060546875</v>
      </c>
      <c r="D5260" s="3">
        <f>$B$4505*(A5260)+$B$4506*(A5260)^2/2-$B$4504*(A5260)^3/6-(N(D27)*MAX(0,(A5260)-N(E27))^2/2+N(F27)*MAX(0,(A5260)-N(G27))^2/2+N(H27)*MAX(0,(A5260)-N(I27))^2/2+N(J27)*MAX(0,(A5260)-N(K27))^2/2+N(L27)*MAX(0,(A5260)-N(M27))^2/2)+$B$4507</f>
        <v>-4.2437859519850463E-2</v>
      </c>
      <c r="E5260" s="3">
        <f>$B$4505*(C5260)+$B$4506*(C5260)^2/2-$B$4504*(C5260)^3/6-(N(D27)*MAX(0,(C5260)-N(E27))^2/2+N(F27)*MAX(0,(C5260)-N(G27))^2/2+N(H27)*MAX(0,(C5260)-N(I27))^2/2+N(J27)*MAX(0,(C5260)-N(K27))^2/2+N(L27)*MAX(0,(C5260)-N(M27))^2/2)+$B$4507</f>
        <v>-2.1219091649982147E-2</v>
      </c>
    </row>
    <row r="5261" spans="1:5" hidden="1">
      <c r="A5261" s="3">
        <f t="shared" si="111"/>
        <v>4.9999237060546875</v>
      </c>
      <c r="B5261" s="3">
        <f t="shared" si="112"/>
        <v>5</v>
      </c>
      <c r="C5261" s="3">
        <f t="shared" si="110"/>
        <v>4.9999618530273438</v>
      </c>
      <c r="D5261" s="3">
        <f>$B$4505*(A5261)+$B$4506*(A5261)^2/2-$B$4504*(A5261)^3/6-(N(D27)*MAX(0,(A5261)-N(E27))^2/2+N(F27)*MAX(0,(A5261)-N(G27))^2/2+N(H27)*MAX(0,(A5261)-N(I27))^2/2+N(J27)*MAX(0,(A5261)-N(K27))^2/2+N(L27)*MAX(0,(A5261)-N(M27))^2/2)+$B$4507</f>
        <v>-2.1219091649982147E-2</v>
      </c>
      <c r="E5261" s="3">
        <f>$B$4505*(C5261)+$B$4506*(C5261)^2/2-$B$4504*(C5261)^3/6-(N(D27)*MAX(0,(C5261)-N(E27))^2/2+N(F27)*MAX(0,(C5261)-N(G27))^2/2+N(H27)*MAX(0,(C5261)-N(I27))^2/2+N(J27)*MAX(0,(C5261)-N(K27))^2/2+N(L27)*MAX(0,(C5261)-N(M27))^2/2)+$B$4507</f>
        <v>-1.0609586297505302E-2</v>
      </c>
    </row>
    <row r="5262" spans="1:5" hidden="1">
      <c r="A5262" s="3">
        <f t="shared" si="111"/>
        <v>4.9999618530273438</v>
      </c>
      <c r="B5262" s="3">
        <f t="shared" si="112"/>
        <v>5</v>
      </c>
      <c r="C5262" s="3">
        <f t="shared" si="110"/>
        <v>4.9999809265136719</v>
      </c>
      <c r="D5262" s="3">
        <f>$B$4505*(A5262)+$B$4506*(A5262)^2/2-$B$4504*(A5262)^3/6-(N(D27)*MAX(0,(A5262)-N(E27))^2/2+N(F27)*MAX(0,(A5262)-N(G27))^2/2+N(H27)*MAX(0,(A5262)-N(I27))^2/2+N(J27)*MAX(0,(A5262)-N(K27))^2/2+N(L27)*MAX(0,(A5262)-N(M27))^2/2)+$B$4507</f>
        <v>-1.0609586297505302E-2</v>
      </c>
      <c r="E5262" s="3">
        <f>$B$4505*(C5262)+$B$4506*(C5262)^2/2-$B$4504*(C5262)^3/6-(N(D27)*MAX(0,(C5262)-N(E27))^2/2+N(F27)*MAX(0,(C5262)-N(G27))^2/2+N(H27)*MAX(0,(C5262)-N(I27))^2/2+N(J27)*MAX(0,(C5262)-N(K27))^2/2+N(L27)*MAX(0,(C5262)-N(M27))^2/2)+$B$4507</f>
        <v>-5.3048032668812084E-3</v>
      </c>
    </row>
    <row r="5263" spans="1:5" hidden="1">
      <c r="A5263" s="3">
        <f t="shared" si="111"/>
        <v>4.9999809265136719</v>
      </c>
      <c r="B5263" s="3">
        <f t="shared" si="112"/>
        <v>5</v>
      </c>
      <c r="C5263" s="3">
        <f t="shared" si="110"/>
        <v>4.9999904632568359</v>
      </c>
      <c r="D5263" s="3">
        <f>$B$4505*(A5263)+$B$4506*(A5263)^2/2-$B$4504*(A5263)^3/6-(N(D27)*MAX(0,(A5263)-N(E27))^2/2+N(F27)*MAX(0,(A5263)-N(G27))^2/2+N(H27)*MAX(0,(A5263)-N(I27))^2/2+N(J27)*MAX(0,(A5263)-N(K27))^2/2+N(L27)*MAX(0,(A5263)-N(M27))^2/2)+$B$4507</f>
        <v>-5.3048032668812084E-3</v>
      </c>
      <c r="E5263" s="3">
        <f>$B$4505*(C5263)+$B$4506*(C5263)^2/2-$B$4504*(C5263)^3/6-(N(D27)*MAX(0,(C5263)-N(E27))^2/2+N(F27)*MAX(0,(C5263)-N(G27))^2/2+N(H27)*MAX(0,(C5263)-N(I27))^2/2+N(J27)*MAX(0,(C5263)-N(K27))^2/2+N(L27)*MAX(0,(C5263)-N(M27))^2/2)+$B$4507</f>
        <v>-2.6524041629727435E-3</v>
      </c>
    </row>
    <row r="5264" spans="1:5" hidden="1">
      <c r="A5264" s="3">
        <f t="shared" si="111"/>
        <v>4.9999904632568359</v>
      </c>
      <c r="B5264" s="3">
        <f t="shared" si="112"/>
        <v>5</v>
      </c>
      <c r="C5264" s="3">
        <f t="shared" si="110"/>
        <v>4.999995231628418</v>
      </c>
      <c r="D5264" s="3">
        <f>$B$4505*(A5264)+$B$4506*(A5264)^2/2-$B$4504*(A5264)^3/6-(N(D27)*MAX(0,(A5264)-N(E27))^2/2+N(F27)*MAX(0,(A5264)-N(G27))^2/2+N(H27)*MAX(0,(A5264)-N(I27))^2/2+N(J27)*MAX(0,(A5264)-N(K27))^2/2+N(L27)*MAX(0,(A5264)-N(M27))^2/2)+$B$4507</f>
        <v>-2.6524041629727435E-3</v>
      </c>
      <c r="E5264" s="3">
        <f>$B$4505*(C5264)+$B$4506*(C5264)^2/2-$B$4504*(C5264)^3/6-(N(D27)*MAX(0,(C5264)-N(E27))^2/2+N(F27)*MAX(0,(C5264)-N(G27))^2/2+N(H27)*MAX(0,(C5264)-N(I27))^2/2+N(J27)*MAX(0,(C5264)-N(K27))^2/2+N(L27)*MAX(0,(C5264)-N(M27))^2/2)+$B$4507</f>
        <v>-1.3262027138125632E-3</v>
      </c>
    </row>
    <row r="5265" spans="1:5" hidden="1">
      <c r="A5265" s="3">
        <f t="shared" si="111"/>
        <v>4.999995231628418</v>
      </c>
      <c r="B5265" s="3">
        <f t="shared" si="112"/>
        <v>5</v>
      </c>
      <c r="C5265" s="3">
        <f t="shared" si="110"/>
        <v>4.999997615814209</v>
      </c>
      <c r="D5265" s="3">
        <f>$B$4505*(A5265)+$B$4506*(A5265)^2/2-$B$4504*(A5265)^3/6-(N(D27)*MAX(0,(A5265)-N(E27))^2/2+N(F27)*MAX(0,(A5265)-N(G27))^2/2+N(H27)*MAX(0,(A5265)-N(I27))^2/2+N(J27)*MAX(0,(A5265)-N(K27))^2/2+N(L27)*MAX(0,(A5265)-N(M27))^2/2)+$B$4507</f>
        <v>-1.3262027138125632E-3</v>
      </c>
      <c r="E5265" s="3">
        <f>$B$4505*(C5265)+$B$4506*(C5265)^2/2-$B$4504*(C5265)^3/6-(N(D27)*MAX(0,(C5265)-N(E27))^2/2+N(F27)*MAX(0,(C5265)-N(G27))^2/2+N(H27)*MAX(0,(C5265)-N(I27))^2/2+N(J27)*MAX(0,(C5265)-N(K27))^2/2+N(L27)*MAX(0,(C5265)-N(M27))^2/2)+$B$4507</f>
        <v>-6.6310151498782943E-4</v>
      </c>
    </row>
    <row r="5266" spans="1:5" hidden="1">
      <c r="A5266" s="3">
        <f t="shared" si="111"/>
        <v>4.999997615814209</v>
      </c>
      <c r="B5266" s="3">
        <f t="shared" si="112"/>
        <v>5</v>
      </c>
      <c r="C5266" s="3">
        <f t="shared" si="110"/>
        <v>4.9999988079071045</v>
      </c>
      <c r="D5266" s="3">
        <f>$B$4505*(A5266)+$B$4506*(A5266)^2/2-$B$4504*(A5266)^3/6-(N(D27)*MAX(0,(A5266)-N(E27))^2/2+N(F27)*MAX(0,(A5266)-N(G27))^2/2+N(H27)*MAX(0,(A5266)-N(I27))^2/2+N(J27)*MAX(0,(A5266)-N(K27))^2/2+N(L27)*MAX(0,(A5266)-N(M27))^2/2)+$B$4507</f>
        <v>-6.6310151498782943E-4</v>
      </c>
      <c r="E5266" s="3">
        <f>$B$4505*(C5266)+$B$4506*(C5266)^2/2-$B$4504*(C5266)^3/6-(N(D27)*MAX(0,(C5266)-N(E27))^2/2+N(F27)*MAX(0,(C5266)-N(G27))^2/2+N(H27)*MAX(0,(C5266)-N(I27))^2/2+N(J27)*MAX(0,(C5266)-N(K27))^2/2+N(L27)*MAX(0,(C5266)-N(M27))^2/2)+$B$4507</f>
        <v>-3.3155079700009082E-4</v>
      </c>
    </row>
    <row r="5267" spans="1:5" hidden="1">
      <c r="A5267" s="3">
        <f t="shared" si="111"/>
        <v>4.9999988079071045</v>
      </c>
      <c r="B5267" s="3">
        <f t="shared" si="112"/>
        <v>5</v>
      </c>
      <c r="C5267" s="3">
        <f t="shared" si="110"/>
        <v>4.9999994039535522</v>
      </c>
      <c r="D5267" s="3">
        <f>$B$4505*(A5267)+$B$4506*(A5267)^2/2-$B$4504*(A5267)^3/6-(N(D27)*MAX(0,(A5267)-N(E27))^2/2+N(F27)*MAX(0,(A5267)-N(G27))^2/2+N(H27)*MAX(0,(A5267)-N(I27))^2/2+N(J27)*MAX(0,(A5267)-N(K27))^2/2+N(L27)*MAX(0,(A5267)-N(M27))^2/2)+$B$4507</f>
        <v>-3.3155079700009082E-4</v>
      </c>
      <c r="E5267" s="3">
        <f>$B$4505*(C5267)+$B$4506*(C5267)^2/2-$B$4504*(C5267)^3/6-(N(D27)*MAX(0,(C5267)-N(E27))^2/2+N(F27)*MAX(0,(C5267)-N(G27))^2/2+N(H27)*MAX(0,(C5267)-N(I27))^2/2+N(J27)*MAX(0,(C5267)-N(K27))^2/2+N(L27)*MAX(0,(C5267)-N(M27))^2/2)+$B$4507</f>
        <v>-1.6577540839080029E-4</v>
      </c>
    </row>
    <row r="5268" spans="1:5" hidden="1">
      <c r="A5268" s="3">
        <f t="shared" si="111"/>
        <v>4.9999994039535522</v>
      </c>
      <c r="B5268" s="3">
        <f t="shared" si="112"/>
        <v>5</v>
      </c>
      <c r="C5268" s="3">
        <f t="shared" si="110"/>
        <v>4.9999997019767761</v>
      </c>
      <c r="D5268" s="3">
        <f>$B$4505*(A5268)+$B$4506*(A5268)^2/2-$B$4504*(A5268)^3/6-(N(D27)*MAX(0,(A5268)-N(E27))^2/2+N(F27)*MAX(0,(A5268)-N(G27))^2/2+N(H27)*MAX(0,(A5268)-N(I27))^2/2+N(J27)*MAX(0,(A5268)-N(K27))^2/2+N(L27)*MAX(0,(A5268)-N(M27))^2/2)+$B$4507</f>
        <v>-1.6577540839080029E-4</v>
      </c>
      <c r="E5268" s="3">
        <f>$B$4505*(C5268)+$B$4506*(C5268)^2/2-$B$4504*(C5268)^3/6-(N(D27)*MAX(0,(C5268)-N(E27))^2/2+N(F27)*MAX(0,(C5268)-N(G27))^2/2+N(H27)*MAX(0,(C5268)-N(I27))^2/2+N(J27)*MAX(0,(C5268)-N(K27))^2/2+N(L27)*MAX(0,(C5268)-N(M27))^2/2)+$B$4507</f>
        <v>-8.2887706639667158E-5</v>
      </c>
    </row>
    <row r="5269" spans="1:5" hidden="1">
      <c r="A5269" s="3">
        <f t="shared" si="111"/>
        <v>4.9999997019767761</v>
      </c>
      <c r="B5269" s="3">
        <f t="shared" si="112"/>
        <v>5</v>
      </c>
      <c r="C5269" s="3">
        <f t="shared" si="110"/>
        <v>4.9999998509883881</v>
      </c>
      <c r="D5269" s="3">
        <f>$B$4505*(A5269)+$B$4506*(A5269)^2/2-$B$4504*(A5269)^3/6-(N(D27)*MAX(0,(A5269)-N(E27))^2/2+N(F27)*MAX(0,(A5269)-N(G27))^2/2+N(H27)*MAX(0,(A5269)-N(I27))^2/2+N(J27)*MAX(0,(A5269)-N(K27))^2/2+N(L27)*MAX(0,(A5269)-N(M27))^2/2)+$B$4507</f>
        <v>-8.2887706639667158E-5</v>
      </c>
      <c r="E5269" s="3">
        <f>$B$4505*(C5269)+$B$4506*(C5269)^2/2-$B$4504*(C5269)^3/6-(N(D27)*MAX(0,(C5269)-N(E27))^2/2+N(F27)*MAX(0,(C5269)-N(G27))^2/2+N(H27)*MAX(0,(C5269)-N(I27))^2/2+N(J27)*MAX(0,(C5269)-N(K27))^2/2+N(L27)*MAX(0,(C5269)-N(M27))^2/2)+$B$4507</f>
        <v>-4.1443854001954605E-5</v>
      </c>
    </row>
    <row r="5270" spans="1:5" hidden="1">
      <c r="A5270" s="3">
        <f t="shared" si="111"/>
        <v>4.9999998509883881</v>
      </c>
      <c r="B5270" s="3">
        <f t="shared" si="112"/>
        <v>5</v>
      </c>
      <c r="C5270" s="3">
        <f t="shared" si="110"/>
        <v>4.999999925494194</v>
      </c>
      <c r="D5270" s="3">
        <f>$B$4505*(A5270)+$B$4506*(A5270)^2/2-$B$4504*(A5270)^3/6-(N(D27)*MAX(0,(A5270)-N(E27))^2/2+N(F27)*MAX(0,(A5270)-N(G27))^2/2+N(H27)*MAX(0,(A5270)-N(I27))^2/2+N(J27)*MAX(0,(A5270)-N(K27))^2/2+N(L27)*MAX(0,(A5270)-N(M27))^2/2)+$B$4507</f>
        <v>-4.1443854001954605E-5</v>
      </c>
      <c r="E5270" s="3">
        <f>$B$4505*(C5270)+$B$4506*(C5270)^2/2-$B$4504*(C5270)^3/6-(N(D27)*MAX(0,(C5270)-N(E27))^2/2+N(F27)*MAX(0,(C5270)-N(G27))^2/2+N(H27)*MAX(0,(C5270)-N(I27))^2/2+N(J27)*MAX(0,(C5270)-N(K27))^2/2+N(L27)*MAX(0,(C5270)-N(M27))^2/2)+$B$4507</f>
        <v>-2.0721927057820722E-5</v>
      </c>
    </row>
    <row r="5271" spans="1:5" hidden="1">
      <c r="A5271" s="3">
        <f t="shared" si="111"/>
        <v>4.999999925494194</v>
      </c>
      <c r="B5271" s="3">
        <f t="shared" si="112"/>
        <v>5</v>
      </c>
      <c r="C5271" s="3">
        <f t="shared" si="110"/>
        <v>4.999999962747097</v>
      </c>
      <c r="D5271" s="3">
        <f>$B$4505*(A5271)+$B$4506*(A5271)^2/2-$B$4504*(A5271)^3/6-(N(D27)*MAX(0,(A5271)-N(E27))^2/2+N(F27)*MAX(0,(A5271)-N(G27))^2/2+N(H27)*MAX(0,(A5271)-N(I27))^2/2+N(J27)*MAX(0,(A5271)-N(K27))^2/2+N(L27)*MAX(0,(A5271)-N(M27))^2/2)+$B$4507</f>
        <v>-2.0721927057820722E-5</v>
      </c>
      <c r="E5271" s="3">
        <f>$B$4505*(C5271)+$B$4506*(C5271)^2/2-$B$4504*(C5271)^3/6-(N(D27)*MAX(0,(C5271)-N(E27))^2/2+N(F27)*MAX(0,(C5271)-N(G27))^2/2+N(H27)*MAX(0,(C5271)-N(I27))^2/2+N(J27)*MAX(0,(C5271)-N(K27))^2/2+N(L27)*MAX(0,(C5271)-N(M27))^2/2)+$B$4507</f>
        <v>-1.0360963642597198E-5</v>
      </c>
    </row>
    <row r="5272" spans="1:5" hidden="1">
      <c r="A5272" s="3">
        <f t="shared" si="111"/>
        <v>4.999999962747097</v>
      </c>
      <c r="B5272" s="3">
        <f t="shared" si="112"/>
        <v>5</v>
      </c>
      <c r="C5272" s="3">
        <f t="shared" si="110"/>
        <v>4.9999999813735485</v>
      </c>
      <c r="D5272" s="3">
        <f>$B$4505*(A5272)+$B$4506*(A5272)^2/2-$B$4504*(A5272)^3/6-(N(D27)*MAX(0,(A5272)-N(E27))^2/2+N(F27)*MAX(0,(A5272)-N(G27))^2/2+N(H27)*MAX(0,(A5272)-N(I27))^2/2+N(J27)*MAX(0,(A5272)-N(K27))^2/2+N(L27)*MAX(0,(A5272)-N(M27))^2/2)+$B$4507</f>
        <v>-1.0360963642597198E-5</v>
      </c>
      <c r="E5272" s="3">
        <f>$B$4505*(C5272)+$B$4506*(C5272)^2/2-$B$4504*(C5272)^3/6-(N(D27)*MAX(0,(C5272)-N(E27))^2/2+N(F27)*MAX(0,(C5272)-N(G27))^2/2+N(H27)*MAX(0,(C5272)-N(I27))^2/2+N(J27)*MAX(0,(C5272)-N(K27))^2/2+N(L27)*MAX(0,(C5272)-N(M27))^2/2)+$B$4507</f>
        <v>-5.1804818212985992E-6</v>
      </c>
    </row>
    <row r="5273" spans="1:5" hidden="1">
      <c r="A5273" s="3">
        <f t="shared" si="111"/>
        <v>4.9999999813735485</v>
      </c>
      <c r="B5273" s="3">
        <f t="shared" si="112"/>
        <v>5</v>
      </c>
      <c r="C5273" s="3">
        <f t="shared" si="110"/>
        <v>4.9999999906867743</v>
      </c>
      <c r="D5273" s="3">
        <f>$B$4505*(A5273)+$B$4506*(A5273)^2/2-$B$4504*(A5273)^3/6-(N(D27)*MAX(0,(A5273)-N(E27))^2/2+N(F27)*MAX(0,(A5273)-N(G27))^2/2+N(H27)*MAX(0,(A5273)-N(I27))^2/2+N(J27)*MAX(0,(A5273)-N(K27))^2/2+N(L27)*MAX(0,(A5273)-N(M27))^2/2)+$B$4507</f>
        <v>-5.1804818212985992E-6</v>
      </c>
      <c r="E5273" s="3">
        <f>$B$4505*(C5273)+$B$4506*(C5273)^2/2-$B$4504*(C5273)^3/6-(N(D27)*MAX(0,(C5273)-N(E27))^2/2+N(F27)*MAX(0,(C5273)-N(G27))^2/2+N(H27)*MAX(0,(C5273)-N(I27))^2/2+N(J27)*MAX(0,(C5273)-N(K27))^2/2+N(L27)*MAX(0,(C5273)-N(M27))^2/2)+$B$4507</f>
        <v>-2.5902409106492996E-6</v>
      </c>
    </row>
    <row r="5274" spans="1:5" hidden="1">
      <c r="A5274" s="3">
        <f t="shared" si="111"/>
        <v>4.9999999906867743</v>
      </c>
      <c r="B5274" s="3">
        <f t="shared" si="112"/>
        <v>5</v>
      </c>
      <c r="C5274" s="3">
        <f t="shared" si="110"/>
        <v>4.9999999953433871</v>
      </c>
      <c r="D5274" s="3">
        <f>$B$4505*(A5274)+$B$4506*(A5274)^2/2-$B$4504*(A5274)^3/6-(N(D27)*MAX(0,(A5274)-N(E27))^2/2+N(F27)*MAX(0,(A5274)-N(G27))^2/2+N(H27)*MAX(0,(A5274)-N(I27))^2/2+N(J27)*MAX(0,(A5274)-N(K27))^2/2+N(L27)*MAX(0,(A5274)-N(M27))^2/2)+$B$4507</f>
        <v>-2.5902409106492996E-6</v>
      </c>
      <c r="E5274" s="3">
        <f>$B$4505*(C5274)+$B$4506*(C5274)^2/2-$B$4504*(C5274)^3/6-(N(D27)*MAX(0,(C5274)-N(E27))^2/2+N(F27)*MAX(0,(C5274)-N(G27))^2/2+N(H27)*MAX(0,(C5274)-N(I27))^2/2+N(J27)*MAX(0,(C5274)-N(K27))^2/2+N(L27)*MAX(0,(C5274)-N(M27))^2/2)+$B$4507</f>
        <v>-1.2951204553246498E-6</v>
      </c>
    </row>
    <row r="5275" spans="1:5" hidden="1">
      <c r="A5275" s="3">
        <f t="shared" si="111"/>
        <v>4.9999999953433871</v>
      </c>
      <c r="B5275" s="3">
        <f t="shared" si="112"/>
        <v>5</v>
      </c>
      <c r="C5275" s="3">
        <f t="shared" si="110"/>
        <v>4.9999999976716936</v>
      </c>
      <c r="D5275" s="3">
        <f>$B$4505*(A5275)+$B$4506*(A5275)^2/2-$B$4504*(A5275)^3/6-(N(D27)*MAX(0,(A5275)-N(E27))^2/2+N(F27)*MAX(0,(A5275)-N(G27))^2/2+N(H27)*MAX(0,(A5275)-N(I27))^2/2+N(J27)*MAX(0,(A5275)-N(K27))^2/2+N(L27)*MAX(0,(A5275)-N(M27))^2/2)+$B$4507</f>
        <v>-1.2951204553246498E-6</v>
      </c>
      <c r="E5275" s="3">
        <f>$B$4505*(C5275)+$B$4506*(C5275)^2/2-$B$4504*(C5275)^3/6-(N(D27)*MAX(0,(C5275)-N(E27))^2/2+N(F27)*MAX(0,(C5275)-N(G27))^2/2+N(H27)*MAX(0,(C5275)-N(I27))^2/2+N(J27)*MAX(0,(C5275)-N(K27))^2/2+N(L27)*MAX(0,(C5275)-N(M27))^2/2)+$B$4507</f>
        <v>-6.4756022766232491E-7</v>
      </c>
    </row>
    <row r="5276" spans="1:5" hidden="1">
      <c r="A5276" s="3">
        <f t="shared" si="111"/>
        <v>4.9999999976716936</v>
      </c>
      <c r="B5276" s="3">
        <f t="shared" si="112"/>
        <v>5</v>
      </c>
      <c r="C5276" s="3">
        <f t="shared" si="110"/>
        <v>4.9999999988358468</v>
      </c>
      <c r="D5276" s="3">
        <f>$B$4505*(A5276)+$B$4506*(A5276)^2/2-$B$4504*(A5276)^3/6-(N(D27)*MAX(0,(A5276)-N(E27))^2/2+N(F27)*MAX(0,(A5276)-N(G27))^2/2+N(H27)*MAX(0,(A5276)-N(I27))^2/2+N(J27)*MAX(0,(A5276)-N(K27))^2/2+N(L27)*MAX(0,(A5276)-N(M27))^2/2)+$B$4507</f>
        <v>-6.4756022766232491E-7</v>
      </c>
      <c r="E5276" s="3">
        <f>$B$4505*(C5276)+$B$4506*(C5276)^2/2-$B$4504*(C5276)^3/6-(N(D27)*MAX(0,(C5276)-N(E27))^2/2+N(F27)*MAX(0,(C5276)-N(G27))^2/2+N(H27)*MAX(0,(C5276)-N(I27))^2/2+N(J27)*MAX(0,(C5276)-N(K27))^2/2+N(L27)*MAX(0,(C5276)-N(M27))^2/2)+$B$4507</f>
        <v>-3.2378011383116245E-7</v>
      </c>
    </row>
    <row r="5277" spans="1:5" hidden="1">
      <c r="A5277" s="3">
        <f t="shared" si="111"/>
        <v>4.9999999988358468</v>
      </c>
      <c r="B5277" s="3">
        <f t="shared" si="112"/>
        <v>5</v>
      </c>
      <c r="C5277" s="3">
        <f t="shared" si="110"/>
        <v>4.9999999994179234</v>
      </c>
      <c r="D5277" s="3">
        <f>$B$4505*(A5277)+$B$4506*(A5277)^2/2-$B$4504*(A5277)^3/6-(N(D27)*MAX(0,(A5277)-N(E27))^2/2+N(F27)*MAX(0,(A5277)-N(G27))^2/2+N(H27)*MAX(0,(A5277)-N(I27))^2/2+N(J27)*MAX(0,(A5277)-N(K27))^2/2+N(L27)*MAX(0,(A5277)-N(M27))^2/2)+$B$4507</f>
        <v>-3.2378011383116245E-7</v>
      </c>
      <c r="E5277" s="3">
        <f>$B$4505*(C5277)+$B$4506*(C5277)^2/2-$B$4504*(C5277)^3/6-(N(D27)*MAX(0,(C5277)-N(E27))^2/2+N(F27)*MAX(0,(C5277)-N(G27))^2/2+N(H27)*MAX(0,(C5277)-N(I27))^2/2+N(J27)*MAX(0,(C5277)-N(K27))^2/2+N(L27)*MAX(0,(C5277)-N(M27))^2/2)+$B$4507</f>
        <v>-1.6189005691558123E-7</v>
      </c>
    </row>
    <row r="5278" spans="1:5" hidden="1">
      <c r="A5278" s="3">
        <f t="shared" si="111"/>
        <v>4.9999999994179234</v>
      </c>
      <c r="B5278" s="3">
        <f t="shared" si="112"/>
        <v>5</v>
      </c>
      <c r="C5278" s="3">
        <f t="shared" si="110"/>
        <v>4.9999999997089617</v>
      </c>
      <c r="D5278" s="3">
        <f>$B$4505*(A5278)+$B$4506*(A5278)^2/2-$B$4504*(A5278)^3/6-(N(D27)*MAX(0,(A5278)-N(E27))^2/2+N(F27)*MAX(0,(A5278)-N(G27))^2/2+N(H27)*MAX(0,(A5278)-N(I27))^2/2+N(J27)*MAX(0,(A5278)-N(K27))^2/2+N(L27)*MAX(0,(A5278)-N(M27))^2/2)+$B$4507</f>
        <v>-1.6189005691558123E-7</v>
      </c>
      <c r="E5278" s="3">
        <f>$B$4505*(C5278)+$B$4506*(C5278)^2/2-$B$4504*(C5278)^3/6-(N(D27)*MAX(0,(C5278)-N(E27))^2/2+N(F27)*MAX(0,(C5278)-N(G27))^2/2+N(H27)*MAX(0,(C5278)-N(I27))^2/2+N(J27)*MAX(0,(C5278)-N(K27))^2/2+N(L27)*MAX(0,(C5278)-N(M27))^2/2)+$B$4507</f>
        <v>-8.0945028457790613E-8</v>
      </c>
    </row>
    <row r="5279" spans="1:5" hidden="1">
      <c r="A5279" s="3">
        <f t="shared" si="111"/>
        <v>4.9999999997089617</v>
      </c>
      <c r="B5279" s="3">
        <f t="shared" si="112"/>
        <v>5</v>
      </c>
      <c r="C5279" s="3">
        <f t="shared" si="110"/>
        <v>4.9999999998544808</v>
      </c>
      <c r="D5279" s="3">
        <f>$B$4505*(A5279)+$B$4506*(A5279)^2/2-$B$4504*(A5279)^3/6-(N(D27)*MAX(0,(A5279)-N(E27))^2/2+N(F27)*MAX(0,(A5279)-N(G27))^2/2+N(H27)*MAX(0,(A5279)-N(I27))^2/2+N(J27)*MAX(0,(A5279)-N(K27))^2/2+N(L27)*MAX(0,(A5279)-N(M27))^2/2)+$B$4507</f>
        <v>-8.0945028457790613E-8</v>
      </c>
      <c r="E5279" s="3">
        <f>$B$4505*(C5279)+$B$4506*(C5279)^2/2-$B$4504*(C5279)^3/6-(N(D27)*MAX(0,(C5279)-N(E27))^2/2+N(F27)*MAX(0,(C5279)-N(G27))^2/2+N(H27)*MAX(0,(C5279)-N(I27))^2/2+N(J27)*MAX(0,(C5279)-N(K27))^2/2+N(L27)*MAX(0,(C5279)-N(M27))^2/2)+$B$4507</f>
        <v>-4.0472514228895307E-8</v>
      </c>
    </row>
    <row r="5280" spans="1:5" hidden="1">
      <c r="A5280" s="3">
        <f t="shared" si="111"/>
        <v>4.9999999998544808</v>
      </c>
      <c r="B5280" s="3">
        <f t="shared" si="112"/>
        <v>5</v>
      </c>
      <c r="C5280" s="3">
        <f t="shared" si="110"/>
        <v>4.9999999999272404</v>
      </c>
      <c r="D5280" s="3">
        <f>$B$4505*(A5280)+$B$4506*(A5280)^2/2-$B$4504*(A5280)^3/6-(N(D27)*MAX(0,(A5280)-N(E27))^2/2+N(F27)*MAX(0,(A5280)-N(G27))^2/2+N(H27)*MAX(0,(A5280)-N(I27))^2/2+N(J27)*MAX(0,(A5280)-N(K27))^2/2+N(L27)*MAX(0,(A5280)-N(M27))^2/2)+$B$4507</f>
        <v>-4.0472514228895307E-8</v>
      </c>
      <c r="E5280" s="3">
        <f>$B$4505*(C5280)+$B$4506*(C5280)^2/2-$B$4504*(C5280)^3/6-(N(D27)*MAX(0,(C5280)-N(E27))^2/2+N(F27)*MAX(0,(C5280)-N(G27))^2/2+N(H27)*MAX(0,(C5280)-N(I27))^2/2+N(J27)*MAX(0,(C5280)-N(K27))^2/2+N(L27)*MAX(0,(C5280)-N(M27))^2/2)+$B$4507</f>
        <v>-2.0236257114447653E-8</v>
      </c>
    </row>
    <row r="5281" spans="1:5" hidden="1">
      <c r="A5281" s="3">
        <f t="shared" si="111"/>
        <v>4.9999999999272404</v>
      </c>
      <c r="B5281" s="3">
        <f t="shared" si="112"/>
        <v>5</v>
      </c>
      <c r="C5281" s="3">
        <f t="shared" si="110"/>
        <v>4.9999999999636202</v>
      </c>
      <c r="D5281" s="3">
        <f>$B$4505*(A5281)+$B$4506*(A5281)^2/2-$B$4504*(A5281)^3/6-(N(D27)*MAX(0,(A5281)-N(E27))^2/2+N(F27)*MAX(0,(A5281)-N(G27))^2/2+N(H27)*MAX(0,(A5281)-N(I27))^2/2+N(J27)*MAX(0,(A5281)-N(K27))^2/2+N(L27)*MAX(0,(A5281)-N(M27))^2/2)+$B$4507</f>
        <v>-2.0236257114447653E-8</v>
      </c>
      <c r="E5281" s="3">
        <f>$B$4505*(C5281)+$B$4506*(C5281)^2/2-$B$4504*(C5281)^3/6-(N(D27)*MAX(0,(C5281)-N(E27))^2/2+N(F27)*MAX(0,(C5281)-N(G27))^2/2+N(H27)*MAX(0,(C5281)-N(I27))^2/2+N(J27)*MAX(0,(C5281)-N(K27))^2/2+N(L27)*MAX(0,(C5281)-N(M27))^2/2)+$B$4507</f>
        <v>-1.0118128557223827E-8</v>
      </c>
    </row>
    <row r="5282" spans="1:5" hidden="1">
      <c r="A5282" s="3">
        <f t="shared" si="111"/>
        <v>4.9999999999636202</v>
      </c>
      <c r="B5282" s="3">
        <f t="shared" si="112"/>
        <v>5</v>
      </c>
      <c r="C5282" s="3">
        <f t="shared" si="110"/>
        <v>4.9999999999818101</v>
      </c>
      <c r="D5282" s="3">
        <f>$B$4505*(A5282)+$B$4506*(A5282)^2/2-$B$4504*(A5282)^3/6-(N(D27)*MAX(0,(A5282)-N(E27))^2/2+N(F27)*MAX(0,(A5282)-N(G27))^2/2+N(H27)*MAX(0,(A5282)-N(I27))^2/2+N(J27)*MAX(0,(A5282)-N(K27))^2/2+N(L27)*MAX(0,(A5282)-N(M27))^2/2)+$B$4507</f>
        <v>-1.0118128557223827E-8</v>
      </c>
      <c r="E5282" s="3">
        <f>$B$4505*(C5282)+$B$4506*(C5282)^2/2-$B$4504*(C5282)^3/6-(N(D27)*MAX(0,(C5282)-N(E27))^2/2+N(F27)*MAX(0,(C5282)-N(G27))^2/2+N(H27)*MAX(0,(C5282)-N(I27))^2/2+N(J27)*MAX(0,(C5282)-N(K27))^2/2+N(L27)*MAX(0,(C5282)-N(M27))^2/2)+$B$4507</f>
        <v>-5.0590642786119133E-9</v>
      </c>
    </row>
    <row r="5283" spans="1:5" hidden="1">
      <c r="A5283" s="3">
        <f t="shared" si="111"/>
        <v>4.9999999999818101</v>
      </c>
      <c r="B5283" s="3">
        <f t="shared" si="112"/>
        <v>5</v>
      </c>
      <c r="C5283" s="3">
        <f t="shared" si="110"/>
        <v>4.9999999999909051</v>
      </c>
      <c r="D5283" s="3">
        <f>$B$4505*(A5283)+$B$4506*(A5283)^2/2-$B$4504*(A5283)^3/6-(N(D27)*MAX(0,(A5283)-N(E27))^2/2+N(F27)*MAX(0,(A5283)-N(G27))^2/2+N(H27)*MAX(0,(A5283)-N(I27))^2/2+N(J27)*MAX(0,(A5283)-N(K27))^2/2+N(L27)*MAX(0,(A5283)-N(M27))^2/2)+$B$4507</f>
        <v>-5.0590642786119133E-9</v>
      </c>
      <c r="E5283" s="3">
        <f>$B$4505*(C5283)+$B$4506*(C5283)^2/2-$B$4504*(C5283)^3/6-(N(D27)*MAX(0,(C5283)-N(E27))^2/2+N(F27)*MAX(0,(C5283)-N(G27))^2/2+N(H27)*MAX(0,(C5283)-N(I27))^2/2+N(J27)*MAX(0,(C5283)-N(K27))^2/2+N(L27)*MAX(0,(C5283)-N(M27))^2/2)+$B$4507</f>
        <v>-2.5295321393059567E-9</v>
      </c>
    </row>
    <row r="5284" spans="1:5" hidden="1">
      <c r="A5284" s="3">
        <f t="shared" si="111"/>
        <v>4.9999999999909051</v>
      </c>
      <c r="B5284" s="3">
        <f t="shared" si="112"/>
        <v>5</v>
      </c>
      <c r="C5284" s="3">
        <f t="shared" si="110"/>
        <v>4.9999999999954525</v>
      </c>
      <c r="D5284" s="3">
        <f>$B$4505*(A5284)+$B$4506*(A5284)^2/2-$B$4504*(A5284)^3/6-(N(D27)*MAX(0,(A5284)-N(E27))^2/2+N(F27)*MAX(0,(A5284)-N(G27))^2/2+N(H27)*MAX(0,(A5284)-N(I27))^2/2+N(J27)*MAX(0,(A5284)-N(K27))^2/2+N(L27)*MAX(0,(A5284)-N(M27))^2/2)+$B$4507</f>
        <v>-2.5295321393059567E-9</v>
      </c>
      <c r="E5284" s="3">
        <f>$B$4505*(C5284)+$B$4506*(C5284)^2/2-$B$4504*(C5284)^3/6-(N(D27)*MAX(0,(C5284)-N(E27))^2/2+N(F27)*MAX(0,(C5284)-N(G27))^2/2+N(H27)*MAX(0,(C5284)-N(I27))^2/2+N(J27)*MAX(0,(C5284)-N(K27))^2/2+N(L27)*MAX(0,(C5284)-N(M27))^2/2)+$B$4507</f>
        <v>-1.2647660696529783E-9</v>
      </c>
    </row>
    <row r="5285" spans="1:5" hidden="1">
      <c r="A5285" s="3">
        <f t="shared" si="111"/>
        <v>4.9999999999954525</v>
      </c>
      <c r="B5285" s="3">
        <f t="shared" si="112"/>
        <v>5</v>
      </c>
      <c r="C5285" s="3">
        <f t="shared" si="110"/>
        <v>4.9999999999977263</v>
      </c>
      <c r="D5285" s="3">
        <f>$B$4505*(A5285)+$B$4506*(A5285)^2/2-$B$4504*(A5285)^3/6-(N(D27)*MAX(0,(A5285)-N(E27))^2/2+N(F27)*MAX(0,(A5285)-N(G27))^2/2+N(H27)*MAX(0,(A5285)-N(I27))^2/2+N(J27)*MAX(0,(A5285)-N(K27))^2/2+N(L27)*MAX(0,(A5285)-N(M27))^2/2)+$B$4507</f>
        <v>-1.2647660696529783E-9</v>
      </c>
      <c r="E5285" s="3">
        <f>$B$4505*(C5285)+$B$4506*(C5285)^2/2-$B$4504*(C5285)^3/6-(N(D27)*MAX(0,(C5285)-N(E27))^2/2+N(F27)*MAX(0,(C5285)-N(G27))^2/2+N(H27)*MAX(0,(C5285)-N(I27))^2/2+N(J27)*MAX(0,(C5285)-N(K27))^2/2+N(L27)*MAX(0,(C5285)-N(M27))^2/2)+$B$4507</f>
        <v>-6.3232619140762836E-10</v>
      </c>
    </row>
    <row r="5286" spans="1:5" hidden="1">
      <c r="A5286" s="3">
        <f t="shared" si="111"/>
        <v>4.9999999999977263</v>
      </c>
      <c r="B5286" s="3">
        <f t="shared" si="112"/>
        <v>5</v>
      </c>
      <c r="C5286" s="3">
        <f t="shared" si="110"/>
        <v>4.9999999999988631</v>
      </c>
      <c r="D5286" s="3">
        <f>$B$4505*(A5286)+$B$4506*(A5286)^2/2-$B$4504*(A5286)^3/6-(N(D27)*MAX(0,(A5286)-N(E27))^2/2+N(F27)*MAX(0,(A5286)-N(G27))^2/2+N(H27)*MAX(0,(A5286)-N(I27))^2/2+N(J27)*MAX(0,(A5286)-N(K27))^2/2+N(L27)*MAX(0,(A5286)-N(M27))^2/2)+$B$4507</f>
        <v>-6.3232619140762836E-10</v>
      </c>
      <c r="E5286" s="3">
        <f>$B$4505*(C5286)+$B$4506*(C5286)^2/2-$B$4504*(C5286)^3/6-(N(D27)*MAX(0,(C5286)-N(E27))^2/2+N(F27)*MAX(0,(C5286)-N(G27))^2/2+N(H27)*MAX(0,(C5286)-N(I27))^2/2+N(J27)*MAX(0,(C5286)-N(K27))^2/2+N(L27)*MAX(0,(C5286)-N(M27))^2/2)+$B$4507</f>
        <v>-3.1616309570381418E-10</v>
      </c>
    </row>
    <row r="5287" spans="1:5" hidden="1">
      <c r="A5287" s="3">
        <f t="shared" si="111"/>
        <v>4.9999999999988631</v>
      </c>
      <c r="B5287" s="3">
        <f t="shared" si="112"/>
        <v>5</v>
      </c>
      <c r="C5287" s="3">
        <f t="shared" si="110"/>
        <v>4.9999999999994316</v>
      </c>
      <c r="D5287" s="3">
        <f>$B$4505*(A5287)+$B$4506*(A5287)^2/2-$B$4504*(A5287)^3/6-(N(D27)*MAX(0,(A5287)-N(E27))^2/2+N(F27)*MAX(0,(A5287)-N(G27))^2/2+N(H27)*MAX(0,(A5287)-N(I27))^2/2+N(J27)*MAX(0,(A5287)-N(K27))^2/2+N(L27)*MAX(0,(A5287)-N(M27))^2/2)+$B$4507</f>
        <v>-3.1616309570381418E-10</v>
      </c>
      <c r="E5287" s="3">
        <f>$B$4505*(C5287)+$B$4506*(C5287)^2/2-$B$4504*(C5287)^3/6-(N(D27)*MAX(0,(C5287)-N(E27))^2/2+N(F27)*MAX(0,(C5287)-N(G27))^2/2+N(H27)*MAX(0,(C5287)-N(I27))^2/2+N(J27)*MAX(0,(C5287)-N(K27))^2/2+N(L27)*MAX(0,(C5287)-N(M27))^2/2)+$B$4507</f>
        <v>-1.5802470443304628E-10</v>
      </c>
    </row>
    <row r="5288" spans="1:5" hidden="1">
      <c r="A5288" s="3">
        <f t="shared" si="111"/>
        <v>4.9999999999994316</v>
      </c>
      <c r="B5288" s="3">
        <f t="shared" si="112"/>
        <v>5</v>
      </c>
      <c r="C5288" s="3">
        <f t="shared" si="110"/>
        <v>4.9999999999997158</v>
      </c>
      <c r="D5288" s="3">
        <f>$B$4505*(A5288)+$B$4506*(A5288)^2/2-$B$4504*(A5288)^3/6-(N(D27)*MAX(0,(A5288)-N(E27))^2/2+N(F27)*MAX(0,(A5288)-N(G27))^2/2+N(H27)*MAX(0,(A5288)-N(I27))^2/2+N(J27)*MAX(0,(A5288)-N(K27))^2/2+N(L27)*MAX(0,(A5288)-N(M27))^2/2)+$B$4507</f>
        <v>-1.5802470443304628E-10</v>
      </c>
      <c r="E5288" s="3">
        <f>$B$4505*(C5288)+$B$4506*(C5288)^2/2-$B$4504*(C5288)^3/6-(N(D27)*MAX(0,(C5288)-N(E27))^2/2+N(F27)*MAX(0,(C5288)-N(G27))^2/2+N(H27)*MAX(0,(C5288)-N(I27))^2/2+N(J27)*MAX(0,(C5288)-N(K27))^2/2+N(L27)*MAX(0,(C5288)-N(M27))^2/2)+$B$4507</f>
        <v>-7.9012352216523141E-11</v>
      </c>
    </row>
    <row r="5289" spans="1:5" hidden="1">
      <c r="A5289" s="3">
        <f t="shared" si="111"/>
        <v>4.9999999999997158</v>
      </c>
      <c r="B5289" s="3">
        <f t="shared" si="112"/>
        <v>5</v>
      </c>
      <c r="C5289" s="3">
        <f t="shared" si="110"/>
        <v>4.9999999999998579</v>
      </c>
      <c r="D5289" s="3">
        <f>$B$4505*(A5289)+$B$4506*(A5289)^2/2-$B$4504*(A5289)^3/6-(N(D27)*MAX(0,(A5289)-N(E27))^2/2+N(F27)*MAX(0,(A5289)-N(G27))^2/2+N(H27)*MAX(0,(A5289)-N(I27))^2/2+N(J27)*MAX(0,(A5289)-N(K27))^2/2+N(L27)*MAX(0,(A5289)-N(M27))^2/2)+$B$4507</f>
        <v>-7.9012352216523141E-11</v>
      </c>
      <c r="E5289" s="3">
        <f>$B$4505*(C5289)+$B$4506*(C5289)^2/2-$B$4504*(C5289)^3/6-(N(D27)*MAX(0,(C5289)-N(E27))^2/2+N(F27)*MAX(0,(C5289)-N(G27))^2/2+N(H27)*MAX(0,(C5289)-N(I27))^2/2+N(J27)*MAX(0,(C5289)-N(K27))^2/2+N(L27)*MAX(0,(C5289)-N(M27))^2/2)+$B$4507</f>
        <v>-3.9449332689400762E-11</v>
      </c>
    </row>
    <row r="5290" spans="1:5" hidden="1"/>
    <row r="5291" spans="1:5" hidden="1">
      <c r="A5291" s="3">
        <f>B4556</f>
        <v>5</v>
      </c>
      <c r="B5291" s="3">
        <f>IF(($B$4505*(B4556)+$B$4506*(B4556)^2/2-$B$4504*(B4556)^3/6-(N(D27)*MAX(0,(B4556)-N(E27))^2/2+N(F27)*MAX(0,(B4556)-N(G27))^2/2+N(H27)*MAX(0,(B4556)-N(I27))^2/2+N(J27)*MAX(0,(B4556)-N(K27))^2/2+N(L27)*MAX(0,(B4556)-N(M27))^2/2)+$B$4507)*($B$4505*(B4557)+$B$4506*(B4557)^2/2-$B$4504*(B4557)^3/6-(N(D27)*MAX(0,(B4557)-N(E27))^2/2+N(F27)*MAX(0,(B4557)-N(G27))^2/2+N(H27)*MAX(0,(B4557)-N(I27))^2/2+N(J27)*MAX(0,(B4557)-N(K27))^2/2+N(L27)*MAX(0,(B4557)-N(M27))^2/2)+$B$4507)&lt;=0,B4557,B4556)</f>
        <v>10</v>
      </c>
      <c r="C5291" s="3">
        <f t="shared" ref="C5291:C5335" si="113">(A5291+B5291)/2</f>
        <v>7.5</v>
      </c>
      <c r="D5291" s="3">
        <f>$B$4505*(A5291)+$B$4506*(A5291)^2/2-$B$4504*(A5291)^3/6-(N(D27)*MAX(0,(A5291)-N(E27))^2/2+N(F27)*MAX(0,(A5291)-N(G27))^2/2+N(H27)*MAX(0,(A5291)-N(I27))^2/2+N(J27)*MAX(0,(A5291)-N(K27))^2/2+N(L27)*MAX(0,(A5291)-N(M27))^2/2)+$B$4507</f>
        <v>0</v>
      </c>
      <c r="E5291" s="3">
        <f>$B$4505*(C5291)+$B$4506*(C5291)^2/2-$B$4504*(C5291)^3/6-(N(D27)*MAX(0,(C5291)-N(E27))^2/2+N(F27)*MAX(0,(C5291)-N(G27))^2/2+N(H27)*MAX(0,(C5291)-N(I27))^2/2+N(J27)*MAX(0,(C5291)-N(K27))^2/2+N(L27)*MAX(0,(C5291)-N(M27))^2/2)+$B$4507</f>
        <v>521.48437499999989</v>
      </c>
    </row>
    <row r="5292" spans="1:5" hidden="1">
      <c r="A5292" s="3">
        <f t="shared" ref="A5292:A5335" si="114">IF(D5291*E5291&lt;=0,A5291,C5291)</f>
        <v>5</v>
      </c>
      <c r="B5292" s="3">
        <f t="shared" ref="B5292:B5335" si="115">IF(D5291*E5291&lt;=0,C5291,B5291)</f>
        <v>7.5</v>
      </c>
      <c r="C5292" s="3">
        <f t="shared" si="113"/>
        <v>6.25</v>
      </c>
      <c r="D5292" s="3">
        <f>$B$4505*(A5292)+$B$4506*(A5292)^2/2-$B$4504*(A5292)^3/6-(N(D27)*MAX(0,(A5292)-N(E27))^2/2+N(F27)*MAX(0,(A5292)-N(G27))^2/2+N(H27)*MAX(0,(A5292)-N(I27))^2/2+N(J27)*MAX(0,(A5292)-N(K27))^2/2+N(L27)*MAX(0,(A5292)-N(M27))^2/2)+$B$4507</f>
        <v>0</v>
      </c>
      <c r="E5292" s="3">
        <f>$B$4505*(C5292)+$B$4506*(C5292)^2/2-$B$4504*(C5292)^3/6-(N(D27)*MAX(0,(C5292)-N(E27))^2/2+N(F27)*MAX(0,(C5292)-N(G27))^2/2+N(H27)*MAX(0,(C5292)-N(I27))^2/2+N(J27)*MAX(0,(C5292)-N(K27))^2/2+N(L27)*MAX(0,(C5292)-N(M27))^2/2)+$B$4507</f>
        <v>304.19921874999989</v>
      </c>
    </row>
    <row r="5293" spans="1:5" hidden="1">
      <c r="A5293" s="3">
        <f t="shared" si="114"/>
        <v>5</v>
      </c>
      <c r="B5293" s="3">
        <f t="shared" si="115"/>
        <v>6.25</v>
      </c>
      <c r="C5293" s="3">
        <f t="shared" si="113"/>
        <v>5.625</v>
      </c>
      <c r="D5293" s="3">
        <f>$B$4505*(A5293)+$B$4506*(A5293)^2/2-$B$4504*(A5293)^3/6-(N(D27)*MAX(0,(A5293)-N(E27))^2/2+N(F27)*MAX(0,(A5293)-N(G27))^2/2+N(H27)*MAX(0,(A5293)-N(I27))^2/2+N(J27)*MAX(0,(A5293)-N(K27))^2/2+N(L27)*MAX(0,(A5293)-N(M27))^2/2)+$B$4507</f>
        <v>0</v>
      </c>
      <c r="E5293" s="3">
        <f>$B$4505*(C5293)+$B$4506*(C5293)^2/2-$B$4504*(C5293)^3/6-(N(D27)*MAX(0,(C5293)-N(E27))^2/2+N(F27)*MAX(0,(C5293)-N(G27))^2/2+N(H27)*MAX(0,(C5293)-N(I27))^2/2+N(J27)*MAX(0,(C5293)-N(K27))^2/2+N(L27)*MAX(0,(C5293)-N(M27))^2/2)+$B$4507</f>
        <v>162.9638671875</v>
      </c>
    </row>
    <row r="5294" spans="1:5" hidden="1">
      <c r="A5294" s="3">
        <f t="shared" si="114"/>
        <v>5</v>
      </c>
      <c r="B5294" s="3">
        <f t="shared" si="115"/>
        <v>5.625</v>
      </c>
      <c r="C5294" s="3">
        <f t="shared" si="113"/>
        <v>5.3125</v>
      </c>
      <c r="D5294" s="3">
        <f>$B$4505*(A5294)+$B$4506*(A5294)^2/2-$B$4504*(A5294)^3/6-(N(D27)*MAX(0,(A5294)-N(E27))^2/2+N(F27)*MAX(0,(A5294)-N(G27))^2/2+N(H27)*MAX(0,(A5294)-N(I27))^2/2+N(J27)*MAX(0,(A5294)-N(K27))^2/2+N(L27)*MAX(0,(A5294)-N(M27))^2/2)+$B$4507</f>
        <v>0</v>
      </c>
      <c r="E5294" s="3">
        <f>$B$4505*(C5294)+$B$4506*(C5294)^2/2-$B$4504*(C5294)^3/6-(N(D27)*MAX(0,(C5294)-N(E27))^2/2+N(F27)*MAX(0,(C5294)-N(G27))^2/2+N(H27)*MAX(0,(C5294)-N(I27))^2/2+N(J27)*MAX(0,(C5294)-N(K27))^2/2+N(L27)*MAX(0,(C5294)-N(M27))^2/2)+$B$4507</f>
        <v>84.197998046875</v>
      </c>
    </row>
    <row r="5295" spans="1:5" hidden="1">
      <c r="A5295" s="3">
        <f t="shared" si="114"/>
        <v>5</v>
      </c>
      <c r="B5295" s="3">
        <f t="shared" si="115"/>
        <v>5.3125</v>
      </c>
      <c r="C5295" s="3">
        <f t="shared" si="113"/>
        <v>5.15625</v>
      </c>
      <c r="D5295" s="3">
        <f>$B$4505*(A5295)+$B$4506*(A5295)^2/2-$B$4504*(A5295)^3/6-(N(D27)*MAX(0,(A5295)-N(E27))^2/2+N(F27)*MAX(0,(A5295)-N(G27))^2/2+N(H27)*MAX(0,(A5295)-N(I27))^2/2+N(J27)*MAX(0,(A5295)-N(K27))^2/2+N(L27)*MAX(0,(A5295)-N(M27))^2/2)+$B$4507</f>
        <v>0</v>
      </c>
      <c r="E5295" s="3">
        <f>$B$4505*(C5295)+$B$4506*(C5295)^2/2-$B$4504*(C5295)^3/6-(N(D27)*MAX(0,(C5295)-N(E27))^2/2+N(F27)*MAX(0,(C5295)-N(G27))^2/2+N(H27)*MAX(0,(C5295)-N(I27))^2/2+N(J27)*MAX(0,(C5295)-N(K27))^2/2+N(L27)*MAX(0,(C5295)-N(M27))^2/2)+$B$4507</f>
        <v>42.77801513671875</v>
      </c>
    </row>
    <row r="5296" spans="1:5" hidden="1">
      <c r="A5296" s="3">
        <f t="shared" si="114"/>
        <v>5</v>
      </c>
      <c r="B5296" s="3">
        <f t="shared" si="115"/>
        <v>5.15625</v>
      </c>
      <c r="C5296" s="3">
        <f t="shared" si="113"/>
        <v>5.078125</v>
      </c>
      <c r="D5296" s="3">
        <f>$B$4505*(A5296)+$B$4506*(A5296)^2/2-$B$4504*(A5296)^3/6-(N(D27)*MAX(0,(A5296)-N(E27))^2/2+N(F27)*MAX(0,(A5296)-N(G27))^2/2+N(H27)*MAX(0,(A5296)-N(I27))^2/2+N(J27)*MAX(0,(A5296)-N(K27))^2/2+N(L27)*MAX(0,(A5296)-N(M27))^2/2)+$B$4507</f>
        <v>0</v>
      </c>
      <c r="E5296" s="3">
        <f>$B$4505*(C5296)+$B$4506*(C5296)^2/2-$B$4504*(C5296)^3/6-(N(D27)*MAX(0,(C5296)-N(E27))^2/2+N(F27)*MAX(0,(C5296)-N(G27))^2/2+N(H27)*MAX(0,(C5296)-N(I27))^2/2+N(J27)*MAX(0,(C5296)-N(K27))^2/2+N(L27)*MAX(0,(C5296)-N(M27))^2/2)+$B$4507</f>
        <v>21.558761596679688</v>
      </c>
    </row>
    <row r="5297" spans="1:5" hidden="1">
      <c r="A5297" s="3">
        <f t="shared" si="114"/>
        <v>5</v>
      </c>
      <c r="B5297" s="3">
        <f t="shared" si="115"/>
        <v>5.078125</v>
      </c>
      <c r="C5297" s="3">
        <f t="shared" si="113"/>
        <v>5.0390625</v>
      </c>
      <c r="D5297" s="3">
        <f>$B$4505*(A5297)+$B$4506*(A5297)^2/2-$B$4504*(A5297)^3/6-(N(D27)*MAX(0,(A5297)-N(E27))^2/2+N(F27)*MAX(0,(A5297)-N(G27))^2/2+N(H27)*MAX(0,(A5297)-N(I27))^2/2+N(J27)*MAX(0,(A5297)-N(K27))^2/2+N(L27)*MAX(0,(A5297)-N(M27))^2/2)+$B$4507</f>
        <v>0</v>
      </c>
      <c r="E5297" s="3">
        <f>$B$4505*(C5297)+$B$4506*(C5297)^2/2-$B$4504*(C5297)^3/6-(N(D27)*MAX(0,(C5297)-N(E27))^2/2+N(F27)*MAX(0,(C5297)-N(G27))^2/2+N(H27)*MAX(0,(C5297)-N(I27))^2/2+N(J27)*MAX(0,(C5297)-N(K27))^2/2+N(L27)*MAX(0,(C5297)-N(M27))^2/2)+$B$4507</f>
        <v>10.821819305419922</v>
      </c>
    </row>
    <row r="5298" spans="1:5" hidden="1">
      <c r="A5298" s="3">
        <f t="shared" si="114"/>
        <v>5</v>
      </c>
      <c r="B5298" s="3">
        <f t="shared" si="115"/>
        <v>5.0390625</v>
      </c>
      <c r="C5298" s="3">
        <f t="shared" si="113"/>
        <v>5.01953125</v>
      </c>
      <c r="D5298" s="3">
        <f>$B$4505*(A5298)+$B$4506*(A5298)^2/2-$B$4504*(A5298)^3/6-(N(D27)*MAX(0,(A5298)-N(E27))^2/2+N(F27)*MAX(0,(A5298)-N(G27))^2/2+N(H27)*MAX(0,(A5298)-N(I27))^2/2+N(J27)*MAX(0,(A5298)-N(K27))^2/2+N(L27)*MAX(0,(A5298)-N(M27))^2/2)+$B$4507</f>
        <v>0</v>
      </c>
      <c r="E5298" s="3">
        <f>$B$4505*(C5298)+$B$4506*(C5298)^2/2-$B$4504*(C5298)^3/6-(N(D27)*MAX(0,(C5298)-N(E27))^2/2+N(F27)*MAX(0,(C5298)-N(G27))^2/2+N(H27)*MAX(0,(C5298)-N(I27))^2/2+N(J27)*MAX(0,(C5298)-N(K27))^2/2+N(L27)*MAX(0,(C5298)-N(M27))^2/2)+$B$4507</f>
        <v>5.4215192794799805</v>
      </c>
    </row>
    <row r="5299" spans="1:5" hidden="1">
      <c r="A5299" s="3">
        <f t="shared" si="114"/>
        <v>5</v>
      </c>
      <c r="B5299" s="3">
        <f t="shared" si="115"/>
        <v>5.01953125</v>
      </c>
      <c r="C5299" s="3">
        <f t="shared" si="113"/>
        <v>5.009765625</v>
      </c>
      <c r="D5299" s="3">
        <f>$B$4505*(A5299)+$B$4506*(A5299)^2/2-$B$4504*(A5299)^3/6-(N(D27)*MAX(0,(A5299)-N(E27))^2/2+N(F27)*MAX(0,(A5299)-N(G27))^2/2+N(H27)*MAX(0,(A5299)-N(I27))^2/2+N(J27)*MAX(0,(A5299)-N(K27))^2/2+N(L27)*MAX(0,(A5299)-N(M27))^2/2)+$B$4507</f>
        <v>0</v>
      </c>
      <c r="E5299" s="3">
        <f>$B$4505*(C5299)+$B$4506*(C5299)^2/2-$B$4504*(C5299)^3/6-(N(D27)*MAX(0,(C5299)-N(E27))^2/2+N(F27)*MAX(0,(C5299)-N(G27))^2/2+N(H27)*MAX(0,(C5299)-N(I27))^2/2+N(J27)*MAX(0,(C5299)-N(K27))^2/2+N(L27)*MAX(0,(C5299)-N(M27))^2/2)+$B$4507</f>
        <v>2.7134120464324951</v>
      </c>
    </row>
    <row r="5300" spans="1:5" hidden="1">
      <c r="A5300" s="3">
        <f t="shared" si="114"/>
        <v>5</v>
      </c>
      <c r="B5300" s="3">
        <f t="shared" si="115"/>
        <v>5.009765625</v>
      </c>
      <c r="C5300" s="3">
        <f t="shared" si="113"/>
        <v>5.0048828125</v>
      </c>
      <c r="D5300" s="3">
        <f>$B$4505*(A5300)+$B$4506*(A5300)^2/2-$B$4504*(A5300)^3/6-(N(D27)*MAX(0,(A5300)-N(E27))^2/2+N(F27)*MAX(0,(A5300)-N(G27))^2/2+N(H27)*MAX(0,(A5300)-N(I27))^2/2+N(J27)*MAX(0,(A5300)-N(K27))^2/2+N(L27)*MAX(0,(A5300)-N(M27))^2/2)+$B$4507</f>
        <v>0</v>
      </c>
      <c r="E5300" s="3">
        <f>$B$4505*(C5300)+$B$4506*(C5300)^2/2-$B$4504*(C5300)^3/6-(N(D27)*MAX(0,(C5300)-N(E27))^2/2+N(F27)*MAX(0,(C5300)-N(G27))^2/2+N(H27)*MAX(0,(C5300)-N(I27))^2/2+N(J27)*MAX(0,(C5300)-N(K27))^2/2+N(L27)*MAX(0,(C5300)-N(M27))^2/2)+$B$4507</f>
        <v>1.3573691248893738</v>
      </c>
    </row>
    <row r="5301" spans="1:5" hidden="1">
      <c r="A5301" s="3">
        <f t="shared" si="114"/>
        <v>5</v>
      </c>
      <c r="B5301" s="3">
        <f t="shared" si="115"/>
        <v>5.0048828125</v>
      </c>
      <c r="C5301" s="3">
        <f t="shared" si="113"/>
        <v>5.00244140625</v>
      </c>
      <c r="D5301" s="3">
        <f>$B$4505*(A5301)+$B$4506*(A5301)^2/2-$B$4504*(A5301)^3/6-(N(D27)*MAX(0,(A5301)-N(E27))^2/2+N(F27)*MAX(0,(A5301)-N(G27))^2/2+N(H27)*MAX(0,(A5301)-N(I27))^2/2+N(J27)*MAX(0,(A5301)-N(K27))^2/2+N(L27)*MAX(0,(A5301)-N(M27))^2/2)+$B$4507</f>
        <v>0</v>
      </c>
      <c r="E5301" s="3">
        <f>$B$4505*(C5301)+$B$4506*(C5301)^2/2-$B$4504*(C5301)^3/6-(N(D27)*MAX(0,(C5301)-N(E27))^2/2+N(F27)*MAX(0,(C5301)-N(G27))^2/2+N(H27)*MAX(0,(C5301)-N(I27))^2/2+N(J27)*MAX(0,(C5301)-N(K27))^2/2+N(L27)*MAX(0,(C5301)-N(M27))^2/2)+$B$4507</f>
        <v>0.67885033786296844</v>
      </c>
    </row>
    <row r="5302" spans="1:5" hidden="1">
      <c r="A5302" s="3">
        <f t="shared" si="114"/>
        <v>5</v>
      </c>
      <c r="B5302" s="3">
        <f t="shared" si="115"/>
        <v>5.00244140625</v>
      </c>
      <c r="C5302" s="3">
        <f t="shared" si="113"/>
        <v>5.001220703125</v>
      </c>
      <c r="D5302" s="3">
        <f>$B$4505*(A5302)+$B$4506*(A5302)^2/2-$B$4504*(A5302)^3/6-(N(D27)*MAX(0,(A5302)-N(E27))^2/2+N(F27)*MAX(0,(A5302)-N(G27))^2/2+N(H27)*MAX(0,(A5302)-N(I27))^2/2+N(J27)*MAX(0,(A5302)-N(K27))^2/2+N(L27)*MAX(0,(A5302)-N(M27))^2/2)+$B$4507</f>
        <v>0</v>
      </c>
      <c r="E5302" s="3">
        <f>$B$4505*(C5302)+$B$4506*(C5302)^2/2-$B$4504*(C5302)^3/6-(N(D27)*MAX(0,(C5302)-N(E27))^2/2+N(F27)*MAX(0,(C5302)-N(G27))^2/2+N(H27)*MAX(0,(C5302)-N(I27))^2/2+N(J27)*MAX(0,(C5302)-N(K27))^2/2+N(L27)*MAX(0,(C5302)-N(M27))^2/2)+$B$4507</f>
        <v>0.33946661278605461</v>
      </c>
    </row>
    <row r="5303" spans="1:5" hidden="1">
      <c r="A5303" s="3">
        <f t="shared" si="114"/>
        <v>5</v>
      </c>
      <c r="B5303" s="3">
        <f t="shared" si="115"/>
        <v>5.001220703125</v>
      </c>
      <c r="C5303" s="3">
        <f t="shared" si="113"/>
        <v>5.0006103515625</v>
      </c>
      <c r="D5303" s="3">
        <f>$B$4505*(A5303)+$B$4506*(A5303)^2/2-$B$4504*(A5303)^3/6-(N(D27)*MAX(0,(A5303)-N(E27))^2/2+N(F27)*MAX(0,(A5303)-N(G27))^2/2+N(H27)*MAX(0,(A5303)-N(I27))^2/2+N(J27)*MAX(0,(A5303)-N(K27))^2/2+N(L27)*MAX(0,(A5303)-N(M27))^2/2)+$B$4507</f>
        <v>0</v>
      </c>
      <c r="E5303" s="3">
        <f>$B$4505*(C5303)+$B$4506*(C5303)^2/2-$B$4504*(C5303)^3/6-(N(D27)*MAX(0,(C5303)-N(E27))^2/2+N(F27)*MAX(0,(C5303)-N(G27))^2/2+N(H27)*MAX(0,(C5303)-N(I27))^2/2+N(J27)*MAX(0,(C5303)-N(K27))^2/2+N(L27)*MAX(0,(C5303)-N(M27))^2/2)+$B$4507</f>
        <v>0.1697436673566699</v>
      </c>
    </row>
    <row r="5304" spans="1:5" hidden="1">
      <c r="A5304" s="3">
        <f t="shared" si="114"/>
        <v>5</v>
      </c>
      <c r="B5304" s="3">
        <f t="shared" si="115"/>
        <v>5.0006103515625</v>
      </c>
      <c r="C5304" s="3">
        <f t="shared" si="113"/>
        <v>5.00030517578125</v>
      </c>
      <c r="D5304" s="3">
        <f>$B$4505*(A5304)+$B$4506*(A5304)^2/2-$B$4504*(A5304)^3/6-(N(D27)*MAX(0,(A5304)-N(E27))^2/2+N(F27)*MAX(0,(A5304)-N(G27))^2/2+N(H27)*MAX(0,(A5304)-N(I27))^2/2+N(J27)*MAX(0,(A5304)-N(K27))^2/2+N(L27)*MAX(0,(A5304)-N(M27))^2/2)+$B$4507</f>
        <v>0</v>
      </c>
      <c r="E5304" s="3">
        <f>$B$4505*(C5304)+$B$4506*(C5304)^2/2-$B$4504*(C5304)^3/6-(N(D27)*MAX(0,(C5304)-N(E27))^2/2+N(F27)*MAX(0,(C5304)-N(G27))^2/2+N(H27)*MAX(0,(C5304)-N(I27))^2/2+N(J27)*MAX(0,(C5304)-N(K27))^2/2+N(L27)*MAX(0,(C5304)-N(M27))^2/2)+$B$4507</f>
        <v>8.4874423919245601E-2</v>
      </c>
    </row>
    <row r="5305" spans="1:5" hidden="1">
      <c r="A5305" s="3">
        <f t="shared" si="114"/>
        <v>5</v>
      </c>
      <c r="B5305" s="3">
        <f t="shared" si="115"/>
        <v>5.00030517578125</v>
      </c>
      <c r="C5305" s="3">
        <f t="shared" si="113"/>
        <v>5.000152587890625</v>
      </c>
      <c r="D5305" s="3">
        <f>$B$4505*(A5305)+$B$4506*(A5305)^2/2-$B$4504*(A5305)^3/6-(N(D27)*MAX(0,(A5305)-N(E27))^2/2+N(F27)*MAX(0,(A5305)-N(G27))^2/2+N(H27)*MAX(0,(A5305)-N(I27))^2/2+N(J27)*MAX(0,(A5305)-N(K27))^2/2+N(L27)*MAX(0,(A5305)-N(M27))^2/2)+$B$4507</f>
        <v>0</v>
      </c>
      <c r="E5305" s="3">
        <f>$B$4505*(C5305)+$B$4506*(C5305)^2/2-$B$4504*(C5305)^3/6-(N(D27)*MAX(0,(C5305)-N(E27))^2/2+N(F27)*MAX(0,(C5305)-N(G27))^2/2+N(H27)*MAX(0,(C5305)-N(I27))^2/2+N(J27)*MAX(0,(C5305)-N(K27))^2/2+N(L27)*MAX(0,(C5305)-N(M27))^2/2)+$B$4507</f>
        <v>4.2437859519850463E-2</v>
      </c>
    </row>
    <row r="5306" spans="1:5" hidden="1">
      <c r="A5306" s="3">
        <f t="shared" si="114"/>
        <v>5</v>
      </c>
      <c r="B5306" s="3">
        <f t="shared" si="115"/>
        <v>5.000152587890625</v>
      </c>
      <c r="C5306" s="3">
        <f t="shared" si="113"/>
        <v>5.0000762939453125</v>
      </c>
      <c r="D5306" s="3">
        <f>$B$4505*(A5306)+$B$4506*(A5306)^2/2-$B$4504*(A5306)^3/6-(N(D27)*MAX(0,(A5306)-N(E27))^2/2+N(F27)*MAX(0,(A5306)-N(G27))^2/2+N(H27)*MAX(0,(A5306)-N(I27))^2/2+N(J27)*MAX(0,(A5306)-N(K27))^2/2+N(L27)*MAX(0,(A5306)-N(M27))^2/2)+$B$4507</f>
        <v>0</v>
      </c>
      <c r="E5306" s="3">
        <f>$B$4505*(C5306)+$B$4506*(C5306)^2/2-$B$4504*(C5306)^3/6-(N(D27)*MAX(0,(C5306)-N(E27))^2/2+N(F27)*MAX(0,(C5306)-N(G27))^2/2+N(H27)*MAX(0,(C5306)-N(I27))^2/2+N(J27)*MAX(0,(C5306)-N(K27))^2/2+N(L27)*MAX(0,(C5306)-N(M27))^2/2)+$B$4507</f>
        <v>2.1219091649982147E-2</v>
      </c>
    </row>
    <row r="5307" spans="1:5" hidden="1">
      <c r="A5307" s="3">
        <f t="shared" si="114"/>
        <v>5</v>
      </c>
      <c r="B5307" s="3">
        <f t="shared" si="115"/>
        <v>5.0000762939453125</v>
      </c>
      <c r="C5307" s="3">
        <f t="shared" si="113"/>
        <v>5.0000381469726563</v>
      </c>
      <c r="D5307" s="3">
        <f>$B$4505*(A5307)+$B$4506*(A5307)^2/2-$B$4504*(A5307)^3/6-(N(D27)*MAX(0,(A5307)-N(E27))^2/2+N(F27)*MAX(0,(A5307)-N(G27))^2/2+N(H27)*MAX(0,(A5307)-N(I27))^2/2+N(J27)*MAX(0,(A5307)-N(K27))^2/2+N(L27)*MAX(0,(A5307)-N(M27))^2/2)+$B$4507</f>
        <v>0</v>
      </c>
      <c r="E5307" s="3">
        <f>$B$4505*(C5307)+$B$4506*(C5307)^2/2-$B$4504*(C5307)^3/6-(N(D27)*MAX(0,(C5307)-N(E27))^2/2+N(F27)*MAX(0,(C5307)-N(G27))^2/2+N(H27)*MAX(0,(C5307)-N(I27))^2/2+N(J27)*MAX(0,(C5307)-N(K27))^2/2+N(L27)*MAX(0,(C5307)-N(M27))^2/2)+$B$4507</f>
        <v>1.0609586297505302E-2</v>
      </c>
    </row>
    <row r="5308" spans="1:5" hidden="1">
      <c r="A5308" s="3">
        <f t="shared" si="114"/>
        <v>5</v>
      </c>
      <c r="B5308" s="3">
        <f t="shared" si="115"/>
        <v>5.0000381469726563</v>
      </c>
      <c r="C5308" s="3">
        <f t="shared" si="113"/>
        <v>5.0000190734863281</v>
      </c>
      <c r="D5308" s="3">
        <f>$B$4505*(A5308)+$B$4506*(A5308)^2/2-$B$4504*(A5308)^3/6-(N(D27)*MAX(0,(A5308)-N(E27))^2/2+N(F27)*MAX(0,(A5308)-N(G27))^2/2+N(H27)*MAX(0,(A5308)-N(I27))^2/2+N(J27)*MAX(0,(A5308)-N(K27))^2/2+N(L27)*MAX(0,(A5308)-N(M27))^2/2)+$B$4507</f>
        <v>0</v>
      </c>
      <c r="E5308" s="3">
        <f>$B$4505*(C5308)+$B$4506*(C5308)^2/2-$B$4504*(C5308)^3/6-(N(D27)*MAX(0,(C5308)-N(E27))^2/2+N(F27)*MAX(0,(C5308)-N(G27))^2/2+N(H27)*MAX(0,(C5308)-N(I27))^2/2+N(J27)*MAX(0,(C5308)-N(K27))^2/2+N(L27)*MAX(0,(C5308)-N(M27))^2/2)+$B$4507</f>
        <v>5.3048032668812084E-3</v>
      </c>
    </row>
    <row r="5309" spans="1:5" hidden="1">
      <c r="A5309" s="3">
        <f t="shared" si="114"/>
        <v>5</v>
      </c>
      <c r="B5309" s="3">
        <f t="shared" si="115"/>
        <v>5.0000190734863281</v>
      </c>
      <c r="C5309" s="3">
        <f t="shared" si="113"/>
        <v>5.0000095367431641</v>
      </c>
      <c r="D5309" s="3">
        <f>$B$4505*(A5309)+$B$4506*(A5309)^2/2-$B$4504*(A5309)^3/6-(N(D27)*MAX(0,(A5309)-N(E27))^2/2+N(F27)*MAX(0,(A5309)-N(G27))^2/2+N(H27)*MAX(0,(A5309)-N(I27))^2/2+N(J27)*MAX(0,(A5309)-N(K27))^2/2+N(L27)*MAX(0,(A5309)-N(M27))^2/2)+$B$4507</f>
        <v>0</v>
      </c>
      <c r="E5309" s="3">
        <f>$B$4505*(C5309)+$B$4506*(C5309)^2/2-$B$4504*(C5309)^3/6-(N(D27)*MAX(0,(C5309)-N(E27))^2/2+N(F27)*MAX(0,(C5309)-N(G27))^2/2+N(H27)*MAX(0,(C5309)-N(I27))^2/2+N(J27)*MAX(0,(C5309)-N(K27))^2/2+N(L27)*MAX(0,(C5309)-N(M27))^2/2)+$B$4507</f>
        <v>2.6524041629727435E-3</v>
      </c>
    </row>
    <row r="5310" spans="1:5" hidden="1">
      <c r="A5310" s="3">
        <f t="shared" si="114"/>
        <v>5</v>
      </c>
      <c r="B5310" s="3">
        <f t="shared" si="115"/>
        <v>5.0000095367431641</v>
      </c>
      <c r="C5310" s="3">
        <f t="shared" si="113"/>
        <v>5.000004768371582</v>
      </c>
      <c r="D5310" s="3">
        <f>$B$4505*(A5310)+$B$4506*(A5310)^2/2-$B$4504*(A5310)^3/6-(N(D27)*MAX(0,(A5310)-N(E27))^2/2+N(F27)*MAX(0,(A5310)-N(G27))^2/2+N(H27)*MAX(0,(A5310)-N(I27))^2/2+N(J27)*MAX(0,(A5310)-N(K27))^2/2+N(L27)*MAX(0,(A5310)-N(M27))^2/2)+$B$4507</f>
        <v>0</v>
      </c>
      <c r="E5310" s="3">
        <f>$B$4505*(C5310)+$B$4506*(C5310)^2/2-$B$4504*(C5310)^3/6-(N(D27)*MAX(0,(C5310)-N(E27))^2/2+N(F27)*MAX(0,(C5310)-N(G27))^2/2+N(H27)*MAX(0,(C5310)-N(I27))^2/2+N(J27)*MAX(0,(C5310)-N(K27))^2/2+N(L27)*MAX(0,(C5310)-N(M27))^2/2)+$B$4507</f>
        <v>1.32620271392625E-3</v>
      </c>
    </row>
    <row r="5311" spans="1:5" hidden="1">
      <c r="A5311" s="3">
        <f t="shared" si="114"/>
        <v>5</v>
      </c>
      <c r="B5311" s="3">
        <f t="shared" si="115"/>
        <v>5.000004768371582</v>
      </c>
      <c r="C5311" s="3">
        <f t="shared" si="113"/>
        <v>5.000002384185791</v>
      </c>
      <c r="D5311" s="3">
        <f>$B$4505*(A5311)+$B$4506*(A5311)^2/2-$B$4504*(A5311)^3/6-(N(D27)*MAX(0,(A5311)-N(E27))^2/2+N(F27)*MAX(0,(A5311)-N(G27))^2/2+N(H27)*MAX(0,(A5311)-N(I27))^2/2+N(J27)*MAX(0,(A5311)-N(K27))^2/2+N(L27)*MAX(0,(A5311)-N(M27))^2/2)+$B$4507</f>
        <v>0</v>
      </c>
      <c r="E5311" s="3">
        <f>$B$4505*(C5311)+$B$4506*(C5311)^2/2-$B$4504*(C5311)^3/6-(N(D27)*MAX(0,(C5311)-N(E27))^2/2+N(F27)*MAX(0,(C5311)-N(G27))^2/2+N(H27)*MAX(0,(C5311)-N(I27))^2/2+N(J27)*MAX(0,(C5311)-N(K27))^2/2+N(L27)*MAX(0,(C5311)-N(M27))^2/2)+$B$4507</f>
        <v>6.6310151510151627E-4</v>
      </c>
    </row>
    <row r="5312" spans="1:5" hidden="1">
      <c r="A5312" s="3">
        <f t="shared" si="114"/>
        <v>5</v>
      </c>
      <c r="B5312" s="3">
        <f t="shared" si="115"/>
        <v>5.000002384185791</v>
      </c>
      <c r="C5312" s="3">
        <f t="shared" si="113"/>
        <v>5.0000011920928955</v>
      </c>
      <c r="D5312" s="3">
        <f>$B$4505*(A5312)+$B$4506*(A5312)^2/2-$B$4504*(A5312)^3/6-(N(D27)*MAX(0,(A5312)-N(E27))^2/2+N(F27)*MAX(0,(A5312)-N(G27))^2/2+N(H27)*MAX(0,(A5312)-N(I27))^2/2+N(J27)*MAX(0,(A5312)-N(K27))^2/2+N(L27)*MAX(0,(A5312)-N(M27))^2/2)+$B$4507</f>
        <v>0</v>
      </c>
      <c r="E5312" s="3">
        <f>$B$4505*(C5312)+$B$4506*(C5312)^2/2-$B$4504*(C5312)^3/6-(N(D27)*MAX(0,(C5312)-N(E27))^2/2+N(F27)*MAX(0,(C5312)-N(G27))^2/2+N(H27)*MAX(0,(C5312)-N(I27))^2/2+N(J27)*MAX(0,(C5312)-N(K27))^2/2+N(L27)*MAX(0,(C5312)-N(M27))^2/2)+$B$4507</f>
        <v>3.3155079711377766E-4</v>
      </c>
    </row>
    <row r="5313" spans="1:5" hidden="1">
      <c r="A5313" s="3">
        <f t="shared" si="114"/>
        <v>5</v>
      </c>
      <c r="B5313" s="3">
        <f t="shared" si="115"/>
        <v>5.0000011920928955</v>
      </c>
      <c r="C5313" s="3">
        <f t="shared" si="113"/>
        <v>5.0000005960464478</v>
      </c>
      <c r="D5313" s="3">
        <f>$B$4505*(A5313)+$B$4506*(A5313)^2/2-$B$4504*(A5313)^3/6-(N(D27)*MAX(0,(A5313)-N(E27))^2/2+N(F27)*MAX(0,(A5313)-N(G27))^2/2+N(H27)*MAX(0,(A5313)-N(I27))^2/2+N(J27)*MAX(0,(A5313)-N(K27))^2/2+N(L27)*MAX(0,(A5313)-N(M27))^2/2)+$B$4507</f>
        <v>0</v>
      </c>
      <c r="E5313" s="3">
        <f>$B$4505*(C5313)+$B$4506*(C5313)^2/2-$B$4504*(C5313)^3/6-(N(D27)*MAX(0,(C5313)-N(E27))^2/2+N(F27)*MAX(0,(C5313)-N(G27))^2/2+N(H27)*MAX(0,(C5313)-N(I27))^2/2+N(J27)*MAX(0,(C5313)-N(K27))^2/2+N(L27)*MAX(0,(C5313)-N(M27))^2/2)+$B$4507</f>
        <v>1.6577540839080029E-4</v>
      </c>
    </row>
    <row r="5314" spans="1:5" hidden="1">
      <c r="A5314" s="3">
        <f t="shared" si="114"/>
        <v>5</v>
      </c>
      <c r="B5314" s="3">
        <f t="shared" si="115"/>
        <v>5.0000005960464478</v>
      </c>
      <c r="C5314" s="3">
        <f t="shared" si="113"/>
        <v>5.0000002980232239</v>
      </c>
      <c r="D5314" s="3">
        <f>$B$4505*(A5314)+$B$4506*(A5314)^2/2-$B$4504*(A5314)^3/6-(N(D27)*MAX(0,(A5314)-N(E27))^2/2+N(F27)*MAX(0,(A5314)-N(G27))^2/2+N(H27)*MAX(0,(A5314)-N(I27))^2/2+N(J27)*MAX(0,(A5314)-N(K27))^2/2+N(L27)*MAX(0,(A5314)-N(M27))^2/2)+$B$4507</f>
        <v>0</v>
      </c>
      <c r="E5314" s="3">
        <f>$B$4505*(C5314)+$B$4506*(C5314)^2/2-$B$4504*(C5314)^3/6-(N(D27)*MAX(0,(C5314)-N(E27))^2/2+N(F27)*MAX(0,(C5314)-N(G27))^2/2+N(H27)*MAX(0,(C5314)-N(I27))^2/2+N(J27)*MAX(0,(C5314)-N(K27))^2/2+N(L27)*MAX(0,(C5314)-N(M27))^2/2)+$B$4507</f>
        <v>8.2887706753353996E-5</v>
      </c>
    </row>
    <row r="5315" spans="1:5" hidden="1">
      <c r="A5315" s="3">
        <f t="shared" si="114"/>
        <v>5</v>
      </c>
      <c r="B5315" s="3">
        <f t="shared" si="115"/>
        <v>5.0000002980232239</v>
      </c>
      <c r="C5315" s="3">
        <f t="shared" si="113"/>
        <v>5.0000001490116119</v>
      </c>
      <c r="D5315" s="3">
        <f>$B$4505*(A5315)+$B$4506*(A5315)^2/2-$B$4504*(A5315)^3/6-(N(D27)*MAX(0,(A5315)-N(E27))^2/2+N(F27)*MAX(0,(A5315)-N(G27))^2/2+N(H27)*MAX(0,(A5315)-N(I27))^2/2+N(J27)*MAX(0,(A5315)-N(K27))^2/2+N(L27)*MAX(0,(A5315)-N(M27))^2/2)+$B$4507</f>
        <v>0</v>
      </c>
      <c r="E5315" s="3">
        <f>$B$4505*(C5315)+$B$4506*(C5315)^2/2-$B$4504*(C5315)^3/6-(N(D27)*MAX(0,(C5315)-N(E27))^2/2+N(F27)*MAX(0,(C5315)-N(G27))^2/2+N(H27)*MAX(0,(C5315)-N(I27))^2/2+N(J27)*MAX(0,(C5315)-N(K27))^2/2+N(L27)*MAX(0,(C5315)-N(M27))^2/2)+$B$4507</f>
        <v>4.1443853888267768E-5</v>
      </c>
    </row>
    <row r="5316" spans="1:5" hidden="1">
      <c r="A5316" s="3">
        <f t="shared" si="114"/>
        <v>5</v>
      </c>
      <c r="B5316" s="3">
        <f t="shared" si="115"/>
        <v>5.0000001490116119</v>
      </c>
      <c r="C5316" s="3">
        <f t="shared" si="113"/>
        <v>5.000000074505806</v>
      </c>
      <c r="D5316" s="3">
        <f>$B$4505*(A5316)+$B$4506*(A5316)^2/2-$B$4504*(A5316)^3/6-(N(D27)*MAX(0,(A5316)-N(E27))^2/2+N(F27)*MAX(0,(A5316)-N(G27))^2/2+N(H27)*MAX(0,(A5316)-N(I27))^2/2+N(J27)*MAX(0,(A5316)-N(K27))^2/2+N(L27)*MAX(0,(A5316)-N(M27))^2/2)+$B$4507</f>
        <v>0</v>
      </c>
      <c r="E5316" s="3">
        <f>$B$4505*(C5316)+$B$4506*(C5316)^2/2-$B$4504*(C5316)^3/6-(N(D27)*MAX(0,(C5316)-N(E27))^2/2+N(F27)*MAX(0,(C5316)-N(G27))^2/2+N(H27)*MAX(0,(C5316)-N(I27))^2/2+N(J27)*MAX(0,(C5316)-N(K27))^2/2+N(L27)*MAX(0,(C5316)-N(M27))^2/2)+$B$4507</f>
        <v>2.0721927171507559E-5</v>
      </c>
    </row>
    <row r="5317" spans="1:5" hidden="1">
      <c r="A5317" s="3">
        <f t="shared" si="114"/>
        <v>5</v>
      </c>
      <c r="B5317" s="3">
        <f t="shared" si="115"/>
        <v>5.000000074505806</v>
      </c>
      <c r="C5317" s="3">
        <f t="shared" si="113"/>
        <v>5.000000037252903</v>
      </c>
      <c r="D5317" s="3">
        <f>$B$4505*(A5317)+$B$4506*(A5317)^2/2-$B$4504*(A5317)^3/6-(N(D27)*MAX(0,(A5317)-N(E27))^2/2+N(F27)*MAX(0,(A5317)-N(G27))^2/2+N(H27)*MAX(0,(A5317)-N(I27))^2/2+N(J27)*MAX(0,(A5317)-N(K27))^2/2+N(L27)*MAX(0,(A5317)-N(M27))^2/2)+$B$4507</f>
        <v>0</v>
      </c>
      <c r="E5317" s="3">
        <f>$B$4505*(C5317)+$B$4506*(C5317)^2/2-$B$4504*(C5317)^3/6-(N(D27)*MAX(0,(C5317)-N(E27))^2/2+N(F27)*MAX(0,(C5317)-N(G27))^2/2+N(H27)*MAX(0,(C5317)-N(I27))^2/2+N(J27)*MAX(0,(C5317)-N(K27))^2/2+N(L27)*MAX(0,(C5317)-N(M27))^2/2)+$B$4507</f>
        <v>1.0360963528910361E-5</v>
      </c>
    </row>
    <row r="5318" spans="1:5" hidden="1">
      <c r="A5318" s="3">
        <f t="shared" si="114"/>
        <v>5</v>
      </c>
      <c r="B5318" s="3">
        <f t="shared" si="115"/>
        <v>5.000000037252903</v>
      </c>
      <c r="C5318" s="3">
        <f t="shared" si="113"/>
        <v>5.0000000186264515</v>
      </c>
      <c r="D5318" s="3">
        <f>$B$4505*(A5318)+$B$4506*(A5318)^2/2-$B$4504*(A5318)^3/6-(N(D27)*MAX(0,(A5318)-N(E27))^2/2+N(F27)*MAX(0,(A5318)-N(G27))^2/2+N(H27)*MAX(0,(A5318)-N(I27))^2/2+N(J27)*MAX(0,(A5318)-N(K27))^2/2+N(L27)*MAX(0,(A5318)-N(M27))^2/2)+$B$4507</f>
        <v>0</v>
      </c>
      <c r="E5318" s="3">
        <f>$B$4505*(C5318)+$B$4506*(C5318)^2/2-$B$4504*(C5318)^3/6-(N(D27)*MAX(0,(C5318)-N(E27))^2/2+N(F27)*MAX(0,(C5318)-N(G27))^2/2+N(H27)*MAX(0,(C5318)-N(I27))^2/2+N(J27)*MAX(0,(C5318)-N(K27))^2/2+N(L27)*MAX(0,(C5318)-N(M27))^2/2)+$B$4507</f>
        <v>5.1804818212985992E-6</v>
      </c>
    </row>
    <row r="5319" spans="1:5" hidden="1">
      <c r="A5319" s="3">
        <f t="shared" si="114"/>
        <v>5</v>
      </c>
      <c r="B5319" s="3">
        <f t="shared" si="115"/>
        <v>5.0000000186264515</v>
      </c>
      <c r="C5319" s="3">
        <f t="shared" si="113"/>
        <v>5.0000000093132257</v>
      </c>
      <c r="D5319" s="3">
        <f>$B$4505*(A5319)+$B$4506*(A5319)^2/2-$B$4504*(A5319)^3/6-(N(D27)*MAX(0,(A5319)-N(E27))^2/2+N(F27)*MAX(0,(A5319)-N(G27))^2/2+N(H27)*MAX(0,(A5319)-N(I27))^2/2+N(J27)*MAX(0,(A5319)-N(K27))^2/2+N(L27)*MAX(0,(A5319)-N(M27))^2/2)+$B$4507</f>
        <v>0</v>
      </c>
      <c r="E5319" s="3">
        <f>$B$4505*(C5319)+$B$4506*(C5319)^2/2-$B$4504*(C5319)^3/6-(N(D27)*MAX(0,(C5319)-N(E27))^2/2+N(F27)*MAX(0,(C5319)-N(G27))^2/2+N(H27)*MAX(0,(C5319)-N(I27))^2/2+N(J27)*MAX(0,(C5319)-N(K27))^2/2+N(L27)*MAX(0,(C5319)-N(M27))^2/2)+$B$4507</f>
        <v>2.5902409106492996E-6</v>
      </c>
    </row>
    <row r="5320" spans="1:5" hidden="1">
      <c r="A5320" s="3">
        <f t="shared" si="114"/>
        <v>5</v>
      </c>
      <c r="B5320" s="3">
        <f t="shared" si="115"/>
        <v>5.0000000093132257</v>
      </c>
      <c r="C5320" s="3">
        <f t="shared" si="113"/>
        <v>5.0000000046566129</v>
      </c>
      <c r="D5320" s="3">
        <f>$B$4505*(A5320)+$B$4506*(A5320)^2/2-$B$4504*(A5320)^3/6-(N(D27)*MAX(0,(A5320)-N(E27))^2/2+N(F27)*MAX(0,(A5320)-N(G27))^2/2+N(H27)*MAX(0,(A5320)-N(I27))^2/2+N(J27)*MAX(0,(A5320)-N(K27))^2/2+N(L27)*MAX(0,(A5320)-N(M27))^2/2)+$B$4507</f>
        <v>0</v>
      </c>
      <c r="E5320" s="3">
        <f>$B$4505*(C5320)+$B$4506*(C5320)^2/2-$B$4504*(C5320)^3/6-(N(D27)*MAX(0,(C5320)-N(E27))^2/2+N(F27)*MAX(0,(C5320)-N(G27))^2/2+N(H27)*MAX(0,(C5320)-N(I27))^2/2+N(J27)*MAX(0,(C5320)-N(K27))^2/2+N(L27)*MAX(0,(C5320)-N(M27))^2/2)+$B$4507</f>
        <v>1.2951204553246498E-6</v>
      </c>
    </row>
    <row r="5321" spans="1:5" hidden="1">
      <c r="A5321" s="3">
        <f t="shared" si="114"/>
        <v>5</v>
      </c>
      <c r="B5321" s="3">
        <f t="shared" si="115"/>
        <v>5.0000000046566129</v>
      </c>
      <c r="C5321" s="3">
        <f t="shared" si="113"/>
        <v>5.0000000023283064</v>
      </c>
      <c r="D5321" s="3">
        <f>$B$4505*(A5321)+$B$4506*(A5321)^2/2-$B$4504*(A5321)^3/6-(N(D27)*MAX(0,(A5321)-N(E27))^2/2+N(F27)*MAX(0,(A5321)-N(G27))^2/2+N(H27)*MAX(0,(A5321)-N(I27))^2/2+N(J27)*MAX(0,(A5321)-N(K27))^2/2+N(L27)*MAX(0,(A5321)-N(M27))^2/2)+$B$4507</f>
        <v>0</v>
      </c>
      <c r="E5321" s="3">
        <f>$B$4505*(C5321)+$B$4506*(C5321)^2/2-$B$4504*(C5321)^3/6-(N(D27)*MAX(0,(C5321)-N(E27))^2/2+N(F27)*MAX(0,(C5321)-N(G27))^2/2+N(H27)*MAX(0,(C5321)-N(I27))^2/2+N(J27)*MAX(0,(C5321)-N(K27))^2/2+N(L27)*MAX(0,(C5321)-N(M27))^2/2)+$B$4507</f>
        <v>6.4756022766232491E-7</v>
      </c>
    </row>
    <row r="5322" spans="1:5" hidden="1">
      <c r="A5322" s="3">
        <f t="shared" si="114"/>
        <v>5</v>
      </c>
      <c r="B5322" s="3">
        <f t="shared" si="115"/>
        <v>5.0000000023283064</v>
      </c>
      <c r="C5322" s="3">
        <f t="shared" si="113"/>
        <v>5.0000000011641532</v>
      </c>
      <c r="D5322" s="3">
        <f>$B$4505*(A5322)+$B$4506*(A5322)^2/2-$B$4504*(A5322)^3/6-(N(D27)*MAX(0,(A5322)-N(E27))^2/2+N(F27)*MAX(0,(A5322)-N(G27))^2/2+N(H27)*MAX(0,(A5322)-N(I27))^2/2+N(J27)*MAX(0,(A5322)-N(K27))^2/2+N(L27)*MAX(0,(A5322)-N(M27))^2/2)+$B$4507</f>
        <v>0</v>
      </c>
      <c r="E5322" s="3">
        <f>$B$4505*(C5322)+$B$4506*(C5322)^2/2-$B$4504*(C5322)^3/6-(N(D27)*MAX(0,(C5322)-N(E27))^2/2+N(F27)*MAX(0,(C5322)-N(G27))^2/2+N(H27)*MAX(0,(C5322)-N(I27))^2/2+N(J27)*MAX(0,(C5322)-N(K27))^2/2+N(L27)*MAX(0,(C5322)-N(M27))^2/2)+$B$4507</f>
        <v>3.2378011383116245E-7</v>
      </c>
    </row>
    <row r="5323" spans="1:5" hidden="1">
      <c r="A5323" s="3">
        <f t="shared" si="114"/>
        <v>5</v>
      </c>
      <c r="B5323" s="3">
        <f t="shared" si="115"/>
        <v>5.0000000011641532</v>
      </c>
      <c r="C5323" s="3">
        <f t="shared" si="113"/>
        <v>5.0000000005820766</v>
      </c>
      <c r="D5323" s="3">
        <f>$B$4505*(A5323)+$B$4506*(A5323)^2/2-$B$4504*(A5323)^3/6-(N(D27)*MAX(0,(A5323)-N(E27))^2/2+N(F27)*MAX(0,(A5323)-N(G27))^2/2+N(H27)*MAX(0,(A5323)-N(I27))^2/2+N(J27)*MAX(0,(A5323)-N(K27))^2/2+N(L27)*MAX(0,(A5323)-N(M27))^2/2)+$B$4507</f>
        <v>0</v>
      </c>
      <c r="E5323" s="3">
        <f>$B$4505*(C5323)+$B$4506*(C5323)^2/2-$B$4504*(C5323)^3/6-(N(D27)*MAX(0,(C5323)-N(E27))^2/2+N(F27)*MAX(0,(C5323)-N(G27))^2/2+N(H27)*MAX(0,(C5323)-N(I27))^2/2+N(J27)*MAX(0,(C5323)-N(K27))^2/2+N(L27)*MAX(0,(C5323)-N(M27))^2/2)+$B$4507</f>
        <v>1.6189005691558123E-7</v>
      </c>
    </row>
    <row r="5324" spans="1:5" hidden="1">
      <c r="A5324" s="3">
        <f t="shared" si="114"/>
        <v>5</v>
      </c>
      <c r="B5324" s="3">
        <f t="shared" si="115"/>
        <v>5.0000000005820766</v>
      </c>
      <c r="C5324" s="3">
        <f t="shared" si="113"/>
        <v>5.0000000002910383</v>
      </c>
      <c r="D5324" s="3">
        <f>$B$4505*(A5324)+$B$4506*(A5324)^2/2-$B$4504*(A5324)^3/6-(N(D27)*MAX(0,(A5324)-N(E27))^2/2+N(F27)*MAX(0,(A5324)-N(G27))^2/2+N(H27)*MAX(0,(A5324)-N(I27))^2/2+N(J27)*MAX(0,(A5324)-N(K27))^2/2+N(L27)*MAX(0,(A5324)-N(M27))^2/2)+$B$4507</f>
        <v>0</v>
      </c>
      <c r="E5324" s="3">
        <f>$B$4505*(C5324)+$B$4506*(C5324)^2/2-$B$4504*(C5324)^3/6-(N(D27)*MAX(0,(C5324)-N(E27))^2/2+N(F27)*MAX(0,(C5324)-N(G27))^2/2+N(H27)*MAX(0,(C5324)-N(I27))^2/2+N(J27)*MAX(0,(C5324)-N(K27))^2/2+N(L27)*MAX(0,(C5324)-N(M27))^2/2)+$B$4507</f>
        <v>8.0945028457790613E-8</v>
      </c>
    </row>
    <row r="5325" spans="1:5" hidden="1">
      <c r="A5325" s="3">
        <f t="shared" si="114"/>
        <v>5</v>
      </c>
      <c r="B5325" s="3">
        <f t="shared" si="115"/>
        <v>5.0000000002910383</v>
      </c>
      <c r="C5325" s="3">
        <f t="shared" si="113"/>
        <v>5.0000000001455192</v>
      </c>
      <c r="D5325" s="3">
        <f>$B$4505*(A5325)+$B$4506*(A5325)^2/2-$B$4504*(A5325)^3/6-(N(D27)*MAX(0,(A5325)-N(E27))^2/2+N(F27)*MAX(0,(A5325)-N(G27))^2/2+N(H27)*MAX(0,(A5325)-N(I27))^2/2+N(J27)*MAX(0,(A5325)-N(K27))^2/2+N(L27)*MAX(0,(A5325)-N(M27))^2/2)+$B$4507</f>
        <v>0</v>
      </c>
      <c r="E5325" s="3">
        <f>$B$4505*(C5325)+$B$4506*(C5325)^2/2-$B$4504*(C5325)^3/6-(N(D27)*MAX(0,(C5325)-N(E27))^2/2+N(F27)*MAX(0,(C5325)-N(G27))^2/2+N(H27)*MAX(0,(C5325)-N(I27))^2/2+N(J27)*MAX(0,(C5325)-N(K27))^2/2+N(L27)*MAX(0,(C5325)-N(M27))^2/2)+$B$4507</f>
        <v>4.0472514228895307E-8</v>
      </c>
    </row>
    <row r="5326" spans="1:5" hidden="1">
      <c r="A5326" s="3">
        <f t="shared" si="114"/>
        <v>5</v>
      </c>
      <c r="B5326" s="3">
        <f t="shared" si="115"/>
        <v>5.0000000001455192</v>
      </c>
      <c r="C5326" s="3">
        <f t="shared" si="113"/>
        <v>5.0000000000727596</v>
      </c>
      <c r="D5326" s="3">
        <f>$B$4505*(A5326)+$B$4506*(A5326)^2/2-$B$4504*(A5326)^3/6-(N(D27)*MAX(0,(A5326)-N(E27))^2/2+N(F27)*MAX(0,(A5326)-N(G27))^2/2+N(H27)*MAX(0,(A5326)-N(I27))^2/2+N(J27)*MAX(0,(A5326)-N(K27))^2/2+N(L27)*MAX(0,(A5326)-N(M27))^2/2)+$B$4507</f>
        <v>0</v>
      </c>
      <c r="E5326" s="3">
        <f>$B$4505*(C5326)+$B$4506*(C5326)^2/2-$B$4504*(C5326)^3/6-(N(D27)*MAX(0,(C5326)-N(E27))^2/2+N(F27)*MAX(0,(C5326)-N(G27))^2/2+N(H27)*MAX(0,(C5326)-N(I27))^2/2+N(J27)*MAX(0,(C5326)-N(K27))^2/2+N(L27)*MAX(0,(C5326)-N(M27))^2/2)+$B$4507</f>
        <v>2.0236257114447653E-8</v>
      </c>
    </row>
    <row r="5327" spans="1:5" hidden="1">
      <c r="A5327" s="3">
        <f t="shared" si="114"/>
        <v>5</v>
      </c>
      <c r="B5327" s="3">
        <f t="shared" si="115"/>
        <v>5.0000000000727596</v>
      </c>
      <c r="C5327" s="3">
        <f t="shared" si="113"/>
        <v>5.0000000000363798</v>
      </c>
      <c r="D5327" s="3">
        <f>$B$4505*(A5327)+$B$4506*(A5327)^2/2-$B$4504*(A5327)^3/6-(N(D27)*MAX(0,(A5327)-N(E27))^2/2+N(F27)*MAX(0,(A5327)-N(G27))^2/2+N(H27)*MAX(0,(A5327)-N(I27))^2/2+N(J27)*MAX(0,(A5327)-N(K27))^2/2+N(L27)*MAX(0,(A5327)-N(M27))^2/2)+$B$4507</f>
        <v>0</v>
      </c>
      <c r="E5327" s="3">
        <f>$B$4505*(C5327)+$B$4506*(C5327)^2/2-$B$4504*(C5327)^3/6-(N(D27)*MAX(0,(C5327)-N(E27))^2/2+N(F27)*MAX(0,(C5327)-N(G27))^2/2+N(H27)*MAX(0,(C5327)-N(I27))^2/2+N(J27)*MAX(0,(C5327)-N(K27))^2/2+N(L27)*MAX(0,(C5327)-N(M27))^2/2)+$B$4507</f>
        <v>1.0118128557223827E-8</v>
      </c>
    </row>
    <row r="5328" spans="1:5" hidden="1">
      <c r="A5328" s="3">
        <f t="shared" si="114"/>
        <v>5</v>
      </c>
      <c r="B5328" s="3">
        <f t="shared" si="115"/>
        <v>5.0000000000363798</v>
      </c>
      <c r="C5328" s="3">
        <f t="shared" si="113"/>
        <v>5.0000000000181899</v>
      </c>
      <c r="D5328" s="3">
        <f>$B$4505*(A5328)+$B$4506*(A5328)^2/2-$B$4504*(A5328)^3/6-(N(D27)*MAX(0,(A5328)-N(E27))^2/2+N(F27)*MAX(0,(A5328)-N(G27))^2/2+N(H27)*MAX(0,(A5328)-N(I27))^2/2+N(J27)*MAX(0,(A5328)-N(K27))^2/2+N(L27)*MAX(0,(A5328)-N(M27))^2/2)+$B$4507</f>
        <v>0</v>
      </c>
      <c r="E5328" s="3">
        <f>$B$4505*(C5328)+$B$4506*(C5328)^2/2-$B$4504*(C5328)^3/6-(N(D27)*MAX(0,(C5328)-N(E27))^2/2+N(F27)*MAX(0,(C5328)-N(G27))^2/2+N(H27)*MAX(0,(C5328)-N(I27))^2/2+N(J27)*MAX(0,(C5328)-N(K27))^2/2+N(L27)*MAX(0,(C5328)-N(M27))^2/2)+$B$4507</f>
        <v>5.0590642786119133E-9</v>
      </c>
    </row>
    <row r="5329" spans="1:5" hidden="1">
      <c r="A5329" s="3">
        <f t="shared" si="114"/>
        <v>5</v>
      </c>
      <c r="B5329" s="3">
        <f t="shared" si="115"/>
        <v>5.0000000000181899</v>
      </c>
      <c r="C5329" s="3">
        <f t="shared" si="113"/>
        <v>5.0000000000090949</v>
      </c>
      <c r="D5329" s="3">
        <f>$B$4505*(A5329)+$B$4506*(A5329)^2/2-$B$4504*(A5329)^3/6-(N(D27)*MAX(0,(A5329)-N(E27))^2/2+N(F27)*MAX(0,(A5329)-N(G27))^2/2+N(H27)*MAX(0,(A5329)-N(I27))^2/2+N(J27)*MAX(0,(A5329)-N(K27))^2/2+N(L27)*MAX(0,(A5329)-N(M27))^2/2)+$B$4507</f>
        <v>0</v>
      </c>
      <c r="E5329" s="3">
        <f>$B$4505*(C5329)+$B$4506*(C5329)^2/2-$B$4504*(C5329)^3/6-(N(D27)*MAX(0,(C5329)-N(E27))^2/2+N(F27)*MAX(0,(C5329)-N(G27))^2/2+N(H27)*MAX(0,(C5329)-N(I27))^2/2+N(J27)*MAX(0,(C5329)-N(K27))^2/2+N(L27)*MAX(0,(C5329)-N(M27))^2/2)+$B$4507</f>
        <v>2.5295321393059567E-9</v>
      </c>
    </row>
    <row r="5330" spans="1:5" hidden="1">
      <c r="A5330" s="3">
        <f t="shared" si="114"/>
        <v>5</v>
      </c>
      <c r="B5330" s="3">
        <f t="shared" si="115"/>
        <v>5.0000000000090949</v>
      </c>
      <c r="C5330" s="3">
        <f t="shared" si="113"/>
        <v>5.0000000000045475</v>
      </c>
      <c r="D5330" s="3">
        <f>$B$4505*(A5330)+$B$4506*(A5330)^2/2-$B$4504*(A5330)^3/6-(N(D27)*MAX(0,(A5330)-N(E27))^2/2+N(F27)*MAX(0,(A5330)-N(G27))^2/2+N(H27)*MAX(0,(A5330)-N(I27))^2/2+N(J27)*MAX(0,(A5330)-N(K27))^2/2+N(L27)*MAX(0,(A5330)-N(M27))^2/2)+$B$4507</f>
        <v>0</v>
      </c>
      <c r="E5330" s="3">
        <f>$B$4505*(C5330)+$B$4506*(C5330)^2/2-$B$4504*(C5330)^3/6-(N(D27)*MAX(0,(C5330)-N(E27))^2/2+N(F27)*MAX(0,(C5330)-N(G27))^2/2+N(H27)*MAX(0,(C5330)-N(I27))^2/2+N(J27)*MAX(0,(C5330)-N(K27))^2/2+N(L27)*MAX(0,(C5330)-N(M27))^2/2)+$B$4507</f>
        <v>1.2647660696529783E-9</v>
      </c>
    </row>
    <row r="5331" spans="1:5" hidden="1">
      <c r="A5331" s="3">
        <f t="shared" si="114"/>
        <v>5</v>
      </c>
      <c r="B5331" s="3">
        <f t="shared" si="115"/>
        <v>5.0000000000045475</v>
      </c>
      <c r="C5331" s="3">
        <f t="shared" si="113"/>
        <v>5.0000000000022737</v>
      </c>
      <c r="D5331" s="3">
        <f>$B$4505*(A5331)+$B$4506*(A5331)^2/2-$B$4504*(A5331)^3/6-(N(D27)*MAX(0,(A5331)-N(E27))^2/2+N(F27)*MAX(0,(A5331)-N(G27))^2/2+N(H27)*MAX(0,(A5331)-N(I27))^2/2+N(J27)*MAX(0,(A5331)-N(K27))^2/2+N(L27)*MAX(0,(A5331)-N(M27))^2/2)+$B$4507</f>
        <v>0</v>
      </c>
      <c r="E5331" s="3">
        <f>$B$4505*(C5331)+$B$4506*(C5331)^2/2-$B$4504*(C5331)^3/6-(N(D27)*MAX(0,(C5331)-N(E27))^2/2+N(F27)*MAX(0,(C5331)-N(G27))^2/2+N(H27)*MAX(0,(C5331)-N(I27))^2/2+N(J27)*MAX(0,(C5331)-N(K27))^2/2+N(L27)*MAX(0,(C5331)-N(M27))^2/2)+$B$4507</f>
        <v>6.3243987824534997E-10</v>
      </c>
    </row>
    <row r="5332" spans="1:5" hidden="1">
      <c r="A5332" s="3">
        <f t="shared" si="114"/>
        <v>5</v>
      </c>
      <c r="B5332" s="3">
        <f t="shared" si="115"/>
        <v>5.0000000000022737</v>
      </c>
      <c r="C5332" s="3">
        <f t="shared" si="113"/>
        <v>5.0000000000011369</v>
      </c>
      <c r="D5332" s="3">
        <f>$B$4505*(A5332)+$B$4506*(A5332)^2/2-$B$4504*(A5332)^3/6-(N(D27)*MAX(0,(A5332)-N(E27))^2/2+N(F27)*MAX(0,(A5332)-N(G27))^2/2+N(H27)*MAX(0,(A5332)-N(I27))^2/2+N(J27)*MAX(0,(A5332)-N(K27))^2/2+N(L27)*MAX(0,(A5332)-N(M27))^2/2)+$B$4507</f>
        <v>0</v>
      </c>
      <c r="E5332" s="3">
        <f>$B$4505*(C5332)+$B$4506*(C5332)^2/2-$B$4504*(C5332)^3/6-(N(D27)*MAX(0,(C5332)-N(E27))^2/2+N(F27)*MAX(0,(C5332)-N(G27))^2/2+N(H27)*MAX(0,(C5332)-N(I27))^2/2+N(J27)*MAX(0,(C5332)-N(K27))^2/2+N(L27)*MAX(0,(C5332)-N(M27))^2/2)+$B$4507</f>
        <v>3.1616309570381418E-10</v>
      </c>
    </row>
    <row r="5333" spans="1:5" hidden="1">
      <c r="A5333" s="3">
        <f t="shared" si="114"/>
        <v>5</v>
      </c>
      <c r="B5333" s="3">
        <f t="shared" si="115"/>
        <v>5.0000000000011369</v>
      </c>
      <c r="C5333" s="3">
        <f t="shared" si="113"/>
        <v>5.0000000000005684</v>
      </c>
      <c r="D5333" s="3">
        <f>$B$4505*(A5333)+$B$4506*(A5333)^2/2-$B$4504*(A5333)^3/6-(N(D27)*MAX(0,(A5333)-N(E27))^2/2+N(F27)*MAX(0,(A5333)-N(G27))^2/2+N(H27)*MAX(0,(A5333)-N(I27))^2/2+N(J27)*MAX(0,(A5333)-N(K27))^2/2+N(L27)*MAX(0,(A5333)-N(M27))^2/2)+$B$4507</f>
        <v>0</v>
      </c>
      <c r="E5333" s="3">
        <f>$B$4505*(C5333)+$B$4506*(C5333)^2/2-$B$4504*(C5333)^3/6-(N(D27)*MAX(0,(C5333)-N(E27))^2/2+N(F27)*MAX(0,(C5333)-N(G27))^2/2+N(H27)*MAX(0,(C5333)-N(I27))^2/2+N(J27)*MAX(0,(C5333)-N(K27))^2/2+N(L27)*MAX(0,(C5333)-N(M27))^2/2)+$B$4507</f>
        <v>1.581383912707679E-10</v>
      </c>
    </row>
    <row r="5334" spans="1:5" hidden="1">
      <c r="A5334" s="3">
        <f t="shared" si="114"/>
        <v>5</v>
      </c>
      <c r="B5334" s="3">
        <f t="shared" si="115"/>
        <v>5.0000000000005684</v>
      </c>
      <c r="C5334" s="3">
        <f t="shared" si="113"/>
        <v>5.0000000000002842</v>
      </c>
      <c r="D5334" s="3">
        <f>$B$4505*(A5334)+$B$4506*(A5334)^2/2-$B$4504*(A5334)^3/6-(N(D27)*MAX(0,(A5334)-N(E27))^2/2+N(F27)*MAX(0,(A5334)-N(G27))^2/2+N(H27)*MAX(0,(A5334)-N(I27))^2/2+N(J27)*MAX(0,(A5334)-N(K27))^2/2+N(L27)*MAX(0,(A5334)-N(M27))^2/2)+$B$4507</f>
        <v>0</v>
      </c>
      <c r="E5334" s="3">
        <f>$B$4505*(C5334)+$B$4506*(C5334)^2/2-$B$4504*(C5334)^3/6-(N(D27)*MAX(0,(C5334)-N(E27))^2/2+N(F27)*MAX(0,(C5334)-N(G27))^2/2+N(H27)*MAX(0,(C5334)-N(I27))^2/2+N(J27)*MAX(0,(C5334)-N(K27))^2/2+N(L27)*MAX(0,(C5334)-N(M27))^2/2)+$B$4507</f>
        <v>7.9126039054244757E-11</v>
      </c>
    </row>
    <row r="5335" spans="1:5" hidden="1">
      <c r="A5335" s="3">
        <f t="shared" si="114"/>
        <v>5</v>
      </c>
      <c r="B5335" s="3">
        <f t="shared" si="115"/>
        <v>5.0000000000002842</v>
      </c>
      <c r="C5335" s="3">
        <f t="shared" si="113"/>
        <v>5.0000000000001421</v>
      </c>
      <c r="D5335" s="3">
        <f>$B$4505*(A5335)+$B$4506*(A5335)^2/2-$B$4504*(A5335)^3/6-(N(D27)*MAX(0,(A5335)-N(E27))^2/2+N(F27)*MAX(0,(A5335)-N(G27))^2/2+N(H27)*MAX(0,(A5335)-N(I27))^2/2+N(J27)*MAX(0,(A5335)-N(K27))^2/2+N(L27)*MAX(0,(A5335)-N(M27))^2/2)+$B$4507</f>
        <v>0</v>
      </c>
      <c r="E5335" s="3">
        <f>$B$4505*(C5335)+$B$4506*(C5335)^2/2-$B$4504*(C5335)^3/6-(N(D27)*MAX(0,(C5335)-N(E27))^2/2+N(F27)*MAX(0,(C5335)-N(G27))^2/2+N(H27)*MAX(0,(C5335)-N(I27))^2/2+N(J27)*MAX(0,(C5335)-N(K27))^2/2+N(L27)*MAX(0,(C5335)-N(M27))^2/2)+$B$4507</f>
        <v>3.9563019527122378E-11</v>
      </c>
    </row>
    <row r="5336" spans="1:5" hidden="1"/>
    <row r="5337" spans="1:5" hidden="1">
      <c r="A5337" s="3">
        <f>B4557</f>
        <v>10</v>
      </c>
      <c r="B5337" s="3">
        <f>IF(($B$4505*(B4557)+$B$4506*(B4557)^2/2-$B$4504*(B4557)^3/6-(N(D27)*MAX(0,(B4557)-N(E27))^2/2+N(F27)*MAX(0,(B4557)-N(G27))^2/2+N(H27)*MAX(0,(B4557)-N(I27))^2/2+N(J27)*MAX(0,(B4557)-N(K27))^2/2+N(L27)*MAX(0,(B4557)-N(M27))^2/2)+$B$4507)*($B$4505*(B4558)+$B$4506*(B4558)^2/2-$B$4504*(B4558)^3/6-(N(D27)*MAX(0,(B4558)-N(E27))^2/2+N(F27)*MAX(0,(B4558)-N(G27))^2/2+N(H27)*MAX(0,(B4558)-N(I27))^2/2+N(J27)*MAX(0,(B4558)-N(K27))^2/2+N(L27)*MAX(0,(B4558)-N(M27))^2/2)+$B$4507)&lt;=0,B4558,B4557)</f>
        <v>10</v>
      </c>
      <c r="C5337" s="3">
        <f t="shared" ref="C5337:C5381" si="116">(A5337+B5337)/2</f>
        <v>10</v>
      </c>
      <c r="D5337" s="3">
        <f>$B$4505*(A5337)+$B$4506*(A5337)^2/2-$B$4504*(A5337)^3/6-(N(D27)*MAX(0,(A5337)-N(E27))^2/2+N(F27)*MAX(0,(A5337)-N(G27))^2/2+N(H27)*MAX(0,(A5337)-N(I27))^2/2+N(J27)*MAX(0,(A5337)-N(K27))^2/2+N(L27)*MAX(0,(A5337)-N(M27))^2/2)+$B$4507</f>
        <v>695.31249999999989</v>
      </c>
      <c r="E5337" s="3">
        <f>$B$4505*(C5337)+$B$4506*(C5337)^2/2-$B$4504*(C5337)^3/6-(N(D27)*MAX(0,(C5337)-N(E27))^2/2+N(F27)*MAX(0,(C5337)-N(G27))^2/2+N(H27)*MAX(0,(C5337)-N(I27))^2/2+N(J27)*MAX(0,(C5337)-N(K27))^2/2+N(L27)*MAX(0,(C5337)-N(M27))^2/2)+$B$4507</f>
        <v>695.31249999999989</v>
      </c>
    </row>
    <row r="5338" spans="1:5" hidden="1">
      <c r="A5338" s="3">
        <f t="shared" ref="A5338:A5381" si="117">IF(D5337*E5337&lt;=0,A5337,C5337)</f>
        <v>10</v>
      </c>
      <c r="B5338" s="3">
        <f t="shared" ref="B5338:B5381" si="118">IF(D5337*E5337&lt;=0,C5337,B5337)</f>
        <v>10</v>
      </c>
      <c r="C5338" s="3">
        <f t="shared" si="116"/>
        <v>10</v>
      </c>
      <c r="D5338" s="3">
        <f>$B$4505*(A5338)+$B$4506*(A5338)^2/2-$B$4504*(A5338)^3/6-(N(D27)*MAX(0,(A5338)-N(E27))^2/2+N(F27)*MAX(0,(A5338)-N(G27))^2/2+N(H27)*MAX(0,(A5338)-N(I27))^2/2+N(J27)*MAX(0,(A5338)-N(K27))^2/2+N(L27)*MAX(0,(A5338)-N(M27))^2/2)+$B$4507</f>
        <v>695.31249999999989</v>
      </c>
      <c r="E5338" s="3">
        <f>$B$4505*(C5338)+$B$4506*(C5338)^2/2-$B$4504*(C5338)^3/6-(N(D27)*MAX(0,(C5338)-N(E27))^2/2+N(F27)*MAX(0,(C5338)-N(G27))^2/2+N(H27)*MAX(0,(C5338)-N(I27))^2/2+N(J27)*MAX(0,(C5338)-N(K27))^2/2+N(L27)*MAX(0,(C5338)-N(M27))^2/2)+$B$4507</f>
        <v>695.31249999999989</v>
      </c>
    </row>
    <row r="5339" spans="1:5" hidden="1">
      <c r="A5339" s="3">
        <f t="shared" si="117"/>
        <v>10</v>
      </c>
      <c r="B5339" s="3">
        <f t="shared" si="118"/>
        <v>10</v>
      </c>
      <c r="C5339" s="3">
        <f t="shared" si="116"/>
        <v>10</v>
      </c>
      <c r="D5339" s="3">
        <f>$B$4505*(A5339)+$B$4506*(A5339)^2/2-$B$4504*(A5339)^3/6-(N(D27)*MAX(0,(A5339)-N(E27))^2/2+N(F27)*MAX(0,(A5339)-N(G27))^2/2+N(H27)*MAX(0,(A5339)-N(I27))^2/2+N(J27)*MAX(0,(A5339)-N(K27))^2/2+N(L27)*MAX(0,(A5339)-N(M27))^2/2)+$B$4507</f>
        <v>695.31249999999989</v>
      </c>
      <c r="E5339" s="3">
        <f>$B$4505*(C5339)+$B$4506*(C5339)^2/2-$B$4504*(C5339)^3/6-(N(D27)*MAX(0,(C5339)-N(E27))^2/2+N(F27)*MAX(0,(C5339)-N(G27))^2/2+N(H27)*MAX(0,(C5339)-N(I27))^2/2+N(J27)*MAX(0,(C5339)-N(K27))^2/2+N(L27)*MAX(0,(C5339)-N(M27))^2/2)+$B$4507</f>
        <v>695.31249999999989</v>
      </c>
    </row>
    <row r="5340" spans="1:5" hidden="1">
      <c r="A5340" s="3">
        <f t="shared" si="117"/>
        <v>10</v>
      </c>
      <c r="B5340" s="3">
        <f t="shared" si="118"/>
        <v>10</v>
      </c>
      <c r="C5340" s="3">
        <f t="shared" si="116"/>
        <v>10</v>
      </c>
      <c r="D5340" s="3">
        <f>$B$4505*(A5340)+$B$4506*(A5340)^2/2-$B$4504*(A5340)^3/6-(N(D27)*MAX(0,(A5340)-N(E27))^2/2+N(F27)*MAX(0,(A5340)-N(G27))^2/2+N(H27)*MAX(0,(A5340)-N(I27))^2/2+N(J27)*MAX(0,(A5340)-N(K27))^2/2+N(L27)*MAX(0,(A5340)-N(M27))^2/2)+$B$4507</f>
        <v>695.31249999999989</v>
      </c>
      <c r="E5340" s="3">
        <f>$B$4505*(C5340)+$B$4506*(C5340)^2/2-$B$4504*(C5340)^3/6-(N(D27)*MAX(0,(C5340)-N(E27))^2/2+N(F27)*MAX(0,(C5340)-N(G27))^2/2+N(H27)*MAX(0,(C5340)-N(I27))^2/2+N(J27)*MAX(0,(C5340)-N(K27))^2/2+N(L27)*MAX(0,(C5340)-N(M27))^2/2)+$B$4507</f>
        <v>695.31249999999989</v>
      </c>
    </row>
    <row r="5341" spans="1:5" hidden="1">
      <c r="A5341" s="3">
        <f t="shared" si="117"/>
        <v>10</v>
      </c>
      <c r="B5341" s="3">
        <f t="shared" si="118"/>
        <v>10</v>
      </c>
      <c r="C5341" s="3">
        <f t="shared" si="116"/>
        <v>10</v>
      </c>
      <c r="D5341" s="3">
        <f>$B$4505*(A5341)+$B$4506*(A5341)^2/2-$B$4504*(A5341)^3/6-(N(D27)*MAX(0,(A5341)-N(E27))^2/2+N(F27)*MAX(0,(A5341)-N(G27))^2/2+N(H27)*MAX(0,(A5341)-N(I27))^2/2+N(J27)*MAX(0,(A5341)-N(K27))^2/2+N(L27)*MAX(0,(A5341)-N(M27))^2/2)+$B$4507</f>
        <v>695.31249999999989</v>
      </c>
      <c r="E5341" s="3">
        <f>$B$4505*(C5341)+$B$4506*(C5341)^2/2-$B$4504*(C5341)^3/6-(N(D27)*MAX(0,(C5341)-N(E27))^2/2+N(F27)*MAX(0,(C5341)-N(G27))^2/2+N(H27)*MAX(0,(C5341)-N(I27))^2/2+N(J27)*MAX(0,(C5341)-N(K27))^2/2+N(L27)*MAX(0,(C5341)-N(M27))^2/2)+$B$4507</f>
        <v>695.31249999999989</v>
      </c>
    </row>
    <row r="5342" spans="1:5" hidden="1">
      <c r="A5342" s="3">
        <f t="shared" si="117"/>
        <v>10</v>
      </c>
      <c r="B5342" s="3">
        <f t="shared" si="118"/>
        <v>10</v>
      </c>
      <c r="C5342" s="3">
        <f t="shared" si="116"/>
        <v>10</v>
      </c>
      <c r="D5342" s="3">
        <f>$B$4505*(A5342)+$B$4506*(A5342)^2/2-$B$4504*(A5342)^3/6-(N(D27)*MAX(0,(A5342)-N(E27))^2/2+N(F27)*MAX(0,(A5342)-N(G27))^2/2+N(H27)*MAX(0,(A5342)-N(I27))^2/2+N(J27)*MAX(0,(A5342)-N(K27))^2/2+N(L27)*MAX(0,(A5342)-N(M27))^2/2)+$B$4507</f>
        <v>695.31249999999989</v>
      </c>
      <c r="E5342" s="3">
        <f>$B$4505*(C5342)+$B$4506*(C5342)^2/2-$B$4504*(C5342)^3/6-(N(D27)*MAX(0,(C5342)-N(E27))^2/2+N(F27)*MAX(0,(C5342)-N(G27))^2/2+N(H27)*MAX(0,(C5342)-N(I27))^2/2+N(J27)*MAX(0,(C5342)-N(K27))^2/2+N(L27)*MAX(0,(C5342)-N(M27))^2/2)+$B$4507</f>
        <v>695.31249999999989</v>
      </c>
    </row>
    <row r="5343" spans="1:5" hidden="1">
      <c r="A5343" s="3">
        <f t="shared" si="117"/>
        <v>10</v>
      </c>
      <c r="B5343" s="3">
        <f t="shared" si="118"/>
        <v>10</v>
      </c>
      <c r="C5343" s="3">
        <f t="shared" si="116"/>
        <v>10</v>
      </c>
      <c r="D5343" s="3">
        <f>$B$4505*(A5343)+$B$4506*(A5343)^2/2-$B$4504*(A5343)^3/6-(N(D27)*MAX(0,(A5343)-N(E27))^2/2+N(F27)*MAX(0,(A5343)-N(G27))^2/2+N(H27)*MAX(0,(A5343)-N(I27))^2/2+N(J27)*MAX(0,(A5343)-N(K27))^2/2+N(L27)*MAX(0,(A5343)-N(M27))^2/2)+$B$4507</f>
        <v>695.31249999999989</v>
      </c>
      <c r="E5343" s="3">
        <f>$B$4505*(C5343)+$B$4506*(C5343)^2/2-$B$4504*(C5343)^3/6-(N(D27)*MAX(0,(C5343)-N(E27))^2/2+N(F27)*MAX(0,(C5343)-N(G27))^2/2+N(H27)*MAX(0,(C5343)-N(I27))^2/2+N(J27)*MAX(0,(C5343)-N(K27))^2/2+N(L27)*MAX(0,(C5343)-N(M27))^2/2)+$B$4507</f>
        <v>695.31249999999989</v>
      </c>
    </row>
    <row r="5344" spans="1:5" hidden="1">
      <c r="A5344" s="3">
        <f t="shared" si="117"/>
        <v>10</v>
      </c>
      <c r="B5344" s="3">
        <f t="shared" si="118"/>
        <v>10</v>
      </c>
      <c r="C5344" s="3">
        <f t="shared" si="116"/>
        <v>10</v>
      </c>
      <c r="D5344" s="3">
        <f>$B$4505*(A5344)+$B$4506*(A5344)^2/2-$B$4504*(A5344)^3/6-(N(D27)*MAX(0,(A5344)-N(E27))^2/2+N(F27)*MAX(0,(A5344)-N(G27))^2/2+N(H27)*MAX(0,(A5344)-N(I27))^2/2+N(J27)*MAX(0,(A5344)-N(K27))^2/2+N(L27)*MAX(0,(A5344)-N(M27))^2/2)+$B$4507</f>
        <v>695.31249999999989</v>
      </c>
      <c r="E5344" s="3">
        <f>$B$4505*(C5344)+$B$4506*(C5344)^2/2-$B$4504*(C5344)^3/6-(N(D27)*MAX(0,(C5344)-N(E27))^2/2+N(F27)*MAX(0,(C5344)-N(G27))^2/2+N(H27)*MAX(0,(C5344)-N(I27))^2/2+N(J27)*MAX(0,(C5344)-N(K27))^2/2+N(L27)*MAX(0,(C5344)-N(M27))^2/2)+$B$4507</f>
        <v>695.31249999999989</v>
      </c>
    </row>
    <row r="5345" spans="1:5" hidden="1">
      <c r="A5345" s="3">
        <f t="shared" si="117"/>
        <v>10</v>
      </c>
      <c r="B5345" s="3">
        <f t="shared" si="118"/>
        <v>10</v>
      </c>
      <c r="C5345" s="3">
        <f t="shared" si="116"/>
        <v>10</v>
      </c>
      <c r="D5345" s="3">
        <f>$B$4505*(A5345)+$B$4506*(A5345)^2/2-$B$4504*(A5345)^3/6-(N(D27)*MAX(0,(A5345)-N(E27))^2/2+N(F27)*MAX(0,(A5345)-N(G27))^2/2+N(H27)*MAX(0,(A5345)-N(I27))^2/2+N(J27)*MAX(0,(A5345)-N(K27))^2/2+N(L27)*MAX(0,(A5345)-N(M27))^2/2)+$B$4507</f>
        <v>695.31249999999989</v>
      </c>
      <c r="E5345" s="3">
        <f>$B$4505*(C5345)+$B$4506*(C5345)^2/2-$B$4504*(C5345)^3/6-(N(D27)*MAX(0,(C5345)-N(E27))^2/2+N(F27)*MAX(0,(C5345)-N(G27))^2/2+N(H27)*MAX(0,(C5345)-N(I27))^2/2+N(J27)*MAX(0,(C5345)-N(K27))^2/2+N(L27)*MAX(0,(C5345)-N(M27))^2/2)+$B$4507</f>
        <v>695.31249999999989</v>
      </c>
    </row>
    <row r="5346" spans="1:5" hidden="1">
      <c r="A5346" s="3">
        <f t="shared" si="117"/>
        <v>10</v>
      </c>
      <c r="B5346" s="3">
        <f t="shared" si="118"/>
        <v>10</v>
      </c>
      <c r="C5346" s="3">
        <f t="shared" si="116"/>
        <v>10</v>
      </c>
      <c r="D5346" s="3">
        <f>$B$4505*(A5346)+$B$4506*(A5346)^2/2-$B$4504*(A5346)^3/6-(N(D27)*MAX(0,(A5346)-N(E27))^2/2+N(F27)*MAX(0,(A5346)-N(G27))^2/2+N(H27)*MAX(0,(A5346)-N(I27))^2/2+N(J27)*MAX(0,(A5346)-N(K27))^2/2+N(L27)*MAX(0,(A5346)-N(M27))^2/2)+$B$4507</f>
        <v>695.31249999999989</v>
      </c>
      <c r="E5346" s="3">
        <f>$B$4505*(C5346)+$B$4506*(C5346)^2/2-$B$4504*(C5346)^3/6-(N(D27)*MAX(0,(C5346)-N(E27))^2/2+N(F27)*MAX(0,(C5346)-N(G27))^2/2+N(H27)*MAX(0,(C5346)-N(I27))^2/2+N(J27)*MAX(0,(C5346)-N(K27))^2/2+N(L27)*MAX(0,(C5346)-N(M27))^2/2)+$B$4507</f>
        <v>695.31249999999989</v>
      </c>
    </row>
    <row r="5347" spans="1:5" hidden="1">
      <c r="A5347" s="3">
        <f t="shared" si="117"/>
        <v>10</v>
      </c>
      <c r="B5347" s="3">
        <f t="shared" si="118"/>
        <v>10</v>
      </c>
      <c r="C5347" s="3">
        <f t="shared" si="116"/>
        <v>10</v>
      </c>
      <c r="D5347" s="3">
        <f>$B$4505*(A5347)+$B$4506*(A5347)^2/2-$B$4504*(A5347)^3/6-(N(D27)*MAX(0,(A5347)-N(E27))^2/2+N(F27)*MAX(0,(A5347)-N(G27))^2/2+N(H27)*MAX(0,(A5347)-N(I27))^2/2+N(J27)*MAX(0,(A5347)-N(K27))^2/2+N(L27)*MAX(0,(A5347)-N(M27))^2/2)+$B$4507</f>
        <v>695.31249999999989</v>
      </c>
      <c r="E5347" s="3">
        <f>$B$4505*(C5347)+$B$4506*(C5347)^2/2-$B$4504*(C5347)^3/6-(N(D27)*MAX(0,(C5347)-N(E27))^2/2+N(F27)*MAX(0,(C5347)-N(G27))^2/2+N(H27)*MAX(0,(C5347)-N(I27))^2/2+N(J27)*MAX(0,(C5347)-N(K27))^2/2+N(L27)*MAX(0,(C5347)-N(M27))^2/2)+$B$4507</f>
        <v>695.31249999999989</v>
      </c>
    </row>
    <row r="5348" spans="1:5" hidden="1">
      <c r="A5348" s="3">
        <f t="shared" si="117"/>
        <v>10</v>
      </c>
      <c r="B5348" s="3">
        <f t="shared" si="118"/>
        <v>10</v>
      </c>
      <c r="C5348" s="3">
        <f t="shared" si="116"/>
        <v>10</v>
      </c>
      <c r="D5348" s="3">
        <f>$B$4505*(A5348)+$B$4506*(A5348)^2/2-$B$4504*(A5348)^3/6-(N(D27)*MAX(0,(A5348)-N(E27))^2/2+N(F27)*MAX(0,(A5348)-N(G27))^2/2+N(H27)*MAX(0,(A5348)-N(I27))^2/2+N(J27)*MAX(0,(A5348)-N(K27))^2/2+N(L27)*MAX(0,(A5348)-N(M27))^2/2)+$B$4507</f>
        <v>695.31249999999989</v>
      </c>
      <c r="E5348" s="3">
        <f>$B$4505*(C5348)+$B$4506*(C5348)^2/2-$B$4504*(C5348)^3/6-(N(D27)*MAX(0,(C5348)-N(E27))^2/2+N(F27)*MAX(0,(C5348)-N(G27))^2/2+N(H27)*MAX(0,(C5348)-N(I27))^2/2+N(J27)*MAX(0,(C5348)-N(K27))^2/2+N(L27)*MAX(0,(C5348)-N(M27))^2/2)+$B$4507</f>
        <v>695.31249999999989</v>
      </c>
    </row>
    <row r="5349" spans="1:5" hidden="1">
      <c r="A5349" s="3">
        <f t="shared" si="117"/>
        <v>10</v>
      </c>
      <c r="B5349" s="3">
        <f t="shared" si="118"/>
        <v>10</v>
      </c>
      <c r="C5349" s="3">
        <f t="shared" si="116"/>
        <v>10</v>
      </c>
      <c r="D5349" s="3">
        <f>$B$4505*(A5349)+$B$4506*(A5349)^2/2-$B$4504*(A5349)^3/6-(N(D27)*MAX(0,(A5349)-N(E27))^2/2+N(F27)*MAX(0,(A5349)-N(G27))^2/2+N(H27)*MAX(0,(A5349)-N(I27))^2/2+N(J27)*MAX(0,(A5349)-N(K27))^2/2+N(L27)*MAX(0,(A5349)-N(M27))^2/2)+$B$4507</f>
        <v>695.31249999999989</v>
      </c>
      <c r="E5349" s="3">
        <f>$B$4505*(C5349)+$B$4506*(C5349)^2/2-$B$4504*(C5349)^3/6-(N(D27)*MAX(0,(C5349)-N(E27))^2/2+N(F27)*MAX(0,(C5349)-N(G27))^2/2+N(H27)*MAX(0,(C5349)-N(I27))^2/2+N(J27)*MAX(0,(C5349)-N(K27))^2/2+N(L27)*MAX(0,(C5349)-N(M27))^2/2)+$B$4507</f>
        <v>695.31249999999989</v>
      </c>
    </row>
    <row r="5350" spans="1:5" hidden="1">
      <c r="A5350" s="3">
        <f t="shared" si="117"/>
        <v>10</v>
      </c>
      <c r="B5350" s="3">
        <f t="shared" si="118"/>
        <v>10</v>
      </c>
      <c r="C5350" s="3">
        <f t="shared" si="116"/>
        <v>10</v>
      </c>
      <c r="D5350" s="3">
        <f>$B$4505*(A5350)+$B$4506*(A5350)^2/2-$B$4504*(A5350)^3/6-(N(D27)*MAX(0,(A5350)-N(E27))^2/2+N(F27)*MAX(0,(A5350)-N(G27))^2/2+N(H27)*MAX(0,(A5350)-N(I27))^2/2+N(J27)*MAX(0,(A5350)-N(K27))^2/2+N(L27)*MAX(0,(A5350)-N(M27))^2/2)+$B$4507</f>
        <v>695.31249999999989</v>
      </c>
      <c r="E5350" s="3">
        <f>$B$4505*(C5350)+$B$4506*(C5350)^2/2-$B$4504*(C5350)^3/6-(N(D27)*MAX(0,(C5350)-N(E27))^2/2+N(F27)*MAX(0,(C5350)-N(G27))^2/2+N(H27)*MAX(0,(C5350)-N(I27))^2/2+N(J27)*MAX(0,(C5350)-N(K27))^2/2+N(L27)*MAX(0,(C5350)-N(M27))^2/2)+$B$4507</f>
        <v>695.31249999999989</v>
      </c>
    </row>
    <row r="5351" spans="1:5" hidden="1">
      <c r="A5351" s="3">
        <f t="shared" si="117"/>
        <v>10</v>
      </c>
      <c r="B5351" s="3">
        <f t="shared" si="118"/>
        <v>10</v>
      </c>
      <c r="C5351" s="3">
        <f t="shared" si="116"/>
        <v>10</v>
      </c>
      <c r="D5351" s="3">
        <f>$B$4505*(A5351)+$B$4506*(A5351)^2/2-$B$4504*(A5351)^3/6-(N(D27)*MAX(0,(A5351)-N(E27))^2/2+N(F27)*MAX(0,(A5351)-N(G27))^2/2+N(H27)*MAX(0,(A5351)-N(I27))^2/2+N(J27)*MAX(0,(A5351)-N(K27))^2/2+N(L27)*MAX(0,(A5351)-N(M27))^2/2)+$B$4507</f>
        <v>695.31249999999989</v>
      </c>
      <c r="E5351" s="3">
        <f>$B$4505*(C5351)+$B$4506*(C5351)^2/2-$B$4504*(C5351)^3/6-(N(D27)*MAX(0,(C5351)-N(E27))^2/2+N(F27)*MAX(0,(C5351)-N(G27))^2/2+N(H27)*MAX(0,(C5351)-N(I27))^2/2+N(J27)*MAX(0,(C5351)-N(K27))^2/2+N(L27)*MAX(0,(C5351)-N(M27))^2/2)+$B$4507</f>
        <v>695.31249999999989</v>
      </c>
    </row>
    <row r="5352" spans="1:5" hidden="1">
      <c r="A5352" s="3">
        <f t="shared" si="117"/>
        <v>10</v>
      </c>
      <c r="B5352" s="3">
        <f t="shared" si="118"/>
        <v>10</v>
      </c>
      <c r="C5352" s="3">
        <f t="shared" si="116"/>
        <v>10</v>
      </c>
      <c r="D5352" s="3">
        <f>$B$4505*(A5352)+$B$4506*(A5352)^2/2-$B$4504*(A5352)^3/6-(N(D27)*MAX(0,(A5352)-N(E27))^2/2+N(F27)*MAX(0,(A5352)-N(G27))^2/2+N(H27)*MAX(0,(A5352)-N(I27))^2/2+N(J27)*MAX(0,(A5352)-N(K27))^2/2+N(L27)*MAX(0,(A5352)-N(M27))^2/2)+$B$4507</f>
        <v>695.31249999999989</v>
      </c>
      <c r="E5352" s="3">
        <f>$B$4505*(C5352)+$B$4506*(C5352)^2/2-$B$4504*(C5352)^3/6-(N(D27)*MAX(0,(C5352)-N(E27))^2/2+N(F27)*MAX(0,(C5352)-N(G27))^2/2+N(H27)*MAX(0,(C5352)-N(I27))^2/2+N(J27)*MAX(0,(C5352)-N(K27))^2/2+N(L27)*MAX(0,(C5352)-N(M27))^2/2)+$B$4507</f>
        <v>695.31249999999989</v>
      </c>
    </row>
    <row r="5353" spans="1:5" hidden="1">
      <c r="A5353" s="3">
        <f t="shared" si="117"/>
        <v>10</v>
      </c>
      <c r="B5353" s="3">
        <f t="shared" si="118"/>
        <v>10</v>
      </c>
      <c r="C5353" s="3">
        <f t="shared" si="116"/>
        <v>10</v>
      </c>
      <c r="D5353" s="3">
        <f>$B$4505*(A5353)+$B$4506*(A5353)^2/2-$B$4504*(A5353)^3/6-(N(D27)*MAX(0,(A5353)-N(E27))^2/2+N(F27)*MAX(0,(A5353)-N(G27))^2/2+N(H27)*MAX(0,(A5353)-N(I27))^2/2+N(J27)*MAX(0,(A5353)-N(K27))^2/2+N(L27)*MAX(0,(A5353)-N(M27))^2/2)+$B$4507</f>
        <v>695.31249999999989</v>
      </c>
      <c r="E5353" s="3">
        <f>$B$4505*(C5353)+$B$4506*(C5353)^2/2-$B$4504*(C5353)^3/6-(N(D27)*MAX(0,(C5353)-N(E27))^2/2+N(F27)*MAX(0,(C5353)-N(G27))^2/2+N(H27)*MAX(0,(C5353)-N(I27))^2/2+N(J27)*MAX(0,(C5353)-N(K27))^2/2+N(L27)*MAX(0,(C5353)-N(M27))^2/2)+$B$4507</f>
        <v>695.31249999999989</v>
      </c>
    </row>
    <row r="5354" spans="1:5" hidden="1">
      <c r="A5354" s="3">
        <f t="shared" si="117"/>
        <v>10</v>
      </c>
      <c r="B5354" s="3">
        <f t="shared" si="118"/>
        <v>10</v>
      </c>
      <c r="C5354" s="3">
        <f t="shared" si="116"/>
        <v>10</v>
      </c>
      <c r="D5354" s="3">
        <f>$B$4505*(A5354)+$B$4506*(A5354)^2/2-$B$4504*(A5354)^3/6-(N(D27)*MAX(0,(A5354)-N(E27))^2/2+N(F27)*MAX(0,(A5354)-N(G27))^2/2+N(H27)*MAX(0,(A5354)-N(I27))^2/2+N(J27)*MAX(0,(A5354)-N(K27))^2/2+N(L27)*MAX(0,(A5354)-N(M27))^2/2)+$B$4507</f>
        <v>695.31249999999989</v>
      </c>
      <c r="E5354" s="3">
        <f>$B$4505*(C5354)+$B$4506*(C5354)^2/2-$B$4504*(C5354)^3/6-(N(D27)*MAX(0,(C5354)-N(E27))^2/2+N(F27)*MAX(0,(C5354)-N(G27))^2/2+N(H27)*MAX(0,(C5354)-N(I27))^2/2+N(J27)*MAX(0,(C5354)-N(K27))^2/2+N(L27)*MAX(0,(C5354)-N(M27))^2/2)+$B$4507</f>
        <v>695.31249999999989</v>
      </c>
    </row>
    <row r="5355" spans="1:5" hidden="1">
      <c r="A5355" s="3">
        <f t="shared" si="117"/>
        <v>10</v>
      </c>
      <c r="B5355" s="3">
        <f t="shared" si="118"/>
        <v>10</v>
      </c>
      <c r="C5355" s="3">
        <f t="shared" si="116"/>
        <v>10</v>
      </c>
      <c r="D5355" s="3">
        <f>$B$4505*(A5355)+$B$4506*(A5355)^2/2-$B$4504*(A5355)^3/6-(N(D27)*MAX(0,(A5355)-N(E27))^2/2+N(F27)*MAX(0,(A5355)-N(G27))^2/2+N(H27)*MAX(0,(A5355)-N(I27))^2/2+N(J27)*MAX(0,(A5355)-N(K27))^2/2+N(L27)*MAX(0,(A5355)-N(M27))^2/2)+$B$4507</f>
        <v>695.31249999999989</v>
      </c>
      <c r="E5355" s="3">
        <f>$B$4505*(C5355)+$B$4506*(C5355)^2/2-$B$4504*(C5355)^3/6-(N(D27)*MAX(0,(C5355)-N(E27))^2/2+N(F27)*MAX(0,(C5355)-N(G27))^2/2+N(H27)*MAX(0,(C5355)-N(I27))^2/2+N(J27)*MAX(0,(C5355)-N(K27))^2/2+N(L27)*MAX(0,(C5355)-N(M27))^2/2)+$B$4507</f>
        <v>695.31249999999989</v>
      </c>
    </row>
    <row r="5356" spans="1:5" hidden="1">
      <c r="A5356" s="3">
        <f t="shared" si="117"/>
        <v>10</v>
      </c>
      <c r="B5356" s="3">
        <f t="shared" si="118"/>
        <v>10</v>
      </c>
      <c r="C5356" s="3">
        <f t="shared" si="116"/>
        <v>10</v>
      </c>
      <c r="D5356" s="3">
        <f>$B$4505*(A5356)+$B$4506*(A5356)^2/2-$B$4504*(A5356)^3/6-(N(D27)*MAX(0,(A5356)-N(E27))^2/2+N(F27)*MAX(0,(A5356)-N(G27))^2/2+N(H27)*MAX(0,(A5356)-N(I27))^2/2+N(J27)*MAX(0,(A5356)-N(K27))^2/2+N(L27)*MAX(0,(A5356)-N(M27))^2/2)+$B$4507</f>
        <v>695.31249999999989</v>
      </c>
      <c r="E5356" s="3">
        <f>$B$4505*(C5356)+$B$4506*(C5356)^2/2-$B$4504*(C5356)^3/6-(N(D27)*MAX(0,(C5356)-N(E27))^2/2+N(F27)*MAX(0,(C5356)-N(G27))^2/2+N(H27)*MAX(0,(C5356)-N(I27))^2/2+N(J27)*MAX(0,(C5356)-N(K27))^2/2+N(L27)*MAX(0,(C5356)-N(M27))^2/2)+$B$4507</f>
        <v>695.31249999999989</v>
      </c>
    </row>
    <row r="5357" spans="1:5" hidden="1">
      <c r="A5357" s="3">
        <f t="shared" si="117"/>
        <v>10</v>
      </c>
      <c r="B5357" s="3">
        <f t="shared" si="118"/>
        <v>10</v>
      </c>
      <c r="C5357" s="3">
        <f t="shared" si="116"/>
        <v>10</v>
      </c>
      <c r="D5357" s="3">
        <f>$B$4505*(A5357)+$B$4506*(A5357)^2/2-$B$4504*(A5357)^3/6-(N(D27)*MAX(0,(A5357)-N(E27))^2/2+N(F27)*MAX(0,(A5357)-N(G27))^2/2+N(H27)*MAX(0,(A5357)-N(I27))^2/2+N(J27)*MAX(0,(A5357)-N(K27))^2/2+N(L27)*MAX(0,(A5357)-N(M27))^2/2)+$B$4507</f>
        <v>695.31249999999989</v>
      </c>
      <c r="E5357" s="3">
        <f>$B$4505*(C5357)+$B$4506*(C5357)^2/2-$B$4504*(C5357)^3/6-(N(D27)*MAX(0,(C5357)-N(E27))^2/2+N(F27)*MAX(0,(C5357)-N(G27))^2/2+N(H27)*MAX(0,(C5357)-N(I27))^2/2+N(J27)*MAX(0,(C5357)-N(K27))^2/2+N(L27)*MAX(0,(C5357)-N(M27))^2/2)+$B$4507</f>
        <v>695.31249999999989</v>
      </c>
    </row>
    <row r="5358" spans="1:5" hidden="1">
      <c r="A5358" s="3">
        <f t="shared" si="117"/>
        <v>10</v>
      </c>
      <c r="B5358" s="3">
        <f t="shared" si="118"/>
        <v>10</v>
      </c>
      <c r="C5358" s="3">
        <f t="shared" si="116"/>
        <v>10</v>
      </c>
      <c r="D5358" s="3">
        <f>$B$4505*(A5358)+$B$4506*(A5358)^2/2-$B$4504*(A5358)^3/6-(N(D27)*MAX(0,(A5358)-N(E27))^2/2+N(F27)*MAX(0,(A5358)-N(G27))^2/2+N(H27)*MAX(0,(A5358)-N(I27))^2/2+N(J27)*MAX(0,(A5358)-N(K27))^2/2+N(L27)*MAX(0,(A5358)-N(M27))^2/2)+$B$4507</f>
        <v>695.31249999999989</v>
      </c>
      <c r="E5358" s="3">
        <f>$B$4505*(C5358)+$B$4506*(C5358)^2/2-$B$4504*(C5358)^3/6-(N(D27)*MAX(0,(C5358)-N(E27))^2/2+N(F27)*MAX(0,(C5358)-N(G27))^2/2+N(H27)*MAX(0,(C5358)-N(I27))^2/2+N(J27)*MAX(0,(C5358)-N(K27))^2/2+N(L27)*MAX(0,(C5358)-N(M27))^2/2)+$B$4507</f>
        <v>695.31249999999989</v>
      </c>
    </row>
    <row r="5359" spans="1:5" hidden="1">
      <c r="A5359" s="3">
        <f t="shared" si="117"/>
        <v>10</v>
      </c>
      <c r="B5359" s="3">
        <f t="shared" si="118"/>
        <v>10</v>
      </c>
      <c r="C5359" s="3">
        <f t="shared" si="116"/>
        <v>10</v>
      </c>
      <c r="D5359" s="3">
        <f>$B$4505*(A5359)+$B$4506*(A5359)^2/2-$B$4504*(A5359)^3/6-(N(D27)*MAX(0,(A5359)-N(E27))^2/2+N(F27)*MAX(0,(A5359)-N(G27))^2/2+N(H27)*MAX(0,(A5359)-N(I27))^2/2+N(J27)*MAX(0,(A5359)-N(K27))^2/2+N(L27)*MAX(0,(A5359)-N(M27))^2/2)+$B$4507</f>
        <v>695.31249999999989</v>
      </c>
      <c r="E5359" s="3">
        <f>$B$4505*(C5359)+$B$4506*(C5359)^2/2-$B$4504*(C5359)^3/6-(N(D27)*MAX(0,(C5359)-N(E27))^2/2+N(F27)*MAX(0,(C5359)-N(G27))^2/2+N(H27)*MAX(0,(C5359)-N(I27))^2/2+N(J27)*MAX(0,(C5359)-N(K27))^2/2+N(L27)*MAX(0,(C5359)-N(M27))^2/2)+$B$4507</f>
        <v>695.31249999999989</v>
      </c>
    </row>
    <row r="5360" spans="1:5" hidden="1">
      <c r="A5360" s="3">
        <f t="shared" si="117"/>
        <v>10</v>
      </c>
      <c r="B5360" s="3">
        <f t="shared" si="118"/>
        <v>10</v>
      </c>
      <c r="C5360" s="3">
        <f t="shared" si="116"/>
        <v>10</v>
      </c>
      <c r="D5360" s="3">
        <f>$B$4505*(A5360)+$B$4506*(A5360)^2/2-$B$4504*(A5360)^3/6-(N(D27)*MAX(0,(A5360)-N(E27))^2/2+N(F27)*MAX(0,(A5360)-N(G27))^2/2+N(H27)*MAX(0,(A5360)-N(I27))^2/2+N(J27)*MAX(0,(A5360)-N(K27))^2/2+N(L27)*MAX(0,(A5360)-N(M27))^2/2)+$B$4507</f>
        <v>695.31249999999989</v>
      </c>
      <c r="E5360" s="3">
        <f>$B$4505*(C5360)+$B$4506*(C5360)^2/2-$B$4504*(C5360)^3/6-(N(D27)*MAX(0,(C5360)-N(E27))^2/2+N(F27)*MAX(0,(C5360)-N(G27))^2/2+N(H27)*MAX(0,(C5360)-N(I27))^2/2+N(J27)*MAX(0,(C5360)-N(K27))^2/2+N(L27)*MAX(0,(C5360)-N(M27))^2/2)+$B$4507</f>
        <v>695.31249999999989</v>
      </c>
    </row>
    <row r="5361" spans="1:5" hidden="1">
      <c r="A5361" s="3">
        <f t="shared" si="117"/>
        <v>10</v>
      </c>
      <c r="B5361" s="3">
        <f t="shared" si="118"/>
        <v>10</v>
      </c>
      <c r="C5361" s="3">
        <f t="shared" si="116"/>
        <v>10</v>
      </c>
      <c r="D5361" s="3">
        <f>$B$4505*(A5361)+$B$4506*(A5361)^2/2-$B$4504*(A5361)^3/6-(N(D27)*MAX(0,(A5361)-N(E27))^2/2+N(F27)*MAX(0,(A5361)-N(G27))^2/2+N(H27)*MAX(0,(A5361)-N(I27))^2/2+N(J27)*MAX(0,(A5361)-N(K27))^2/2+N(L27)*MAX(0,(A5361)-N(M27))^2/2)+$B$4507</f>
        <v>695.31249999999989</v>
      </c>
      <c r="E5361" s="3">
        <f>$B$4505*(C5361)+$B$4506*(C5361)^2/2-$B$4504*(C5361)^3/6-(N(D27)*MAX(0,(C5361)-N(E27))^2/2+N(F27)*MAX(0,(C5361)-N(G27))^2/2+N(H27)*MAX(0,(C5361)-N(I27))^2/2+N(J27)*MAX(0,(C5361)-N(K27))^2/2+N(L27)*MAX(0,(C5361)-N(M27))^2/2)+$B$4507</f>
        <v>695.31249999999989</v>
      </c>
    </row>
    <row r="5362" spans="1:5" hidden="1">
      <c r="A5362" s="3">
        <f t="shared" si="117"/>
        <v>10</v>
      </c>
      <c r="B5362" s="3">
        <f t="shared" si="118"/>
        <v>10</v>
      </c>
      <c r="C5362" s="3">
        <f t="shared" si="116"/>
        <v>10</v>
      </c>
      <c r="D5362" s="3">
        <f>$B$4505*(A5362)+$B$4506*(A5362)^2/2-$B$4504*(A5362)^3/6-(N(D27)*MAX(0,(A5362)-N(E27))^2/2+N(F27)*MAX(0,(A5362)-N(G27))^2/2+N(H27)*MAX(0,(A5362)-N(I27))^2/2+N(J27)*MAX(0,(A5362)-N(K27))^2/2+N(L27)*MAX(0,(A5362)-N(M27))^2/2)+$B$4507</f>
        <v>695.31249999999989</v>
      </c>
      <c r="E5362" s="3">
        <f>$B$4505*(C5362)+$B$4506*(C5362)^2/2-$B$4504*(C5362)^3/6-(N(D27)*MAX(0,(C5362)-N(E27))^2/2+N(F27)*MAX(0,(C5362)-N(G27))^2/2+N(H27)*MAX(0,(C5362)-N(I27))^2/2+N(J27)*MAX(0,(C5362)-N(K27))^2/2+N(L27)*MAX(0,(C5362)-N(M27))^2/2)+$B$4507</f>
        <v>695.31249999999989</v>
      </c>
    </row>
    <row r="5363" spans="1:5" hidden="1">
      <c r="A5363" s="3">
        <f t="shared" si="117"/>
        <v>10</v>
      </c>
      <c r="B5363" s="3">
        <f t="shared" si="118"/>
        <v>10</v>
      </c>
      <c r="C5363" s="3">
        <f t="shared" si="116"/>
        <v>10</v>
      </c>
      <c r="D5363" s="3">
        <f>$B$4505*(A5363)+$B$4506*(A5363)^2/2-$B$4504*(A5363)^3/6-(N(D27)*MAX(0,(A5363)-N(E27))^2/2+N(F27)*MAX(0,(A5363)-N(G27))^2/2+N(H27)*MAX(0,(A5363)-N(I27))^2/2+N(J27)*MAX(0,(A5363)-N(K27))^2/2+N(L27)*MAX(0,(A5363)-N(M27))^2/2)+$B$4507</f>
        <v>695.31249999999989</v>
      </c>
      <c r="E5363" s="3">
        <f>$B$4505*(C5363)+$B$4506*(C5363)^2/2-$B$4504*(C5363)^3/6-(N(D27)*MAX(0,(C5363)-N(E27))^2/2+N(F27)*MAX(0,(C5363)-N(G27))^2/2+N(H27)*MAX(0,(C5363)-N(I27))^2/2+N(J27)*MAX(0,(C5363)-N(K27))^2/2+N(L27)*MAX(0,(C5363)-N(M27))^2/2)+$B$4507</f>
        <v>695.31249999999989</v>
      </c>
    </row>
    <row r="5364" spans="1:5" hidden="1">
      <c r="A5364" s="3">
        <f t="shared" si="117"/>
        <v>10</v>
      </c>
      <c r="B5364" s="3">
        <f t="shared" si="118"/>
        <v>10</v>
      </c>
      <c r="C5364" s="3">
        <f t="shared" si="116"/>
        <v>10</v>
      </c>
      <c r="D5364" s="3">
        <f>$B$4505*(A5364)+$B$4506*(A5364)^2/2-$B$4504*(A5364)^3/6-(N(D27)*MAX(0,(A5364)-N(E27))^2/2+N(F27)*MAX(0,(A5364)-N(G27))^2/2+N(H27)*MAX(0,(A5364)-N(I27))^2/2+N(J27)*MAX(0,(A5364)-N(K27))^2/2+N(L27)*MAX(0,(A5364)-N(M27))^2/2)+$B$4507</f>
        <v>695.31249999999989</v>
      </c>
      <c r="E5364" s="3">
        <f>$B$4505*(C5364)+$B$4506*(C5364)^2/2-$B$4504*(C5364)^3/6-(N(D27)*MAX(0,(C5364)-N(E27))^2/2+N(F27)*MAX(0,(C5364)-N(G27))^2/2+N(H27)*MAX(0,(C5364)-N(I27))^2/2+N(J27)*MAX(0,(C5364)-N(K27))^2/2+N(L27)*MAX(0,(C5364)-N(M27))^2/2)+$B$4507</f>
        <v>695.31249999999989</v>
      </c>
    </row>
    <row r="5365" spans="1:5" hidden="1">
      <c r="A5365" s="3">
        <f t="shared" si="117"/>
        <v>10</v>
      </c>
      <c r="B5365" s="3">
        <f t="shared" si="118"/>
        <v>10</v>
      </c>
      <c r="C5365" s="3">
        <f t="shared" si="116"/>
        <v>10</v>
      </c>
      <c r="D5365" s="3">
        <f>$B$4505*(A5365)+$B$4506*(A5365)^2/2-$B$4504*(A5365)^3/6-(N(D27)*MAX(0,(A5365)-N(E27))^2/2+N(F27)*MAX(0,(A5365)-N(G27))^2/2+N(H27)*MAX(0,(A5365)-N(I27))^2/2+N(J27)*MAX(0,(A5365)-N(K27))^2/2+N(L27)*MAX(0,(A5365)-N(M27))^2/2)+$B$4507</f>
        <v>695.31249999999989</v>
      </c>
      <c r="E5365" s="3">
        <f>$B$4505*(C5365)+$B$4506*(C5365)^2/2-$B$4504*(C5365)^3/6-(N(D27)*MAX(0,(C5365)-N(E27))^2/2+N(F27)*MAX(0,(C5365)-N(G27))^2/2+N(H27)*MAX(0,(C5365)-N(I27))^2/2+N(J27)*MAX(0,(C5365)-N(K27))^2/2+N(L27)*MAX(0,(C5365)-N(M27))^2/2)+$B$4507</f>
        <v>695.31249999999989</v>
      </c>
    </row>
    <row r="5366" spans="1:5" hidden="1">
      <c r="A5366" s="3">
        <f t="shared" si="117"/>
        <v>10</v>
      </c>
      <c r="B5366" s="3">
        <f t="shared" si="118"/>
        <v>10</v>
      </c>
      <c r="C5366" s="3">
        <f t="shared" si="116"/>
        <v>10</v>
      </c>
      <c r="D5366" s="3">
        <f>$B$4505*(A5366)+$B$4506*(A5366)^2/2-$B$4504*(A5366)^3/6-(N(D27)*MAX(0,(A5366)-N(E27))^2/2+N(F27)*MAX(0,(A5366)-N(G27))^2/2+N(H27)*MAX(0,(A5366)-N(I27))^2/2+N(J27)*MAX(0,(A5366)-N(K27))^2/2+N(L27)*MAX(0,(A5366)-N(M27))^2/2)+$B$4507</f>
        <v>695.31249999999989</v>
      </c>
      <c r="E5366" s="3">
        <f>$B$4505*(C5366)+$B$4506*(C5366)^2/2-$B$4504*(C5366)^3/6-(N(D27)*MAX(0,(C5366)-N(E27))^2/2+N(F27)*MAX(0,(C5366)-N(G27))^2/2+N(H27)*MAX(0,(C5366)-N(I27))^2/2+N(J27)*MAX(0,(C5366)-N(K27))^2/2+N(L27)*MAX(0,(C5366)-N(M27))^2/2)+$B$4507</f>
        <v>695.31249999999989</v>
      </c>
    </row>
    <row r="5367" spans="1:5" hidden="1">
      <c r="A5367" s="3">
        <f t="shared" si="117"/>
        <v>10</v>
      </c>
      <c r="B5367" s="3">
        <f t="shared" si="118"/>
        <v>10</v>
      </c>
      <c r="C5367" s="3">
        <f t="shared" si="116"/>
        <v>10</v>
      </c>
      <c r="D5367" s="3">
        <f>$B$4505*(A5367)+$B$4506*(A5367)^2/2-$B$4504*(A5367)^3/6-(N(D27)*MAX(0,(A5367)-N(E27))^2/2+N(F27)*MAX(0,(A5367)-N(G27))^2/2+N(H27)*MAX(0,(A5367)-N(I27))^2/2+N(J27)*MAX(0,(A5367)-N(K27))^2/2+N(L27)*MAX(0,(A5367)-N(M27))^2/2)+$B$4507</f>
        <v>695.31249999999989</v>
      </c>
      <c r="E5367" s="3">
        <f>$B$4505*(C5367)+$B$4506*(C5367)^2/2-$B$4504*(C5367)^3/6-(N(D27)*MAX(0,(C5367)-N(E27))^2/2+N(F27)*MAX(0,(C5367)-N(G27))^2/2+N(H27)*MAX(0,(C5367)-N(I27))^2/2+N(J27)*MAX(0,(C5367)-N(K27))^2/2+N(L27)*MAX(0,(C5367)-N(M27))^2/2)+$B$4507</f>
        <v>695.31249999999989</v>
      </c>
    </row>
    <row r="5368" spans="1:5" hidden="1">
      <c r="A5368" s="3">
        <f t="shared" si="117"/>
        <v>10</v>
      </c>
      <c r="B5368" s="3">
        <f t="shared" si="118"/>
        <v>10</v>
      </c>
      <c r="C5368" s="3">
        <f t="shared" si="116"/>
        <v>10</v>
      </c>
      <c r="D5368" s="3">
        <f>$B$4505*(A5368)+$B$4506*(A5368)^2/2-$B$4504*(A5368)^3/6-(N(D27)*MAX(0,(A5368)-N(E27))^2/2+N(F27)*MAX(0,(A5368)-N(G27))^2/2+N(H27)*MAX(0,(A5368)-N(I27))^2/2+N(J27)*MAX(0,(A5368)-N(K27))^2/2+N(L27)*MAX(0,(A5368)-N(M27))^2/2)+$B$4507</f>
        <v>695.31249999999989</v>
      </c>
      <c r="E5368" s="3">
        <f>$B$4505*(C5368)+$B$4506*(C5368)^2/2-$B$4504*(C5368)^3/6-(N(D27)*MAX(0,(C5368)-N(E27))^2/2+N(F27)*MAX(0,(C5368)-N(G27))^2/2+N(H27)*MAX(0,(C5368)-N(I27))^2/2+N(J27)*MAX(0,(C5368)-N(K27))^2/2+N(L27)*MAX(0,(C5368)-N(M27))^2/2)+$B$4507</f>
        <v>695.31249999999989</v>
      </c>
    </row>
    <row r="5369" spans="1:5" hidden="1">
      <c r="A5369" s="3">
        <f t="shared" si="117"/>
        <v>10</v>
      </c>
      <c r="B5369" s="3">
        <f t="shared" si="118"/>
        <v>10</v>
      </c>
      <c r="C5369" s="3">
        <f t="shared" si="116"/>
        <v>10</v>
      </c>
      <c r="D5369" s="3">
        <f>$B$4505*(A5369)+$B$4506*(A5369)^2/2-$B$4504*(A5369)^3/6-(N(D27)*MAX(0,(A5369)-N(E27))^2/2+N(F27)*MAX(0,(A5369)-N(G27))^2/2+N(H27)*MAX(0,(A5369)-N(I27))^2/2+N(J27)*MAX(0,(A5369)-N(K27))^2/2+N(L27)*MAX(0,(A5369)-N(M27))^2/2)+$B$4507</f>
        <v>695.31249999999989</v>
      </c>
      <c r="E5369" s="3">
        <f>$B$4505*(C5369)+$B$4506*(C5369)^2/2-$B$4504*(C5369)^3/6-(N(D27)*MAX(0,(C5369)-N(E27))^2/2+N(F27)*MAX(0,(C5369)-N(G27))^2/2+N(H27)*MAX(0,(C5369)-N(I27))^2/2+N(J27)*MAX(0,(C5369)-N(K27))^2/2+N(L27)*MAX(0,(C5369)-N(M27))^2/2)+$B$4507</f>
        <v>695.31249999999989</v>
      </c>
    </row>
    <row r="5370" spans="1:5" hidden="1">
      <c r="A5370" s="3">
        <f t="shared" si="117"/>
        <v>10</v>
      </c>
      <c r="B5370" s="3">
        <f t="shared" si="118"/>
        <v>10</v>
      </c>
      <c r="C5370" s="3">
        <f t="shared" si="116"/>
        <v>10</v>
      </c>
      <c r="D5370" s="3">
        <f>$B$4505*(A5370)+$B$4506*(A5370)^2/2-$B$4504*(A5370)^3/6-(N(D27)*MAX(0,(A5370)-N(E27))^2/2+N(F27)*MAX(0,(A5370)-N(G27))^2/2+N(H27)*MAX(0,(A5370)-N(I27))^2/2+N(J27)*MAX(0,(A5370)-N(K27))^2/2+N(L27)*MAX(0,(A5370)-N(M27))^2/2)+$B$4507</f>
        <v>695.31249999999989</v>
      </c>
      <c r="E5370" s="3">
        <f>$B$4505*(C5370)+$B$4506*(C5370)^2/2-$B$4504*(C5370)^3/6-(N(D27)*MAX(0,(C5370)-N(E27))^2/2+N(F27)*MAX(0,(C5370)-N(G27))^2/2+N(H27)*MAX(0,(C5370)-N(I27))^2/2+N(J27)*MAX(0,(C5370)-N(K27))^2/2+N(L27)*MAX(0,(C5370)-N(M27))^2/2)+$B$4507</f>
        <v>695.31249999999989</v>
      </c>
    </row>
    <row r="5371" spans="1:5" hidden="1">
      <c r="A5371" s="3">
        <f t="shared" si="117"/>
        <v>10</v>
      </c>
      <c r="B5371" s="3">
        <f t="shared" si="118"/>
        <v>10</v>
      </c>
      <c r="C5371" s="3">
        <f t="shared" si="116"/>
        <v>10</v>
      </c>
      <c r="D5371" s="3">
        <f>$B$4505*(A5371)+$B$4506*(A5371)^2/2-$B$4504*(A5371)^3/6-(N(D27)*MAX(0,(A5371)-N(E27))^2/2+N(F27)*MAX(0,(A5371)-N(G27))^2/2+N(H27)*MAX(0,(A5371)-N(I27))^2/2+N(J27)*MAX(0,(A5371)-N(K27))^2/2+N(L27)*MAX(0,(A5371)-N(M27))^2/2)+$B$4507</f>
        <v>695.31249999999989</v>
      </c>
      <c r="E5371" s="3">
        <f>$B$4505*(C5371)+$B$4506*(C5371)^2/2-$B$4504*(C5371)^3/6-(N(D27)*MAX(0,(C5371)-N(E27))^2/2+N(F27)*MAX(0,(C5371)-N(G27))^2/2+N(H27)*MAX(0,(C5371)-N(I27))^2/2+N(J27)*MAX(0,(C5371)-N(K27))^2/2+N(L27)*MAX(0,(C5371)-N(M27))^2/2)+$B$4507</f>
        <v>695.31249999999989</v>
      </c>
    </row>
    <row r="5372" spans="1:5" hidden="1">
      <c r="A5372" s="3">
        <f t="shared" si="117"/>
        <v>10</v>
      </c>
      <c r="B5372" s="3">
        <f t="shared" si="118"/>
        <v>10</v>
      </c>
      <c r="C5372" s="3">
        <f t="shared" si="116"/>
        <v>10</v>
      </c>
      <c r="D5372" s="3">
        <f>$B$4505*(A5372)+$B$4506*(A5372)^2/2-$B$4504*(A5372)^3/6-(N(D27)*MAX(0,(A5372)-N(E27))^2/2+N(F27)*MAX(0,(A5372)-N(G27))^2/2+N(H27)*MAX(0,(A5372)-N(I27))^2/2+N(J27)*MAX(0,(A5372)-N(K27))^2/2+N(L27)*MAX(0,(A5372)-N(M27))^2/2)+$B$4507</f>
        <v>695.31249999999989</v>
      </c>
      <c r="E5372" s="3">
        <f>$B$4505*(C5372)+$B$4506*(C5372)^2/2-$B$4504*(C5372)^3/6-(N(D27)*MAX(0,(C5372)-N(E27))^2/2+N(F27)*MAX(0,(C5372)-N(G27))^2/2+N(H27)*MAX(0,(C5372)-N(I27))^2/2+N(J27)*MAX(0,(C5372)-N(K27))^2/2+N(L27)*MAX(0,(C5372)-N(M27))^2/2)+$B$4507</f>
        <v>695.31249999999989</v>
      </c>
    </row>
    <row r="5373" spans="1:5" hidden="1">
      <c r="A5373" s="3">
        <f t="shared" si="117"/>
        <v>10</v>
      </c>
      <c r="B5373" s="3">
        <f t="shared" si="118"/>
        <v>10</v>
      </c>
      <c r="C5373" s="3">
        <f t="shared" si="116"/>
        <v>10</v>
      </c>
      <c r="D5373" s="3">
        <f>$B$4505*(A5373)+$B$4506*(A5373)^2/2-$B$4504*(A5373)^3/6-(N(D27)*MAX(0,(A5373)-N(E27))^2/2+N(F27)*MAX(0,(A5373)-N(G27))^2/2+N(H27)*MAX(0,(A5373)-N(I27))^2/2+N(J27)*MAX(0,(A5373)-N(K27))^2/2+N(L27)*MAX(0,(A5373)-N(M27))^2/2)+$B$4507</f>
        <v>695.31249999999989</v>
      </c>
      <c r="E5373" s="3">
        <f>$B$4505*(C5373)+$B$4506*(C5373)^2/2-$B$4504*(C5373)^3/6-(N(D27)*MAX(0,(C5373)-N(E27))^2/2+N(F27)*MAX(0,(C5373)-N(G27))^2/2+N(H27)*MAX(0,(C5373)-N(I27))^2/2+N(J27)*MAX(0,(C5373)-N(K27))^2/2+N(L27)*MAX(0,(C5373)-N(M27))^2/2)+$B$4507</f>
        <v>695.31249999999989</v>
      </c>
    </row>
    <row r="5374" spans="1:5" hidden="1">
      <c r="A5374" s="3">
        <f t="shared" si="117"/>
        <v>10</v>
      </c>
      <c r="B5374" s="3">
        <f t="shared" si="118"/>
        <v>10</v>
      </c>
      <c r="C5374" s="3">
        <f t="shared" si="116"/>
        <v>10</v>
      </c>
      <c r="D5374" s="3">
        <f>$B$4505*(A5374)+$B$4506*(A5374)^2/2-$B$4504*(A5374)^3/6-(N(D27)*MAX(0,(A5374)-N(E27))^2/2+N(F27)*MAX(0,(A5374)-N(G27))^2/2+N(H27)*MAX(0,(A5374)-N(I27))^2/2+N(J27)*MAX(0,(A5374)-N(K27))^2/2+N(L27)*MAX(0,(A5374)-N(M27))^2/2)+$B$4507</f>
        <v>695.31249999999989</v>
      </c>
      <c r="E5374" s="3">
        <f>$B$4505*(C5374)+$B$4506*(C5374)^2/2-$B$4504*(C5374)^3/6-(N(D27)*MAX(0,(C5374)-N(E27))^2/2+N(F27)*MAX(0,(C5374)-N(G27))^2/2+N(H27)*MAX(0,(C5374)-N(I27))^2/2+N(J27)*MAX(0,(C5374)-N(K27))^2/2+N(L27)*MAX(0,(C5374)-N(M27))^2/2)+$B$4507</f>
        <v>695.31249999999989</v>
      </c>
    </row>
    <row r="5375" spans="1:5" hidden="1">
      <c r="A5375" s="3">
        <f t="shared" si="117"/>
        <v>10</v>
      </c>
      <c r="B5375" s="3">
        <f t="shared" si="118"/>
        <v>10</v>
      </c>
      <c r="C5375" s="3">
        <f t="shared" si="116"/>
        <v>10</v>
      </c>
      <c r="D5375" s="3">
        <f>$B$4505*(A5375)+$B$4506*(A5375)^2/2-$B$4504*(A5375)^3/6-(N(D27)*MAX(0,(A5375)-N(E27))^2/2+N(F27)*MAX(0,(A5375)-N(G27))^2/2+N(H27)*MAX(0,(A5375)-N(I27))^2/2+N(J27)*MAX(0,(A5375)-N(K27))^2/2+N(L27)*MAX(0,(A5375)-N(M27))^2/2)+$B$4507</f>
        <v>695.31249999999989</v>
      </c>
      <c r="E5375" s="3">
        <f>$B$4505*(C5375)+$B$4506*(C5375)^2/2-$B$4504*(C5375)^3/6-(N(D27)*MAX(0,(C5375)-N(E27))^2/2+N(F27)*MAX(0,(C5375)-N(G27))^2/2+N(H27)*MAX(0,(C5375)-N(I27))^2/2+N(J27)*MAX(0,(C5375)-N(K27))^2/2+N(L27)*MAX(0,(C5375)-N(M27))^2/2)+$B$4507</f>
        <v>695.31249999999989</v>
      </c>
    </row>
    <row r="5376" spans="1:5" hidden="1">
      <c r="A5376" s="3">
        <f t="shared" si="117"/>
        <v>10</v>
      </c>
      <c r="B5376" s="3">
        <f t="shared" si="118"/>
        <v>10</v>
      </c>
      <c r="C5376" s="3">
        <f t="shared" si="116"/>
        <v>10</v>
      </c>
      <c r="D5376" s="3">
        <f>$B$4505*(A5376)+$B$4506*(A5376)^2/2-$B$4504*(A5376)^3/6-(N(D27)*MAX(0,(A5376)-N(E27))^2/2+N(F27)*MAX(0,(A5376)-N(G27))^2/2+N(H27)*MAX(0,(A5376)-N(I27))^2/2+N(J27)*MAX(0,(A5376)-N(K27))^2/2+N(L27)*MAX(0,(A5376)-N(M27))^2/2)+$B$4507</f>
        <v>695.31249999999989</v>
      </c>
      <c r="E5376" s="3">
        <f>$B$4505*(C5376)+$B$4506*(C5376)^2/2-$B$4504*(C5376)^3/6-(N(D27)*MAX(0,(C5376)-N(E27))^2/2+N(F27)*MAX(0,(C5376)-N(G27))^2/2+N(H27)*MAX(0,(C5376)-N(I27))^2/2+N(J27)*MAX(0,(C5376)-N(K27))^2/2+N(L27)*MAX(0,(C5376)-N(M27))^2/2)+$B$4507</f>
        <v>695.31249999999989</v>
      </c>
    </row>
    <row r="5377" spans="1:5" hidden="1">
      <c r="A5377" s="3">
        <f t="shared" si="117"/>
        <v>10</v>
      </c>
      <c r="B5377" s="3">
        <f t="shared" si="118"/>
        <v>10</v>
      </c>
      <c r="C5377" s="3">
        <f t="shared" si="116"/>
        <v>10</v>
      </c>
      <c r="D5377" s="3">
        <f>$B$4505*(A5377)+$B$4506*(A5377)^2/2-$B$4504*(A5377)^3/6-(N(D27)*MAX(0,(A5377)-N(E27))^2/2+N(F27)*MAX(0,(A5377)-N(G27))^2/2+N(H27)*MAX(0,(A5377)-N(I27))^2/2+N(J27)*MAX(0,(A5377)-N(K27))^2/2+N(L27)*MAX(0,(A5377)-N(M27))^2/2)+$B$4507</f>
        <v>695.31249999999989</v>
      </c>
      <c r="E5377" s="3">
        <f>$B$4505*(C5377)+$B$4506*(C5377)^2/2-$B$4504*(C5377)^3/6-(N(D27)*MAX(0,(C5377)-N(E27))^2/2+N(F27)*MAX(0,(C5377)-N(G27))^2/2+N(H27)*MAX(0,(C5377)-N(I27))^2/2+N(J27)*MAX(0,(C5377)-N(K27))^2/2+N(L27)*MAX(0,(C5377)-N(M27))^2/2)+$B$4507</f>
        <v>695.31249999999989</v>
      </c>
    </row>
    <row r="5378" spans="1:5" hidden="1">
      <c r="A5378" s="3">
        <f t="shared" si="117"/>
        <v>10</v>
      </c>
      <c r="B5378" s="3">
        <f t="shared" si="118"/>
        <v>10</v>
      </c>
      <c r="C5378" s="3">
        <f t="shared" si="116"/>
        <v>10</v>
      </c>
      <c r="D5378" s="3">
        <f>$B$4505*(A5378)+$B$4506*(A5378)^2/2-$B$4504*(A5378)^3/6-(N(D27)*MAX(0,(A5378)-N(E27))^2/2+N(F27)*MAX(0,(A5378)-N(G27))^2/2+N(H27)*MAX(0,(A5378)-N(I27))^2/2+N(J27)*MAX(0,(A5378)-N(K27))^2/2+N(L27)*MAX(0,(A5378)-N(M27))^2/2)+$B$4507</f>
        <v>695.31249999999989</v>
      </c>
      <c r="E5378" s="3">
        <f>$B$4505*(C5378)+$B$4506*(C5378)^2/2-$B$4504*(C5378)^3/6-(N(D27)*MAX(0,(C5378)-N(E27))^2/2+N(F27)*MAX(0,(C5378)-N(G27))^2/2+N(H27)*MAX(0,(C5378)-N(I27))^2/2+N(J27)*MAX(0,(C5378)-N(K27))^2/2+N(L27)*MAX(0,(C5378)-N(M27))^2/2)+$B$4507</f>
        <v>695.31249999999989</v>
      </c>
    </row>
    <row r="5379" spans="1:5" hidden="1">
      <c r="A5379" s="3">
        <f t="shared" si="117"/>
        <v>10</v>
      </c>
      <c r="B5379" s="3">
        <f t="shared" si="118"/>
        <v>10</v>
      </c>
      <c r="C5379" s="3">
        <f t="shared" si="116"/>
        <v>10</v>
      </c>
      <c r="D5379" s="3">
        <f>$B$4505*(A5379)+$B$4506*(A5379)^2/2-$B$4504*(A5379)^3/6-(N(D27)*MAX(0,(A5379)-N(E27))^2/2+N(F27)*MAX(0,(A5379)-N(G27))^2/2+N(H27)*MAX(0,(A5379)-N(I27))^2/2+N(J27)*MAX(0,(A5379)-N(K27))^2/2+N(L27)*MAX(0,(A5379)-N(M27))^2/2)+$B$4507</f>
        <v>695.31249999999989</v>
      </c>
      <c r="E5379" s="3">
        <f>$B$4505*(C5379)+$B$4506*(C5379)^2/2-$B$4504*(C5379)^3/6-(N(D27)*MAX(0,(C5379)-N(E27))^2/2+N(F27)*MAX(0,(C5379)-N(G27))^2/2+N(H27)*MAX(0,(C5379)-N(I27))^2/2+N(J27)*MAX(0,(C5379)-N(K27))^2/2+N(L27)*MAX(0,(C5379)-N(M27))^2/2)+$B$4507</f>
        <v>695.31249999999989</v>
      </c>
    </row>
    <row r="5380" spans="1:5" hidden="1">
      <c r="A5380" s="3">
        <f t="shared" si="117"/>
        <v>10</v>
      </c>
      <c r="B5380" s="3">
        <f t="shared" si="118"/>
        <v>10</v>
      </c>
      <c r="C5380" s="3">
        <f t="shared" si="116"/>
        <v>10</v>
      </c>
      <c r="D5380" s="3">
        <f>$B$4505*(A5380)+$B$4506*(A5380)^2/2-$B$4504*(A5380)^3/6-(N(D27)*MAX(0,(A5380)-N(E27))^2/2+N(F27)*MAX(0,(A5380)-N(G27))^2/2+N(H27)*MAX(0,(A5380)-N(I27))^2/2+N(J27)*MAX(0,(A5380)-N(K27))^2/2+N(L27)*MAX(0,(A5380)-N(M27))^2/2)+$B$4507</f>
        <v>695.31249999999989</v>
      </c>
      <c r="E5380" s="3">
        <f>$B$4505*(C5380)+$B$4506*(C5380)^2/2-$B$4504*(C5380)^3/6-(N(D27)*MAX(0,(C5380)-N(E27))^2/2+N(F27)*MAX(0,(C5380)-N(G27))^2/2+N(H27)*MAX(0,(C5380)-N(I27))^2/2+N(J27)*MAX(0,(C5380)-N(K27))^2/2+N(L27)*MAX(0,(C5380)-N(M27))^2/2)+$B$4507</f>
        <v>695.31249999999989</v>
      </c>
    </row>
    <row r="5381" spans="1:5" hidden="1">
      <c r="A5381" s="3">
        <f t="shared" si="117"/>
        <v>10</v>
      </c>
      <c r="B5381" s="3">
        <f t="shared" si="118"/>
        <v>10</v>
      </c>
      <c r="C5381" s="3">
        <f t="shared" si="116"/>
        <v>10</v>
      </c>
      <c r="D5381" s="3">
        <f>$B$4505*(A5381)+$B$4506*(A5381)^2/2-$B$4504*(A5381)^3/6-(N(D27)*MAX(0,(A5381)-N(E27))^2/2+N(F27)*MAX(0,(A5381)-N(G27))^2/2+N(H27)*MAX(0,(A5381)-N(I27))^2/2+N(J27)*MAX(0,(A5381)-N(K27))^2/2+N(L27)*MAX(0,(A5381)-N(M27))^2/2)+$B$4507</f>
        <v>695.31249999999989</v>
      </c>
      <c r="E5381" s="3">
        <f>$B$4505*(C5381)+$B$4506*(C5381)^2/2-$B$4504*(C5381)^3/6-(N(D27)*MAX(0,(C5381)-N(E27))^2/2+N(F27)*MAX(0,(C5381)-N(G27))^2/2+N(H27)*MAX(0,(C5381)-N(I27))^2/2+N(J27)*MAX(0,(C5381)-N(K27))^2/2+N(L27)*MAX(0,(C5381)-N(M27))^2/2)+$B$4507</f>
        <v>695.31249999999989</v>
      </c>
    </row>
    <row r="5382" spans="1:5" hidden="1"/>
    <row r="5383" spans="1:5" hidden="1">
      <c r="A5383" s="3">
        <f>B4558</f>
        <v>10</v>
      </c>
      <c r="B5383" s="3">
        <f>IF(($B$4505*(B4558)+$B$4506*(B4558)^2/2-$B$4504*(B4558)^3/6-(N(D27)*MAX(0,(B4558)-N(E27))^2/2+N(F27)*MAX(0,(B4558)-N(G27))^2/2+N(H27)*MAX(0,(B4558)-N(I27))^2/2+N(J27)*MAX(0,(B4558)-N(K27))^2/2+N(L27)*MAX(0,(B4558)-N(M27))^2/2)+$B$4507)*($B$4505*(B4559)+$B$4506*(B4559)^2/2-$B$4504*(B4559)^3/6-(N(D27)*MAX(0,(B4559)-N(E27))^2/2+N(F27)*MAX(0,(B4559)-N(G27))^2/2+N(H27)*MAX(0,(B4559)-N(I27))^2/2+N(J27)*MAX(0,(B4559)-N(K27))^2/2+N(L27)*MAX(0,(B4559)-N(M27))^2/2)+$B$4507)&lt;=0,B4559,B4558)</f>
        <v>10</v>
      </c>
      <c r="C5383" s="3">
        <f t="shared" ref="C5383:C5427" si="119">(A5383+B5383)/2</f>
        <v>10</v>
      </c>
      <c r="D5383" s="3">
        <f>$B$4505*(A5383)+$B$4506*(A5383)^2/2-$B$4504*(A5383)^3/6-(N(D27)*MAX(0,(A5383)-N(E27))^2/2+N(F27)*MAX(0,(A5383)-N(G27))^2/2+N(H27)*MAX(0,(A5383)-N(I27))^2/2+N(J27)*MAX(0,(A5383)-N(K27))^2/2+N(L27)*MAX(0,(A5383)-N(M27))^2/2)+$B$4507</f>
        <v>695.31249999999989</v>
      </c>
      <c r="E5383" s="3">
        <f>$B$4505*(C5383)+$B$4506*(C5383)^2/2-$B$4504*(C5383)^3/6-(N(D27)*MAX(0,(C5383)-N(E27))^2/2+N(F27)*MAX(0,(C5383)-N(G27))^2/2+N(H27)*MAX(0,(C5383)-N(I27))^2/2+N(J27)*MAX(0,(C5383)-N(K27))^2/2+N(L27)*MAX(0,(C5383)-N(M27))^2/2)+$B$4507</f>
        <v>695.31249999999989</v>
      </c>
    </row>
    <row r="5384" spans="1:5" hidden="1">
      <c r="A5384" s="3">
        <f t="shared" ref="A5384:A5427" si="120">IF(D5383*E5383&lt;=0,A5383,C5383)</f>
        <v>10</v>
      </c>
      <c r="B5384" s="3">
        <f t="shared" ref="B5384:B5427" si="121">IF(D5383*E5383&lt;=0,C5383,B5383)</f>
        <v>10</v>
      </c>
      <c r="C5384" s="3">
        <f t="shared" si="119"/>
        <v>10</v>
      </c>
      <c r="D5384" s="3">
        <f>$B$4505*(A5384)+$B$4506*(A5384)^2/2-$B$4504*(A5384)^3/6-(N(D27)*MAX(0,(A5384)-N(E27))^2/2+N(F27)*MAX(0,(A5384)-N(G27))^2/2+N(H27)*MAX(0,(A5384)-N(I27))^2/2+N(J27)*MAX(0,(A5384)-N(K27))^2/2+N(L27)*MAX(0,(A5384)-N(M27))^2/2)+$B$4507</f>
        <v>695.31249999999989</v>
      </c>
      <c r="E5384" s="3">
        <f>$B$4505*(C5384)+$B$4506*(C5384)^2/2-$B$4504*(C5384)^3/6-(N(D27)*MAX(0,(C5384)-N(E27))^2/2+N(F27)*MAX(0,(C5384)-N(G27))^2/2+N(H27)*MAX(0,(C5384)-N(I27))^2/2+N(J27)*MAX(0,(C5384)-N(K27))^2/2+N(L27)*MAX(0,(C5384)-N(M27))^2/2)+$B$4507</f>
        <v>695.31249999999989</v>
      </c>
    </row>
    <row r="5385" spans="1:5" hidden="1">
      <c r="A5385" s="3">
        <f t="shared" si="120"/>
        <v>10</v>
      </c>
      <c r="B5385" s="3">
        <f t="shared" si="121"/>
        <v>10</v>
      </c>
      <c r="C5385" s="3">
        <f t="shared" si="119"/>
        <v>10</v>
      </c>
      <c r="D5385" s="3">
        <f>$B$4505*(A5385)+$B$4506*(A5385)^2/2-$B$4504*(A5385)^3/6-(N(D27)*MAX(0,(A5385)-N(E27))^2/2+N(F27)*MAX(0,(A5385)-N(G27))^2/2+N(H27)*MAX(0,(A5385)-N(I27))^2/2+N(J27)*MAX(0,(A5385)-N(K27))^2/2+N(L27)*MAX(0,(A5385)-N(M27))^2/2)+$B$4507</f>
        <v>695.31249999999989</v>
      </c>
      <c r="E5385" s="3">
        <f>$B$4505*(C5385)+$B$4506*(C5385)^2/2-$B$4504*(C5385)^3/6-(N(D27)*MAX(0,(C5385)-N(E27))^2/2+N(F27)*MAX(0,(C5385)-N(G27))^2/2+N(H27)*MAX(0,(C5385)-N(I27))^2/2+N(J27)*MAX(0,(C5385)-N(K27))^2/2+N(L27)*MAX(0,(C5385)-N(M27))^2/2)+$B$4507</f>
        <v>695.31249999999989</v>
      </c>
    </row>
    <row r="5386" spans="1:5" hidden="1">
      <c r="A5386" s="3">
        <f t="shared" si="120"/>
        <v>10</v>
      </c>
      <c r="B5386" s="3">
        <f t="shared" si="121"/>
        <v>10</v>
      </c>
      <c r="C5386" s="3">
        <f t="shared" si="119"/>
        <v>10</v>
      </c>
      <c r="D5386" s="3">
        <f>$B$4505*(A5386)+$B$4506*(A5386)^2/2-$B$4504*(A5386)^3/6-(N(D27)*MAX(0,(A5386)-N(E27))^2/2+N(F27)*MAX(0,(A5386)-N(G27))^2/2+N(H27)*MAX(0,(A5386)-N(I27))^2/2+N(J27)*MAX(0,(A5386)-N(K27))^2/2+N(L27)*MAX(0,(A5386)-N(M27))^2/2)+$B$4507</f>
        <v>695.31249999999989</v>
      </c>
      <c r="E5386" s="3">
        <f>$B$4505*(C5386)+$B$4506*(C5386)^2/2-$B$4504*(C5386)^3/6-(N(D27)*MAX(0,(C5386)-N(E27))^2/2+N(F27)*MAX(0,(C5386)-N(G27))^2/2+N(H27)*MAX(0,(C5386)-N(I27))^2/2+N(J27)*MAX(0,(C5386)-N(K27))^2/2+N(L27)*MAX(0,(C5386)-N(M27))^2/2)+$B$4507</f>
        <v>695.31249999999989</v>
      </c>
    </row>
    <row r="5387" spans="1:5" hidden="1">
      <c r="A5387" s="3">
        <f t="shared" si="120"/>
        <v>10</v>
      </c>
      <c r="B5387" s="3">
        <f t="shared" si="121"/>
        <v>10</v>
      </c>
      <c r="C5387" s="3">
        <f t="shared" si="119"/>
        <v>10</v>
      </c>
      <c r="D5387" s="3">
        <f>$B$4505*(A5387)+$B$4506*(A5387)^2/2-$B$4504*(A5387)^3/6-(N(D27)*MAX(0,(A5387)-N(E27))^2/2+N(F27)*MAX(0,(A5387)-N(G27))^2/2+N(H27)*MAX(0,(A5387)-N(I27))^2/2+N(J27)*MAX(0,(A5387)-N(K27))^2/2+N(L27)*MAX(0,(A5387)-N(M27))^2/2)+$B$4507</f>
        <v>695.31249999999989</v>
      </c>
      <c r="E5387" s="3">
        <f>$B$4505*(C5387)+$B$4506*(C5387)^2/2-$B$4504*(C5387)^3/6-(N(D27)*MAX(0,(C5387)-N(E27))^2/2+N(F27)*MAX(0,(C5387)-N(G27))^2/2+N(H27)*MAX(0,(C5387)-N(I27))^2/2+N(J27)*MAX(0,(C5387)-N(K27))^2/2+N(L27)*MAX(0,(C5387)-N(M27))^2/2)+$B$4507</f>
        <v>695.31249999999989</v>
      </c>
    </row>
    <row r="5388" spans="1:5" hidden="1">
      <c r="A5388" s="3">
        <f t="shared" si="120"/>
        <v>10</v>
      </c>
      <c r="B5388" s="3">
        <f t="shared" si="121"/>
        <v>10</v>
      </c>
      <c r="C5388" s="3">
        <f t="shared" si="119"/>
        <v>10</v>
      </c>
      <c r="D5388" s="3">
        <f>$B$4505*(A5388)+$B$4506*(A5388)^2/2-$B$4504*(A5388)^3/6-(N(D27)*MAX(0,(A5388)-N(E27))^2/2+N(F27)*MAX(0,(A5388)-N(G27))^2/2+N(H27)*MAX(0,(A5388)-N(I27))^2/2+N(J27)*MAX(0,(A5388)-N(K27))^2/2+N(L27)*MAX(0,(A5388)-N(M27))^2/2)+$B$4507</f>
        <v>695.31249999999989</v>
      </c>
      <c r="E5388" s="3">
        <f>$B$4505*(C5388)+$B$4506*(C5388)^2/2-$B$4504*(C5388)^3/6-(N(D27)*MAX(0,(C5388)-N(E27))^2/2+N(F27)*MAX(0,(C5388)-N(G27))^2/2+N(H27)*MAX(0,(C5388)-N(I27))^2/2+N(J27)*MAX(0,(C5388)-N(K27))^2/2+N(L27)*MAX(0,(C5388)-N(M27))^2/2)+$B$4507</f>
        <v>695.31249999999989</v>
      </c>
    </row>
    <row r="5389" spans="1:5" hidden="1">
      <c r="A5389" s="3">
        <f t="shared" si="120"/>
        <v>10</v>
      </c>
      <c r="B5389" s="3">
        <f t="shared" si="121"/>
        <v>10</v>
      </c>
      <c r="C5389" s="3">
        <f t="shared" si="119"/>
        <v>10</v>
      </c>
      <c r="D5389" s="3">
        <f>$B$4505*(A5389)+$B$4506*(A5389)^2/2-$B$4504*(A5389)^3/6-(N(D27)*MAX(0,(A5389)-N(E27))^2/2+N(F27)*MAX(0,(A5389)-N(G27))^2/2+N(H27)*MAX(0,(A5389)-N(I27))^2/2+N(J27)*MAX(0,(A5389)-N(K27))^2/2+N(L27)*MAX(0,(A5389)-N(M27))^2/2)+$B$4507</f>
        <v>695.31249999999989</v>
      </c>
      <c r="E5389" s="3">
        <f>$B$4505*(C5389)+$B$4506*(C5389)^2/2-$B$4504*(C5389)^3/6-(N(D27)*MAX(0,(C5389)-N(E27))^2/2+N(F27)*MAX(0,(C5389)-N(G27))^2/2+N(H27)*MAX(0,(C5389)-N(I27))^2/2+N(J27)*MAX(0,(C5389)-N(K27))^2/2+N(L27)*MAX(0,(C5389)-N(M27))^2/2)+$B$4507</f>
        <v>695.31249999999989</v>
      </c>
    </row>
    <row r="5390" spans="1:5" hidden="1">
      <c r="A5390" s="3">
        <f t="shared" si="120"/>
        <v>10</v>
      </c>
      <c r="B5390" s="3">
        <f t="shared" si="121"/>
        <v>10</v>
      </c>
      <c r="C5390" s="3">
        <f t="shared" si="119"/>
        <v>10</v>
      </c>
      <c r="D5390" s="3">
        <f>$B$4505*(A5390)+$B$4506*(A5390)^2/2-$B$4504*(A5390)^3/6-(N(D27)*MAX(0,(A5390)-N(E27))^2/2+N(F27)*MAX(0,(A5390)-N(G27))^2/2+N(H27)*MAX(0,(A5390)-N(I27))^2/2+N(J27)*MAX(0,(A5390)-N(K27))^2/2+N(L27)*MAX(0,(A5390)-N(M27))^2/2)+$B$4507</f>
        <v>695.31249999999989</v>
      </c>
      <c r="E5390" s="3">
        <f>$B$4505*(C5390)+$B$4506*(C5390)^2/2-$B$4504*(C5390)^3/6-(N(D27)*MAX(0,(C5390)-N(E27))^2/2+N(F27)*MAX(0,(C5390)-N(G27))^2/2+N(H27)*MAX(0,(C5390)-N(I27))^2/2+N(J27)*MAX(0,(C5390)-N(K27))^2/2+N(L27)*MAX(0,(C5390)-N(M27))^2/2)+$B$4507</f>
        <v>695.31249999999989</v>
      </c>
    </row>
    <row r="5391" spans="1:5" hidden="1">
      <c r="A5391" s="3">
        <f t="shared" si="120"/>
        <v>10</v>
      </c>
      <c r="B5391" s="3">
        <f t="shared" si="121"/>
        <v>10</v>
      </c>
      <c r="C5391" s="3">
        <f t="shared" si="119"/>
        <v>10</v>
      </c>
      <c r="D5391" s="3">
        <f>$B$4505*(A5391)+$B$4506*(A5391)^2/2-$B$4504*(A5391)^3/6-(N(D27)*MAX(0,(A5391)-N(E27))^2/2+N(F27)*MAX(0,(A5391)-N(G27))^2/2+N(H27)*MAX(0,(A5391)-N(I27))^2/2+N(J27)*MAX(0,(A5391)-N(K27))^2/2+N(L27)*MAX(0,(A5391)-N(M27))^2/2)+$B$4507</f>
        <v>695.31249999999989</v>
      </c>
      <c r="E5391" s="3">
        <f>$B$4505*(C5391)+$B$4506*(C5391)^2/2-$B$4504*(C5391)^3/6-(N(D27)*MAX(0,(C5391)-N(E27))^2/2+N(F27)*MAX(0,(C5391)-N(G27))^2/2+N(H27)*MAX(0,(C5391)-N(I27))^2/2+N(J27)*MAX(0,(C5391)-N(K27))^2/2+N(L27)*MAX(0,(C5391)-N(M27))^2/2)+$B$4507</f>
        <v>695.31249999999989</v>
      </c>
    </row>
    <row r="5392" spans="1:5" hidden="1">
      <c r="A5392" s="3">
        <f t="shared" si="120"/>
        <v>10</v>
      </c>
      <c r="B5392" s="3">
        <f t="shared" si="121"/>
        <v>10</v>
      </c>
      <c r="C5392" s="3">
        <f t="shared" si="119"/>
        <v>10</v>
      </c>
      <c r="D5392" s="3">
        <f>$B$4505*(A5392)+$B$4506*(A5392)^2/2-$B$4504*(A5392)^3/6-(N(D27)*MAX(0,(A5392)-N(E27))^2/2+N(F27)*MAX(0,(A5392)-N(G27))^2/2+N(H27)*MAX(0,(A5392)-N(I27))^2/2+N(J27)*MAX(0,(A5392)-N(K27))^2/2+N(L27)*MAX(0,(A5392)-N(M27))^2/2)+$B$4507</f>
        <v>695.31249999999989</v>
      </c>
      <c r="E5392" s="3">
        <f>$B$4505*(C5392)+$B$4506*(C5392)^2/2-$B$4504*(C5392)^3/6-(N(D27)*MAX(0,(C5392)-N(E27))^2/2+N(F27)*MAX(0,(C5392)-N(G27))^2/2+N(H27)*MAX(0,(C5392)-N(I27))^2/2+N(J27)*MAX(0,(C5392)-N(K27))^2/2+N(L27)*MAX(0,(C5392)-N(M27))^2/2)+$B$4507</f>
        <v>695.31249999999989</v>
      </c>
    </row>
    <row r="5393" spans="1:5" hidden="1">
      <c r="A5393" s="3">
        <f t="shared" si="120"/>
        <v>10</v>
      </c>
      <c r="B5393" s="3">
        <f t="shared" si="121"/>
        <v>10</v>
      </c>
      <c r="C5393" s="3">
        <f t="shared" si="119"/>
        <v>10</v>
      </c>
      <c r="D5393" s="3">
        <f>$B$4505*(A5393)+$B$4506*(A5393)^2/2-$B$4504*(A5393)^3/6-(N(D27)*MAX(0,(A5393)-N(E27))^2/2+N(F27)*MAX(0,(A5393)-N(G27))^2/2+N(H27)*MAX(0,(A5393)-N(I27))^2/2+N(J27)*MAX(0,(A5393)-N(K27))^2/2+N(L27)*MAX(0,(A5393)-N(M27))^2/2)+$B$4507</f>
        <v>695.31249999999989</v>
      </c>
      <c r="E5393" s="3">
        <f>$B$4505*(C5393)+$B$4506*(C5393)^2/2-$B$4504*(C5393)^3/6-(N(D27)*MAX(0,(C5393)-N(E27))^2/2+N(F27)*MAX(0,(C5393)-N(G27))^2/2+N(H27)*MAX(0,(C5393)-N(I27))^2/2+N(J27)*MAX(0,(C5393)-N(K27))^2/2+N(L27)*MAX(0,(C5393)-N(M27))^2/2)+$B$4507</f>
        <v>695.31249999999989</v>
      </c>
    </row>
    <row r="5394" spans="1:5" hidden="1">
      <c r="A5394" s="3">
        <f t="shared" si="120"/>
        <v>10</v>
      </c>
      <c r="B5394" s="3">
        <f t="shared" si="121"/>
        <v>10</v>
      </c>
      <c r="C5394" s="3">
        <f t="shared" si="119"/>
        <v>10</v>
      </c>
      <c r="D5394" s="3">
        <f>$B$4505*(A5394)+$B$4506*(A5394)^2/2-$B$4504*(A5394)^3/6-(N(D27)*MAX(0,(A5394)-N(E27))^2/2+N(F27)*MAX(0,(A5394)-N(G27))^2/2+N(H27)*MAX(0,(A5394)-N(I27))^2/2+N(J27)*MAX(0,(A5394)-N(K27))^2/2+N(L27)*MAX(0,(A5394)-N(M27))^2/2)+$B$4507</f>
        <v>695.31249999999989</v>
      </c>
      <c r="E5394" s="3">
        <f>$B$4505*(C5394)+$B$4506*(C5394)^2/2-$B$4504*(C5394)^3/6-(N(D27)*MAX(0,(C5394)-N(E27))^2/2+N(F27)*MAX(0,(C5394)-N(G27))^2/2+N(H27)*MAX(0,(C5394)-N(I27))^2/2+N(J27)*MAX(0,(C5394)-N(K27))^2/2+N(L27)*MAX(0,(C5394)-N(M27))^2/2)+$B$4507</f>
        <v>695.31249999999989</v>
      </c>
    </row>
    <row r="5395" spans="1:5" hidden="1">
      <c r="A5395" s="3">
        <f t="shared" si="120"/>
        <v>10</v>
      </c>
      <c r="B5395" s="3">
        <f t="shared" si="121"/>
        <v>10</v>
      </c>
      <c r="C5395" s="3">
        <f t="shared" si="119"/>
        <v>10</v>
      </c>
      <c r="D5395" s="3">
        <f>$B$4505*(A5395)+$B$4506*(A5395)^2/2-$B$4504*(A5395)^3/6-(N(D27)*MAX(0,(A5395)-N(E27))^2/2+N(F27)*MAX(0,(A5395)-N(G27))^2/2+N(H27)*MAX(0,(A5395)-N(I27))^2/2+N(J27)*MAX(0,(A5395)-N(K27))^2/2+N(L27)*MAX(0,(A5395)-N(M27))^2/2)+$B$4507</f>
        <v>695.31249999999989</v>
      </c>
      <c r="E5395" s="3">
        <f>$B$4505*(C5395)+$B$4506*(C5395)^2/2-$B$4504*(C5395)^3/6-(N(D27)*MAX(0,(C5395)-N(E27))^2/2+N(F27)*MAX(0,(C5395)-N(G27))^2/2+N(H27)*MAX(0,(C5395)-N(I27))^2/2+N(J27)*MAX(0,(C5395)-N(K27))^2/2+N(L27)*MAX(0,(C5395)-N(M27))^2/2)+$B$4507</f>
        <v>695.31249999999989</v>
      </c>
    </row>
    <row r="5396" spans="1:5" hidden="1">
      <c r="A5396" s="3">
        <f t="shared" si="120"/>
        <v>10</v>
      </c>
      <c r="B5396" s="3">
        <f t="shared" si="121"/>
        <v>10</v>
      </c>
      <c r="C5396" s="3">
        <f t="shared" si="119"/>
        <v>10</v>
      </c>
      <c r="D5396" s="3">
        <f>$B$4505*(A5396)+$B$4506*(A5396)^2/2-$B$4504*(A5396)^3/6-(N(D27)*MAX(0,(A5396)-N(E27))^2/2+N(F27)*MAX(0,(A5396)-N(G27))^2/2+N(H27)*MAX(0,(A5396)-N(I27))^2/2+N(J27)*MAX(0,(A5396)-N(K27))^2/2+N(L27)*MAX(0,(A5396)-N(M27))^2/2)+$B$4507</f>
        <v>695.31249999999989</v>
      </c>
      <c r="E5396" s="3">
        <f>$B$4505*(C5396)+$B$4506*(C5396)^2/2-$B$4504*(C5396)^3/6-(N(D27)*MAX(0,(C5396)-N(E27))^2/2+N(F27)*MAX(0,(C5396)-N(G27))^2/2+N(H27)*MAX(0,(C5396)-N(I27))^2/2+N(J27)*MAX(0,(C5396)-N(K27))^2/2+N(L27)*MAX(0,(C5396)-N(M27))^2/2)+$B$4507</f>
        <v>695.31249999999989</v>
      </c>
    </row>
    <row r="5397" spans="1:5" hidden="1">
      <c r="A5397" s="3">
        <f t="shared" si="120"/>
        <v>10</v>
      </c>
      <c r="B5397" s="3">
        <f t="shared" si="121"/>
        <v>10</v>
      </c>
      <c r="C5397" s="3">
        <f t="shared" si="119"/>
        <v>10</v>
      </c>
      <c r="D5397" s="3">
        <f>$B$4505*(A5397)+$B$4506*(A5397)^2/2-$B$4504*(A5397)^3/6-(N(D27)*MAX(0,(A5397)-N(E27))^2/2+N(F27)*MAX(0,(A5397)-N(G27))^2/2+N(H27)*MAX(0,(A5397)-N(I27))^2/2+N(J27)*MAX(0,(A5397)-N(K27))^2/2+N(L27)*MAX(0,(A5397)-N(M27))^2/2)+$B$4507</f>
        <v>695.31249999999989</v>
      </c>
      <c r="E5397" s="3">
        <f>$B$4505*(C5397)+$B$4506*(C5397)^2/2-$B$4504*(C5397)^3/6-(N(D27)*MAX(0,(C5397)-N(E27))^2/2+N(F27)*MAX(0,(C5397)-N(G27))^2/2+N(H27)*MAX(0,(C5397)-N(I27))^2/2+N(J27)*MAX(0,(C5397)-N(K27))^2/2+N(L27)*MAX(0,(C5397)-N(M27))^2/2)+$B$4507</f>
        <v>695.31249999999989</v>
      </c>
    </row>
    <row r="5398" spans="1:5" hidden="1">
      <c r="A5398" s="3">
        <f t="shared" si="120"/>
        <v>10</v>
      </c>
      <c r="B5398" s="3">
        <f t="shared" si="121"/>
        <v>10</v>
      </c>
      <c r="C5398" s="3">
        <f t="shared" si="119"/>
        <v>10</v>
      </c>
      <c r="D5398" s="3">
        <f>$B$4505*(A5398)+$B$4506*(A5398)^2/2-$B$4504*(A5398)^3/6-(N(D27)*MAX(0,(A5398)-N(E27))^2/2+N(F27)*MAX(0,(A5398)-N(G27))^2/2+N(H27)*MAX(0,(A5398)-N(I27))^2/2+N(J27)*MAX(0,(A5398)-N(K27))^2/2+N(L27)*MAX(0,(A5398)-N(M27))^2/2)+$B$4507</f>
        <v>695.31249999999989</v>
      </c>
      <c r="E5398" s="3">
        <f>$B$4505*(C5398)+$B$4506*(C5398)^2/2-$B$4504*(C5398)^3/6-(N(D27)*MAX(0,(C5398)-N(E27))^2/2+N(F27)*MAX(0,(C5398)-N(G27))^2/2+N(H27)*MAX(0,(C5398)-N(I27))^2/2+N(J27)*MAX(0,(C5398)-N(K27))^2/2+N(L27)*MAX(0,(C5398)-N(M27))^2/2)+$B$4507</f>
        <v>695.31249999999989</v>
      </c>
    </row>
    <row r="5399" spans="1:5" hidden="1">
      <c r="A5399" s="3">
        <f t="shared" si="120"/>
        <v>10</v>
      </c>
      <c r="B5399" s="3">
        <f t="shared" si="121"/>
        <v>10</v>
      </c>
      <c r="C5399" s="3">
        <f t="shared" si="119"/>
        <v>10</v>
      </c>
      <c r="D5399" s="3">
        <f>$B$4505*(A5399)+$B$4506*(A5399)^2/2-$B$4504*(A5399)^3/6-(N(D27)*MAX(0,(A5399)-N(E27))^2/2+N(F27)*MAX(0,(A5399)-N(G27))^2/2+N(H27)*MAX(0,(A5399)-N(I27))^2/2+N(J27)*MAX(0,(A5399)-N(K27))^2/2+N(L27)*MAX(0,(A5399)-N(M27))^2/2)+$B$4507</f>
        <v>695.31249999999989</v>
      </c>
      <c r="E5399" s="3">
        <f>$B$4505*(C5399)+$B$4506*(C5399)^2/2-$B$4504*(C5399)^3/6-(N(D27)*MAX(0,(C5399)-N(E27))^2/2+N(F27)*MAX(0,(C5399)-N(G27))^2/2+N(H27)*MAX(0,(C5399)-N(I27))^2/2+N(J27)*MAX(0,(C5399)-N(K27))^2/2+N(L27)*MAX(0,(C5399)-N(M27))^2/2)+$B$4507</f>
        <v>695.31249999999989</v>
      </c>
    </row>
    <row r="5400" spans="1:5" hidden="1">
      <c r="A5400" s="3">
        <f t="shared" si="120"/>
        <v>10</v>
      </c>
      <c r="B5400" s="3">
        <f t="shared" si="121"/>
        <v>10</v>
      </c>
      <c r="C5400" s="3">
        <f t="shared" si="119"/>
        <v>10</v>
      </c>
      <c r="D5400" s="3">
        <f>$B$4505*(A5400)+$B$4506*(A5400)^2/2-$B$4504*(A5400)^3/6-(N(D27)*MAX(0,(A5400)-N(E27))^2/2+N(F27)*MAX(0,(A5400)-N(G27))^2/2+N(H27)*MAX(0,(A5400)-N(I27))^2/2+N(J27)*MAX(0,(A5400)-N(K27))^2/2+N(L27)*MAX(0,(A5400)-N(M27))^2/2)+$B$4507</f>
        <v>695.31249999999989</v>
      </c>
      <c r="E5400" s="3">
        <f>$B$4505*(C5400)+$B$4506*(C5400)^2/2-$B$4504*(C5400)^3/6-(N(D27)*MAX(0,(C5400)-N(E27))^2/2+N(F27)*MAX(0,(C5400)-N(G27))^2/2+N(H27)*MAX(0,(C5400)-N(I27))^2/2+N(J27)*MAX(0,(C5400)-N(K27))^2/2+N(L27)*MAX(0,(C5400)-N(M27))^2/2)+$B$4507</f>
        <v>695.31249999999989</v>
      </c>
    </row>
    <row r="5401" spans="1:5" hidden="1">
      <c r="A5401" s="3">
        <f t="shared" si="120"/>
        <v>10</v>
      </c>
      <c r="B5401" s="3">
        <f t="shared" si="121"/>
        <v>10</v>
      </c>
      <c r="C5401" s="3">
        <f t="shared" si="119"/>
        <v>10</v>
      </c>
      <c r="D5401" s="3">
        <f>$B$4505*(A5401)+$B$4506*(A5401)^2/2-$B$4504*(A5401)^3/6-(N(D27)*MAX(0,(A5401)-N(E27))^2/2+N(F27)*MAX(0,(A5401)-N(G27))^2/2+N(H27)*MAX(0,(A5401)-N(I27))^2/2+N(J27)*MAX(0,(A5401)-N(K27))^2/2+N(L27)*MAX(0,(A5401)-N(M27))^2/2)+$B$4507</f>
        <v>695.31249999999989</v>
      </c>
      <c r="E5401" s="3">
        <f>$B$4505*(C5401)+$B$4506*(C5401)^2/2-$B$4504*(C5401)^3/6-(N(D27)*MAX(0,(C5401)-N(E27))^2/2+N(F27)*MAX(0,(C5401)-N(G27))^2/2+N(H27)*MAX(0,(C5401)-N(I27))^2/2+N(J27)*MAX(0,(C5401)-N(K27))^2/2+N(L27)*MAX(0,(C5401)-N(M27))^2/2)+$B$4507</f>
        <v>695.31249999999989</v>
      </c>
    </row>
    <row r="5402" spans="1:5" hidden="1">
      <c r="A5402" s="3">
        <f t="shared" si="120"/>
        <v>10</v>
      </c>
      <c r="B5402" s="3">
        <f t="shared" si="121"/>
        <v>10</v>
      </c>
      <c r="C5402" s="3">
        <f t="shared" si="119"/>
        <v>10</v>
      </c>
      <c r="D5402" s="3">
        <f>$B$4505*(A5402)+$B$4506*(A5402)^2/2-$B$4504*(A5402)^3/6-(N(D27)*MAX(0,(A5402)-N(E27))^2/2+N(F27)*MAX(0,(A5402)-N(G27))^2/2+N(H27)*MAX(0,(A5402)-N(I27))^2/2+N(J27)*MAX(0,(A5402)-N(K27))^2/2+N(L27)*MAX(0,(A5402)-N(M27))^2/2)+$B$4507</f>
        <v>695.31249999999989</v>
      </c>
      <c r="E5402" s="3">
        <f>$B$4505*(C5402)+$B$4506*(C5402)^2/2-$B$4504*(C5402)^3/6-(N(D27)*MAX(0,(C5402)-N(E27))^2/2+N(F27)*MAX(0,(C5402)-N(G27))^2/2+N(H27)*MAX(0,(C5402)-N(I27))^2/2+N(J27)*MAX(0,(C5402)-N(K27))^2/2+N(L27)*MAX(0,(C5402)-N(M27))^2/2)+$B$4507</f>
        <v>695.31249999999989</v>
      </c>
    </row>
    <row r="5403" spans="1:5" hidden="1">
      <c r="A5403" s="3">
        <f t="shared" si="120"/>
        <v>10</v>
      </c>
      <c r="B5403" s="3">
        <f t="shared" si="121"/>
        <v>10</v>
      </c>
      <c r="C5403" s="3">
        <f t="shared" si="119"/>
        <v>10</v>
      </c>
      <c r="D5403" s="3">
        <f>$B$4505*(A5403)+$B$4506*(A5403)^2/2-$B$4504*(A5403)^3/6-(N(D27)*MAX(0,(A5403)-N(E27))^2/2+N(F27)*MAX(0,(A5403)-N(G27))^2/2+N(H27)*MAX(0,(A5403)-N(I27))^2/2+N(J27)*MAX(0,(A5403)-N(K27))^2/2+N(L27)*MAX(0,(A5403)-N(M27))^2/2)+$B$4507</f>
        <v>695.31249999999989</v>
      </c>
      <c r="E5403" s="3">
        <f>$B$4505*(C5403)+$B$4506*(C5403)^2/2-$B$4504*(C5403)^3/6-(N(D27)*MAX(0,(C5403)-N(E27))^2/2+N(F27)*MAX(0,(C5403)-N(G27))^2/2+N(H27)*MAX(0,(C5403)-N(I27))^2/2+N(J27)*MAX(0,(C5403)-N(K27))^2/2+N(L27)*MAX(0,(C5403)-N(M27))^2/2)+$B$4507</f>
        <v>695.31249999999989</v>
      </c>
    </row>
    <row r="5404" spans="1:5" hidden="1">
      <c r="A5404" s="3">
        <f t="shared" si="120"/>
        <v>10</v>
      </c>
      <c r="B5404" s="3">
        <f t="shared" si="121"/>
        <v>10</v>
      </c>
      <c r="C5404" s="3">
        <f t="shared" si="119"/>
        <v>10</v>
      </c>
      <c r="D5404" s="3">
        <f>$B$4505*(A5404)+$B$4506*(A5404)^2/2-$B$4504*(A5404)^3/6-(N(D27)*MAX(0,(A5404)-N(E27))^2/2+N(F27)*MAX(0,(A5404)-N(G27))^2/2+N(H27)*MAX(0,(A5404)-N(I27))^2/2+N(J27)*MAX(0,(A5404)-N(K27))^2/2+N(L27)*MAX(0,(A5404)-N(M27))^2/2)+$B$4507</f>
        <v>695.31249999999989</v>
      </c>
      <c r="E5404" s="3">
        <f>$B$4505*(C5404)+$B$4506*(C5404)^2/2-$B$4504*(C5404)^3/6-(N(D27)*MAX(0,(C5404)-N(E27))^2/2+N(F27)*MAX(0,(C5404)-N(G27))^2/2+N(H27)*MAX(0,(C5404)-N(I27))^2/2+N(J27)*MAX(0,(C5404)-N(K27))^2/2+N(L27)*MAX(0,(C5404)-N(M27))^2/2)+$B$4507</f>
        <v>695.31249999999989</v>
      </c>
    </row>
    <row r="5405" spans="1:5" hidden="1">
      <c r="A5405" s="3">
        <f t="shared" si="120"/>
        <v>10</v>
      </c>
      <c r="B5405" s="3">
        <f t="shared" si="121"/>
        <v>10</v>
      </c>
      <c r="C5405" s="3">
        <f t="shared" si="119"/>
        <v>10</v>
      </c>
      <c r="D5405" s="3">
        <f>$B$4505*(A5405)+$B$4506*(A5405)^2/2-$B$4504*(A5405)^3/6-(N(D27)*MAX(0,(A5405)-N(E27))^2/2+N(F27)*MAX(0,(A5405)-N(G27))^2/2+N(H27)*MAX(0,(A5405)-N(I27))^2/2+N(J27)*MAX(0,(A5405)-N(K27))^2/2+N(L27)*MAX(0,(A5405)-N(M27))^2/2)+$B$4507</f>
        <v>695.31249999999989</v>
      </c>
      <c r="E5405" s="3">
        <f>$B$4505*(C5405)+$B$4506*(C5405)^2/2-$B$4504*(C5405)^3/6-(N(D27)*MAX(0,(C5405)-N(E27))^2/2+N(F27)*MAX(0,(C5405)-N(G27))^2/2+N(H27)*MAX(0,(C5405)-N(I27))^2/2+N(J27)*MAX(0,(C5405)-N(K27))^2/2+N(L27)*MAX(0,(C5405)-N(M27))^2/2)+$B$4507</f>
        <v>695.31249999999989</v>
      </c>
    </row>
    <row r="5406" spans="1:5" hidden="1">
      <c r="A5406" s="3">
        <f t="shared" si="120"/>
        <v>10</v>
      </c>
      <c r="B5406" s="3">
        <f t="shared" si="121"/>
        <v>10</v>
      </c>
      <c r="C5406" s="3">
        <f t="shared" si="119"/>
        <v>10</v>
      </c>
      <c r="D5406" s="3">
        <f>$B$4505*(A5406)+$B$4506*(A5406)^2/2-$B$4504*(A5406)^3/6-(N(D27)*MAX(0,(A5406)-N(E27))^2/2+N(F27)*MAX(0,(A5406)-N(G27))^2/2+N(H27)*MAX(0,(A5406)-N(I27))^2/2+N(J27)*MAX(0,(A5406)-N(K27))^2/2+N(L27)*MAX(0,(A5406)-N(M27))^2/2)+$B$4507</f>
        <v>695.31249999999989</v>
      </c>
      <c r="E5406" s="3">
        <f>$B$4505*(C5406)+$B$4506*(C5406)^2/2-$B$4504*(C5406)^3/6-(N(D27)*MAX(0,(C5406)-N(E27))^2/2+N(F27)*MAX(0,(C5406)-N(G27))^2/2+N(H27)*MAX(0,(C5406)-N(I27))^2/2+N(J27)*MAX(0,(C5406)-N(K27))^2/2+N(L27)*MAX(0,(C5406)-N(M27))^2/2)+$B$4507</f>
        <v>695.31249999999989</v>
      </c>
    </row>
    <row r="5407" spans="1:5" hidden="1">
      <c r="A5407" s="3">
        <f t="shared" si="120"/>
        <v>10</v>
      </c>
      <c r="B5407" s="3">
        <f t="shared" si="121"/>
        <v>10</v>
      </c>
      <c r="C5407" s="3">
        <f t="shared" si="119"/>
        <v>10</v>
      </c>
      <c r="D5407" s="3">
        <f>$B$4505*(A5407)+$B$4506*(A5407)^2/2-$B$4504*(A5407)^3/6-(N(D27)*MAX(0,(A5407)-N(E27))^2/2+N(F27)*MAX(0,(A5407)-N(G27))^2/2+N(H27)*MAX(0,(A5407)-N(I27))^2/2+N(J27)*MAX(0,(A5407)-N(K27))^2/2+N(L27)*MAX(0,(A5407)-N(M27))^2/2)+$B$4507</f>
        <v>695.31249999999989</v>
      </c>
      <c r="E5407" s="3">
        <f>$B$4505*(C5407)+$B$4506*(C5407)^2/2-$B$4504*(C5407)^3/6-(N(D27)*MAX(0,(C5407)-N(E27))^2/2+N(F27)*MAX(0,(C5407)-N(G27))^2/2+N(H27)*MAX(0,(C5407)-N(I27))^2/2+N(J27)*MAX(0,(C5407)-N(K27))^2/2+N(L27)*MAX(0,(C5407)-N(M27))^2/2)+$B$4507</f>
        <v>695.31249999999989</v>
      </c>
    </row>
    <row r="5408" spans="1:5" hidden="1">
      <c r="A5408" s="3">
        <f t="shared" si="120"/>
        <v>10</v>
      </c>
      <c r="B5408" s="3">
        <f t="shared" si="121"/>
        <v>10</v>
      </c>
      <c r="C5408" s="3">
        <f t="shared" si="119"/>
        <v>10</v>
      </c>
      <c r="D5408" s="3">
        <f>$B$4505*(A5408)+$B$4506*(A5408)^2/2-$B$4504*(A5408)^3/6-(N(D27)*MAX(0,(A5408)-N(E27))^2/2+N(F27)*MAX(0,(A5408)-N(G27))^2/2+N(H27)*MAX(0,(A5408)-N(I27))^2/2+N(J27)*MAX(0,(A5408)-N(K27))^2/2+N(L27)*MAX(0,(A5408)-N(M27))^2/2)+$B$4507</f>
        <v>695.31249999999989</v>
      </c>
      <c r="E5408" s="3">
        <f>$B$4505*(C5408)+$B$4506*(C5408)^2/2-$B$4504*(C5408)^3/6-(N(D27)*MAX(0,(C5408)-N(E27))^2/2+N(F27)*MAX(0,(C5408)-N(G27))^2/2+N(H27)*MAX(0,(C5408)-N(I27))^2/2+N(J27)*MAX(0,(C5408)-N(K27))^2/2+N(L27)*MAX(0,(C5408)-N(M27))^2/2)+$B$4507</f>
        <v>695.31249999999989</v>
      </c>
    </row>
    <row r="5409" spans="1:5" hidden="1">
      <c r="A5409" s="3">
        <f t="shared" si="120"/>
        <v>10</v>
      </c>
      <c r="B5409" s="3">
        <f t="shared" si="121"/>
        <v>10</v>
      </c>
      <c r="C5409" s="3">
        <f t="shared" si="119"/>
        <v>10</v>
      </c>
      <c r="D5409" s="3">
        <f>$B$4505*(A5409)+$B$4506*(A5409)^2/2-$B$4504*(A5409)^3/6-(N(D27)*MAX(0,(A5409)-N(E27))^2/2+N(F27)*MAX(0,(A5409)-N(G27))^2/2+N(H27)*MAX(0,(A5409)-N(I27))^2/2+N(J27)*MAX(0,(A5409)-N(K27))^2/2+N(L27)*MAX(0,(A5409)-N(M27))^2/2)+$B$4507</f>
        <v>695.31249999999989</v>
      </c>
      <c r="E5409" s="3">
        <f>$B$4505*(C5409)+$B$4506*(C5409)^2/2-$B$4504*(C5409)^3/6-(N(D27)*MAX(0,(C5409)-N(E27))^2/2+N(F27)*MAX(0,(C5409)-N(G27))^2/2+N(H27)*MAX(0,(C5409)-N(I27))^2/2+N(J27)*MAX(0,(C5409)-N(K27))^2/2+N(L27)*MAX(0,(C5409)-N(M27))^2/2)+$B$4507</f>
        <v>695.31249999999989</v>
      </c>
    </row>
    <row r="5410" spans="1:5" hidden="1">
      <c r="A5410" s="3">
        <f t="shared" si="120"/>
        <v>10</v>
      </c>
      <c r="B5410" s="3">
        <f t="shared" si="121"/>
        <v>10</v>
      </c>
      <c r="C5410" s="3">
        <f t="shared" si="119"/>
        <v>10</v>
      </c>
      <c r="D5410" s="3">
        <f>$B$4505*(A5410)+$B$4506*(A5410)^2/2-$B$4504*(A5410)^3/6-(N(D27)*MAX(0,(A5410)-N(E27))^2/2+N(F27)*MAX(0,(A5410)-N(G27))^2/2+N(H27)*MAX(0,(A5410)-N(I27))^2/2+N(J27)*MAX(0,(A5410)-N(K27))^2/2+N(L27)*MAX(0,(A5410)-N(M27))^2/2)+$B$4507</f>
        <v>695.31249999999989</v>
      </c>
      <c r="E5410" s="3">
        <f>$B$4505*(C5410)+$B$4506*(C5410)^2/2-$B$4504*(C5410)^3/6-(N(D27)*MAX(0,(C5410)-N(E27))^2/2+N(F27)*MAX(0,(C5410)-N(G27))^2/2+N(H27)*MAX(0,(C5410)-N(I27))^2/2+N(J27)*MAX(0,(C5410)-N(K27))^2/2+N(L27)*MAX(0,(C5410)-N(M27))^2/2)+$B$4507</f>
        <v>695.31249999999989</v>
      </c>
    </row>
    <row r="5411" spans="1:5" hidden="1">
      <c r="A5411" s="3">
        <f t="shared" si="120"/>
        <v>10</v>
      </c>
      <c r="B5411" s="3">
        <f t="shared" si="121"/>
        <v>10</v>
      </c>
      <c r="C5411" s="3">
        <f t="shared" si="119"/>
        <v>10</v>
      </c>
      <c r="D5411" s="3">
        <f>$B$4505*(A5411)+$B$4506*(A5411)^2/2-$B$4504*(A5411)^3/6-(N(D27)*MAX(0,(A5411)-N(E27))^2/2+N(F27)*MAX(0,(A5411)-N(G27))^2/2+N(H27)*MAX(0,(A5411)-N(I27))^2/2+N(J27)*MAX(0,(A5411)-N(K27))^2/2+N(L27)*MAX(0,(A5411)-N(M27))^2/2)+$B$4507</f>
        <v>695.31249999999989</v>
      </c>
      <c r="E5411" s="3">
        <f>$B$4505*(C5411)+$B$4506*(C5411)^2/2-$B$4504*(C5411)^3/6-(N(D27)*MAX(0,(C5411)-N(E27))^2/2+N(F27)*MAX(0,(C5411)-N(G27))^2/2+N(H27)*MAX(0,(C5411)-N(I27))^2/2+N(J27)*MAX(0,(C5411)-N(K27))^2/2+N(L27)*MAX(0,(C5411)-N(M27))^2/2)+$B$4507</f>
        <v>695.31249999999989</v>
      </c>
    </row>
    <row r="5412" spans="1:5" hidden="1">
      <c r="A5412" s="3">
        <f t="shared" si="120"/>
        <v>10</v>
      </c>
      <c r="B5412" s="3">
        <f t="shared" si="121"/>
        <v>10</v>
      </c>
      <c r="C5412" s="3">
        <f t="shared" si="119"/>
        <v>10</v>
      </c>
      <c r="D5412" s="3">
        <f>$B$4505*(A5412)+$B$4506*(A5412)^2/2-$B$4504*(A5412)^3/6-(N(D27)*MAX(0,(A5412)-N(E27))^2/2+N(F27)*MAX(0,(A5412)-N(G27))^2/2+N(H27)*MAX(0,(A5412)-N(I27))^2/2+N(J27)*MAX(0,(A5412)-N(K27))^2/2+N(L27)*MAX(0,(A5412)-N(M27))^2/2)+$B$4507</f>
        <v>695.31249999999989</v>
      </c>
      <c r="E5412" s="3">
        <f>$B$4505*(C5412)+$B$4506*(C5412)^2/2-$B$4504*(C5412)^3/6-(N(D27)*MAX(0,(C5412)-N(E27))^2/2+N(F27)*MAX(0,(C5412)-N(G27))^2/2+N(H27)*MAX(0,(C5412)-N(I27))^2/2+N(J27)*MAX(0,(C5412)-N(K27))^2/2+N(L27)*MAX(0,(C5412)-N(M27))^2/2)+$B$4507</f>
        <v>695.31249999999989</v>
      </c>
    </row>
    <row r="5413" spans="1:5" hidden="1">
      <c r="A5413" s="3">
        <f t="shared" si="120"/>
        <v>10</v>
      </c>
      <c r="B5413" s="3">
        <f t="shared" si="121"/>
        <v>10</v>
      </c>
      <c r="C5413" s="3">
        <f t="shared" si="119"/>
        <v>10</v>
      </c>
      <c r="D5413" s="3">
        <f>$B$4505*(A5413)+$B$4506*(A5413)^2/2-$B$4504*(A5413)^3/6-(N(D27)*MAX(0,(A5413)-N(E27))^2/2+N(F27)*MAX(0,(A5413)-N(G27))^2/2+N(H27)*MAX(0,(A5413)-N(I27))^2/2+N(J27)*MAX(0,(A5413)-N(K27))^2/2+N(L27)*MAX(0,(A5413)-N(M27))^2/2)+$B$4507</f>
        <v>695.31249999999989</v>
      </c>
      <c r="E5413" s="3">
        <f>$B$4505*(C5413)+$B$4506*(C5413)^2/2-$B$4504*(C5413)^3/6-(N(D27)*MAX(0,(C5413)-N(E27))^2/2+N(F27)*MAX(0,(C5413)-N(G27))^2/2+N(H27)*MAX(0,(C5413)-N(I27))^2/2+N(J27)*MAX(0,(C5413)-N(K27))^2/2+N(L27)*MAX(0,(C5413)-N(M27))^2/2)+$B$4507</f>
        <v>695.31249999999989</v>
      </c>
    </row>
    <row r="5414" spans="1:5" hidden="1">
      <c r="A5414" s="3">
        <f t="shared" si="120"/>
        <v>10</v>
      </c>
      <c r="B5414" s="3">
        <f t="shared" si="121"/>
        <v>10</v>
      </c>
      <c r="C5414" s="3">
        <f t="shared" si="119"/>
        <v>10</v>
      </c>
      <c r="D5414" s="3">
        <f>$B$4505*(A5414)+$B$4506*(A5414)^2/2-$B$4504*(A5414)^3/6-(N(D27)*MAX(0,(A5414)-N(E27))^2/2+N(F27)*MAX(0,(A5414)-N(G27))^2/2+N(H27)*MAX(0,(A5414)-N(I27))^2/2+N(J27)*MAX(0,(A5414)-N(K27))^2/2+N(L27)*MAX(0,(A5414)-N(M27))^2/2)+$B$4507</f>
        <v>695.31249999999989</v>
      </c>
      <c r="E5414" s="3">
        <f>$B$4505*(C5414)+$B$4506*(C5414)^2/2-$B$4504*(C5414)^3/6-(N(D27)*MAX(0,(C5414)-N(E27))^2/2+N(F27)*MAX(0,(C5414)-N(G27))^2/2+N(H27)*MAX(0,(C5414)-N(I27))^2/2+N(J27)*MAX(0,(C5414)-N(K27))^2/2+N(L27)*MAX(0,(C5414)-N(M27))^2/2)+$B$4507</f>
        <v>695.31249999999989</v>
      </c>
    </row>
    <row r="5415" spans="1:5" hidden="1">
      <c r="A5415" s="3">
        <f t="shared" si="120"/>
        <v>10</v>
      </c>
      <c r="B5415" s="3">
        <f t="shared" si="121"/>
        <v>10</v>
      </c>
      <c r="C5415" s="3">
        <f t="shared" si="119"/>
        <v>10</v>
      </c>
      <c r="D5415" s="3">
        <f>$B$4505*(A5415)+$B$4506*(A5415)^2/2-$B$4504*(A5415)^3/6-(N(D27)*MAX(0,(A5415)-N(E27))^2/2+N(F27)*MAX(0,(A5415)-N(G27))^2/2+N(H27)*MAX(0,(A5415)-N(I27))^2/2+N(J27)*MAX(0,(A5415)-N(K27))^2/2+N(L27)*MAX(0,(A5415)-N(M27))^2/2)+$B$4507</f>
        <v>695.31249999999989</v>
      </c>
      <c r="E5415" s="3">
        <f>$B$4505*(C5415)+$B$4506*(C5415)^2/2-$B$4504*(C5415)^3/6-(N(D27)*MAX(0,(C5415)-N(E27))^2/2+N(F27)*MAX(0,(C5415)-N(G27))^2/2+N(H27)*MAX(0,(C5415)-N(I27))^2/2+N(J27)*MAX(0,(C5415)-N(K27))^2/2+N(L27)*MAX(0,(C5415)-N(M27))^2/2)+$B$4507</f>
        <v>695.31249999999989</v>
      </c>
    </row>
    <row r="5416" spans="1:5" hidden="1">
      <c r="A5416" s="3">
        <f t="shared" si="120"/>
        <v>10</v>
      </c>
      <c r="B5416" s="3">
        <f t="shared" si="121"/>
        <v>10</v>
      </c>
      <c r="C5416" s="3">
        <f t="shared" si="119"/>
        <v>10</v>
      </c>
      <c r="D5416" s="3">
        <f>$B$4505*(A5416)+$B$4506*(A5416)^2/2-$B$4504*(A5416)^3/6-(N(D27)*MAX(0,(A5416)-N(E27))^2/2+N(F27)*MAX(0,(A5416)-N(G27))^2/2+N(H27)*MAX(0,(A5416)-N(I27))^2/2+N(J27)*MAX(0,(A5416)-N(K27))^2/2+N(L27)*MAX(0,(A5416)-N(M27))^2/2)+$B$4507</f>
        <v>695.31249999999989</v>
      </c>
      <c r="E5416" s="3">
        <f>$B$4505*(C5416)+$B$4506*(C5416)^2/2-$B$4504*(C5416)^3/6-(N(D27)*MAX(0,(C5416)-N(E27))^2/2+N(F27)*MAX(0,(C5416)-N(G27))^2/2+N(H27)*MAX(0,(C5416)-N(I27))^2/2+N(J27)*MAX(0,(C5416)-N(K27))^2/2+N(L27)*MAX(0,(C5416)-N(M27))^2/2)+$B$4507</f>
        <v>695.31249999999989</v>
      </c>
    </row>
    <row r="5417" spans="1:5" hidden="1">
      <c r="A5417" s="3">
        <f t="shared" si="120"/>
        <v>10</v>
      </c>
      <c r="B5417" s="3">
        <f t="shared" si="121"/>
        <v>10</v>
      </c>
      <c r="C5417" s="3">
        <f t="shared" si="119"/>
        <v>10</v>
      </c>
      <c r="D5417" s="3">
        <f>$B$4505*(A5417)+$B$4506*(A5417)^2/2-$B$4504*(A5417)^3/6-(N(D27)*MAX(0,(A5417)-N(E27))^2/2+N(F27)*MAX(0,(A5417)-N(G27))^2/2+N(H27)*MAX(0,(A5417)-N(I27))^2/2+N(J27)*MAX(0,(A5417)-N(K27))^2/2+N(L27)*MAX(0,(A5417)-N(M27))^2/2)+$B$4507</f>
        <v>695.31249999999989</v>
      </c>
      <c r="E5417" s="3">
        <f>$B$4505*(C5417)+$B$4506*(C5417)^2/2-$B$4504*(C5417)^3/6-(N(D27)*MAX(0,(C5417)-N(E27))^2/2+N(F27)*MAX(0,(C5417)-N(G27))^2/2+N(H27)*MAX(0,(C5417)-N(I27))^2/2+N(J27)*MAX(0,(C5417)-N(K27))^2/2+N(L27)*MAX(0,(C5417)-N(M27))^2/2)+$B$4507</f>
        <v>695.31249999999989</v>
      </c>
    </row>
    <row r="5418" spans="1:5" hidden="1">
      <c r="A5418" s="3">
        <f t="shared" si="120"/>
        <v>10</v>
      </c>
      <c r="B5418" s="3">
        <f t="shared" si="121"/>
        <v>10</v>
      </c>
      <c r="C5418" s="3">
        <f t="shared" si="119"/>
        <v>10</v>
      </c>
      <c r="D5418" s="3">
        <f>$B$4505*(A5418)+$B$4506*(A5418)^2/2-$B$4504*(A5418)^3/6-(N(D27)*MAX(0,(A5418)-N(E27))^2/2+N(F27)*MAX(0,(A5418)-N(G27))^2/2+N(H27)*MAX(0,(A5418)-N(I27))^2/2+N(J27)*MAX(0,(A5418)-N(K27))^2/2+N(L27)*MAX(0,(A5418)-N(M27))^2/2)+$B$4507</f>
        <v>695.31249999999989</v>
      </c>
      <c r="E5418" s="3">
        <f>$B$4505*(C5418)+$B$4506*(C5418)^2/2-$B$4504*(C5418)^3/6-(N(D27)*MAX(0,(C5418)-N(E27))^2/2+N(F27)*MAX(0,(C5418)-N(G27))^2/2+N(H27)*MAX(0,(C5418)-N(I27))^2/2+N(J27)*MAX(0,(C5418)-N(K27))^2/2+N(L27)*MAX(0,(C5418)-N(M27))^2/2)+$B$4507</f>
        <v>695.31249999999989</v>
      </c>
    </row>
    <row r="5419" spans="1:5" hidden="1">
      <c r="A5419" s="3">
        <f t="shared" si="120"/>
        <v>10</v>
      </c>
      <c r="B5419" s="3">
        <f t="shared" si="121"/>
        <v>10</v>
      </c>
      <c r="C5419" s="3">
        <f t="shared" si="119"/>
        <v>10</v>
      </c>
      <c r="D5419" s="3">
        <f>$B$4505*(A5419)+$B$4506*(A5419)^2/2-$B$4504*(A5419)^3/6-(N(D27)*MAX(0,(A5419)-N(E27))^2/2+N(F27)*MAX(0,(A5419)-N(G27))^2/2+N(H27)*MAX(0,(A5419)-N(I27))^2/2+N(J27)*MAX(0,(A5419)-N(K27))^2/2+N(L27)*MAX(0,(A5419)-N(M27))^2/2)+$B$4507</f>
        <v>695.31249999999989</v>
      </c>
      <c r="E5419" s="3">
        <f>$B$4505*(C5419)+$B$4506*(C5419)^2/2-$B$4504*(C5419)^3/6-(N(D27)*MAX(0,(C5419)-N(E27))^2/2+N(F27)*MAX(0,(C5419)-N(G27))^2/2+N(H27)*MAX(0,(C5419)-N(I27))^2/2+N(J27)*MAX(0,(C5419)-N(K27))^2/2+N(L27)*MAX(0,(C5419)-N(M27))^2/2)+$B$4507</f>
        <v>695.31249999999989</v>
      </c>
    </row>
    <row r="5420" spans="1:5" hidden="1">
      <c r="A5420" s="3">
        <f t="shared" si="120"/>
        <v>10</v>
      </c>
      <c r="B5420" s="3">
        <f t="shared" si="121"/>
        <v>10</v>
      </c>
      <c r="C5420" s="3">
        <f t="shared" si="119"/>
        <v>10</v>
      </c>
      <c r="D5420" s="3">
        <f>$B$4505*(A5420)+$B$4506*(A5420)^2/2-$B$4504*(A5420)^3/6-(N(D27)*MAX(0,(A5420)-N(E27))^2/2+N(F27)*MAX(0,(A5420)-N(G27))^2/2+N(H27)*MAX(0,(A5420)-N(I27))^2/2+N(J27)*MAX(0,(A5420)-N(K27))^2/2+N(L27)*MAX(0,(A5420)-N(M27))^2/2)+$B$4507</f>
        <v>695.31249999999989</v>
      </c>
      <c r="E5420" s="3">
        <f>$B$4505*(C5420)+$B$4506*(C5420)^2/2-$B$4504*(C5420)^3/6-(N(D27)*MAX(0,(C5420)-N(E27))^2/2+N(F27)*MAX(0,(C5420)-N(G27))^2/2+N(H27)*MAX(0,(C5420)-N(I27))^2/2+N(J27)*MAX(0,(C5420)-N(K27))^2/2+N(L27)*MAX(0,(C5420)-N(M27))^2/2)+$B$4507</f>
        <v>695.31249999999989</v>
      </c>
    </row>
    <row r="5421" spans="1:5" hidden="1">
      <c r="A5421" s="3">
        <f t="shared" si="120"/>
        <v>10</v>
      </c>
      <c r="B5421" s="3">
        <f t="shared" si="121"/>
        <v>10</v>
      </c>
      <c r="C5421" s="3">
        <f t="shared" si="119"/>
        <v>10</v>
      </c>
      <c r="D5421" s="3">
        <f>$B$4505*(A5421)+$B$4506*(A5421)^2/2-$B$4504*(A5421)^3/6-(N(D27)*MAX(0,(A5421)-N(E27))^2/2+N(F27)*MAX(0,(A5421)-N(G27))^2/2+N(H27)*MAX(0,(A5421)-N(I27))^2/2+N(J27)*MAX(0,(A5421)-N(K27))^2/2+N(L27)*MAX(0,(A5421)-N(M27))^2/2)+$B$4507</f>
        <v>695.31249999999989</v>
      </c>
      <c r="E5421" s="3">
        <f>$B$4505*(C5421)+$B$4506*(C5421)^2/2-$B$4504*(C5421)^3/6-(N(D27)*MAX(0,(C5421)-N(E27))^2/2+N(F27)*MAX(0,(C5421)-N(G27))^2/2+N(H27)*MAX(0,(C5421)-N(I27))^2/2+N(J27)*MAX(0,(C5421)-N(K27))^2/2+N(L27)*MAX(0,(C5421)-N(M27))^2/2)+$B$4507</f>
        <v>695.31249999999989</v>
      </c>
    </row>
    <row r="5422" spans="1:5" hidden="1">
      <c r="A5422" s="3">
        <f t="shared" si="120"/>
        <v>10</v>
      </c>
      <c r="B5422" s="3">
        <f t="shared" si="121"/>
        <v>10</v>
      </c>
      <c r="C5422" s="3">
        <f t="shared" si="119"/>
        <v>10</v>
      </c>
      <c r="D5422" s="3">
        <f>$B$4505*(A5422)+$B$4506*(A5422)^2/2-$B$4504*(A5422)^3/6-(N(D27)*MAX(0,(A5422)-N(E27))^2/2+N(F27)*MAX(0,(A5422)-N(G27))^2/2+N(H27)*MAX(0,(A5422)-N(I27))^2/2+N(J27)*MAX(0,(A5422)-N(K27))^2/2+N(L27)*MAX(0,(A5422)-N(M27))^2/2)+$B$4507</f>
        <v>695.31249999999989</v>
      </c>
      <c r="E5422" s="3">
        <f>$B$4505*(C5422)+$B$4506*(C5422)^2/2-$B$4504*(C5422)^3/6-(N(D27)*MAX(0,(C5422)-N(E27))^2/2+N(F27)*MAX(0,(C5422)-N(G27))^2/2+N(H27)*MAX(0,(C5422)-N(I27))^2/2+N(J27)*MAX(0,(C5422)-N(K27))^2/2+N(L27)*MAX(0,(C5422)-N(M27))^2/2)+$B$4507</f>
        <v>695.31249999999989</v>
      </c>
    </row>
    <row r="5423" spans="1:5" hidden="1">
      <c r="A5423" s="3">
        <f t="shared" si="120"/>
        <v>10</v>
      </c>
      <c r="B5423" s="3">
        <f t="shared" si="121"/>
        <v>10</v>
      </c>
      <c r="C5423" s="3">
        <f t="shared" si="119"/>
        <v>10</v>
      </c>
      <c r="D5423" s="3">
        <f>$B$4505*(A5423)+$B$4506*(A5423)^2/2-$B$4504*(A5423)^3/6-(N(D27)*MAX(0,(A5423)-N(E27))^2/2+N(F27)*MAX(0,(A5423)-N(G27))^2/2+N(H27)*MAX(0,(A5423)-N(I27))^2/2+N(J27)*MAX(0,(A5423)-N(K27))^2/2+N(L27)*MAX(0,(A5423)-N(M27))^2/2)+$B$4507</f>
        <v>695.31249999999989</v>
      </c>
      <c r="E5423" s="3">
        <f>$B$4505*(C5423)+$B$4506*(C5423)^2/2-$B$4504*(C5423)^3/6-(N(D27)*MAX(0,(C5423)-N(E27))^2/2+N(F27)*MAX(0,(C5423)-N(G27))^2/2+N(H27)*MAX(0,(C5423)-N(I27))^2/2+N(J27)*MAX(0,(C5423)-N(K27))^2/2+N(L27)*MAX(0,(C5423)-N(M27))^2/2)+$B$4507</f>
        <v>695.31249999999989</v>
      </c>
    </row>
    <row r="5424" spans="1:5" hidden="1">
      <c r="A5424" s="3">
        <f t="shared" si="120"/>
        <v>10</v>
      </c>
      <c r="B5424" s="3">
        <f t="shared" si="121"/>
        <v>10</v>
      </c>
      <c r="C5424" s="3">
        <f t="shared" si="119"/>
        <v>10</v>
      </c>
      <c r="D5424" s="3">
        <f>$B$4505*(A5424)+$B$4506*(A5424)^2/2-$B$4504*(A5424)^3/6-(N(D27)*MAX(0,(A5424)-N(E27))^2/2+N(F27)*MAX(0,(A5424)-N(G27))^2/2+N(H27)*MAX(0,(A5424)-N(I27))^2/2+N(J27)*MAX(0,(A5424)-N(K27))^2/2+N(L27)*MAX(0,(A5424)-N(M27))^2/2)+$B$4507</f>
        <v>695.31249999999989</v>
      </c>
      <c r="E5424" s="3">
        <f>$B$4505*(C5424)+$B$4506*(C5424)^2/2-$B$4504*(C5424)^3/6-(N(D27)*MAX(0,(C5424)-N(E27))^2/2+N(F27)*MAX(0,(C5424)-N(G27))^2/2+N(H27)*MAX(0,(C5424)-N(I27))^2/2+N(J27)*MAX(0,(C5424)-N(K27))^2/2+N(L27)*MAX(0,(C5424)-N(M27))^2/2)+$B$4507</f>
        <v>695.31249999999989</v>
      </c>
    </row>
    <row r="5425" spans="1:5" hidden="1">
      <c r="A5425" s="3">
        <f t="shared" si="120"/>
        <v>10</v>
      </c>
      <c r="B5425" s="3">
        <f t="shared" si="121"/>
        <v>10</v>
      </c>
      <c r="C5425" s="3">
        <f t="shared" si="119"/>
        <v>10</v>
      </c>
      <c r="D5425" s="3">
        <f>$B$4505*(A5425)+$B$4506*(A5425)^2/2-$B$4504*(A5425)^3/6-(N(D27)*MAX(0,(A5425)-N(E27))^2/2+N(F27)*MAX(0,(A5425)-N(G27))^2/2+N(H27)*MAX(0,(A5425)-N(I27))^2/2+N(J27)*MAX(0,(A5425)-N(K27))^2/2+N(L27)*MAX(0,(A5425)-N(M27))^2/2)+$B$4507</f>
        <v>695.31249999999989</v>
      </c>
      <c r="E5425" s="3">
        <f>$B$4505*(C5425)+$B$4506*(C5425)^2/2-$B$4504*(C5425)^3/6-(N(D27)*MAX(0,(C5425)-N(E27))^2/2+N(F27)*MAX(0,(C5425)-N(G27))^2/2+N(H27)*MAX(0,(C5425)-N(I27))^2/2+N(J27)*MAX(0,(C5425)-N(K27))^2/2+N(L27)*MAX(0,(C5425)-N(M27))^2/2)+$B$4507</f>
        <v>695.31249999999989</v>
      </c>
    </row>
    <row r="5426" spans="1:5" hidden="1">
      <c r="A5426" s="3">
        <f t="shared" si="120"/>
        <v>10</v>
      </c>
      <c r="B5426" s="3">
        <f t="shared" si="121"/>
        <v>10</v>
      </c>
      <c r="C5426" s="3">
        <f t="shared" si="119"/>
        <v>10</v>
      </c>
      <c r="D5426" s="3">
        <f>$B$4505*(A5426)+$B$4506*(A5426)^2/2-$B$4504*(A5426)^3/6-(N(D27)*MAX(0,(A5426)-N(E27))^2/2+N(F27)*MAX(0,(A5426)-N(G27))^2/2+N(H27)*MAX(0,(A5426)-N(I27))^2/2+N(J27)*MAX(0,(A5426)-N(K27))^2/2+N(L27)*MAX(0,(A5426)-N(M27))^2/2)+$B$4507</f>
        <v>695.31249999999989</v>
      </c>
      <c r="E5426" s="3">
        <f>$B$4505*(C5426)+$B$4506*(C5426)^2/2-$B$4504*(C5426)^3/6-(N(D27)*MAX(0,(C5426)-N(E27))^2/2+N(F27)*MAX(0,(C5426)-N(G27))^2/2+N(H27)*MAX(0,(C5426)-N(I27))^2/2+N(J27)*MAX(0,(C5426)-N(K27))^2/2+N(L27)*MAX(0,(C5426)-N(M27))^2/2)+$B$4507</f>
        <v>695.31249999999989</v>
      </c>
    </row>
    <row r="5427" spans="1:5" hidden="1">
      <c r="A5427" s="3">
        <f t="shared" si="120"/>
        <v>10</v>
      </c>
      <c r="B5427" s="3">
        <f t="shared" si="121"/>
        <v>10</v>
      </c>
      <c r="C5427" s="3">
        <f t="shared" si="119"/>
        <v>10</v>
      </c>
      <c r="D5427" s="3">
        <f>$B$4505*(A5427)+$B$4506*(A5427)^2/2-$B$4504*(A5427)^3/6-(N(D27)*MAX(0,(A5427)-N(E27))^2/2+N(F27)*MAX(0,(A5427)-N(G27))^2/2+N(H27)*MAX(0,(A5427)-N(I27))^2/2+N(J27)*MAX(0,(A5427)-N(K27))^2/2+N(L27)*MAX(0,(A5427)-N(M27))^2/2)+$B$4507</f>
        <v>695.31249999999989</v>
      </c>
      <c r="E5427" s="3">
        <f>$B$4505*(C5427)+$B$4506*(C5427)^2/2-$B$4504*(C5427)^3/6-(N(D27)*MAX(0,(C5427)-N(E27))^2/2+N(F27)*MAX(0,(C5427)-N(G27))^2/2+N(H27)*MAX(0,(C5427)-N(I27))^2/2+N(J27)*MAX(0,(C5427)-N(K27))^2/2+N(L27)*MAX(0,(C5427)-N(M27))^2/2)+$B$4507</f>
        <v>695.31249999999989</v>
      </c>
    </row>
    <row r="5428" spans="1:5" hidden="1"/>
    <row r="5429" spans="1:5" hidden="1"/>
    <row r="5430" spans="1:5" hidden="1"/>
    <row r="5431" spans="1:5" hidden="1"/>
    <row r="5432" spans="1:5" hidden="1"/>
    <row r="5433" spans="1:5" hidden="1"/>
    <row r="5434" spans="1:5" hidden="1"/>
    <row r="5435" spans="1:5" hidden="1"/>
    <row r="5436" spans="1:5" hidden="1"/>
    <row r="5437" spans="1:5" hidden="1"/>
    <row r="5438" spans="1:5" hidden="1"/>
    <row r="5439" spans="1:5" hidden="1"/>
    <row r="5440" spans="1:5" hidden="1"/>
    <row r="5441" hidden="1"/>
    <row r="5442" hidden="1"/>
    <row r="5443" hidden="1"/>
    <row r="5444" hidden="1"/>
    <row r="5445" hidden="1"/>
    <row r="5446" hidden="1"/>
    <row r="5447" hidden="1"/>
    <row r="5448" hidden="1"/>
    <row r="5449" hidden="1"/>
    <row r="5450" hidden="1"/>
    <row r="5451" hidden="1"/>
    <row r="5452" hidden="1"/>
    <row r="5453" hidden="1"/>
    <row r="5454" hidden="1"/>
    <row r="5455" hidden="1"/>
    <row r="5456" hidden="1"/>
    <row r="5457" hidden="1"/>
    <row r="5458" hidden="1"/>
    <row r="5459" hidden="1"/>
    <row r="5460" hidden="1"/>
    <row r="5461" hidden="1"/>
    <row r="5462" hidden="1"/>
    <row r="5463" hidden="1"/>
    <row r="5464" hidden="1"/>
    <row r="5465" hidden="1"/>
    <row r="5466" hidden="1"/>
    <row r="5467" hidden="1"/>
    <row r="5468" hidden="1"/>
    <row r="5469" hidden="1"/>
    <row r="5470" hidden="1"/>
    <row r="5471" hidden="1"/>
    <row r="5472" hidden="1"/>
    <row r="5473" hidden="1"/>
    <row r="5474" hidden="1"/>
    <row r="5475" hidden="1"/>
    <row r="5476" hidden="1"/>
    <row r="5477" hidden="1"/>
    <row r="5478" hidden="1"/>
    <row r="5479" hidden="1"/>
    <row r="5480" hidden="1"/>
    <row r="5481" hidden="1"/>
    <row r="5482" hidden="1"/>
    <row r="5483" hidden="1"/>
    <row r="5484" hidden="1"/>
    <row r="5485" hidden="1"/>
    <row r="5486" hidden="1"/>
    <row r="5487" hidden="1"/>
    <row r="5488" hidden="1"/>
    <row r="5489" hidden="1"/>
    <row r="5490" hidden="1"/>
    <row r="5491" hidden="1"/>
    <row r="5492" hidden="1"/>
    <row r="5493" hidden="1"/>
    <row r="5494" hidden="1"/>
    <row r="5495" hidden="1"/>
    <row r="5496" hidden="1"/>
    <row r="5497" hidden="1"/>
    <row r="5498" hidden="1"/>
    <row r="5499" hidden="1"/>
    <row r="5500" hidden="1"/>
    <row r="5501" hidden="1"/>
    <row r="5502" hidden="1"/>
    <row r="5503" hidden="1"/>
    <row r="5504" hidden="1"/>
    <row r="5505" hidden="1"/>
    <row r="5506" hidden="1"/>
    <row r="5507" hidden="1"/>
    <row r="5508" hidden="1"/>
    <row r="5509" hidden="1"/>
    <row r="5510" hidden="1"/>
    <row r="5511" hidden="1"/>
    <row r="5512" hidden="1"/>
    <row r="5513" hidden="1"/>
    <row r="5514" hidden="1"/>
    <row r="5515" hidden="1"/>
    <row r="5516" hidden="1"/>
    <row r="5517" hidden="1"/>
    <row r="5518" hidden="1"/>
    <row r="5519" hidden="1"/>
    <row r="5520" hidden="1"/>
    <row r="5521" hidden="1"/>
    <row r="5522" hidden="1"/>
    <row r="5523" hidden="1"/>
    <row r="5524" hidden="1"/>
    <row r="5525" hidden="1"/>
    <row r="5526" hidden="1"/>
    <row r="5527" hidden="1"/>
    <row r="5528" hidden="1"/>
    <row r="5529" hidden="1"/>
    <row r="5530" hidden="1"/>
    <row r="5531" hidden="1"/>
    <row r="5532" hidden="1"/>
    <row r="5533" hidden="1"/>
    <row r="5534" hidden="1"/>
    <row r="5535" hidden="1"/>
    <row r="5536" hidden="1"/>
    <row r="5537" hidden="1"/>
    <row r="5538" hidden="1"/>
    <row r="5539" hidden="1"/>
    <row r="5540" hidden="1"/>
    <row r="5541" hidden="1"/>
    <row r="5542" hidden="1"/>
    <row r="5543" hidden="1"/>
    <row r="5544" hidden="1"/>
    <row r="5545" hidden="1"/>
    <row r="5546" hidden="1"/>
    <row r="5547" hidden="1"/>
    <row r="5548" hidden="1"/>
    <row r="5549" hidden="1"/>
    <row r="5550" hidden="1"/>
    <row r="5551" hidden="1"/>
    <row r="5552" hidden="1"/>
    <row r="5553" hidden="1"/>
    <row r="5554" hidden="1"/>
    <row r="5555" hidden="1"/>
    <row r="5556" hidden="1"/>
    <row r="5557" hidden="1"/>
    <row r="5558" hidden="1"/>
    <row r="5559" hidden="1"/>
    <row r="5560" hidden="1"/>
    <row r="5561" hidden="1"/>
    <row r="5562" hidden="1"/>
    <row r="5563" hidden="1"/>
    <row r="5564" hidden="1"/>
    <row r="5565" hidden="1"/>
    <row r="5566" hidden="1"/>
    <row r="5567" hidden="1"/>
    <row r="5568" hidden="1"/>
    <row r="5569" hidden="1"/>
    <row r="5570" hidden="1"/>
    <row r="5571" hidden="1"/>
    <row r="5572" hidden="1"/>
    <row r="5573" hidden="1"/>
    <row r="5574" hidden="1"/>
    <row r="5575" hidden="1"/>
    <row r="5576" hidden="1"/>
    <row r="5577" hidden="1"/>
    <row r="5578" hidden="1"/>
    <row r="5579" hidden="1"/>
    <row r="5580" hidden="1"/>
    <row r="5581" hidden="1"/>
    <row r="5582" hidden="1"/>
    <row r="5583" hidden="1"/>
    <row r="5584" hidden="1"/>
    <row r="5585" hidden="1"/>
    <row r="5586" hidden="1"/>
    <row r="5587" hidden="1"/>
    <row r="5588" hidden="1"/>
    <row r="5589" hidden="1"/>
    <row r="5590" hidden="1"/>
    <row r="5591" hidden="1"/>
    <row r="5592" hidden="1"/>
    <row r="5593" hidden="1"/>
    <row r="5594" hidden="1"/>
    <row r="5595" hidden="1"/>
    <row r="5596" hidden="1"/>
    <row r="5597" hidden="1"/>
    <row r="5598" hidden="1"/>
    <row r="5599" hidden="1"/>
    <row r="5600" hidden="1"/>
    <row r="5601" spans="1:3" hidden="1"/>
    <row r="5602" spans="1:3" hidden="1">
      <c r="A5602" s="3">
        <f>IFERROR(IF(AND(INDEX($L$26:$L$28,$E$1705-19)&gt;0,INDEX($B$26:$B$28,$E$1705-19)&gt;0,ISNUMBER(INDEX($M$26:$M$28,$E$1705-19)),INDEX($M$26:$M$28,$E$1705-19)&gt;=0,INDEX($M$26:$M$28,$E$1705-19)&lt;=INDEX($B$26:$B$28,$E$1705-19)),INDEX($M$26:$M$28,$E$1705-19)/INDEX($B$26:$B$28,$E$1705-19),-10),-10)</f>
        <v>-10</v>
      </c>
      <c r="B5602" s="3">
        <v>0.85</v>
      </c>
      <c r="C5602" s="3" t="str">
        <f>IFERROR(IF(AND(INDEX($L$26:$L$28,$E$1705-19)&gt;0,INDEX($B$26:$B$28,$E$1705-19)&gt;0,ISNUMBER(INDEX($M$26:$M$28,$E$1705-19)),INDEX($M$26:$M$28,$E$1705-19)&gt;=0,INDEX($M$26:$M$28,$E$1705-19)&lt;=INDEX($B$26:$B$28,$E$1705-19)),"P5 = "&amp;TEXT(INDEX($L$26:$L$28,$E$1705-19),"0.00")&amp;" kN",""),"")</f>
        <v/>
      </c>
    </row>
    <row r="5603" spans="1:3" hidden="1">
      <c r="A5603" s="3">
        <f>IFERROR(IF(AND(INDEX($L$26:$L$28,$E$1705-19)&gt;0,INDEX($B$26:$B$28,$E$1705-19)&gt;0,ISNUMBER(INDEX($M$26:$M$28,$E$1705-19)),INDEX($M$26:$M$28,$E$1705-19)&gt;=0,INDEX($M$26:$M$28,$E$1705-19)&lt;=INDEX($B$26:$B$28,$E$1705-19)),INDEX($M$26:$M$28,$E$1705-19)/INDEX($B$26:$B$28,$E$1705-19),-10),-10)</f>
        <v>-10</v>
      </c>
      <c r="B5603" s="3">
        <v>0.04</v>
      </c>
    </row>
    <row r="5604" spans="1:3" hidden="1">
      <c r="A5604" s="3">
        <f>IFERROR(IF(AND(INDEX($L$26:$L$28,$E$1705-19)&gt;0,INDEX($B$26:$B$28,$E$1705-19)&gt;0,ISNUMBER(INDEX($M$26:$M$28,$E$1705-19)),INDEX($M$26:$M$28,$E$1705-19)&gt;=0,INDEX($M$26:$M$28,$E$1705-19)&lt;=INDEX($B$26:$B$28,$E$1705-19)),INDEX($M$26:$M$28,$E$1705-19)/INDEX($B$26:$B$28,$E$1705-19)-0.012,-10),-10)</f>
        <v>-10</v>
      </c>
      <c r="B5604" s="3">
        <v>9.5000000000000001E-2</v>
      </c>
    </row>
    <row r="5605" spans="1:3" hidden="1">
      <c r="A5605" s="3">
        <f>IFERROR(IF(AND(INDEX($L$26:$L$28,$E$1705-19)&gt;0,INDEX($B$26:$B$28,$E$1705-19)&gt;0,ISNUMBER(INDEX($M$26:$M$28,$E$1705-19)),INDEX($M$26:$M$28,$E$1705-19)&gt;=0,INDEX($M$26:$M$28,$E$1705-19)&lt;=INDEX($B$26:$B$28,$E$1705-19)),INDEX($M$26:$M$28,$E$1705-19)/INDEX($B$26:$B$28,$E$1705-19),-10),-10)</f>
        <v>-10</v>
      </c>
      <c r="B5605" s="3">
        <v>0.04</v>
      </c>
    </row>
    <row r="5606" spans="1:3" hidden="1">
      <c r="A5606" s="3">
        <f>IFERROR(IF(AND(INDEX($L$26:$L$28,$E$1705-19)&gt;0,INDEX($B$26:$B$28,$E$1705-19)&gt;0,ISNUMBER(INDEX($M$26:$M$28,$E$1705-19)),INDEX($M$26:$M$28,$E$1705-19)&gt;=0,INDEX($M$26:$M$28,$E$1705-19)&lt;=INDEX($B$26:$B$28,$E$1705-19)),INDEX($M$26:$M$28,$E$1705-19)/INDEX($B$26:$B$28,$E$1705-19)+0.012,-10),-10)</f>
        <v>-10</v>
      </c>
      <c r="B5606" s="3">
        <v>9.5000000000000001E-2</v>
      </c>
    </row>
    <row r="5701" spans="1:3" hidden="1">
      <c r="A5701" s="3" t="s">
        <v>426</v>
      </c>
    </row>
    <row r="5702" spans="1:3" hidden="1">
      <c r="B5702" s="42">
        <f>SUM(D26,F26,H26,J26,L26)</f>
        <v>0</v>
      </c>
      <c r="C5702" s="3">
        <f>N(E26)</f>
        <v>0</v>
      </c>
    </row>
    <row r="5703" spans="1:3" hidden="1">
      <c r="B5703" s="3">
        <f>IF(B7084,B5702+N(N26)*$B$26,0)</f>
        <v>222.49999999999997</v>
      </c>
      <c r="C5703" s="3">
        <f>N(G26)</f>
        <v>0</v>
      </c>
    </row>
    <row r="5704" spans="1:3" hidden="1">
      <c r="B5704" s="3">
        <f>IF(C26="Cantilever Supported",4/25,IF(C26="Simply Supported",11/720,IF(C26="Fixed-Fixed",1/320,0)))</f>
        <v>1.5277777777777777E-2</v>
      </c>
      <c r="C5704" s="3">
        <f>N(I26)</f>
        <v>0</v>
      </c>
    </row>
    <row r="5705" spans="1:3" hidden="1">
      <c r="B5705" s="3">
        <f>IF(C26="Cantilever Supported",1/8,IF(C26="Simply Supported",5/384,IF(C26="Fixed-Fixed",1/384,0)))</f>
        <v>1.3020833333333334E-2</v>
      </c>
      <c r="C5705" s="3">
        <f>N(K26)</f>
        <v>0</v>
      </c>
    </row>
    <row r="5706" spans="1:3" hidden="1">
      <c r="B5706" s="3" t="b">
        <f>IF(B7084,AND(B3512,N(N26)=0,D26&gt;0,ABS(F26-D26)&lt;0.000000001,ABS(H26-D26)&lt;0.000000001,ABS(J26-D26)&lt;0.000000001,ABS(L26-D26)&lt;0.000000001,ABS(SMALL(C5702:C5706,1)-$B$26*1/IF(C26="Cantilever Supported",5,6))&lt;0.00000001*MAX(1,$B$26),ABS(SMALL(C5702:C5706,2)-$B$26*2/IF(C26="Cantilever Supported",5,6))&lt;0.00000001*MAX(1,$B$26),ABS(SMALL(C5702:C5706,3)-$B$26*3/IF(C26="Cantilever Supported",5,6))&lt;0.00000001*MAX(1,$B$26),ABS(SMALL(C5702:C5706,4)-$B$26*4/IF(C26="Cantilever Supported",5,6))&lt;0.00000001*MAX(1,$B$26),ABS(SMALL(C5702:C5706,5)-$B$26*5/IF(C26="Cantilever Supported",5,6))&lt;0.00000001*MAX(1,$B$26)),FALSE)</f>
        <v>0</v>
      </c>
      <c r="C5706" s="3">
        <f>N(M26)</f>
        <v>0</v>
      </c>
    </row>
    <row r="5707" spans="1:3" hidden="1">
      <c r="B5707" s="3">
        <f>IF(AND(B3512,COUNT(D12,D10)=2,D12&gt;0,D10&gt;0),IF(B5706,B5704*D10*100000/D12*B5702*$B$26^2,IF(B5702=0,B5705*D10*100000/D12*N(N26)*$B$26^3,B3508*D10*100000/(D12*$B$26))),"")</f>
        <v>3179.7827743902435</v>
      </c>
    </row>
    <row r="5708" spans="1:3" hidden="1">
      <c r="B5708" s="3">
        <f>IFERROR(IF(B5702=0,B5705*D10*100000/D12,IF(B5706,B5704*D10*100000/D12,B5707/(B5703*$B$26^2))),0)</f>
        <v>2.2865853658536586</v>
      </c>
    </row>
    <row r="5801" spans="1:6" hidden="1">
      <c r="E5801" s="3">
        <f>IF(N(INDEX($D$26:$D$28,$E$1705-19))&lt;&gt;0,1,0)+IF(N(INDEX($F$26:$F$28,$E$1705-19))&lt;&gt;0,1,0)+IF(N(INDEX($H$26:$H$28,$E$1705-19))&lt;&gt;0,1,0)+IF(N(INDEX($J$26:$J$28,$E$1705-19))&lt;&gt;0,1,0)+IF(N(INDEX($L$26:$L$28,$E$1705-19))&lt;&gt;0,1,0)</f>
        <v>0</v>
      </c>
      <c r="F5801" s="3">
        <f>INDEX($B$26:$B$28,$E$1705-19)</f>
        <v>2.5</v>
      </c>
    </row>
    <row r="5802" spans="1:6" hidden="1">
      <c r="A5802" s="3">
        <f>IF(AND($E$5801&gt;0,1&lt;=$E$5801+1),((1-1)/($E$5801+1)+1/($E$5801+1))/2,-10)</f>
        <v>-10</v>
      </c>
      <c r="B5802" s="3">
        <f>-0.28</f>
        <v>-0.28000000000000003</v>
      </c>
      <c r="C5802" s="3" t="str">
        <f>IF(AND($E$5801&gt;0,1&lt;=$E$5801+1),TEXT($F$5801/($E$5801+1),"0.00")&amp;" m","")</f>
        <v/>
      </c>
    </row>
    <row r="5803" spans="1:6" hidden="1">
      <c r="A5803" s="3">
        <f>IF(AND($E$5801&gt;0,1&lt;=$E$5801+1),(1-1)/($E$5801+1),-10)</f>
        <v>-10</v>
      </c>
      <c r="B5803" s="3">
        <f>-0.28</f>
        <v>-0.28000000000000003</v>
      </c>
    </row>
    <row r="5804" spans="1:6" hidden="1">
      <c r="A5804" s="3">
        <f>IF(AND($E$5801&gt;0,1&lt;=$E$5801+1),(1-1)/($E$5801+1),-10)</f>
        <v>-10</v>
      </c>
      <c r="B5804" s="3">
        <f>-0.245</f>
        <v>-0.245</v>
      </c>
    </row>
    <row r="5805" spans="1:6" hidden="1">
      <c r="A5805" s="3">
        <f>IF(AND($E$5801&gt;0,1&lt;=$E$5801+1),(1-1)/($E$5801+1),-10)</f>
        <v>-10</v>
      </c>
      <c r="B5805" s="3">
        <f>-0.315</f>
        <v>-0.315</v>
      </c>
    </row>
    <row r="5806" spans="1:6" hidden="1">
      <c r="A5806" s="3">
        <f>IF(AND($E$5801&gt;0,1&lt;=$E$5801+1),(1-1)/($E$5801+1),-10)</f>
        <v>-10</v>
      </c>
      <c r="B5806" s="3">
        <f>-0.28</f>
        <v>-0.28000000000000003</v>
      </c>
    </row>
    <row r="5807" spans="1:6" hidden="1">
      <c r="A5807" s="3">
        <f>IF(AND($E$5801&gt;0,1&lt;=$E$5801+1),1/($E$5801+1),-10)</f>
        <v>-10</v>
      </c>
      <c r="B5807" s="3">
        <f>-0.28</f>
        <v>-0.28000000000000003</v>
      </c>
    </row>
    <row r="5808" spans="1:6" hidden="1">
      <c r="A5808" s="3">
        <f>IF(AND($E$5801&gt;0,1&lt;=$E$5801+1),1/($E$5801+1),-10)</f>
        <v>-10</v>
      </c>
      <c r="B5808" s="3">
        <f>-0.245</f>
        <v>-0.245</v>
      </c>
    </row>
    <row r="5809" spans="1:3" hidden="1">
      <c r="A5809" s="3">
        <f>IF(AND($E$5801&gt;0,1&lt;=$E$5801+1),1/($E$5801+1),-10)</f>
        <v>-10</v>
      </c>
      <c r="B5809" s="3">
        <f>-0.315</f>
        <v>-0.315</v>
      </c>
    </row>
    <row r="5810" spans="1:3" hidden="1">
      <c r="A5810" s="3">
        <f>IF(AND($E$5801&gt;0,1&lt;=$E$5801+1),1/($E$5801+1),-10)</f>
        <v>-10</v>
      </c>
      <c r="B5810" s="3">
        <f>-0.28</f>
        <v>-0.28000000000000003</v>
      </c>
    </row>
    <row r="5811" spans="1:3" hidden="1"/>
    <row r="5812" spans="1:3" hidden="1">
      <c r="A5812" s="3">
        <f>IF(AND($E$5801&gt;0,2&lt;=$E$5801+1),((2-1)/($E$5801+1)+2/($E$5801+1))/2,-10)</f>
        <v>-10</v>
      </c>
      <c r="B5812" s="3">
        <f>-0.28</f>
        <v>-0.28000000000000003</v>
      </c>
      <c r="C5812" s="3" t="str">
        <f>IF(AND($E$5801&gt;0,2&lt;=$E$5801+1),TEXT($F$5801/($E$5801+1),"0.00")&amp;" m","")</f>
        <v/>
      </c>
    </row>
    <row r="5813" spans="1:3" hidden="1">
      <c r="A5813" s="3">
        <f>IF(AND($E$5801&gt;0,2&lt;=$E$5801+1),(2-1)/($E$5801+1),-10)</f>
        <v>-10</v>
      </c>
      <c r="B5813" s="3">
        <f>-0.28</f>
        <v>-0.28000000000000003</v>
      </c>
    </row>
    <row r="5814" spans="1:3" hidden="1">
      <c r="A5814" s="3">
        <f>IF(AND($E$5801&gt;0,2&lt;=$E$5801+1),(2-1)/($E$5801+1),-10)</f>
        <v>-10</v>
      </c>
      <c r="B5814" s="3">
        <f>-0.245</f>
        <v>-0.245</v>
      </c>
    </row>
    <row r="5815" spans="1:3" hidden="1">
      <c r="A5815" s="3">
        <f>IF(AND($E$5801&gt;0,2&lt;=$E$5801+1),(2-1)/($E$5801+1),-10)</f>
        <v>-10</v>
      </c>
      <c r="B5815" s="3">
        <f>-0.315</f>
        <v>-0.315</v>
      </c>
    </row>
    <row r="5816" spans="1:3" hidden="1">
      <c r="A5816" s="3">
        <f>IF(AND($E$5801&gt;0,2&lt;=$E$5801+1),(2-1)/($E$5801+1),-10)</f>
        <v>-10</v>
      </c>
      <c r="B5816" s="3">
        <f>-0.28</f>
        <v>-0.28000000000000003</v>
      </c>
    </row>
    <row r="5817" spans="1:3" hidden="1">
      <c r="A5817" s="3">
        <f>IF(AND($E$5801&gt;0,2&lt;=$E$5801+1),2/($E$5801+1),-10)</f>
        <v>-10</v>
      </c>
      <c r="B5817" s="3">
        <f>-0.28</f>
        <v>-0.28000000000000003</v>
      </c>
    </row>
    <row r="5818" spans="1:3" hidden="1">
      <c r="A5818" s="3">
        <f>IF(AND($E$5801&gt;0,2&lt;=$E$5801+1),2/($E$5801+1),-10)</f>
        <v>-10</v>
      </c>
      <c r="B5818" s="3">
        <f>-0.245</f>
        <v>-0.245</v>
      </c>
    </row>
    <row r="5819" spans="1:3" hidden="1">
      <c r="A5819" s="3">
        <f>IF(AND($E$5801&gt;0,2&lt;=$E$5801+1),2/($E$5801+1),-10)</f>
        <v>-10</v>
      </c>
      <c r="B5819" s="3">
        <f>-0.315</f>
        <v>-0.315</v>
      </c>
    </row>
    <row r="5820" spans="1:3" hidden="1">
      <c r="A5820" s="3">
        <f>IF(AND($E$5801&gt;0,2&lt;=$E$5801+1),2/($E$5801+1),-10)</f>
        <v>-10</v>
      </c>
      <c r="B5820" s="3">
        <f>-0.28</f>
        <v>-0.28000000000000003</v>
      </c>
    </row>
    <row r="5821" spans="1:3" hidden="1"/>
    <row r="5822" spans="1:3" hidden="1">
      <c r="A5822" s="3">
        <f>IF(AND($E$5801&gt;0,3&lt;=$E$5801+1),((3-1)/($E$5801+1)+3/($E$5801+1))/2,-10)</f>
        <v>-10</v>
      </c>
      <c r="B5822" s="3">
        <f>-0.28</f>
        <v>-0.28000000000000003</v>
      </c>
      <c r="C5822" s="3" t="str">
        <f>IF(AND($E$5801&gt;0,3&lt;=$E$5801+1),TEXT($F$5801/($E$5801+1),"0.00")&amp;" m","")</f>
        <v/>
      </c>
    </row>
    <row r="5823" spans="1:3" hidden="1">
      <c r="A5823" s="3">
        <f>IF(AND($E$5801&gt;0,3&lt;=$E$5801+1),(3-1)/($E$5801+1),-10)</f>
        <v>-10</v>
      </c>
      <c r="B5823" s="3">
        <f>-0.28</f>
        <v>-0.28000000000000003</v>
      </c>
    </row>
    <row r="5824" spans="1:3" hidden="1">
      <c r="A5824" s="3">
        <f>IF(AND($E$5801&gt;0,3&lt;=$E$5801+1),(3-1)/($E$5801+1),-10)</f>
        <v>-10</v>
      </c>
      <c r="B5824" s="3">
        <f>-0.245</f>
        <v>-0.245</v>
      </c>
    </row>
    <row r="5825" spans="1:3" hidden="1">
      <c r="A5825" s="3">
        <f>IF(AND($E$5801&gt;0,3&lt;=$E$5801+1),(3-1)/($E$5801+1),-10)</f>
        <v>-10</v>
      </c>
      <c r="B5825" s="3">
        <f>-0.315</f>
        <v>-0.315</v>
      </c>
    </row>
    <row r="5826" spans="1:3" hidden="1">
      <c r="A5826" s="3">
        <f>IF(AND($E$5801&gt;0,3&lt;=$E$5801+1),(3-1)/($E$5801+1),-10)</f>
        <v>-10</v>
      </c>
      <c r="B5826" s="3">
        <f>-0.28</f>
        <v>-0.28000000000000003</v>
      </c>
    </row>
    <row r="5827" spans="1:3" hidden="1">
      <c r="A5827" s="3">
        <f>IF(AND($E$5801&gt;0,3&lt;=$E$5801+1),3/($E$5801+1),-10)</f>
        <v>-10</v>
      </c>
      <c r="B5827" s="3">
        <f>-0.28</f>
        <v>-0.28000000000000003</v>
      </c>
    </row>
    <row r="5828" spans="1:3" hidden="1">
      <c r="A5828" s="3">
        <f>IF(AND($E$5801&gt;0,3&lt;=$E$5801+1),3/($E$5801+1),-10)</f>
        <v>-10</v>
      </c>
      <c r="B5828" s="3">
        <f>-0.245</f>
        <v>-0.245</v>
      </c>
    </row>
    <row r="5829" spans="1:3" hidden="1">
      <c r="A5829" s="3">
        <f>IF(AND($E$5801&gt;0,3&lt;=$E$5801+1),3/($E$5801+1),-10)</f>
        <v>-10</v>
      </c>
      <c r="B5829" s="3">
        <f>-0.315</f>
        <v>-0.315</v>
      </c>
    </row>
    <row r="5830" spans="1:3" hidden="1">
      <c r="A5830" s="3">
        <f>IF(AND($E$5801&gt;0,3&lt;=$E$5801+1),3/($E$5801+1),-10)</f>
        <v>-10</v>
      </c>
      <c r="B5830" s="3">
        <f>-0.28</f>
        <v>-0.28000000000000003</v>
      </c>
    </row>
    <row r="5831" spans="1:3" hidden="1"/>
    <row r="5832" spans="1:3" hidden="1">
      <c r="A5832" s="3">
        <f>IF(AND($E$5801&gt;0,4&lt;=$E$5801+1),((4-1)/($E$5801+1)+4/($E$5801+1))/2,-10)</f>
        <v>-10</v>
      </c>
      <c r="B5832" s="3">
        <f>-0.28</f>
        <v>-0.28000000000000003</v>
      </c>
      <c r="C5832" s="3" t="str">
        <f>IF(AND($E$5801&gt;0,4&lt;=$E$5801+1),TEXT($F$5801/($E$5801+1),"0.00")&amp;" m","")</f>
        <v/>
      </c>
    </row>
    <row r="5833" spans="1:3" hidden="1">
      <c r="A5833" s="3">
        <f>IF(AND($E$5801&gt;0,4&lt;=$E$5801+1),(4-1)/($E$5801+1),-10)</f>
        <v>-10</v>
      </c>
      <c r="B5833" s="3">
        <f>-0.28</f>
        <v>-0.28000000000000003</v>
      </c>
    </row>
    <row r="5834" spans="1:3" hidden="1">
      <c r="A5834" s="3">
        <f>IF(AND($E$5801&gt;0,4&lt;=$E$5801+1),(4-1)/($E$5801+1),-10)</f>
        <v>-10</v>
      </c>
      <c r="B5834" s="3">
        <f>-0.245</f>
        <v>-0.245</v>
      </c>
    </row>
    <row r="5835" spans="1:3" hidden="1">
      <c r="A5835" s="3">
        <f>IF(AND($E$5801&gt;0,4&lt;=$E$5801+1),(4-1)/($E$5801+1),-10)</f>
        <v>-10</v>
      </c>
      <c r="B5835" s="3">
        <f>-0.315</f>
        <v>-0.315</v>
      </c>
    </row>
    <row r="5836" spans="1:3" hidden="1">
      <c r="A5836" s="3">
        <f>IF(AND($E$5801&gt;0,4&lt;=$E$5801+1),(4-1)/($E$5801+1),-10)</f>
        <v>-10</v>
      </c>
      <c r="B5836" s="3">
        <f>-0.28</f>
        <v>-0.28000000000000003</v>
      </c>
    </row>
    <row r="5837" spans="1:3" hidden="1">
      <c r="A5837" s="3">
        <f>IF(AND($E$5801&gt;0,4&lt;=$E$5801+1),4/($E$5801+1),-10)</f>
        <v>-10</v>
      </c>
      <c r="B5837" s="3">
        <f>-0.28</f>
        <v>-0.28000000000000003</v>
      </c>
    </row>
    <row r="5838" spans="1:3" hidden="1">
      <c r="A5838" s="3">
        <f>IF(AND($E$5801&gt;0,4&lt;=$E$5801+1),4/($E$5801+1),-10)</f>
        <v>-10</v>
      </c>
      <c r="B5838" s="3">
        <f>-0.245</f>
        <v>-0.245</v>
      </c>
    </row>
    <row r="5839" spans="1:3" hidden="1">
      <c r="A5839" s="3">
        <f>IF(AND($E$5801&gt;0,4&lt;=$E$5801+1),4/($E$5801+1),-10)</f>
        <v>-10</v>
      </c>
      <c r="B5839" s="3">
        <f>-0.315</f>
        <v>-0.315</v>
      </c>
    </row>
    <row r="5840" spans="1:3" hidden="1">
      <c r="A5840" s="3">
        <f>IF(AND($E$5801&gt;0,4&lt;=$E$5801+1),4/($E$5801+1),-10)</f>
        <v>-10</v>
      </c>
      <c r="B5840" s="3">
        <f>-0.28</f>
        <v>-0.28000000000000003</v>
      </c>
    </row>
    <row r="5841" spans="1:3" hidden="1"/>
    <row r="5842" spans="1:3" hidden="1">
      <c r="A5842" s="3">
        <f>IF(AND($E$5801&gt;0,5&lt;=$E$5801+1),((5-1)/($E$5801+1)+5/($E$5801+1))/2,-10)</f>
        <v>-10</v>
      </c>
      <c r="B5842" s="3">
        <f>-0.28</f>
        <v>-0.28000000000000003</v>
      </c>
      <c r="C5842" s="3" t="str">
        <f>IF(AND($E$5801&gt;0,5&lt;=$E$5801+1),TEXT($F$5801/($E$5801+1),"0.00")&amp;" m","")</f>
        <v/>
      </c>
    </row>
    <row r="5843" spans="1:3" hidden="1">
      <c r="A5843" s="3">
        <f>IF(AND($E$5801&gt;0,5&lt;=$E$5801+1),(5-1)/($E$5801+1),-10)</f>
        <v>-10</v>
      </c>
      <c r="B5843" s="3">
        <f>-0.28</f>
        <v>-0.28000000000000003</v>
      </c>
    </row>
    <row r="5844" spans="1:3" hidden="1">
      <c r="A5844" s="3">
        <f>IF(AND($E$5801&gt;0,5&lt;=$E$5801+1),(5-1)/($E$5801+1),-10)</f>
        <v>-10</v>
      </c>
      <c r="B5844" s="3">
        <f>-0.245</f>
        <v>-0.245</v>
      </c>
    </row>
    <row r="5845" spans="1:3" hidden="1">
      <c r="A5845" s="3">
        <f>IF(AND($E$5801&gt;0,5&lt;=$E$5801+1),(5-1)/($E$5801+1),-10)</f>
        <v>-10</v>
      </c>
      <c r="B5845" s="3">
        <f>-0.315</f>
        <v>-0.315</v>
      </c>
    </row>
    <row r="5846" spans="1:3" hidden="1">
      <c r="A5846" s="3">
        <f>IF(AND($E$5801&gt;0,5&lt;=$E$5801+1),(5-1)/($E$5801+1),-10)</f>
        <v>-10</v>
      </c>
      <c r="B5846" s="3">
        <f>-0.28</f>
        <v>-0.28000000000000003</v>
      </c>
    </row>
    <row r="5847" spans="1:3" hidden="1">
      <c r="A5847" s="3">
        <f>IF(AND($E$5801&gt;0,5&lt;=$E$5801+1),5/($E$5801+1),-10)</f>
        <v>-10</v>
      </c>
      <c r="B5847" s="3">
        <f>-0.28</f>
        <v>-0.28000000000000003</v>
      </c>
    </row>
    <row r="5848" spans="1:3" hidden="1">
      <c r="A5848" s="3">
        <f>IF(AND($E$5801&gt;0,5&lt;=$E$5801+1),5/($E$5801+1),-10)</f>
        <v>-10</v>
      </c>
      <c r="B5848" s="3">
        <f>-0.245</f>
        <v>-0.245</v>
      </c>
    </row>
    <row r="5849" spans="1:3" hidden="1">
      <c r="A5849" s="3">
        <f>IF(AND($E$5801&gt;0,5&lt;=$E$5801+1),5/($E$5801+1),-10)</f>
        <v>-10</v>
      </c>
      <c r="B5849" s="3">
        <f>-0.315</f>
        <v>-0.315</v>
      </c>
    </row>
    <row r="5850" spans="1:3" hidden="1">
      <c r="A5850" s="3">
        <f>IF(AND($E$5801&gt;0,5&lt;=$E$5801+1),5/($E$5801+1),-10)</f>
        <v>-10</v>
      </c>
      <c r="B5850" s="3">
        <f>-0.28</f>
        <v>-0.28000000000000003</v>
      </c>
    </row>
    <row r="5851" spans="1:3" hidden="1"/>
    <row r="5852" spans="1:3" hidden="1">
      <c r="A5852" s="3">
        <f>IF(AND($E$5801&gt;0,6&lt;=$E$5801+1),((6-1)/($E$5801+1)+6/($E$5801+1))/2,-10)</f>
        <v>-10</v>
      </c>
      <c r="B5852" s="3">
        <f>-0.28</f>
        <v>-0.28000000000000003</v>
      </c>
      <c r="C5852" s="3" t="str">
        <f>IF(AND($E$5801&gt;0,6&lt;=$E$5801+1),TEXT($F$5801/($E$5801+1),"0.00")&amp;" m","")</f>
        <v/>
      </c>
    </row>
    <row r="5853" spans="1:3" hidden="1">
      <c r="A5853" s="3">
        <f>IF(AND($E$5801&gt;0,6&lt;=$E$5801+1),(6-1)/($E$5801+1),-10)</f>
        <v>-10</v>
      </c>
      <c r="B5853" s="3">
        <f>-0.28</f>
        <v>-0.28000000000000003</v>
      </c>
    </row>
    <row r="5854" spans="1:3" hidden="1">
      <c r="A5854" s="3">
        <f>IF(AND($E$5801&gt;0,6&lt;=$E$5801+1),(6-1)/($E$5801+1),-10)</f>
        <v>-10</v>
      </c>
      <c r="B5854" s="3">
        <f>-0.245</f>
        <v>-0.245</v>
      </c>
    </row>
    <row r="5855" spans="1:3" hidden="1">
      <c r="A5855" s="3">
        <f>IF(AND($E$5801&gt;0,6&lt;=$E$5801+1),(6-1)/($E$5801+1),-10)</f>
        <v>-10</v>
      </c>
      <c r="B5855" s="3">
        <f>-0.315</f>
        <v>-0.315</v>
      </c>
    </row>
    <row r="5856" spans="1:3" hidden="1">
      <c r="A5856" s="3">
        <f>IF(AND($E$5801&gt;0,6&lt;=$E$5801+1),(6-1)/($E$5801+1),-10)</f>
        <v>-10</v>
      </c>
      <c r="B5856" s="3">
        <f>-0.28</f>
        <v>-0.28000000000000003</v>
      </c>
    </row>
    <row r="5857" spans="1:2" hidden="1">
      <c r="A5857" s="3">
        <f>IF(AND($E$5801&gt;0,6&lt;=$E$5801+1),6/($E$5801+1),-10)</f>
        <v>-10</v>
      </c>
      <c r="B5857" s="3">
        <f>-0.28</f>
        <v>-0.28000000000000003</v>
      </c>
    </row>
    <row r="5858" spans="1:2" hidden="1">
      <c r="A5858" s="3">
        <f>IF(AND($E$5801&gt;0,6&lt;=$E$5801+1),6/($E$5801+1),-10)</f>
        <v>-10</v>
      </c>
      <c r="B5858" s="3">
        <f>-0.245</f>
        <v>-0.245</v>
      </c>
    </row>
    <row r="5859" spans="1:2" hidden="1">
      <c r="A5859" s="3">
        <f>IF(AND($E$5801&gt;0,6&lt;=$E$5801+1),6/($E$5801+1),-10)</f>
        <v>-10</v>
      </c>
      <c r="B5859" s="3">
        <f>-0.315</f>
        <v>-0.315</v>
      </c>
    </row>
    <row r="5860" spans="1:2" hidden="1">
      <c r="A5860" s="3">
        <f>IF(AND($E$5801&gt;0,6&lt;=$E$5801+1),6/($E$5801+1),-10)</f>
        <v>-10</v>
      </c>
      <c r="B5860" s="3">
        <f>-0.28</f>
        <v>-0.28000000000000003</v>
      </c>
    </row>
    <row r="5861" spans="1:2" hidden="1"/>
    <row r="5901" spans="5:9" hidden="1">
      <c r="E5901" s="3">
        <f>IF($B$7080,$B$4,0)</f>
        <v>10</v>
      </c>
      <c r="F5901" s="57">
        <f>IF($B$7080,$B$6,0)</f>
        <v>1</v>
      </c>
      <c r="G5901" s="3">
        <f>IF($B$7080,COS(RADIANS($H$4))/$B$4,0)</f>
        <v>6.1257422745431001E-18</v>
      </c>
      <c r="H5901" s="3">
        <f>IF($B$7080,SIN(RADIANS($H$4))/$E$4,0)</f>
        <v>0.4</v>
      </c>
      <c r="I5901" s="3" t="b">
        <f>IF($B$7080,ABS(SIN(RADIANS($H$4)))&gt;=ABS(COS(RADIANS($H$4))),0)</f>
        <v>1</v>
      </c>
    </row>
    <row r="5902" spans="5:9" hidden="1"/>
    <row r="5903" spans="5:9" hidden="1"/>
    <row r="5904" spans="5:9" hidden="1"/>
    <row r="5905" spans="1:2" hidden="1"/>
    <row r="5906" spans="1:2" hidden="1"/>
    <row r="5907" spans="1:2" hidden="1"/>
    <row r="5908" spans="1:2" hidden="1"/>
    <row r="5909" spans="1:2" hidden="1"/>
    <row r="5910" spans="1:2" hidden="1"/>
    <row r="5911" spans="1:2" hidden="1">
      <c r="A5911" s="3">
        <f>IF($B$7080,0,-10)</f>
        <v>0</v>
      </c>
      <c r="B5911" s="3">
        <f>IF($B$7080,0,-10)</f>
        <v>0</v>
      </c>
    </row>
    <row r="5912" spans="1:2" hidden="1">
      <c r="A5912" s="3">
        <f>IF($B$7080,1,-10)</f>
        <v>1</v>
      </c>
      <c r="B5912" s="3">
        <f>IF($B$7080,0,-10)</f>
        <v>0</v>
      </c>
    </row>
    <row r="5913" spans="1:2" hidden="1">
      <c r="A5913" s="3">
        <f>IF($B$7080,1,-10)</f>
        <v>1</v>
      </c>
      <c r="B5913" s="3">
        <f>IF($B$7080,1,-10)</f>
        <v>1</v>
      </c>
    </row>
    <row r="5914" spans="1:2" hidden="1">
      <c r="A5914" s="3">
        <f>IF($B$7080,0,-10)</f>
        <v>0</v>
      </c>
      <c r="B5914" s="3">
        <f>IF($B$7080,1,-10)</f>
        <v>1</v>
      </c>
    </row>
    <row r="5915" spans="1:2" hidden="1">
      <c r="A5915" s="3">
        <f>IF($B$7080,0,-10)</f>
        <v>0</v>
      </c>
      <c r="B5915" s="3">
        <f>IF($B$7080,0,-10)</f>
        <v>0</v>
      </c>
    </row>
    <row r="5916" spans="1:2" hidden="1"/>
    <row r="5917" spans="1:2" hidden="1">
      <c r="A5917" s="3">
        <f>IF($B$7080,-0.025,-10)</f>
        <v>-2.5000000000000001E-2</v>
      </c>
      <c r="B5917" s="3">
        <f>IF($B$7080,0.045,-10)</f>
        <v>4.4999999999999998E-2</v>
      </c>
    </row>
    <row r="5918" spans="1:2" hidden="1">
      <c r="A5918" s="3">
        <f>IF($B$7080,0.025,-10)</f>
        <v>2.5000000000000001E-2</v>
      </c>
      <c r="B5918" s="3">
        <f>IF($B$7080,0.045,-10)</f>
        <v>4.4999999999999998E-2</v>
      </c>
    </row>
    <row r="5919" spans="1:2" hidden="1">
      <c r="A5919" s="3">
        <f>IF($B$7080,0,-10)</f>
        <v>0</v>
      </c>
      <c r="B5919" s="3">
        <f>IF($B$7080,0.045,-10)</f>
        <v>4.4999999999999998E-2</v>
      </c>
    </row>
    <row r="5920" spans="1:2" hidden="1">
      <c r="A5920" s="3">
        <f>IF($B$7080,0,-10)</f>
        <v>0</v>
      </c>
      <c r="B5920" s="3">
        <f>IF($B$7080,-0.045,-10)</f>
        <v>-4.4999999999999998E-2</v>
      </c>
    </row>
    <row r="5921" spans="1:2" hidden="1">
      <c r="A5921" s="3">
        <f>IF($B$7080,-0.025,-10)</f>
        <v>-2.5000000000000001E-2</v>
      </c>
      <c r="B5921" s="3">
        <f>IF($B$7080,-0.045,-10)</f>
        <v>-4.4999999999999998E-2</v>
      </c>
    </row>
    <row r="5922" spans="1:2" hidden="1">
      <c r="A5922" s="3">
        <f>IF($B$7080,0.025,-10)</f>
        <v>2.5000000000000001E-2</v>
      </c>
      <c r="B5922" s="3">
        <f>IF($B$7080,-0.045,-10)</f>
        <v>-4.4999999999999998E-2</v>
      </c>
    </row>
    <row r="5923" spans="1:2" hidden="1"/>
    <row r="5924" spans="1:2" hidden="1">
      <c r="A5924" s="3">
        <f>IF($B$7080,0.975,-10)</f>
        <v>0.97499999999999998</v>
      </c>
      <c r="B5924" s="3">
        <f>IF($B$7080,0.045,-10)</f>
        <v>4.4999999999999998E-2</v>
      </c>
    </row>
    <row r="5925" spans="1:2" hidden="1">
      <c r="A5925" s="3">
        <f>IF($B$7080,1.025,-10)</f>
        <v>1.0249999999999999</v>
      </c>
      <c r="B5925" s="3">
        <f>IF($B$7080,0.045,-10)</f>
        <v>4.4999999999999998E-2</v>
      </c>
    </row>
    <row r="5926" spans="1:2" hidden="1">
      <c r="A5926" s="3">
        <f>IF($B$7080,1,-10)</f>
        <v>1</v>
      </c>
      <c r="B5926" s="3">
        <f>IF($B$7080,0.045,-10)</f>
        <v>4.4999999999999998E-2</v>
      </c>
    </row>
    <row r="5927" spans="1:2" hidden="1">
      <c r="A5927" s="3">
        <f>IF($B$7080,1,-10)</f>
        <v>1</v>
      </c>
      <c r="B5927" s="3">
        <f>IF($B$7080,-0.045,-10)</f>
        <v>-4.4999999999999998E-2</v>
      </c>
    </row>
    <row r="5928" spans="1:2" hidden="1">
      <c r="A5928" s="3">
        <f>IF($B$7080,0.975,-10)</f>
        <v>0.97499999999999998</v>
      </c>
      <c r="B5928" s="3">
        <f>IF($B$7080,-0.045,-10)</f>
        <v>-4.4999999999999998E-2</v>
      </c>
    </row>
    <row r="5929" spans="1:2" hidden="1">
      <c r="A5929" s="3">
        <f>IF($B$7080,1.025,-10)</f>
        <v>1.0249999999999999</v>
      </c>
      <c r="B5929" s="3">
        <f>IF($B$7080,-0.045,-10)</f>
        <v>-4.4999999999999998E-2</v>
      </c>
    </row>
    <row r="5930" spans="1:2" hidden="1"/>
    <row r="5931" spans="1:2" hidden="1">
      <c r="A5931" s="3">
        <f>IF($B$7080,-0.025,-10)</f>
        <v>-2.5000000000000001E-2</v>
      </c>
      <c r="B5931" s="3">
        <f>IF($B$7080,1.045,-10)</f>
        <v>1.0449999999999999</v>
      </c>
    </row>
    <row r="5932" spans="1:2" hidden="1">
      <c r="A5932" s="3">
        <f>IF($B$7080,0.025,-10)</f>
        <v>2.5000000000000001E-2</v>
      </c>
      <c r="B5932" s="3">
        <f>IF($B$7080,1.045,-10)</f>
        <v>1.0449999999999999</v>
      </c>
    </row>
    <row r="5933" spans="1:2" hidden="1">
      <c r="A5933" s="3">
        <f>IF($B$7080,0,-10)</f>
        <v>0</v>
      </c>
      <c r="B5933" s="3">
        <f>IF($B$7080,1.045,-10)</f>
        <v>1.0449999999999999</v>
      </c>
    </row>
    <row r="5934" spans="1:2" hidden="1">
      <c r="A5934" s="3">
        <f>IF($B$7080,0,-10)</f>
        <v>0</v>
      </c>
      <c r="B5934" s="3">
        <f>IF($B$7080,0.955,-10)</f>
        <v>0.95499999999999996</v>
      </c>
    </row>
    <row r="5935" spans="1:2" hidden="1">
      <c r="A5935" s="3">
        <f>IF($B$7080,-0.025,-10)</f>
        <v>-2.5000000000000001E-2</v>
      </c>
      <c r="B5935" s="3">
        <f>IF($B$7080,0.955,-10)</f>
        <v>0.95499999999999996</v>
      </c>
    </row>
    <row r="5936" spans="1:2" hidden="1">
      <c r="A5936" s="3">
        <f>IF($B$7080,0.025,-10)</f>
        <v>2.5000000000000001E-2</v>
      </c>
      <c r="B5936" s="3">
        <f>IF($B$7080,0.955,-10)</f>
        <v>0.95499999999999996</v>
      </c>
    </row>
    <row r="5937" spans="1:2" hidden="1"/>
    <row r="5938" spans="1:2" hidden="1">
      <c r="A5938" s="3">
        <f>IF($B$7080,0.975,-10)</f>
        <v>0.97499999999999998</v>
      </c>
      <c r="B5938" s="3">
        <f>IF($B$7080,1.045,-10)</f>
        <v>1.0449999999999999</v>
      </c>
    </row>
    <row r="5939" spans="1:2" hidden="1">
      <c r="A5939" s="3">
        <f>IF($B$7080,1.025,-10)</f>
        <v>1.0249999999999999</v>
      </c>
      <c r="B5939" s="3">
        <f>IF($B$7080,1.045,-10)</f>
        <v>1.0449999999999999</v>
      </c>
    </row>
    <row r="5940" spans="1:2" hidden="1">
      <c r="A5940" s="3">
        <f>IF($B$7080,1,-10)</f>
        <v>1</v>
      </c>
      <c r="B5940" s="3">
        <f>IF($B$7080,1.045,-10)</f>
        <v>1.0449999999999999</v>
      </c>
    </row>
    <row r="5941" spans="1:2" hidden="1">
      <c r="A5941" s="3">
        <f>IF($B$7080,1,-10)</f>
        <v>1</v>
      </c>
      <c r="B5941" s="3">
        <f>IF($B$7080,0.955,-10)</f>
        <v>0.95499999999999996</v>
      </c>
    </row>
    <row r="5942" spans="1:2" hidden="1">
      <c r="A5942" s="3">
        <f>IF($B$7080,0.975,-10)</f>
        <v>0.97499999999999998</v>
      </c>
      <c r="B5942" s="3">
        <f>IF($B$7080,0.955,-10)</f>
        <v>0.95499999999999996</v>
      </c>
    </row>
    <row r="5943" spans="1:2" hidden="1">
      <c r="A5943" s="3">
        <f>IF($B$7080,1.025,-10)</f>
        <v>1.0249999999999999</v>
      </c>
      <c r="B5943" s="3">
        <f>IF($B$7080,0.955,-10)</f>
        <v>0.95499999999999996</v>
      </c>
    </row>
    <row r="5944" spans="1:2" hidden="1"/>
    <row r="5945" spans="1:2" hidden="1">
      <c r="A5945" s="3">
        <f>IF($B$7080,IF($B$6&gt;=1,D6121-F6121*$G$5901,-10),-10)</f>
        <v>0.5</v>
      </c>
      <c r="B5945" s="3">
        <f>IF($B$7080,IF($B$6&gt;=1,G6121-F6121*$H$5901,-10),-10)</f>
        <v>0</v>
      </c>
    </row>
    <row r="5946" spans="1:2" hidden="1">
      <c r="A5946" s="3">
        <f>IF($B$7080,IF($B$6&gt;=1,D6121+E6121*$G$5901,-10),-10)</f>
        <v>0.5</v>
      </c>
      <c r="B5946" s="3">
        <f>IF($B$7080,IF($B$6&gt;=1,G6121+E6121*$H$5901,-10),-10)</f>
        <v>1</v>
      </c>
    </row>
    <row r="5947" spans="1:2" hidden="1"/>
    <row r="5948" spans="1:2" hidden="1">
      <c r="A5948" s="3">
        <f>IF($B$7080,IF($B$6&gt;=2,D6122-F6122*$G$5901,-10),-10)</f>
        <v>-10</v>
      </c>
      <c r="B5948" s="3">
        <f>IF($B$7080,IF($B$6&gt;=2,G6122-F6122*$H$5901,-10),-10)</f>
        <v>-10</v>
      </c>
    </row>
    <row r="5949" spans="1:2" hidden="1">
      <c r="A5949" s="3">
        <f>IF($B$7080,IF($B$6&gt;=2,D6122+E6122*$G$5901,-10),-10)</f>
        <v>-10</v>
      </c>
      <c r="B5949" s="3">
        <f>IF($B$7080,IF($B$6&gt;=2,G6122+E6122*$H$5901,-10),-10)</f>
        <v>-10</v>
      </c>
    </row>
    <row r="5950" spans="1:2" hidden="1"/>
    <row r="5951" spans="1:2" hidden="1">
      <c r="A5951" s="3">
        <f>IF($B$7080,IF($B$6&gt;=3,D6123-F6123*$G$5901,-10),-10)</f>
        <v>-10</v>
      </c>
      <c r="B5951" s="3">
        <f>IF($B$7080,IF($B$6&gt;=3,G6123-F6123*$H$5901,-10),-10)</f>
        <v>-10</v>
      </c>
    </row>
    <row r="5952" spans="1:2" hidden="1">
      <c r="A5952" s="3">
        <f>IF($B$7080,IF($B$6&gt;=3,D6123+E6123*$G$5901,-10),-10)</f>
        <v>-10</v>
      </c>
      <c r="B5952" s="3">
        <f>IF($B$7080,IF($B$6&gt;=3,G6123+E6123*$H$5901,-10),-10)</f>
        <v>-10</v>
      </c>
    </row>
    <row r="5953" spans="1:3" hidden="1"/>
    <row r="5954" spans="1:3" hidden="1">
      <c r="A5954" s="3">
        <f>IF($B$7080,IF($B$6&gt;=4,D6124-F6124*$G$5901,-10),-10)</f>
        <v>-10</v>
      </c>
      <c r="B5954" s="3">
        <f>IF($B$7080,IF($B$6&gt;=4,G6124-F6124*$H$5901,-10),-10)</f>
        <v>-10</v>
      </c>
    </row>
    <row r="5955" spans="1:3" hidden="1">
      <c r="A5955" s="3">
        <f>IF($B$7080,IF($B$6&gt;=4,D6124+E6124*$G$5901,-10),-10)</f>
        <v>-10</v>
      </c>
      <c r="B5955" s="3">
        <f>IF($B$7080,IF($B$6&gt;=4,G6124+E6124*$H$5901,-10),-10)</f>
        <v>-10</v>
      </c>
    </row>
    <row r="5956" spans="1:3" hidden="1"/>
    <row r="5957" spans="1:3" hidden="1">
      <c r="A5957" s="3">
        <f>IF($B$7080,IF($B$6&gt;=5,D6125-F6125*$G$5901,-10),-10)</f>
        <v>-10</v>
      </c>
      <c r="B5957" s="3">
        <f>IF($B$7080,IF($B$6&gt;=5,G6125-F6125*$H$5901,-10),-10)</f>
        <v>-10</v>
      </c>
    </row>
    <row r="5958" spans="1:3" hidden="1">
      <c r="A5958" s="3">
        <f>IF($B$7080,IF($B$6&gt;=5,D6125+E6125*$G$5901,-10),-10)</f>
        <v>-10</v>
      </c>
      <c r="B5958" s="3">
        <f>IF($B$7080,IF($B$6&gt;=5,G6125+E6125*$H$5901,-10),-10)</f>
        <v>-10</v>
      </c>
    </row>
    <row r="5959" spans="1:3" hidden="1"/>
    <row r="5960" spans="1:3" hidden="1">
      <c r="A5960" s="3">
        <f>IF($B$7080,IF($I$5901,IF(1&lt;=$F$5901+1,0.5/($F$5901+1),-10),1.18+0.02)+IF(AND($B$3="Cantilever Supported",NOT($I$5901)),0.15,0),-10)</f>
        <v>0.25</v>
      </c>
      <c r="B5960" s="3">
        <f>IF($B$7080,IF($I$5901,1.18,IF(1&lt;=$F$5901+1,0.5/($F$5901+1),-10)),-10)</f>
        <v>1.18</v>
      </c>
      <c r="C5960" s="3" t="str">
        <f>IF($B$7080,IF(AND($E$5901&gt;0,1&lt;=$F$5901+1),"S = "&amp;TEXT(IF($I$5901,$B$4,$E$4)/($F$5901+1),"0.00")&amp;" m",""),0)</f>
        <v>S = 5.00 m</v>
      </c>
    </row>
    <row r="5961" spans="1:3" hidden="1">
      <c r="A5961" s="3">
        <f>IF($B$7080,IF($I$5901,IF(1&lt;=$F$5901+1,0/($F$5901+1),-10),1.18+0.02)+IF(AND($B$3="Cantilever Supported",NOT($I$5901)),0.15,0),-10)</f>
        <v>0</v>
      </c>
      <c r="B5961" s="3">
        <f>IF($B$7080,IF($I$5901,1.18,IF(1&lt;=$F$5901+1,0/($F$5901+1),-10)),-10)</f>
        <v>1.18</v>
      </c>
    </row>
    <row r="5962" spans="1:3" hidden="1">
      <c r="A5962" s="3">
        <f>IF($B$7080,IF($I$5901,IF(1&lt;=$F$5901+1,0/($F$5901+1),-10),1.14+0.02)+IF(AND($B$3="Cantilever Supported",NOT($I$5901)),0.15,0),-10)</f>
        <v>0</v>
      </c>
      <c r="B5962" s="3">
        <f>IF($B$7080,IF($I$5901,1.14,IF(1&lt;=$F$5901+1,0/($F$5901+1),-10)),-10)</f>
        <v>1.1399999999999999</v>
      </c>
    </row>
    <row r="5963" spans="1:3" hidden="1">
      <c r="A5963" s="3">
        <f>IF($B$7080,IF($I$5901,IF(1&lt;=$F$5901+1,0/($F$5901+1),-10),1.22+0.02)+IF(AND($B$3="Cantilever Supported",NOT($I$5901)),0.15,0),-10)</f>
        <v>0</v>
      </c>
      <c r="B5963" s="3">
        <f>IF($B$7080,IF($I$5901,1.22,IF(1&lt;=$F$5901+1,0/($F$5901+1),-10)),-10)</f>
        <v>1.22</v>
      </c>
    </row>
    <row r="5964" spans="1:3" hidden="1">
      <c r="A5964" s="3">
        <f>IF($B$7080,IF($I$5901,IF(1&lt;=$F$5901+1,0/($F$5901+1),-10),1.18+0.02)+IF(AND($B$3="Cantilever Supported",NOT($I$5901)),0.15,0),-10)</f>
        <v>0</v>
      </c>
      <c r="B5964" s="3">
        <f>IF($B$7080,IF($I$5901,1.18,IF(1&lt;=$F$5901+1,0/($F$5901+1),-10)),-10)</f>
        <v>1.18</v>
      </c>
    </row>
    <row r="5965" spans="1:3" hidden="1">
      <c r="A5965" s="3">
        <f>IF($B$7080,IF($I$5901,IF(1&lt;=$F$5901+1,1/($F$5901+1),-10),1.18+0.02)+IF(AND($B$3="Cantilever Supported",NOT($I$5901)),0.15,0),-10)</f>
        <v>0.5</v>
      </c>
      <c r="B5965" s="3">
        <f>IF($B$7080,IF($I$5901,1.18,IF(1&lt;=$F$5901+1,1/($F$5901+1),-10)),-10)</f>
        <v>1.18</v>
      </c>
    </row>
    <row r="5966" spans="1:3" hidden="1">
      <c r="A5966" s="3">
        <f>IF($B$7080,IF($I$5901,IF(1&lt;=$F$5901+1,1/($F$5901+1),-10),1.14+0.02)+IF(AND($B$3="Cantilever Supported",NOT($I$5901)),0.15,0),-10)</f>
        <v>0.5</v>
      </c>
      <c r="B5966" s="3">
        <f>IF($B$7080,IF($I$5901,1.14,IF(1&lt;=$F$5901+1,1/($F$5901+1),-10)),-10)</f>
        <v>1.1399999999999999</v>
      </c>
    </row>
    <row r="5967" spans="1:3" hidden="1">
      <c r="A5967" s="3">
        <f>IF($B$7080,IF($I$5901,IF(1&lt;=$F$5901+1,1/($F$5901+1),-10),1.22+0.02)+IF(AND($B$3="Cantilever Supported",NOT($I$5901)),0.15,0),-10)</f>
        <v>0.5</v>
      </c>
      <c r="B5967" s="3">
        <f>IF($B$7080,IF($I$5901,1.22,IF(1&lt;=$F$5901+1,1/($F$5901+1),-10)),-10)</f>
        <v>1.22</v>
      </c>
    </row>
    <row r="5968" spans="1:3" hidden="1"/>
    <row r="5969" spans="1:3" hidden="1">
      <c r="A5969" s="3">
        <f>IF($B$7080,IF($I$5901,IF(2&lt;=$F$5901+1,1.5/($F$5901+1),-10),1.18+0.02)+IF(AND($B$3="Cantilever Supported",NOT($I$5901)),0.15,0),-10)</f>
        <v>0.75</v>
      </c>
      <c r="B5969" s="3">
        <f>IF($B$7080,IF($I$5901,1.18,IF(2&lt;=$F$5901+1,1.5/($F$5901+1),-10)),-10)</f>
        <v>1.18</v>
      </c>
      <c r="C5969" s="3" t="str">
        <f>IF($B$7080,IF(AND($E$5901&gt;0,2&lt;=$F$5901+1),"S = "&amp;TEXT(IF($I$5901,$B$4,$E$4)/($F$5901+1),"0.00")&amp;" m",""),0)</f>
        <v>S = 5.00 m</v>
      </c>
    </row>
    <row r="5970" spans="1:3" hidden="1">
      <c r="A5970" s="3">
        <f>IF($B$7080,IF($I$5901,IF(2&lt;=$F$5901+1,1/($F$5901+1),-10),1.18+0.02)+IF(AND($B$3="Cantilever Supported",NOT($I$5901)),0.15,0),-10)</f>
        <v>0.5</v>
      </c>
      <c r="B5970" s="3">
        <f>IF($B$7080,IF($I$5901,1.18,IF(2&lt;=$F$5901+1,1/($F$5901+1),-10)),-10)</f>
        <v>1.18</v>
      </c>
    </row>
    <row r="5971" spans="1:3" hidden="1">
      <c r="A5971" s="3">
        <f>IF($B$7080,IF($I$5901,IF(2&lt;=$F$5901+1,1/($F$5901+1),-10),1.14+0.02)+IF(AND($B$3="Cantilever Supported",NOT($I$5901)),0.15,0),-10)</f>
        <v>0.5</v>
      </c>
      <c r="B5971" s="3">
        <f>IF($B$7080,IF($I$5901,1.14,IF(2&lt;=$F$5901+1,1/($F$5901+1),-10)),-10)</f>
        <v>1.1399999999999999</v>
      </c>
    </row>
    <row r="5972" spans="1:3" hidden="1">
      <c r="A5972" s="3">
        <f>IF($B$7080,IF($I$5901,IF(2&lt;=$F$5901+1,1/($F$5901+1),-10),1.22+0.02)+IF(AND($B$3="Cantilever Supported",NOT($I$5901)),0.15,0),-10)</f>
        <v>0.5</v>
      </c>
      <c r="B5972" s="3">
        <f>IF($B$7080,IF($I$5901,1.22,IF(2&lt;=$F$5901+1,1/($F$5901+1),-10)),-10)</f>
        <v>1.22</v>
      </c>
    </row>
    <row r="5973" spans="1:3" hidden="1">
      <c r="A5973" s="3">
        <f>IF($B$7080,IF($I$5901,IF(2&lt;=$F$5901+1,1/($F$5901+1),-10),1.18+0.02)+IF(AND($B$3="Cantilever Supported",NOT($I$5901)),0.15,0),-10)</f>
        <v>0.5</v>
      </c>
      <c r="B5973" s="3">
        <f>IF($B$7080,IF($I$5901,1.18,IF(2&lt;=$F$5901+1,1/($F$5901+1),-10)),-10)</f>
        <v>1.18</v>
      </c>
    </row>
    <row r="5974" spans="1:3" hidden="1">
      <c r="A5974" s="3">
        <f>IF($B$7080,IF($I$5901,IF(2&lt;=$F$5901+1,2/($F$5901+1),-10),1.18+0.02)+IF(AND($B$3="Cantilever Supported",NOT($I$5901)),0.15,0),-10)</f>
        <v>1</v>
      </c>
      <c r="B5974" s="3">
        <f>IF($B$7080,IF($I$5901,1.18,IF(2&lt;=$F$5901+1,2/($F$5901+1),-10)),-10)</f>
        <v>1.18</v>
      </c>
    </row>
    <row r="5975" spans="1:3" hidden="1">
      <c r="A5975" s="3">
        <f>IF($B$7080,IF($I$5901,IF(2&lt;=$F$5901+1,2/($F$5901+1),-10),1.14+0.02)+IF(AND($B$3="Cantilever Supported",NOT($I$5901)),0.15,0),-10)</f>
        <v>1</v>
      </c>
      <c r="B5975" s="3">
        <f>IF($B$7080,IF($I$5901,1.14,IF(2&lt;=$F$5901+1,2/($F$5901+1),-10)),-10)</f>
        <v>1.1399999999999999</v>
      </c>
    </row>
    <row r="5976" spans="1:3" hidden="1">
      <c r="A5976" s="3">
        <f>IF($B$7080,IF($I$5901,IF(2&lt;=$F$5901+1,2/($F$5901+1),-10),1.22+0.02)+IF(AND($B$3="Cantilever Supported",NOT($I$5901)),0.15,0),-10)</f>
        <v>1</v>
      </c>
      <c r="B5976" s="3">
        <f>IF($B$7080,IF($I$5901,1.22,IF(2&lt;=$F$5901+1,2/($F$5901+1),-10)),-10)</f>
        <v>1.22</v>
      </c>
    </row>
    <row r="5977" spans="1:3" hidden="1"/>
    <row r="5978" spans="1:3" hidden="1">
      <c r="A5978" s="3">
        <f>IF($B$7080,IF($I$5901,IF(3&lt;=$F$5901+1,2.5/($F$5901+1),-10),1.18+0.02)+IF(AND($B$3="Cantilever Supported",NOT($I$5901)),0.15,0),-10)</f>
        <v>-10</v>
      </c>
      <c r="B5978" s="3">
        <f>IF($B$7080,IF($I$5901,1.18,IF(3&lt;=$F$5901+1,2.5/($F$5901+1),-10)),-10)</f>
        <v>1.18</v>
      </c>
      <c r="C5978" s="3" t="str">
        <f>IF($B$7080,IF(AND($E$5901&gt;0,3&lt;=$F$5901+1),"S = "&amp;TEXT(IF($I$5901,$B$4,$E$4)/($F$5901+1),"0.00")&amp;" m",""),0)</f>
        <v/>
      </c>
    </row>
    <row r="5979" spans="1:3" hidden="1">
      <c r="A5979" s="3">
        <f>IF($B$7080,IF($I$5901,IF(3&lt;=$F$5901+1,2/($F$5901+1),-10),1.18+0.02)+IF(AND($B$3="Cantilever Supported",NOT($I$5901)),0.15,0),-10)</f>
        <v>-10</v>
      </c>
      <c r="B5979" s="3">
        <f>IF($B$7080,IF($I$5901,1.18,IF(3&lt;=$F$5901+1,2/($F$5901+1),-10)),-10)</f>
        <v>1.18</v>
      </c>
    </row>
    <row r="5980" spans="1:3" hidden="1">
      <c r="A5980" s="3">
        <f>IF($B$7080,IF($I$5901,IF(3&lt;=$F$5901+1,2/($F$5901+1),-10),1.14+0.02)+IF(AND($B$3="Cantilever Supported",NOT($I$5901)),0.15,0),-10)</f>
        <v>-10</v>
      </c>
      <c r="B5980" s="3">
        <f>IF($B$7080,IF($I$5901,1.14,IF(3&lt;=$F$5901+1,2/($F$5901+1),-10)),-10)</f>
        <v>1.1399999999999999</v>
      </c>
    </row>
    <row r="5981" spans="1:3" hidden="1">
      <c r="A5981" s="3">
        <f>IF($B$7080,IF($I$5901,IF(3&lt;=$F$5901+1,2/($F$5901+1),-10),1.22+0.02)+IF(AND($B$3="Cantilever Supported",NOT($I$5901)),0.15,0),-10)</f>
        <v>-10</v>
      </c>
      <c r="B5981" s="3">
        <f>IF($B$7080,IF($I$5901,1.22,IF(3&lt;=$F$5901+1,2/($F$5901+1),-10)),-10)</f>
        <v>1.22</v>
      </c>
    </row>
    <row r="5982" spans="1:3" hidden="1">
      <c r="A5982" s="3">
        <f>IF($B$7080,IF($I$5901,IF(3&lt;=$F$5901+1,2/($F$5901+1),-10),1.18+0.02)+IF(AND($B$3="Cantilever Supported",NOT($I$5901)),0.15,0),-10)</f>
        <v>-10</v>
      </c>
      <c r="B5982" s="3">
        <f>IF($B$7080,IF($I$5901,1.18,IF(3&lt;=$F$5901+1,2/($F$5901+1),-10)),-10)</f>
        <v>1.18</v>
      </c>
    </row>
    <row r="5983" spans="1:3" hidden="1">
      <c r="A5983" s="3">
        <f>IF($B$7080,IF($I$5901,IF(3&lt;=$F$5901+1,3/($F$5901+1),-10),1.18+0.02)+IF(AND($B$3="Cantilever Supported",NOT($I$5901)),0.15,0),-10)</f>
        <v>-10</v>
      </c>
      <c r="B5983" s="3">
        <f>IF($B$7080,IF($I$5901,1.18,IF(3&lt;=$F$5901+1,3/($F$5901+1),-10)),-10)</f>
        <v>1.18</v>
      </c>
    </row>
    <row r="5984" spans="1:3" hidden="1">
      <c r="A5984" s="3">
        <f>IF($B$7080,IF($I$5901,IF(3&lt;=$F$5901+1,3/($F$5901+1),-10),1.14+0.02)+IF(AND($B$3="Cantilever Supported",NOT($I$5901)),0.15,0),-10)</f>
        <v>-10</v>
      </c>
      <c r="B5984" s="3">
        <f>IF($B$7080,IF($I$5901,1.14,IF(3&lt;=$F$5901+1,3/($F$5901+1),-10)),-10)</f>
        <v>1.1399999999999999</v>
      </c>
    </row>
    <row r="5985" spans="1:3" hidden="1">
      <c r="A5985" s="3">
        <f>IF($B$7080,IF($I$5901,IF(3&lt;=$F$5901+1,3/($F$5901+1),-10),1.22+0.02)+IF(AND($B$3="Cantilever Supported",NOT($I$5901)),0.15,0),-10)</f>
        <v>-10</v>
      </c>
      <c r="B5985" s="3">
        <f>IF($B$7080,IF($I$5901,1.22,IF(3&lt;=$F$5901+1,3/($F$5901+1),-10)),-10)</f>
        <v>1.22</v>
      </c>
    </row>
    <row r="5986" spans="1:3" hidden="1"/>
    <row r="5987" spans="1:3" hidden="1">
      <c r="A5987" s="3">
        <f>IF($B$7080,IF($I$5901,IF(4&lt;=$F$5901+1,3.5/($F$5901+1),-10),1.18+0.02)+IF(AND($B$3="Cantilever Supported",NOT($I$5901)),0.15,0),-10)</f>
        <v>-10</v>
      </c>
      <c r="B5987" s="3">
        <f>IF($B$7080,IF($I$5901,1.18,IF(4&lt;=$F$5901+1,3.5/($F$5901+1),-10)),-10)</f>
        <v>1.18</v>
      </c>
      <c r="C5987" s="3" t="str">
        <f>IF($B$7080,IF(AND($E$5901&gt;0,4&lt;=$F$5901+1),"S = "&amp;TEXT(IF($I$5901,$B$4,$E$4)/($F$5901+1),"0.00")&amp;" m",""),0)</f>
        <v/>
      </c>
    </row>
    <row r="5988" spans="1:3" hidden="1">
      <c r="A5988" s="3">
        <f>IF($B$7080,IF($I$5901,IF(4&lt;=$F$5901+1,3/($F$5901+1),-10),1.18+0.02)+IF(AND($B$3="Cantilever Supported",NOT($I$5901)),0.15,0),-10)</f>
        <v>-10</v>
      </c>
      <c r="B5988" s="3">
        <f>IF($B$7080,IF($I$5901,1.18,IF(4&lt;=$F$5901+1,3/($F$5901+1),-10)),-10)</f>
        <v>1.18</v>
      </c>
    </row>
    <row r="5989" spans="1:3" hidden="1">
      <c r="A5989" s="3">
        <f>IF($B$7080,IF($I$5901,IF(4&lt;=$F$5901+1,3/($F$5901+1),-10),1.14+0.02)+IF(AND($B$3="Cantilever Supported",NOT($I$5901)),0.15,0),-10)</f>
        <v>-10</v>
      </c>
      <c r="B5989" s="3">
        <f>IF($B$7080,IF($I$5901,1.14,IF(4&lt;=$F$5901+1,3/($F$5901+1),-10)),-10)</f>
        <v>1.1399999999999999</v>
      </c>
    </row>
    <row r="5990" spans="1:3" hidden="1">
      <c r="A5990" s="3">
        <f>IF($B$7080,IF($I$5901,IF(4&lt;=$F$5901+1,3/($F$5901+1),-10),1.22+0.02)+IF(AND($B$3="Cantilever Supported",NOT($I$5901)),0.15,0),-10)</f>
        <v>-10</v>
      </c>
      <c r="B5990" s="3">
        <f>IF($B$7080,IF($I$5901,1.22,IF(4&lt;=$F$5901+1,3/($F$5901+1),-10)),-10)</f>
        <v>1.22</v>
      </c>
    </row>
    <row r="5991" spans="1:3" hidden="1">
      <c r="A5991" s="3">
        <f>IF($B$7080,IF($I$5901,IF(4&lt;=$F$5901+1,3/($F$5901+1),-10),1.18+0.02)+IF(AND($B$3="Cantilever Supported",NOT($I$5901)),0.15,0),-10)</f>
        <v>-10</v>
      </c>
      <c r="B5991" s="3">
        <f>IF($B$7080,IF($I$5901,1.18,IF(4&lt;=$F$5901+1,3/($F$5901+1),-10)),-10)</f>
        <v>1.18</v>
      </c>
    </row>
    <row r="5992" spans="1:3" hidden="1">
      <c r="A5992" s="3">
        <f>IF($B$7080,IF($I$5901,IF(4&lt;=$F$5901+1,4/($F$5901+1),-10),1.18+0.02)+IF(AND($B$3="Cantilever Supported",NOT($I$5901)),0.15,0),-10)</f>
        <v>-10</v>
      </c>
      <c r="B5992" s="3">
        <f>IF($B$7080,IF($I$5901,1.18,IF(4&lt;=$F$5901+1,4/($F$5901+1),-10)),-10)</f>
        <v>1.18</v>
      </c>
    </row>
    <row r="5993" spans="1:3" hidden="1">
      <c r="A5993" s="3">
        <f>IF($B$7080,IF($I$5901,IF(4&lt;=$F$5901+1,4/($F$5901+1),-10),1.14+0.02)+IF(AND($B$3="Cantilever Supported",NOT($I$5901)),0.15,0),-10)</f>
        <v>-10</v>
      </c>
      <c r="B5993" s="3">
        <f>IF($B$7080,IF($I$5901,1.14,IF(4&lt;=$F$5901+1,4/($F$5901+1),-10)),-10)</f>
        <v>1.1399999999999999</v>
      </c>
    </row>
    <row r="5994" spans="1:3" hidden="1">
      <c r="A5994" s="3">
        <f>IF($B$7080,IF($I$5901,IF(4&lt;=$F$5901+1,4/($F$5901+1),-10),1.22+0.02)+IF(AND($B$3="Cantilever Supported",NOT($I$5901)),0.15,0),-10)</f>
        <v>-10</v>
      </c>
      <c r="B5994" s="3">
        <f>IF($B$7080,IF($I$5901,1.22,IF(4&lt;=$F$5901+1,4/($F$5901+1),-10)),-10)</f>
        <v>1.22</v>
      </c>
    </row>
    <row r="5995" spans="1:3" hidden="1"/>
    <row r="5996" spans="1:3" hidden="1">
      <c r="A5996" s="3">
        <f>IF($B$7080,IF($I$5901,IF(5&lt;=$F$5901+1,4.5/($F$5901+1),-10),1.18+0.02)+IF(AND($B$3="Cantilever Supported",NOT($I$5901)),0.15,0),-10)</f>
        <v>-10</v>
      </c>
      <c r="B5996" s="3">
        <f>IF($B$7080,IF($I$5901,1.18,IF(5&lt;=$F$5901+1,4.5/($F$5901+1),-10)),-10)</f>
        <v>1.18</v>
      </c>
      <c r="C5996" s="3" t="str">
        <f>IF($B$7080,IF(AND($E$5901&gt;0,5&lt;=$F$5901+1),"S = "&amp;TEXT(IF($I$5901,$B$4,$E$4)/($F$5901+1),"0.00")&amp;" m",""),0)</f>
        <v/>
      </c>
    </row>
    <row r="5997" spans="1:3" hidden="1">
      <c r="A5997" s="3">
        <f>IF($B$7080,IF($I$5901,IF(5&lt;=$F$5901+1,4/($F$5901+1),-10),1.18+0.02)+IF(AND($B$3="Cantilever Supported",NOT($I$5901)),0.15,0),-10)</f>
        <v>-10</v>
      </c>
      <c r="B5997" s="3">
        <f>IF($B$7080,IF($I$5901,1.18,IF(5&lt;=$F$5901+1,4/($F$5901+1),-10)),-10)</f>
        <v>1.18</v>
      </c>
    </row>
    <row r="5998" spans="1:3" hidden="1">
      <c r="A5998" s="3">
        <f>IF($B$7080,IF($I$5901,IF(5&lt;=$F$5901+1,4/($F$5901+1),-10),1.14+0.02)+IF(AND($B$3="Cantilever Supported",NOT($I$5901)),0.15,0),-10)</f>
        <v>-10</v>
      </c>
      <c r="B5998" s="3">
        <f>IF($B$7080,IF($I$5901,1.14,IF(5&lt;=$F$5901+1,4/($F$5901+1),-10)),-10)</f>
        <v>1.1399999999999999</v>
      </c>
    </row>
    <row r="5999" spans="1:3" hidden="1">
      <c r="A5999" s="3">
        <f>IF($B$7080,IF($I$5901,IF(5&lt;=$F$5901+1,4/($F$5901+1),-10),1.22+0.02)+IF(AND($B$3="Cantilever Supported",NOT($I$5901)),0.15,0),-10)</f>
        <v>-10</v>
      </c>
      <c r="B5999" s="3">
        <f>IF($B$7080,IF($I$5901,1.22,IF(5&lt;=$F$5901+1,4/($F$5901+1),-10)),-10)</f>
        <v>1.22</v>
      </c>
    </row>
    <row r="6000" spans="1:3" hidden="1">
      <c r="A6000" s="3">
        <f>IF($B$7080,IF($I$5901,IF(5&lt;=$F$5901+1,4/($F$5901+1),-10),1.18+0.02)+IF(AND($B$3="Cantilever Supported",NOT($I$5901)),0.15,0),-10)</f>
        <v>-10</v>
      </c>
      <c r="B6000" s="3">
        <f>IF($B$7080,IF($I$5901,1.18,IF(5&lt;=$F$5901+1,4/($F$5901+1),-10)),-10)</f>
        <v>1.18</v>
      </c>
    </row>
    <row r="6001" spans="1:3" hidden="1">
      <c r="A6001" s="3">
        <f>IF($B$7080,IF($I$5901,IF(5&lt;=$F$5901+1,5/($F$5901+1),-10),1.18+0.02)+IF(AND($B$3="Cantilever Supported",NOT($I$5901)),0.15,0),-10)</f>
        <v>-10</v>
      </c>
      <c r="B6001" s="3">
        <f>IF($B$7080,IF($I$5901,1.18,IF(5&lt;=$F$5901+1,5/($F$5901+1),-10)),-10)</f>
        <v>1.18</v>
      </c>
    </row>
    <row r="6002" spans="1:3" hidden="1">
      <c r="A6002" s="3">
        <f>IF($B$7080,IF($I$5901,IF(5&lt;=$F$5901+1,5/($F$5901+1),-10),1.14+0.02)+IF(AND($B$3="Cantilever Supported",NOT($I$5901)),0.15,0),-10)</f>
        <v>-10</v>
      </c>
      <c r="B6002" s="3">
        <f>IF($B$7080,IF($I$5901,1.14,IF(5&lt;=$F$5901+1,5/($F$5901+1),-10)),-10)</f>
        <v>1.1399999999999999</v>
      </c>
    </row>
    <row r="6003" spans="1:3" hidden="1">
      <c r="A6003" s="3">
        <f>IF($B$7080,IF($I$5901,IF(5&lt;=$F$5901+1,5/($F$5901+1),-10),1.22+0.02)+IF(AND($B$3="Cantilever Supported",NOT($I$5901)),0.15,0),-10)</f>
        <v>-10</v>
      </c>
      <c r="B6003" s="3">
        <f>IF($B$7080,IF($I$5901,1.22,IF(5&lt;=$F$5901+1,5/($F$5901+1),-10)),-10)</f>
        <v>1.22</v>
      </c>
    </row>
    <row r="6004" spans="1:3" hidden="1"/>
    <row r="6005" spans="1:3" hidden="1">
      <c r="A6005" s="3">
        <f>IF($B$7080,IF($I$5901,IF(6&lt;=$F$5901+1,5.5/($F$5901+1),-10),1.18+0.02)+IF(AND($B$3="Cantilever Supported",NOT($I$5901)),0.15,0),-10)</f>
        <v>-10</v>
      </c>
      <c r="B6005" s="3">
        <f>IF($B$7080,IF($I$5901,1.18,IF(6&lt;=$F$5901+1,5.5/($F$5901+1),-10)),-10)</f>
        <v>1.18</v>
      </c>
      <c r="C6005" s="3" t="str">
        <f>IF($B$7080,IF(AND($E$5901&gt;0,6&lt;=$F$5901+1),"S = "&amp;TEXT(IF($I$5901,$B$4,$E$4)/($F$5901+1),"0.00")&amp;" m",""),0)</f>
        <v/>
      </c>
    </row>
    <row r="6006" spans="1:3" hidden="1">
      <c r="A6006" s="3">
        <f>IF($B$7080,IF($I$5901,IF(6&lt;=$F$5901+1,5/($F$5901+1),-10),1.18+0.02)+IF(AND($B$3="Cantilever Supported",NOT($I$5901)),0.15,0),-10)</f>
        <v>-10</v>
      </c>
      <c r="B6006" s="3">
        <f>IF($B$7080,IF($I$5901,1.18,IF(6&lt;=$F$5901+1,5/($F$5901+1),-10)),-10)</f>
        <v>1.18</v>
      </c>
    </row>
    <row r="6007" spans="1:3" hidden="1">
      <c r="A6007" s="3">
        <f>IF($B$7080,IF($I$5901,IF(6&lt;=$F$5901+1,5/($F$5901+1),-10),1.14+0.02)+IF(AND($B$3="Cantilever Supported",NOT($I$5901)),0.15,0),-10)</f>
        <v>-10</v>
      </c>
      <c r="B6007" s="3">
        <f>IF($B$7080,IF($I$5901,1.14,IF(6&lt;=$F$5901+1,5/($F$5901+1),-10)),-10)</f>
        <v>1.1399999999999999</v>
      </c>
    </row>
    <row r="6008" spans="1:3" hidden="1">
      <c r="A6008" s="3">
        <f>IF($B$7080,IF($I$5901,IF(6&lt;=$F$5901+1,5/($F$5901+1),-10),1.22+0.02)+IF(AND($B$3="Cantilever Supported",NOT($I$5901)),0.15,0),-10)</f>
        <v>-10</v>
      </c>
      <c r="B6008" s="3">
        <f>IF($B$7080,IF($I$5901,1.22,IF(6&lt;=$F$5901+1,5/($F$5901+1),-10)),-10)</f>
        <v>1.22</v>
      </c>
    </row>
    <row r="6009" spans="1:3" hidden="1">
      <c r="A6009" s="3">
        <f>IF($B$7080,IF($I$5901,IF(6&lt;=$F$5901+1,5/($F$5901+1),-10),1.18+0.02)+IF(AND($B$3="Cantilever Supported",NOT($I$5901)),0.15,0),-10)</f>
        <v>-10</v>
      </c>
      <c r="B6009" s="3">
        <f>IF($B$7080,IF($I$5901,1.18,IF(6&lt;=$F$5901+1,5/($F$5901+1),-10)),-10)</f>
        <v>1.18</v>
      </c>
    </row>
    <row r="6010" spans="1:3" hidden="1">
      <c r="A6010" s="3">
        <f>IF($B$7080,IF($I$5901,IF(6&lt;=$F$5901+1,6/($F$5901+1),-10),1.18+0.02)+IF(AND($B$3="Cantilever Supported",NOT($I$5901)),0.15,0),-10)</f>
        <v>-10</v>
      </c>
      <c r="B6010" s="3">
        <f>IF($B$7080,IF($I$5901,1.18,IF(6&lt;=$F$5901+1,6/($F$5901+1),-10)),-10)</f>
        <v>1.18</v>
      </c>
    </row>
    <row r="6011" spans="1:3" hidden="1">
      <c r="A6011" s="3">
        <f>IF($B$7080,IF($I$5901,IF(6&lt;=$F$5901+1,6/($F$5901+1),-10),1.14+0.02)+IF(AND($B$3="Cantilever Supported",NOT($I$5901)),0.15,0),-10)</f>
        <v>-10</v>
      </c>
      <c r="B6011" s="3">
        <f>IF($B$7080,IF($I$5901,1.14,IF(6&lt;=$F$5901+1,6/($F$5901+1),-10)),-10)</f>
        <v>1.1399999999999999</v>
      </c>
    </row>
    <row r="6012" spans="1:3" hidden="1">
      <c r="A6012" s="3">
        <f>IF($B$7080,IF($I$5901,IF(6&lt;=$F$5901+1,6/($F$5901+1),-10),1.22+0.02)+IF(AND($B$3="Cantilever Supported",NOT($I$5901)),0.15,0),-10)</f>
        <v>-10</v>
      </c>
      <c r="B6012" s="3">
        <f>IF($B$7080,IF($I$5901,1.22,IF(6&lt;=$F$5901+1,6/($F$5901+1),-10)),-10)</f>
        <v>1.22</v>
      </c>
    </row>
    <row r="6013" spans="1:3" hidden="1"/>
    <row r="6014" spans="1:3" hidden="1">
      <c r="A6014" s="3">
        <f>IF($B$7080,0.5,-10)</f>
        <v>0.5</v>
      </c>
      <c r="B6014" s="3">
        <f>IF($B$7080,-0.18,-10)</f>
        <v>-0.18</v>
      </c>
      <c r="C6014" s="3" t="str">
        <f>IF($B$7080,"X1 = "&amp;TEXT(B4,"0.00")&amp;" m",0)</f>
        <v>X1 = 10.00 m</v>
      </c>
    </row>
    <row r="6015" spans="1:3" hidden="1">
      <c r="A6015" s="3">
        <f>IF($B$7080,0,-10)</f>
        <v>0</v>
      </c>
      <c r="B6015" s="3">
        <f>IF($B$7080,-0.18,-10)</f>
        <v>-0.18</v>
      </c>
    </row>
    <row r="6016" spans="1:3" hidden="1">
      <c r="A6016" s="3">
        <f>IF($B$7080,0,-10)</f>
        <v>0</v>
      </c>
      <c r="B6016" s="3">
        <f>IF($B$7080,-0.14,-10)</f>
        <v>-0.14000000000000001</v>
      </c>
    </row>
    <row r="6017" spans="1:3" hidden="1">
      <c r="A6017" s="3">
        <f>IF($B$7080,0,-10)</f>
        <v>0</v>
      </c>
      <c r="B6017" s="3">
        <f>IF($B$7080,-0.22,-10)</f>
        <v>-0.22</v>
      </c>
    </row>
    <row r="6018" spans="1:3" hidden="1">
      <c r="A6018" s="3">
        <f>IF($B$7080,0,-10)</f>
        <v>0</v>
      </c>
      <c r="B6018" s="3">
        <f>IF($B$7080,-0.18,-10)</f>
        <v>-0.18</v>
      </c>
    </row>
    <row r="6019" spans="1:3" hidden="1">
      <c r="A6019" s="3">
        <f>IF($B$7080,1,-10)</f>
        <v>1</v>
      </c>
      <c r="B6019" s="3">
        <f>IF($B$7080,-0.18,-10)</f>
        <v>-0.18</v>
      </c>
    </row>
    <row r="6020" spans="1:3" hidden="1">
      <c r="A6020" s="3">
        <f>IF($B$7080,1,-10)</f>
        <v>1</v>
      </c>
      <c r="B6020" s="3">
        <f>IF($B$7080,-0.14,-10)</f>
        <v>-0.14000000000000001</v>
      </c>
    </row>
    <row r="6021" spans="1:3" hidden="1">
      <c r="A6021" s="3">
        <f>IF($B$7080,1,-10)</f>
        <v>1</v>
      </c>
      <c r="B6021" s="3">
        <f>IF($B$7080,-0.22,-10)</f>
        <v>-0.22</v>
      </c>
    </row>
    <row r="6022" spans="1:3" hidden="1"/>
    <row r="6023" spans="1:3" hidden="1">
      <c r="A6023" s="3">
        <f>IF($B$7080,-0.12,-10)</f>
        <v>-0.12</v>
      </c>
      <c r="B6023" s="3">
        <f>IF($B$7080,0.5,-10)</f>
        <v>0.5</v>
      </c>
      <c r="C6023" s="3" t="str">
        <f>IF($B$7080,"Y = "&amp;TEXT($E$4,"0.00")&amp;" m",0)</f>
        <v>Y = 2.50 m</v>
      </c>
    </row>
    <row r="6024" spans="1:3" hidden="1">
      <c r="A6024" s="3">
        <f>IF($B$7080,-0.12,-10)</f>
        <v>-0.12</v>
      </c>
      <c r="B6024" s="3">
        <f>IF($B$7080,0,-10)</f>
        <v>0</v>
      </c>
    </row>
    <row r="6025" spans="1:3" hidden="1">
      <c r="A6025" s="3">
        <f>IF($B$7080,-0.1,-10)</f>
        <v>-0.1</v>
      </c>
      <c r="B6025" s="3">
        <f>IF($B$7080,0,-10)</f>
        <v>0</v>
      </c>
    </row>
    <row r="6026" spans="1:3" hidden="1">
      <c r="A6026" s="3">
        <f>IF($B$7080,-0.14,-10)</f>
        <v>-0.14000000000000001</v>
      </c>
      <c r="B6026" s="3">
        <f>IF($B$7080,0,-10)</f>
        <v>0</v>
      </c>
    </row>
    <row r="6027" spans="1:3" hidden="1">
      <c r="A6027" s="3">
        <f>IF($B$7080,-0.12,-10)</f>
        <v>-0.12</v>
      </c>
      <c r="B6027" s="3">
        <f>IF($B$7080,0,-10)</f>
        <v>0</v>
      </c>
    </row>
    <row r="6028" spans="1:3" hidden="1">
      <c r="A6028" s="3">
        <f>IF($B$7080,-0.12,-10)</f>
        <v>-0.12</v>
      </c>
      <c r="B6028" s="3">
        <f>IF($B$7080,1,-10)</f>
        <v>1</v>
      </c>
    </row>
    <row r="6029" spans="1:3" hidden="1">
      <c r="A6029" s="3">
        <f>IF($B$7080,-0.1,-10)</f>
        <v>-0.1</v>
      </c>
      <c r="B6029" s="3">
        <f>IF($B$7080,1,-10)</f>
        <v>1</v>
      </c>
    </row>
    <row r="6030" spans="1:3" hidden="1">
      <c r="A6030" s="3">
        <f>IF($B$7080,-0.14,-10)</f>
        <v>-0.14000000000000001</v>
      </c>
      <c r="B6030" s="3">
        <f>IF($B$7080,1,-10)</f>
        <v>1</v>
      </c>
    </row>
    <row r="6031" spans="1:3" hidden="1"/>
    <row r="6032" spans="1:3" hidden="1"/>
    <row r="6121" spans="4:7" hidden="1">
      <c r="D6121" s="3">
        <f>IF($B$7080,IF($I$5901,(1)/($B$6+1),0.5),0)</f>
        <v>0.5</v>
      </c>
      <c r="E6121" s="3">
        <f>IF($B$7080,MIN(IF(ABS($G$5901)&lt;0.0000000001,10000000000,IF(1*$G$5901&gt;0,(1-D6121)/ABS($G$5901),D6121/ABS($G$5901))),IF(ABS($H$5901)&lt;0.0000000001,10000000000,IF(1*$H$5901&gt;0,(1-G6121)/ABS($H$5901),G6121/ABS($H$5901)))),0)</f>
        <v>1.25</v>
      </c>
      <c r="F6121" s="3">
        <f>IF($B$7080,MIN(IF(ABS($G$5901)&lt;0.0000000001,10000000000,IF(-1*$G$5901&gt;0,(1-D6121)/ABS($G$5901),D6121/ABS($G$5901))),IF(ABS($H$5901)&lt;0.0000000001,10000000000,IF(-1*$H$5901&gt;0,(1-G6121)/ABS($H$5901),G6121/ABS($H$5901)))),0)</f>
        <v>1.25</v>
      </c>
      <c r="G6121" s="3">
        <f>IF($B$7080,IF($I$5901,0.5,(1)/($B$6+1)),0)</f>
        <v>0.5</v>
      </c>
    </row>
    <row r="6122" spans="4:7" hidden="1">
      <c r="D6122" s="3">
        <f>IF($B$7080,IF($I$5901,(2)/($B$6+1),0.5),0)</f>
        <v>1</v>
      </c>
      <c r="E6122" s="3">
        <f>IF($B$7080,MIN(IF(ABS($G$5901)&lt;0.0000000001,10000000000,IF(1*$G$5901&gt;0,(1-D6122)/ABS($G$5901),D6122/ABS($G$5901))),IF(ABS($H$5901)&lt;0.0000000001,10000000000,IF(1*$H$5901&gt;0,(1-G6122)/ABS($H$5901),G6122/ABS($H$5901)))),0)</f>
        <v>1.25</v>
      </c>
      <c r="F6122" s="3">
        <f>IF($B$7080,MIN(IF(ABS($G$5901)&lt;0.0000000001,10000000000,IF(-1*$G$5901&gt;0,(1-D6122)/ABS($G$5901),D6122/ABS($G$5901))),IF(ABS($H$5901)&lt;0.0000000001,10000000000,IF(-1*$H$5901&gt;0,(1-G6122)/ABS($H$5901),G6122/ABS($H$5901)))),0)</f>
        <v>1.25</v>
      </c>
      <c r="G6122" s="3">
        <f>IF($B$7080,IF($I$5901,0.5,(2)/($B$6+1)),0)</f>
        <v>0.5</v>
      </c>
    </row>
    <row r="6123" spans="4:7" hidden="1">
      <c r="D6123" s="3">
        <f>IF($B$7080,IF($I$5901,(3)/($B$6+1),0.5),0)</f>
        <v>1.5</v>
      </c>
      <c r="E6123" s="3">
        <f>IF($B$7080,MIN(IF(ABS($G$5901)&lt;0.0000000001,10000000000,IF(1*$G$5901&gt;0,(1-D6123)/ABS($G$5901),D6123/ABS($G$5901))),IF(ABS($H$5901)&lt;0.0000000001,10000000000,IF(1*$H$5901&gt;0,(1-G6123)/ABS($H$5901),G6123/ABS($H$5901)))),0)</f>
        <v>1.25</v>
      </c>
      <c r="F6123" s="3">
        <f>IF($B$7080,MIN(IF(ABS($G$5901)&lt;0.0000000001,10000000000,IF(-1*$G$5901&gt;0,(1-D6123)/ABS($G$5901),D6123/ABS($G$5901))),IF(ABS($H$5901)&lt;0.0000000001,10000000000,IF(-1*$H$5901&gt;0,(1-G6123)/ABS($H$5901),G6123/ABS($H$5901)))),0)</f>
        <v>1.25</v>
      </c>
      <c r="G6123" s="3">
        <f>IF($B$7080,IF($I$5901,0.5,(3)/($B$6+1)),0)</f>
        <v>0.5</v>
      </c>
    </row>
    <row r="6124" spans="4:7" hidden="1">
      <c r="D6124" s="3">
        <f>IF($B$7080,IF($I$5901,(4)/($B$6+1),0.5),0)</f>
        <v>2</v>
      </c>
      <c r="E6124" s="3">
        <f>IF($B$7080,MIN(IF(ABS($G$5901)&lt;0.0000000001,10000000000,IF(1*$G$5901&gt;0,(1-D6124)/ABS($G$5901),D6124/ABS($G$5901))),IF(ABS($H$5901)&lt;0.0000000001,10000000000,IF(1*$H$5901&gt;0,(1-G6124)/ABS($H$5901),G6124/ABS($H$5901)))),0)</f>
        <v>1.25</v>
      </c>
      <c r="F6124" s="3">
        <f>IF($B$7080,MIN(IF(ABS($G$5901)&lt;0.0000000001,10000000000,IF(-1*$G$5901&gt;0,(1-D6124)/ABS($G$5901),D6124/ABS($G$5901))),IF(ABS($H$5901)&lt;0.0000000001,10000000000,IF(-1*$H$5901&gt;0,(1-G6124)/ABS($H$5901),G6124/ABS($H$5901)))),0)</f>
        <v>1.25</v>
      </c>
      <c r="G6124" s="3">
        <f>IF($B$7080,IF($I$5901,0.5,(4)/($B$6+1)),0)</f>
        <v>0.5</v>
      </c>
    </row>
    <row r="6125" spans="4:7" hidden="1">
      <c r="D6125" s="3">
        <f>IF($B$7080,IF($I$5901,(5)/($B$6+1),0.5),0)</f>
        <v>2.5</v>
      </c>
      <c r="E6125" s="3">
        <f>IF($B$7080,MIN(IF(ABS($G$5901)&lt;0.0000000001,10000000000,IF(1*$G$5901&gt;0,(1-D6125)/ABS($G$5901),D6125/ABS($G$5901))),IF(ABS($H$5901)&lt;0.0000000001,10000000000,IF(1*$H$5901&gt;0,(1-G6125)/ABS($H$5901),G6125/ABS($H$5901)))),0)</f>
        <v>1.25</v>
      </c>
      <c r="F6125" s="3">
        <f>IF($B$7080,MIN(IF(ABS($G$5901)&lt;0.0000000001,10000000000,IF(-1*$G$5901&gt;0,(1-D6125)/ABS($G$5901),D6125/ABS($G$5901))),IF(ABS($H$5901)&lt;0.0000000001,10000000000,IF(-1*$H$5901&gt;0,(1-G6125)/ABS($H$5901),G6125/ABS($H$5901)))),0)</f>
        <v>1.25</v>
      </c>
      <c r="G6125" s="3">
        <f>IF($B$7080,IF($I$5901,0.5,(5)/($B$6+1)),0)</f>
        <v>0.5</v>
      </c>
    </row>
    <row r="6300" spans="1:3" hidden="1">
      <c r="A6300" s="3">
        <f>IF($B$7080,IF($B$6&gt;=1,D6121,-10),-10)</f>
        <v>0.5</v>
      </c>
      <c r="B6300" s="3">
        <f>IF($B$7080,G6121,-10)</f>
        <v>0.5</v>
      </c>
      <c r="C6300" s="3" t="str">
        <f>IF($B$7080,IF($B$6&gt;=1,"SB1",""),0)</f>
        <v>SB1</v>
      </c>
    </row>
    <row r="6301" spans="1:3" hidden="1">
      <c r="A6301" s="3">
        <f>IF($B$7080,IF($B$6&gt;=2,D6122,-10),-10)</f>
        <v>-10</v>
      </c>
      <c r="B6301" s="3">
        <f>IF($B$7080,G6122,-10)</f>
        <v>0.5</v>
      </c>
      <c r="C6301" s="3" t="str">
        <f>IF($B$7080,IF($B$6&gt;=2,"SB1",""),0)</f>
        <v/>
      </c>
    </row>
    <row r="6302" spans="1:3" hidden="1">
      <c r="A6302" s="3">
        <f>IF($B$7080,IF($B$6&gt;=3,D6123,-10),-10)</f>
        <v>-10</v>
      </c>
      <c r="B6302" s="3">
        <f>IF($B$7080,G6123,-10)</f>
        <v>0.5</v>
      </c>
      <c r="C6302" s="3" t="str">
        <f>IF($B$7080,IF($B$6&gt;=3,"SB1",""),0)</f>
        <v/>
      </c>
    </row>
    <row r="6303" spans="1:3" hidden="1">
      <c r="A6303" s="3">
        <f>IF($B$7080,IF($B$6&gt;=4,D6124,-10),-10)</f>
        <v>-10</v>
      </c>
      <c r="B6303" s="3">
        <f>IF($B$7080,G6124,-10)</f>
        <v>0.5</v>
      </c>
      <c r="C6303" s="3" t="str">
        <f>IF($B$7080,IF($B$6&gt;=4,"SB1",""),0)</f>
        <v/>
      </c>
    </row>
    <row r="6304" spans="1:3" hidden="1">
      <c r="A6304" s="3">
        <f>IF($B$7080,IF($B$6&gt;=5,D6125,-10),-10)</f>
        <v>-10</v>
      </c>
      <c r="B6304" s="3">
        <f>IF($B$7080,G6125,-10)</f>
        <v>0.5</v>
      </c>
      <c r="C6304" s="3" t="str">
        <f>IF($B$7080,IF($B$6&gt;=5,"SB1",""),0)</f>
        <v/>
      </c>
    </row>
    <row r="6305" spans="1:3" hidden="1">
      <c r="A6305" s="3">
        <f>IF($B$7080,0.5,-10)</f>
        <v>0.5</v>
      </c>
      <c r="B6305" s="3">
        <f>IF($B$7080,1,-10)</f>
        <v>1</v>
      </c>
      <c r="C6305" s="3" t="str">
        <f>IF($B$7080,IF(MOD($H$4,180)=0,"SB1","SB2"),0)</f>
        <v>SB2</v>
      </c>
    </row>
    <row r="6306" spans="1:3" hidden="1">
      <c r="A6306" s="3">
        <f>IF($B$7080,0.5,-10)</f>
        <v>0.5</v>
      </c>
      <c r="B6306" s="3">
        <f>IF($B$7080,0,-10)</f>
        <v>0</v>
      </c>
      <c r="C6306" s="3" t="str">
        <f>IF($B$7080,IF(MOD($H$4,180)=0,"SB1","SB2"),0)</f>
        <v>SB2</v>
      </c>
    </row>
    <row r="6307" spans="1:3" hidden="1">
      <c r="A6307" s="3">
        <f>IF($B$7080,0,-10)</f>
        <v>0</v>
      </c>
      <c r="B6307" s="3">
        <f>IF($B$7080,0.5,-10)</f>
        <v>0.5</v>
      </c>
      <c r="C6307" s="3" t="str">
        <f>IF($B$7080,IF(MOD($H$4,180)=90,"SB1","SB2"),0)</f>
        <v>SB1</v>
      </c>
    </row>
    <row r="6308" spans="1:3" hidden="1">
      <c r="A6308" s="3">
        <f>IF($B$7080,1,-10)</f>
        <v>1</v>
      </c>
      <c r="B6308" s="3">
        <f>IF($B$7080,0.5,-10)</f>
        <v>0.5</v>
      </c>
      <c r="C6308" s="3" t="str">
        <f>IF($B$7080,IF(MOD($H$4,180)=90,"SB1","SB2"),0)</f>
        <v>SB1</v>
      </c>
    </row>
    <row r="6400" spans="1:2" hidden="1">
      <c r="A6400" s="3">
        <f>IF($B$7080,IF(MOD($H$4,180)=0,0,-10),-10)</f>
        <v>-10</v>
      </c>
      <c r="B6400" s="3">
        <f>IF($B$7080,0,-10)</f>
        <v>0</v>
      </c>
    </row>
    <row r="6401" spans="1:2" hidden="1">
      <c r="A6401" s="3">
        <f>IF($B$7080,IF(MOD($H$4,180)=0,1,-10),-10)</f>
        <v>-10</v>
      </c>
      <c r="B6401" s="3">
        <f>IF($B$7080,0,-10)</f>
        <v>0</v>
      </c>
    </row>
    <row r="6402" spans="1:2" hidden="1"/>
    <row r="6403" spans="1:2" hidden="1">
      <c r="A6403" s="3">
        <f>IF($B$7080,IF(MOD($H$4,180)=0,0,-10),-10)</f>
        <v>-10</v>
      </c>
      <c r="B6403" s="3">
        <f>IF($B$7080,1,-10)</f>
        <v>1</v>
      </c>
    </row>
    <row r="6404" spans="1:2" hidden="1">
      <c r="A6404" s="3">
        <f>IF($B$7080,IF(MOD($H$4,180)=0,1,-10),-10)</f>
        <v>-10</v>
      </c>
      <c r="B6404" s="3">
        <f>IF($B$7080,1,-10)</f>
        <v>1</v>
      </c>
    </row>
    <row r="6405" spans="1:2" hidden="1"/>
    <row r="6406" spans="1:2" hidden="1">
      <c r="A6406" s="3">
        <f>IF($B$7080,IF(MOD($H$4,180)=90,0,-10),-10)</f>
        <v>0</v>
      </c>
      <c r="B6406" s="3">
        <f>IF($B$7080,0,-10)</f>
        <v>0</v>
      </c>
    </row>
    <row r="6407" spans="1:2" hidden="1">
      <c r="A6407" s="3">
        <f>IF($B$7080,IF(MOD($H$4,180)=90,0,-10),-10)</f>
        <v>0</v>
      </c>
      <c r="B6407" s="3">
        <f>IF($B$7080,1,-10)</f>
        <v>1</v>
      </c>
    </row>
    <row r="6408" spans="1:2" hidden="1"/>
    <row r="6409" spans="1:2" hidden="1">
      <c r="A6409" s="3">
        <f>IF($B$7080,IF(MOD($H$4,180)=90,1,-10),-10)</f>
        <v>1</v>
      </c>
      <c r="B6409" s="3">
        <f>IF($B$7080,0,-10)</f>
        <v>0</v>
      </c>
    </row>
    <row r="6410" spans="1:2" hidden="1">
      <c r="A6410" s="3">
        <f>IF($B$7080,IF(MOD($H$4,180)=90,1,-10),-10)</f>
        <v>1</v>
      </c>
      <c r="B6410" s="3">
        <f>IF($B$7080,1,-10)</f>
        <v>1</v>
      </c>
    </row>
    <row r="6411" spans="1:2" hidden="1"/>
    <row r="6500" spans="1:3" hidden="1">
      <c r="A6500" s="3">
        <f>IF(AND($B$7080,$B$7082,$B$3="Cantilever Supported"),IF($B$3="Cantilever Supported",1+0*IF(AND(ISNUMBER($B$5),$B$5&gt;0),MIN(0.28,$B$5/$B$4),0.28),-10),-10)</f>
        <v>-10</v>
      </c>
      <c r="B6500" s="3">
        <v>1</v>
      </c>
    </row>
    <row r="6501" spans="1:3" hidden="1">
      <c r="A6501" s="3">
        <f>IF(AND($B$7080,$B$7082,$B$3="Cantilever Supported"),IF($B$3="Cantilever Supported",1+0.5*IF(AND(ISNUMBER($B$5),$B$5&gt;0),MIN(0.28,$B$5/$B$4),0.28),-10),-10)</f>
        <v>-10</v>
      </c>
      <c r="B6501" s="3">
        <v>1</v>
      </c>
      <c r="C6501" s="3">
        <f>IF(AND($B$7080,$B$7082,$B$3="Cantilever Supported"),IF($B$3="Cantilever Supported","CSB3",""),0)</f>
        <v>0</v>
      </c>
    </row>
    <row r="6502" spans="1:3" hidden="1">
      <c r="A6502" s="3">
        <f>IF(AND($B$7080,$B$7082,$B$3="Cantilever Supported"),IF($B$3="Cantilever Supported",1+1*IF(AND(ISNUMBER($B$5),$B$5&gt;0),MIN(0.28,$B$5/$B$4),0.28),-10),-10)</f>
        <v>-10</v>
      </c>
      <c r="B6502" s="3">
        <v>1</v>
      </c>
    </row>
    <row r="6503" spans="1:3" hidden="1"/>
    <row r="6504" spans="1:3" hidden="1">
      <c r="A6504" s="3">
        <f>IF(AND($B$7080,$B$7082,$B$3="Cantilever Supported"),IF($B$3="Cantilever Supported",1+0*IF(AND(ISNUMBER($B$5),$B$5&gt;0),MIN(0.28,$B$5/$B$4),0.28),-10),-10)</f>
        <v>-10</v>
      </c>
      <c r="B6504" s="3">
        <v>0</v>
      </c>
    </row>
    <row r="6505" spans="1:3" hidden="1">
      <c r="A6505" s="3">
        <f>IF(AND($B$7080,$B$7082,$B$3="Cantilever Supported"),IF($B$3="Cantilever Supported",1+0.5*IF(AND(ISNUMBER($B$5),$B$5&gt;0),MIN(0.28,$B$5/$B$4),0.28),-10),-10)</f>
        <v>-10</v>
      </c>
      <c r="B6505" s="3">
        <v>0</v>
      </c>
      <c r="C6505" s="3">
        <f>IF(AND($B$7080,$B$7082,$B$3="Cantilever Supported"),IF($B$3="Cantilever Supported","CSB3",""),0)</f>
        <v>0</v>
      </c>
    </row>
    <row r="6506" spans="1:3" hidden="1">
      <c r="A6506" s="3">
        <f>IF(AND($B$7080,$B$7082,$B$3="Cantilever Supported"),IF($B$3="Cantilever Supported",1+1*IF(AND(ISNUMBER($B$5),$B$5&gt;0),MIN(0.28,$B$5/$B$4),0.28),-10),-10)</f>
        <v>-10</v>
      </c>
      <c r="B6506" s="3">
        <v>0</v>
      </c>
    </row>
    <row r="6507" spans="1:3" hidden="1"/>
    <row r="6508" spans="1:3" hidden="1"/>
    <row r="6509" spans="1:3" hidden="1"/>
    <row r="6510" spans="1:3" hidden="1"/>
    <row r="6511" spans="1:3" hidden="1"/>
    <row r="6512" spans="1:3" hidden="1"/>
    <row r="6513" spans="1:3" hidden="1"/>
    <row r="6514" spans="1:3" hidden="1"/>
    <row r="6515" spans="1:3" hidden="1"/>
    <row r="6516" spans="1:3" hidden="1"/>
    <row r="6517" spans="1:3" hidden="1"/>
    <row r="6518" spans="1:3" hidden="1"/>
    <row r="6519" spans="1:3" hidden="1"/>
    <row r="6520" spans="1:3" hidden="1">
      <c r="A6520" s="3">
        <f>IF(AND($B$7080,$B$7082,$B$3="Cantilever Supported"),IF($B$3="Cantilever Supported",1+0*IF(AND(ISNUMBER($B$5),$B$5&gt;0),MIN(0.28,$B$5/$B$4),0.28),-10),-10)</f>
        <v>-10</v>
      </c>
      <c r="B6520" s="3">
        <f>IF(AND($B$7080,$B$7082,$B$3="Cantilever Supported"),$B$6014,-10)</f>
        <v>-10</v>
      </c>
    </row>
    <row r="6521" spans="1:3" hidden="1">
      <c r="A6521" s="3">
        <f>IF(AND($B$7080,$B$7082,$B$3="Cantilever Supported"),IF($B$3="Cantilever Supported",1+0.5*IF(AND(ISNUMBER($B$5),$B$5&gt;0),MIN(0.28,$B$5/$B$4),0.28),-10),-10)</f>
        <v>-10</v>
      </c>
      <c r="B6521" s="3">
        <f>IF(AND($B$7080,$B$7082,$B$3="Cantilever Supported"),$B$6014,-10)</f>
        <v>-10</v>
      </c>
      <c r="C6521" s="3">
        <f>IF(AND($B$7080,$B$7082,$B$3="Cantilever Supported"),IF(B3="Cantilever Supported",IF(ISNUMBER(B5),"X2 = "&amp;TEXT(B5,"0.00")&amp;" m","X2 (m)"),""),0)</f>
        <v>0</v>
      </c>
    </row>
    <row r="6522" spans="1:3" hidden="1">
      <c r="A6522" s="3">
        <f>IF(AND($B$7080,$B$7082,$B$3="Cantilever Supported"),IF($B$3="Cantilever Supported",1+1*IF(AND(ISNUMBER($B$5),$B$5&gt;0),MIN(0.28,$B$5/$B$4),0.28),-10),-10)</f>
        <v>-10</v>
      </c>
      <c r="B6522" s="3">
        <f>IF(AND($B$7080,$B$7082,$B$3="Cantilever Supported"),$B$6014,-10)</f>
        <v>-10</v>
      </c>
    </row>
    <row r="6550" spans="1:10" hidden="1">
      <c r="A6550" s="3">
        <f>IF(AND($B$7080,$B$7082,$B$3="Cantilever Supported"),IF(AND($B$3="Cantilever Supported",$H$6&gt;=1),1+($A$6502-1)*(E6550+G6550*(-J6550)),-10),-10)</f>
        <v>-10</v>
      </c>
      <c r="B6550" s="3">
        <f>IF(AND($B$7080,$B$7082,$B$3="Cantilever Supported"),F6550+H6550*(-J6550),-10)</f>
        <v>-10</v>
      </c>
      <c r="E6550" s="3">
        <f>IF(AND($B$7080,$B$7082,$B$3="Cantilever Supported"),IF($I$5901,1/($H$6+1),0.5),0)</f>
        <v>0</v>
      </c>
      <c r="F6550" s="3">
        <f>IF(AND($B$7080,$B$7082,$B$3="Cantilever Supported"),IF($I$5901,0.5,1/($H$6+1)),0)</f>
        <v>0</v>
      </c>
      <c r="G6550" s="3">
        <f>IF(AND($B$7080,$B$7082,$B$3="Cantilever Supported"),COS(RADIANS($H$4))*$E$4,0)</f>
        <v>0</v>
      </c>
      <c r="H6550" s="3">
        <f>IF(AND($B$7080,$B$7082,$B$3="Cantilever Supported"),SIN(RADIANS($H$4))*IF(AND(ISNUMBER($B$5),$B$5&gt;0),$B$5,($A$6502-1)*$B$4),0)</f>
        <v>0</v>
      </c>
      <c r="I6550" s="3">
        <f>IF(AND($B$7080,$B$7082,$B$3="Cantilever Supported"),MIN(IF(G6550&gt;0.0000000001,(1-E6550)/G6550,IF(G6550&lt;-0.0000000001,-E6550/G6550,10000000000)),IF(H6550&gt;0.0000000001,(1-F6550)/H6550,IF(H6550&lt;-0.0000000001,-F6550/H6550,10000000000))),0)</f>
        <v>0</v>
      </c>
      <c r="J6550" s="3">
        <f>IF(AND($B$7080,$B$7082,$B$3="Cantilever Supported"),MIN(IF(G6550&gt;0.0000000001,E6550/G6550,IF(G6550&lt;-0.0000000001,(E6550-1)/G6550,10000000000)),IF(H6550&gt;0.0000000001,F6550/H6550,IF(H6550&lt;-0.0000000001,(F6550-1)/H6550,10000000000))),0)</f>
        <v>0</v>
      </c>
    </row>
    <row r="6551" spans="1:10" hidden="1">
      <c r="A6551" s="3">
        <f>IF(AND($B$7080,$B$7082,$B$3="Cantilever Supported"),IF(AND($B$3="Cantilever Supported",$H$6&gt;=1),1+($A$6502-1)*(E6550+G6550*(-J6550+IF($H$6=1,0.5,0.2)*(I6550+J6550))),-10),-10)</f>
        <v>-10</v>
      </c>
      <c r="B6551" s="3">
        <f>IF(AND($B$7080,$B$7082,$B$3="Cantilever Supported"),F6550+H6550*(-J6550+IF($H$6=1,0.5,0.2)*(I6550+J6550)),-10)</f>
        <v>-10</v>
      </c>
      <c r="C6551" s="3">
        <f>IF(AND($B$7080,$B$7082,$B$3="Cantilever Supported"),IF(AND($B$3="Cantilever Supported",$H$6&gt;=1),"SB1",""),0)</f>
        <v>0</v>
      </c>
    </row>
    <row r="6552" spans="1:10" hidden="1">
      <c r="A6552" s="3">
        <f>IF(AND($B$7080,$B$7082,$B$3="Cantilever Supported"),IF(AND($B$3="Cantilever Supported",$H$6&gt;=1),1+($A$6502-1)*(E6550+G6550*(I6550)),-10),-10)</f>
        <v>-10</v>
      </c>
      <c r="B6552" s="3">
        <f>IF(AND($B$7080,$B$7082,$B$3="Cantilever Supported"),F6550+H6550*(I6550),-10)</f>
        <v>-10</v>
      </c>
    </row>
    <row r="6553" spans="1:10" hidden="1"/>
    <row r="6554" spans="1:10" hidden="1">
      <c r="A6554" s="3">
        <f>IF(AND($B$7080,$B$7082,$B$3="Cantilever Supported"),IF(AND($B$3="Cantilever Supported",$H$6&gt;=2),1+($A$6502-1)*(E6554+G6554*(-J6554)),-10),-10)</f>
        <v>-10</v>
      </c>
      <c r="B6554" s="3">
        <f>IF(AND($B$7080,$B$7082,$B$3="Cantilever Supported"),F6554+H6554*(-J6554),-10)</f>
        <v>-10</v>
      </c>
      <c r="E6554" s="3">
        <f>IF(AND($B$7080,$B$7082,$B$3="Cantilever Supported"),IF($I$5901,2/($H$6+1),0.5),0)</f>
        <v>0</v>
      </c>
      <c r="F6554" s="3">
        <f>IF(AND($B$7080,$B$7082,$B$3="Cantilever Supported"),IF($I$5901,0.5,2/($H$6+1)),0)</f>
        <v>0</v>
      </c>
      <c r="G6554" s="3">
        <f>IF(AND($B$7080,$B$7082,$B$3="Cantilever Supported"),COS(RADIANS($H$4))*$E$4,0)</f>
        <v>0</v>
      </c>
      <c r="H6554" s="3">
        <f>IF(AND($B$7080,$B$7082,$B$3="Cantilever Supported"),SIN(RADIANS($H$4))*IF(AND(ISNUMBER($B$5),$B$5&gt;0),$B$5,($A$6502-1)*$B$4),0)</f>
        <v>0</v>
      </c>
      <c r="I6554" s="3">
        <f>IF(AND($B$7080,$B$7082,$B$3="Cantilever Supported"),MIN(IF(G6554&gt;0.0000000001,(1-E6554)/G6554,IF(G6554&lt;-0.0000000001,-E6554/G6554,10000000000)),IF(H6554&gt;0.0000000001,(1-F6554)/H6554,IF(H6554&lt;-0.0000000001,-F6554/H6554,10000000000))),0)</f>
        <v>0</v>
      </c>
      <c r="J6554" s="3">
        <f>IF(AND($B$7080,$B$7082,$B$3="Cantilever Supported"),MIN(IF(G6554&gt;0.0000000001,E6554/G6554,IF(G6554&lt;-0.0000000001,(E6554-1)/G6554,10000000000)),IF(H6554&gt;0.0000000001,F6554/H6554,IF(H6554&lt;-0.0000000001,(F6554-1)/H6554,10000000000))),0)</f>
        <v>0</v>
      </c>
    </row>
    <row r="6555" spans="1:10" hidden="1">
      <c r="A6555" s="3">
        <f>IF(AND($B$7080,$B$7082,$B$3="Cantilever Supported"),IF(AND($B$3="Cantilever Supported",$H$6&gt;=2),1+($A$6502-1)*(E6554+G6554*(-J6554+IF($H$6=1,0.5,0.32)*(I6554+J6554))),-10),-10)</f>
        <v>-10</v>
      </c>
      <c r="B6555" s="3">
        <f>IF(AND($B$7080,$B$7082,$B$3="Cantilever Supported"),F6554+H6554*(-J6554+IF($H$6=1,0.5,0.32)*(I6554+J6554)),-10)</f>
        <v>-10</v>
      </c>
      <c r="C6555" s="3">
        <f>IF(AND($B$7080,$B$7082,$B$3="Cantilever Supported"),IF(AND($B$3="Cantilever Supported",$H$6&gt;=2),"SB1",""),0)</f>
        <v>0</v>
      </c>
    </row>
    <row r="6556" spans="1:10" hidden="1">
      <c r="A6556" s="3">
        <f>IF(AND($B$7080,$B$7082,$B$3="Cantilever Supported"),IF(AND($B$3="Cantilever Supported",$H$6&gt;=2),1+($A$6502-1)*(E6554+G6554*(I6554)),-10),-10)</f>
        <v>-10</v>
      </c>
      <c r="B6556" s="3">
        <f>IF(AND($B$7080,$B$7082,$B$3="Cantilever Supported"),F6554+H6554*(I6554),-10)</f>
        <v>-10</v>
      </c>
    </row>
    <row r="6557" spans="1:10" hidden="1"/>
    <row r="6558" spans="1:10" hidden="1">
      <c r="A6558" s="3">
        <f>IF(AND($B$7080,$B$7082,$B$3="Cantilever Supported"),IF(AND($B$3="Cantilever Supported",$H$6&gt;=3),1+($A$6502-1)*(E6558+G6558*(-J6558)),-10),-10)</f>
        <v>-10</v>
      </c>
      <c r="B6558" s="3">
        <f>IF(AND($B$7080,$B$7082,$B$3="Cantilever Supported"),F6558+H6558*(-J6558),-10)</f>
        <v>-10</v>
      </c>
      <c r="E6558" s="3">
        <f>IF(AND($B$7080,$B$7082,$B$3="Cantilever Supported"),IF($I$5901,3/($H$6+1),0.5),0)</f>
        <v>0</v>
      </c>
      <c r="F6558" s="3">
        <f>IF(AND($B$7080,$B$7082,$B$3="Cantilever Supported"),IF($I$5901,0.5,3/($H$6+1)),0)</f>
        <v>0</v>
      </c>
      <c r="G6558" s="3">
        <f>IF(AND($B$7080,$B$7082,$B$3="Cantilever Supported"),COS(RADIANS($H$4))*$E$4,0)</f>
        <v>0</v>
      </c>
      <c r="H6558" s="3">
        <f>IF(AND($B$7080,$B$7082,$B$3="Cantilever Supported"),SIN(RADIANS($H$4))*IF(AND(ISNUMBER($B$5),$B$5&gt;0),$B$5,($A$6502-1)*$B$4),0)</f>
        <v>0</v>
      </c>
      <c r="I6558" s="3">
        <f>IF(AND($B$7080,$B$7082,$B$3="Cantilever Supported"),MIN(IF(G6558&gt;0.0000000001,(1-E6558)/G6558,IF(G6558&lt;-0.0000000001,-E6558/G6558,10000000000)),IF(H6558&gt;0.0000000001,(1-F6558)/H6558,IF(H6558&lt;-0.0000000001,-F6558/H6558,10000000000))),0)</f>
        <v>0</v>
      </c>
      <c r="J6558" s="3">
        <f>IF(AND($B$7080,$B$7082,$B$3="Cantilever Supported"),MIN(IF(G6558&gt;0.0000000001,E6558/G6558,IF(G6558&lt;-0.0000000001,(E6558-1)/G6558,10000000000)),IF(H6558&gt;0.0000000001,F6558/H6558,IF(H6558&lt;-0.0000000001,(F6558-1)/H6558,10000000000))),0)</f>
        <v>0</v>
      </c>
    </row>
    <row r="6559" spans="1:10" hidden="1">
      <c r="A6559" s="3">
        <f>IF(AND($B$7080,$B$7082,$B$3="Cantilever Supported"),IF(AND($B$3="Cantilever Supported",$H$6&gt;=3),1+($A$6502-1)*(E6558+G6558*(-J6558+IF($H$6=1,0.5,0.44)*(I6558+J6558))),-10),-10)</f>
        <v>-10</v>
      </c>
      <c r="B6559" s="3">
        <f>IF(AND($B$7080,$B$7082,$B$3="Cantilever Supported"),F6558+H6558*(-J6558+IF($H$6=1,0.5,0.44)*(I6558+J6558)),-10)</f>
        <v>-10</v>
      </c>
      <c r="C6559" s="3">
        <f>IF(AND($B$7080,$B$7082,$B$3="Cantilever Supported"),IF(AND($B$3="Cantilever Supported",$H$6&gt;=3),"SB1",""),0)</f>
        <v>0</v>
      </c>
    </row>
    <row r="6560" spans="1:10" hidden="1">
      <c r="A6560" s="3">
        <f>IF(AND($B$7080,$B$7082,$B$3="Cantilever Supported"),IF(AND($B$3="Cantilever Supported",$H$6&gt;=3),1+($A$6502-1)*(E6558+G6558*(I6558)),-10),-10)</f>
        <v>-10</v>
      </c>
      <c r="B6560" s="3">
        <f>IF(AND($B$7080,$B$7082,$B$3="Cantilever Supported"),F6558+H6558*(I6558),-10)</f>
        <v>-10</v>
      </c>
    </row>
    <row r="6561" spans="1:10" hidden="1"/>
    <row r="6562" spans="1:10" hidden="1">
      <c r="A6562" s="3">
        <f>IF(AND($B$7080,$B$7082,$B$3="Cantilever Supported"),IF(AND($B$3="Cantilever Supported",$H$6&gt;=4),1+($A$6502-1)*(E6562+G6562*(-J6562)),-10),-10)</f>
        <v>-10</v>
      </c>
      <c r="B6562" s="3">
        <f>IF(AND($B$7080,$B$7082,$B$3="Cantilever Supported"),F6562+H6562*(-J6562),-10)</f>
        <v>-10</v>
      </c>
      <c r="E6562" s="3">
        <f>IF(AND($B$7080,$B$7082,$B$3="Cantilever Supported"),IF($I$5901,4/($H$6+1),0.5),0)</f>
        <v>0</v>
      </c>
      <c r="F6562" s="3">
        <f>IF(AND($B$7080,$B$7082,$B$3="Cantilever Supported"),IF($I$5901,0.5,4/($H$6+1)),0)</f>
        <v>0</v>
      </c>
      <c r="G6562" s="3">
        <f>IF(AND($B$7080,$B$7082,$B$3="Cantilever Supported"),COS(RADIANS($H$4))*$E$4,0)</f>
        <v>0</v>
      </c>
      <c r="H6562" s="3">
        <f>IF(AND($B$7080,$B$7082,$B$3="Cantilever Supported"),SIN(RADIANS($H$4))*IF(AND(ISNUMBER($B$5),$B$5&gt;0),$B$5,($A$6502-1)*$B$4),0)</f>
        <v>0</v>
      </c>
      <c r="I6562" s="3">
        <f>IF(AND($B$7080,$B$7082,$B$3="Cantilever Supported"),MIN(IF(G6562&gt;0.0000000001,(1-E6562)/G6562,IF(G6562&lt;-0.0000000001,-E6562/G6562,10000000000)),IF(H6562&gt;0.0000000001,(1-F6562)/H6562,IF(H6562&lt;-0.0000000001,-F6562/H6562,10000000000))),0)</f>
        <v>0</v>
      </c>
      <c r="J6562" s="3">
        <f>IF(AND($B$7080,$B$7082,$B$3="Cantilever Supported"),MIN(IF(G6562&gt;0.0000000001,E6562/G6562,IF(G6562&lt;-0.0000000001,(E6562-1)/G6562,10000000000)),IF(H6562&gt;0.0000000001,F6562/H6562,IF(H6562&lt;-0.0000000001,(F6562-1)/H6562,10000000000))),0)</f>
        <v>0</v>
      </c>
    </row>
    <row r="6563" spans="1:10" hidden="1">
      <c r="A6563" s="3">
        <f>IF(AND($B$7080,$B$7082,$B$3="Cantilever Supported"),IF(AND($B$3="Cantilever Supported",$H$6&gt;=4),1+($A$6502-1)*(E6562+G6562*(-J6562+IF($H$6=1,0.5,0.56)*(I6562+J6562))),-10),-10)</f>
        <v>-10</v>
      </c>
      <c r="B6563" s="3">
        <f>IF(AND($B$7080,$B$7082,$B$3="Cantilever Supported"),F6562+H6562*(-J6562+IF($H$6=1,0.5,0.56)*(I6562+J6562)),-10)</f>
        <v>-10</v>
      </c>
      <c r="C6563" s="3">
        <f>IF(AND($B$7080,$B$7082,$B$3="Cantilever Supported"),IF(AND($B$3="Cantilever Supported",$H$6&gt;=4),"SB1",""),0)</f>
        <v>0</v>
      </c>
    </row>
    <row r="6564" spans="1:10" hidden="1">
      <c r="A6564" s="3">
        <f>IF(AND($B$7080,$B$7082,$B$3="Cantilever Supported"),IF(AND($B$3="Cantilever Supported",$H$6&gt;=4),1+($A$6502-1)*(E6562+G6562*(I6562)),-10),-10)</f>
        <v>-10</v>
      </c>
      <c r="B6564" s="3">
        <f>IF(AND($B$7080,$B$7082,$B$3="Cantilever Supported"),F6562+H6562*(I6562),-10)</f>
        <v>-10</v>
      </c>
    </row>
    <row r="6565" spans="1:10" hidden="1"/>
    <row r="6566" spans="1:10" hidden="1">
      <c r="A6566" s="3">
        <f>IF(AND($B$7080,$B$7082,$B$3="Cantilever Supported"),IF(AND($B$3="Cantilever Supported",$H$6&gt;=5),1+($A$6502-1)*(E6566+G6566*(-J6566)),-10),-10)</f>
        <v>-10</v>
      </c>
      <c r="B6566" s="3">
        <f>IF(AND($B$7080,$B$7082,$B$3="Cantilever Supported"),F6566+H6566*(-J6566),-10)</f>
        <v>-10</v>
      </c>
      <c r="E6566" s="3">
        <f>IF(AND($B$7080,$B$7082,$B$3="Cantilever Supported"),IF($I$5901,5/($H$6+1),0.5),0)</f>
        <v>0</v>
      </c>
      <c r="F6566" s="3">
        <f>IF(AND($B$7080,$B$7082,$B$3="Cantilever Supported"),IF($I$5901,0.5,5/($H$6+1)),0)</f>
        <v>0</v>
      </c>
      <c r="G6566" s="3">
        <f>IF(AND($B$7080,$B$7082,$B$3="Cantilever Supported"),COS(RADIANS($H$4))*$E$4,0)</f>
        <v>0</v>
      </c>
      <c r="H6566" s="3">
        <f>IF(AND($B$7080,$B$7082,$B$3="Cantilever Supported"),SIN(RADIANS($H$4))*IF(AND(ISNUMBER($B$5),$B$5&gt;0),$B$5,($A$6502-1)*$B$4),0)</f>
        <v>0</v>
      </c>
      <c r="I6566" s="3">
        <f>IF(AND($B$7080,$B$7082,$B$3="Cantilever Supported"),MIN(IF(G6566&gt;0.0000000001,(1-E6566)/G6566,IF(G6566&lt;-0.0000000001,-E6566/G6566,10000000000)),IF(H6566&gt;0.0000000001,(1-F6566)/H6566,IF(H6566&lt;-0.0000000001,-F6566/H6566,10000000000))),0)</f>
        <v>0</v>
      </c>
      <c r="J6566" s="3">
        <f>IF(AND($B$7080,$B$7082,$B$3="Cantilever Supported"),MIN(IF(G6566&gt;0.0000000001,E6566/G6566,IF(G6566&lt;-0.0000000001,(E6566-1)/G6566,10000000000)),IF(H6566&gt;0.0000000001,F6566/H6566,IF(H6566&lt;-0.0000000001,(F6566-1)/H6566,10000000000))),0)</f>
        <v>0</v>
      </c>
    </row>
    <row r="6567" spans="1:10" hidden="1">
      <c r="A6567" s="3">
        <f>IF(AND($B$7080,$B$7082,$B$3="Cantilever Supported"),IF(AND($B$3="Cantilever Supported",$H$6&gt;=5),1+($A$6502-1)*(E6566+G6566*(-J6566+IF($H$6=1,0.5,0.679999999999999)*(I6566+J6566))),-10),-10)</f>
        <v>-10</v>
      </c>
      <c r="B6567" s="3">
        <f>IF(AND($B$7080,$B$7082,$B$3="Cantilever Supported"),F6566+H6566*(-J6566+IF($H$6=1,0.5,0.679999999999999)*(I6566+J6566)),-10)</f>
        <v>-10</v>
      </c>
      <c r="C6567" s="3">
        <f>IF(AND($B$7080,$B$7082,$B$3="Cantilever Supported"),IF(AND($B$3="Cantilever Supported",$H$6&gt;=5),"SB1",""),0)</f>
        <v>0</v>
      </c>
    </row>
    <row r="6568" spans="1:10" hidden="1">
      <c r="A6568" s="3">
        <f>IF(AND($B$7080,$B$7082,$B$3="Cantilever Supported"),IF(AND($B$3="Cantilever Supported",$H$6&gt;=5),1+($A$6502-1)*(E6566+G6566*(I6566)),-10),-10)</f>
        <v>-10</v>
      </c>
      <c r="B6568" s="3">
        <f>IF(AND($B$7080,$B$7082,$B$3="Cantilever Supported"),F6566+H6566*(I6566),-10)</f>
        <v>-10</v>
      </c>
    </row>
    <row r="6569" spans="1:10" hidden="1"/>
    <row r="6570" spans="1:10" hidden="1"/>
    <row r="6571" spans="1:10" hidden="1"/>
    <row r="6572" spans="1:10" hidden="1"/>
    <row r="6573" spans="1:10" hidden="1"/>
    <row r="6574" spans="1:10" hidden="1"/>
    <row r="6575" spans="1:10" hidden="1"/>
    <row r="6576" spans="1:10" hidden="1"/>
    <row r="6577" spans="1:3" hidden="1"/>
    <row r="6578" spans="1:3" hidden="1"/>
    <row r="6579" spans="1:3" hidden="1"/>
    <row r="6580" spans="1:3" hidden="1">
      <c r="A6580" s="3">
        <f>IF(AND($B$7080,$B$7082,$B$3="Cantilever Supported"),IF($B$3="Cantilever Supported",1+($A$6502-1)*0,-10),-10)</f>
        <v>-10</v>
      </c>
      <c r="B6580" s="3">
        <v>1.18</v>
      </c>
    </row>
    <row r="6581" spans="1:3" hidden="1">
      <c r="A6581" s="3">
        <f>IF(AND($B$7080,$B$7082,$B$3="Cantilever Supported"),IF($B$3="Cantilever Supported",1+($A$6502-1)*0.5,-10),-10)</f>
        <v>-10</v>
      </c>
      <c r="B6581" s="3">
        <v>1.18</v>
      </c>
      <c r="C6581" s="3">
        <f>IF(AND($B$7080,$B$7082,$B$3="Cantilever Supported"),IF(B3="Cantilever Supported",IF(ISNUMBER(J11),"SC = "&amp;TEXT(J11,"0.00")&amp;" m","SC = X2/(n+1)"),""),0)</f>
        <v>0</v>
      </c>
    </row>
    <row r="6582" spans="1:3" hidden="1">
      <c r="A6582" s="3">
        <f>IF(AND($B$7080,$B$7082,$B$3="Cantilever Supported"),IF($B$3="Cantilever Supported",1+($A$6502-1)*1,-10),-10)</f>
        <v>-10</v>
      </c>
      <c r="B6582" s="3">
        <v>1.18</v>
      </c>
    </row>
    <row r="6583" spans="1:3" hidden="1"/>
    <row r="6584" spans="1:3" hidden="1"/>
    <row r="6585" spans="1:3" hidden="1"/>
    <row r="6586" spans="1:3" hidden="1"/>
    <row r="6587" spans="1:3" hidden="1"/>
    <row r="6588" spans="1:3" hidden="1"/>
    <row r="6589" spans="1:3" hidden="1"/>
    <row r="6590" spans="1:3" hidden="1">
      <c r="A6590" s="3">
        <f>IF(AND($B$7080,$B$7082,$B$3="Cantilever Supported"),IF(AND($B$3="Cantilever Supported",0&lt;=$H$6+1),IF($I$5901,1+($A$6502-1)*0/($H$6+1),$A$6502+0.02+0*0.035),-10),-10)</f>
        <v>-10</v>
      </c>
      <c r="B6590" s="3">
        <f>IF(AND($B$7080,$B$7082,$B$3="Cantilever Supported"),IF($I$5901,1.16,0/($H$6+1)),-10)</f>
        <v>-10</v>
      </c>
    </row>
    <row r="6591" spans="1:3" hidden="1">
      <c r="A6591" s="3">
        <f>IF(AND($B$7080,$B$7082,$B$3="Cantilever Supported"),IF(AND($B$3="Cantilever Supported",0&lt;=$H$6+1),IF($I$5901,1+($A$6502-1)*0/($H$6+1),$A$6502+0.02+1*0.035),-10),-10)</f>
        <v>-10</v>
      </c>
      <c r="B6591" s="3">
        <f>IF(AND($B$7080,$B$7082,$B$3="Cantilever Supported"),IF($I$5901,1.2,0/($H$6+1)),-10)</f>
        <v>-10</v>
      </c>
    </row>
    <row r="6592" spans="1:3" hidden="1"/>
    <row r="6593" spans="1:2" hidden="1">
      <c r="A6593" s="3">
        <f>IF(AND($B$7080,$B$7082,$B$3="Cantilever Supported"),IF(AND($B$3="Cantilever Supported",1&lt;=$H$6+1),IF($I$5901,1+($A$6502-1)*1/($H$6+1),$A$6502+0.02+0*0.035),-10),-10)</f>
        <v>-10</v>
      </c>
      <c r="B6593" s="3">
        <f>IF(AND($B$7080,$B$7082,$B$3="Cantilever Supported"),IF($I$5901,1.16,1/($H$6+1)),-10)</f>
        <v>-10</v>
      </c>
    </row>
    <row r="6594" spans="1:2" hidden="1">
      <c r="A6594" s="3">
        <f>IF(AND($B$7080,$B$7082,$B$3="Cantilever Supported"),IF(AND($B$3="Cantilever Supported",1&lt;=$H$6+1),IF($I$5901,1+($A$6502-1)*1/($H$6+1),$A$6502+0.02+1*0.035),-10),-10)</f>
        <v>-10</v>
      </c>
      <c r="B6594" s="3">
        <f>IF(AND($B$7080,$B$7082,$B$3="Cantilever Supported"),IF($I$5901,1.2,1/($H$6+1)),-10)</f>
        <v>-10</v>
      </c>
    </row>
    <row r="6595" spans="1:2" hidden="1"/>
    <row r="6596" spans="1:2" hidden="1">
      <c r="A6596" s="3">
        <f>IF(AND($B$7080,$B$7082,$B$3="Cantilever Supported"),IF(AND($B$3="Cantilever Supported",2&lt;=$H$6+1),IF($I$5901,1+($A$6502-1)*2/($H$6+1),$A$6502+0.02+0*0.035),-10),-10)</f>
        <v>-10</v>
      </c>
      <c r="B6596" s="3">
        <f>IF(AND($B$7080,$B$7082,$B$3="Cantilever Supported"),IF($I$5901,1.16,2/($H$6+1)),-10)</f>
        <v>-10</v>
      </c>
    </row>
    <row r="6597" spans="1:2" hidden="1">
      <c r="A6597" s="3">
        <f>IF(AND($B$7080,$B$7082,$B$3="Cantilever Supported"),IF(AND($B$3="Cantilever Supported",2&lt;=$H$6+1),IF($I$5901,1+($A$6502-1)*2/($H$6+1),$A$6502+0.02+1*0.035),-10),-10)</f>
        <v>-10</v>
      </c>
      <c r="B6597" s="3">
        <f>IF(AND($B$7080,$B$7082,$B$3="Cantilever Supported"),IF($I$5901,1.2,2/($H$6+1)),-10)</f>
        <v>-10</v>
      </c>
    </row>
    <row r="6598" spans="1:2" hidden="1"/>
    <row r="6599" spans="1:2" hidden="1">
      <c r="A6599" s="3">
        <f>IF(AND($B$7080,$B$7082,$B$3="Cantilever Supported"),IF(AND($B$3="Cantilever Supported",3&lt;=$H$6+1),IF($I$5901,1+($A$6502-1)*3/($H$6+1),$A$6502+0.02+0*0.035),-10),-10)</f>
        <v>-10</v>
      </c>
      <c r="B6599" s="3">
        <f>IF(AND($B$7080,$B$7082,$B$3="Cantilever Supported"),IF($I$5901,1.16,3/($H$6+1)),-10)</f>
        <v>-10</v>
      </c>
    </row>
    <row r="6600" spans="1:2" hidden="1">
      <c r="A6600" s="3">
        <f>IF(AND($B$7080,$B$7082,$B$3="Cantilever Supported"),IF(AND($B$3="Cantilever Supported",3&lt;=$H$6+1),IF($I$5901,1+($A$6502-1)*3/($H$6+1),$A$6502+0.02+1*0.035),-10),-10)</f>
        <v>-10</v>
      </c>
      <c r="B6600" s="3">
        <f>IF(AND($B$7080,$B$7082,$B$3="Cantilever Supported"),IF($I$5901,1.2,3/($H$6+1)),-10)</f>
        <v>-10</v>
      </c>
    </row>
    <row r="6601" spans="1:2" hidden="1"/>
    <row r="6602" spans="1:2" hidden="1">
      <c r="A6602" s="3">
        <f>IF(AND($B$7080,$B$7082,$B$3="Cantilever Supported"),IF(AND($B$3="Cantilever Supported",4&lt;=$H$6+1),IF($I$5901,1+($A$6502-1)*4/($H$6+1),$A$6502+0.02+0*0.035),-10),-10)</f>
        <v>-10</v>
      </c>
      <c r="B6602" s="3">
        <f>IF(AND($B$7080,$B$7082,$B$3="Cantilever Supported"),IF($I$5901,1.16,4/($H$6+1)),-10)</f>
        <v>-10</v>
      </c>
    </row>
    <row r="6603" spans="1:2" hidden="1">
      <c r="A6603" s="3">
        <f>IF(AND($B$7080,$B$7082,$B$3="Cantilever Supported"),IF(AND($B$3="Cantilever Supported",4&lt;=$H$6+1),IF($I$5901,1+($A$6502-1)*4/($H$6+1),$A$6502+0.02+1*0.035),-10),-10)</f>
        <v>-10</v>
      </c>
      <c r="B6603" s="3">
        <f>IF(AND($B$7080,$B$7082,$B$3="Cantilever Supported"),IF($I$5901,1.2,4/($H$6+1)),-10)</f>
        <v>-10</v>
      </c>
    </row>
    <row r="6604" spans="1:2" hidden="1"/>
    <row r="6605" spans="1:2" hidden="1">
      <c r="A6605" s="3">
        <f>IF(AND($B$7080,$B$7082,$B$3="Cantilever Supported"),IF(AND($B$3="Cantilever Supported",5&lt;=$H$6+1),IF($I$5901,1+($A$6502-1)*5/($H$6+1),$A$6502+0.02+0*0.035),-10),-10)</f>
        <v>-10</v>
      </c>
      <c r="B6605" s="3">
        <f>IF(AND($B$7080,$B$7082,$B$3="Cantilever Supported"),IF($I$5901,1.16,5/($H$6+1)),-10)</f>
        <v>-10</v>
      </c>
    </row>
    <row r="6606" spans="1:2" hidden="1">
      <c r="A6606" s="3">
        <f>IF(AND($B$7080,$B$7082,$B$3="Cantilever Supported"),IF(AND($B$3="Cantilever Supported",5&lt;=$H$6+1),IF($I$5901,1+($A$6502-1)*5/($H$6+1),$A$6502+0.02+1*0.035),-10),-10)</f>
        <v>-10</v>
      </c>
      <c r="B6606" s="3">
        <f>IF(AND($B$7080,$B$7082,$B$3="Cantilever Supported"),IF($I$5901,1.2,5/($H$6+1)),-10)</f>
        <v>-10</v>
      </c>
    </row>
    <row r="6607" spans="1:2" hidden="1"/>
    <row r="6608" spans="1:2" hidden="1">
      <c r="A6608" s="3">
        <f>IF(AND($B$7080,$B$7082,$B$3="Cantilever Supported"),IF(AND($B$3="Cantilever Supported",6&lt;=$H$6+1),IF($I$5901,1+($A$6502-1)*6/($H$6+1),$A$6502+0.02+0*0.035),-10),-10)</f>
        <v>-10</v>
      </c>
      <c r="B6608" s="3">
        <f>IF(AND($B$7080,$B$7082,$B$3="Cantilever Supported"),IF($I$5901,1.16,6/($H$6+1)),-10)</f>
        <v>-10</v>
      </c>
    </row>
    <row r="6609" spans="1:2" hidden="1">
      <c r="A6609" s="3">
        <f>IF(AND($B$7080,$B$7082,$B$3="Cantilever Supported"),IF(AND($B$3="Cantilever Supported",6&lt;=$H$6+1),IF($I$5901,1+($A$6502-1)*6/($H$6+1),$A$6502+0.02+1*0.035),-10),-10)</f>
        <v>-10</v>
      </c>
      <c r="B6609" s="3">
        <f>IF(AND($B$7080,$B$7082,$B$3="Cantilever Supported"),IF($I$5901,1.2,6/($H$6+1)),-10)</f>
        <v>-10</v>
      </c>
    </row>
    <row r="6610" spans="1:2" hidden="1"/>
    <row r="6700" spans="4:4" hidden="1">
      <c r="D6700" s="7">
        <v>0</v>
      </c>
    </row>
    <row r="6701" spans="4:4" hidden="1">
      <c r="D6701" s="7">
        <v>0</v>
      </c>
    </row>
    <row r="6702" spans="4:4" hidden="1">
      <c r="D6702" s="7">
        <v>0</v>
      </c>
    </row>
    <row r="6703" spans="4:4" hidden="1">
      <c r="D6703" s="7">
        <v>0</v>
      </c>
    </row>
    <row r="6704" spans="4:4" hidden="1">
      <c r="D6704" s="8">
        <v>0</v>
      </c>
    </row>
    <row r="7000" spans="1:13" ht="14.1" hidden="1">
      <c r="A7000" s="176" t="s">
        <v>445</v>
      </c>
      <c r="B7000" s="176"/>
      <c r="C7000" s="176"/>
      <c r="D7000" s="176"/>
      <c r="E7000" s="176"/>
      <c r="F7000" s="176"/>
    </row>
    <row r="7001" spans="1:13" hidden="1">
      <c r="A7001" s="177" t="s">
        <v>446</v>
      </c>
      <c r="B7001" s="177"/>
      <c r="C7001" s="177"/>
      <c r="D7001" s="17">
        <f>IF(ISNUMBER(O26),O26,"")</f>
        <v>69.531249999999972</v>
      </c>
      <c r="E7001" s="16" t="s">
        <v>18</v>
      </c>
      <c r="F7001" s="16"/>
    </row>
    <row r="7002" spans="1:13" hidden="1">
      <c r="A7002" s="16"/>
      <c r="B7002" s="16"/>
      <c r="C7002" s="16"/>
      <c r="D7002" s="16"/>
      <c r="E7002" s="16"/>
      <c r="F7002" s="16"/>
    </row>
    <row r="7003" spans="1:13" hidden="1">
      <c r="A7003" s="177" t="s">
        <v>430</v>
      </c>
      <c r="B7003" s="177"/>
      <c r="C7003" s="177"/>
      <c r="D7003" s="17">
        <f>IF(ISNUMBER(D7001),D7001/1.6,"")</f>
        <v>43.457031249999979</v>
      </c>
      <c r="E7003" s="16" t="s">
        <v>18</v>
      </c>
      <c r="F7003" s="16"/>
    </row>
    <row r="7004" spans="1:13" hidden="1">
      <c r="A7004" s="16"/>
      <c r="B7004" s="16"/>
      <c r="C7004" s="16"/>
      <c r="D7004" s="16"/>
      <c r="E7004" s="16"/>
      <c r="F7004" s="16"/>
    </row>
    <row r="7005" spans="1:13" ht="14.1" hidden="1">
      <c r="A7005" s="178" t="s">
        <v>455</v>
      </c>
      <c r="B7005" s="178"/>
      <c r="C7005" s="178"/>
      <c r="D7005" s="178"/>
      <c r="E7005" s="178"/>
      <c r="F7005" s="178"/>
      <c r="G7005" s="178"/>
      <c r="H7005" s="178"/>
      <c r="I7005" s="178"/>
      <c r="J7005" s="178"/>
      <c r="K7005" s="178"/>
      <c r="L7005" s="178"/>
      <c r="M7005" s="178"/>
    </row>
    <row r="7006" spans="1:13" hidden="1">
      <c r="A7006" s="179" t="s">
        <v>385</v>
      </c>
      <c r="B7006" s="179"/>
      <c r="C7006" s="179"/>
      <c r="D7006" s="49" t="s">
        <v>429</v>
      </c>
      <c r="E7006" s="6"/>
      <c r="F7006" s="6"/>
      <c r="G7006" s="6"/>
      <c r="H7006" s="6"/>
      <c r="I7006" s="6"/>
      <c r="J7006" s="6"/>
      <c r="K7006" s="6"/>
      <c r="L7006" s="6"/>
      <c r="M7006" s="6"/>
    </row>
    <row r="7007" spans="1:13" hidden="1">
      <c r="A7007" s="6"/>
      <c r="B7007" s="6"/>
      <c r="C7007" s="6"/>
      <c r="D7007" s="6"/>
      <c r="E7007" s="6"/>
      <c r="F7007" s="6"/>
      <c r="G7007" s="6"/>
      <c r="H7007" s="6"/>
      <c r="I7007" s="6"/>
      <c r="J7007" s="6"/>
      <c r="K7007" s="6"/>
      <c r="L7007" s="6"/>
      <c r="M7007" s="6"/>
    </row>
    <row r="7008" spans="1:13" hidden="1">
      <c r="A7008" s="179" t="s">
        <v>432</v>
      </c>
      <c r="B7008" s="179"/>
      <c r="C7008" s="179"/>
      <c r="D7008" s="18">
        <f>'Steel Beam Design'!B2072</f>
        <v>181.05</v>
      </c>
      <c r="E7008" s="6" t="s">
        <v>18</v>
      </c>
      <c r="F7008" s="180" t="str">
        <f>IF(TRIM(D16)="","",IF(0.6*'Steel Beam Design'!B2063&gt;'Steel Beam Design'!B2064,IF(OR('Steel Beam Design'!B2060=13,'Steel Beam Design'!B2061=120),"Mcx = py × Zx / 1000","Mcx = py × MIN(Sx, 1.2Zx) / 1000"),IF(OR('Steel Beam Design'!B2060=13,'Steel Beam Design'!B2061=120),"Mcx = py × (Zx − ρSvx/1.5) / 1000","Mcx = py × MIN(Sx − ρSvx, 1.2(Zx − ρSvx/1.5)) / 1000")))</f>
        <v>Mcx = py × Zx / 1000</v>
      </c>
      <c r="G7008" s="180"/>
      <c r="H7008" s="180"/>
      <c r="I7008" s="180"/>
      <c r="J7008" s="180"/>
      <c r="K7008" s="180"/>
      <c r="L7008" s="180"/>
      <c r="M7008" s="180"/>
    </row>
    <row r="7009" spans="1:13" hidden="1">
      <c r="A7009" s="179" t="s">
        <v>386</v>
      </c>
      <c r="B7009" s="179"/>
      <c r="C7009" s="179"/>
      <c r="D7009" s="18">
        <f>'Steel Beam Design'!B2073</f>
        <v>61.77</v>
      </c>
      <c r="E7009" s="6" t="s">
        <v>18</v>
      </c>
      <c r="F7009" s="180" t="str">
        <f>IF(TRIM(D16)="","",IF(0.6*'Steel Beam Design'!B2063&gt;'Steel Beam Design'!B2064,IF(OR('Steel Beam Design'!B2060=13,'Steel Beam Design'!B2061=120),"Mcy = py × Zy / 1000","Mcy = py × MIN(Sy, 1.2Zy) / 1000"),IF(OR('Steel Beam Design'!B2060=13,'Steel Beam Design'!B2061=120),"Mcy = py × (Zy − ρSvy/1.5) / 1000","Mcy = py × MIN(Sy − ρSvy, 1.2(Zy − ρSvy/1.5)) / 1000")))</f>
        <v>Mcy = py × Zy / 1000</v>
      </c>
      <c r="G7009" s="180"/>
      <c r="H7009" s="180"/>
      <c r="I7009" s="180"/>
      <c r="J7009" s="180"/>
      <c r="K7009" s="180"/>
      <c r="L7009" s="180"/>
      <c r="M7009" s="180"/>
    </row>
    <row r="7010" spans="1:13" hidden="1">
      <c r="A7010" s="6"/>
      <c r="B7010" s="6"/>
      <c r="C7010" s="6"/>
      <c r="D7010" s="6"/>
      <c r="E7010" s="6"/>
      <c r="F7010" s="6"/>
      <c r="G7010" s="6"/>
      <c r="H7010" s="6"/>
      <c r="I7010" s="6"/>
      <c r="J7010" s="6"/>
      <c r="K7010" s="6"/>
      <c r="L7010" s="6"/>
      <c r="M7010" s="6"/>
    </row>
    <row r="7011" spans="1:13" hidden="1">
      <c r="A7011" s="179" t="s">
        <v>433</v>
      </c>
      <c r="B7011" s="179"/>
      <c r="C7011" s="179"/>
      <c r="D7011" s="18">
        <f>'Steel Beam Design'!C2072</f>
        <v>108.63</v>
      </c>
      <c r="E7011" s="6" t="s">
        <v>18</v>
      </c>
      <c r="F7011" s="180" t="str">
        <f>IF(TRIM(D17)="","",IF(0.6*'Steel Beam Design'!C2063&gt;'Steel Beam Design'!C2064,IF(OR('Steel Beam Design'!C2060=13,'Steel Beam Design'!C2061=120),"Mcx = py × Zx / 1000","Mcx = py × MIN(Sx, 1.2Zx) / 1000"),IF(OR('Steel Beam Design'!C2060=13,'Steel Beam Design'!C2061=120),"Mcx = py × (Zx − ρSvx/1.5) / 1000","Mcx = py × MIN(Sx − ρSvx, 1.2(Zx − ρSvx/1.5)) / 1000")))</f>
        <v>Mcx = py × MIN(Sx, 1.2Zx) / 1000</v>
      </c>
      <c r="G7011" s="180"/>
      <c r="H7011" s="180"/>
      <c r="I7011" s="180"/>
      <c r="J7011" s="180"/>
      <c r="K7011" s="180"/>
      <c r="L7011" s="180"/>
      <c r="M7011" s="180"/>
    </row>
    <row r="7012" spans="1:13" hidden="1">
      <c r="A7012" s="179" t="s">
        <v>387</v>
      </c>
      <c r="B7012" s="179"/>
      <c r="C7012" s="179"/>
      <c r="D7012" s="18">
        <f>'Steel Beam Design'!C2073</f>
        <v>12.4392</v>
      </c>
      <c r="E7012" s="6" t="s">
        <v>18</v>
      </c>
      <c r="F7012" s="180" t="str">
        <f>IF(TRIM(D17)="","",IF(0.6*'Steel Beam Design'!C2063&gt;'Steel Beam Design'!C2064,IF(OR('Steel Beam Design'!C2060=13,'Steel Beam Design'!C2061=120),"Mcy = py × Zy / 1000","Mcy = py × MIN(Sy, 1.2Zy) / 1000"),IF(OR('Steel Beam Design'!C2060=13,'Steel Beam Design'!C2061=120),"Mcy = py × (Zy − ρSvy/1.5) / 1000","Mcy = py × MIN(Sy − ρSvy, 1.2(Zy − ρSvy/1.5)) / 1000")))</f>
        <v>Mcy = py × MIN(Sy, 1.2Zy) / 1000</v>
      </c>
      <c r="G7012" s="180"/>
      <c r="H7012" s="180"/>
      <c r="I7012" s="180"/>
      <c r="J7012" s="180"/>
      <c r="K7012" s="180"/>
      <c r="L7012" s="180"/>
      <c r="M7012" s="180"/>
    </row>
    <row r="7013" spans="1:13" ht="14.1" hidden="1">
      <c r="A7013" s="6" t="s">
        <v>436</v>
      </c>
      <c r="B7013" s="6"/>
      <c r="C7013" s="6"/>
      <c r="D7013" s="50" t="str">
        <f>IF(NOT(B7084),"UC: Check inputs",IF(AND(ISNUMBER(B2063),B2064&gt;B2063),"UC: Shear NG",IF(ISNUMBER(D7008),IF(D7008&gt;=D7003,"UC: OK","UC: Not ok"),"UC: Check section")))</f>
        <v>UC: OK</v>
      </c>
      <c r="E7013" s="6"/>
      <c r="F7013" s="50" t="str">
        <f>IF(NOT(B7084),"UB: Check inputs",IF(AND(ISNUMBER(C2063),C2064&gt;C2063),"UB: Shear NG",IF(ISNUMBER(D7011),IF(D7011&gt;=D7003,"UB: OK","UB: Not ok"),"UB: Check section")))</f>
        <v>UB: OK</v>
      </c>
      <c r="G7013" s="6"/>
      <c r="H7013" s="6"/>
      <c r="I7013" s="6"/>
      <c r="J7013" s="6"/>
      <c r="K7013" s="6"/>
      <c r="L7013" s="6"/>
      <c r="M7013" s="6"/>
    </row>
    <row r="7014" spans="1:13" hidden="1">
      <c r="A7014" s="185" t="s">
        <v>499</v>
      </c>
      <c r="B7014" s="185"/>
      <c r="C7014" s="185"/>
      <c r="D7014" s="185"/>
      <c r="E7014" s="185"/>
      <c r="F7014" s="185"/>
      <c r="G7014" s="185"/>
      <c r="H7014" s="185"/>
      <c r="I7014" s="185"/>
      <c r="J7014" s="185"/>
      <c r="K7014" s="185"/>
      <c r="L7014" s="185"/>
      <c r="M7014" s="185"/>
    </row>
    <row r="7015" spans="1:13" hidden="1">
      <c r="A7015" s="185" t="s">
        <v>388</v>
      </c>
      <c r="B7015" s="185"/>
      <c r="C7015" s="185"/>
      <c r="D7015" s="185"/>
      <c r="E7015" s="185"/>
      <c r="F7015" s="185"/>
      <c r="G7015" s="185"/>
      <c r="H7015" s="185"/>
      <c r="I7015" s="185"/>
      <c r="J7015" s="185"/>
      <c r="K7015" s="185"/>
      <c r="L7015" s="185"/>
      <c r="M7015" s="185"/>
    </row>
    <row r="7016" spans="1:13" hidden="1">
      <c r="A7016" s="16"/>
      <c r="B7016" s="16"/>
      <c r="C7016" s="16"/>
      <c r="D7016" s="16"/>
      <c r="E7016" s="16"/>
      <c r="F7016" s="16"/>
    </row>
    <row r="7017" spans="1:13" hidden="1">
      <c r="A7017" s="16"/>
      <c r="B7017" s="16"/>
      <c r="C7017" s="16"/>
      <c r="D7017" s="16"/>
      <c r="E7017" s="16"/>
      <c r="F7017" s="16"/>
    </row>
    <row r="7018" spans="1:13" ht="14.1" hidden="1">
      <c r="A7018" s="176" t="s">
        <v>447</v>
      </c>
      <c r="B7018" s="176"/>
      <c r="C7018" s="176"/>
      <c r="D7018" s="176"/>
      <c r="E7018" s="176"/>
      <c r="F7018" s="176"/>
    </row>
    <row r="7019" spans="1:13" hidden="1">
      <c r="A7019" s="134"/>
      <c r="B7019" s="134"/>
      <c r="C7019" s="134"/>
      <c r="D7019" s="134"/>
      <c r="E7019" s="134"/>
      <c r="F7019" s="134"/>
    </row>
    <row r="7020" spans="1:13" hidden="1">
      <c r="A7020" s="155" t="str">
        <f>IF(ISNUMBER(B5707),"Short form ("&amp;C26&amp;"): Imin ≈ "&amp;TEXT(B5708,"0.00")&amp;IF(B5702=0,"wL³",IF(N(N26)=0,"PL²","WL²")),"Short form: check inputs")</f>
        <v>Short form (Simply Supported): Imin ≈ 2.29wL³</v>
      </c>
      <c r="B7020" s="155"/>
      <c r="C7020" s="155"/>
      <c r="D7020" s="155"/>
      <c r="E7020" s="155"/>
      <c r="F7020" s="155"/>
    </row>
    <row r="7021" spans="1:13" hidden="1">
      <c r="A7021" s="134" t="s">
        <v>427</v>
      </c>
      <c r="B7021" s="134"/>
      <c r="C7021" s="134"/>
      <c r="D7021" s="20">
        <f>IF(AND(COUNT(P26,B26,D12,D10)=4,B26&gt;0,D12&gt;0,D10&gt;0),IF(C26="Simply Supported",5/384,IF(C26="Fixed-Fixed",1/384,IF(C26="Cantilever Supported",1/8,NA())))*P26*B26^3*D10*100000/D12,"")</f>
        <v>893.1974085365855</v>
      </c>
      <c r="E7021" s="19" t="s">
        <v>428</v>
      </c>
      <c r="F7021" s="19"/>
    </row>
    <row r="7022" spans="1:13" hidden="1"/>
    <row r="7023" spans="1:13" hidden="1">
      <c r="A7023" s="177" t="s">
        <v>21</v>
      </c>
      <c r="B7023" s="177"/>
      <c r="C7023" s="177"/>
      <c r="E7023" s="16"/>
      <c r="F7023" s="16"/>
    </row>
    <row r="7024" spans="1:13" hidden="1">
      <c r="A7024" s="155" t="str">
        <f>IF(B5702=0,"w: kN/m; L: m; Imin: cm⁴",IF(N(N26)=0,IF(B5706,"P = total of five equal loads; stated equal-spacing arrangement.","P = total point load; coefficient calculated for actual load positions."),"W = total load = ΣPi + wL; coefficient calculated for current combined loading."))</f>
        <v>w: kN/m; L: m; Imin: cm⁴</v>
      </c>
      <c r="B7024" s="155"/>
      <c r="C7024" s="155"/>
      <c r="D7024" s="155"/>
      <c r="E7024" s="155"/>
      <c r="F7024" s="155"/>
    </row>
    <row r="7025" spans="1:6" hidden="1">
      <c r="A7025" s="174"/>
      <c r="B7025" s="174"/>
      <c r="C7025" s="174"/>
      <c r="D7025" s="174"/>
      <c r="E7025" s="174"/>
      <c r="F7025" s="174"/>
    </row>
    <row r="7026" spans="1:6" hidden="1">
      <c r="A7026" s="16"/>
      <c r="B7026" s="16"/>
      <c r="C7026" s="16"/>
      <c r="D7026" s="16"/>
      <c r="E7026" s="16"/>
      <c r="F7026" s="16"/>
    </row>
    <row r="7027" spans="1:6" ht="14.1" hidden="1">
      <c r="A7027" s="175" t="s">
        <v>431</v>
      </c>
      <c r="B7027" s="175"/>
      <c r="C7027" s="175"/>
      <c r="D7027" s="22">
        <f>IF(ISNUMBER(D7021),D7021/2.8,"")</f>
        <v>318.999074477352</v>
      </c>
      <c r="E7027" s="21" t="s">
        <v>22</v>
      </c>
      <c r="F7027" s="21"/>
    </row>
    <row r="7028" spans="1:6" hidden="1">
      <c r="A7028" s="181" t="s">
        <v>434</v>
      </c>
      <c r="B7028" s="181"/>
      <c r="C7028" s="181"/>
      <c r="D7028" s="24">
        <f>IF(TRIM(D16)="","",G137)</f>
        <v>5259</v>
      </c>
      <c r="E7028" s="23" t="s">
        <v>22</v>
      </c>
      <c r="F7028" s="23"/>
    </row>
    <row r="7029" spans="1:6" hidden="1">
      <c r="A7029" s="184" t="s">
        <v>435</v>
      </c>
      <c r="B7029" s="184"/>
      <c r="C7029" s="184"/>
      <c r="D7029" s="26">
        <f>IF(TRIM(D17)="","",G153)</f>
        <v>3415</v>
      </c>
      <c r="E7029" s="25" t="s">
        <v>22</v>
      </c>
      <c r="F7029" s="25"/>
    </row>
    <row r="7030" spans="1:6" ht="14.1" hidden="1">
      <c r="A7030" s="27" t="s">
        <v>436</v>
      </c>
      <c r="B7030" s="27"/>
      <c r="C7030" s="27"/>
      <c r="D7030" s="51" t="str">
        <f>IF(NOT(ISNUMBER(D7027)),"UC: Check inputs",IF(ISNUMBER(D7028),IF(D7028&gt;=D7027,"UC: OK","UC: Not ok"),"UC: Check section"))</f>
        <v>UC: OK</v>
      </c>
      <c r="E7030" s="27"/>
      <c r="F7030" s="52" t="str">
        <f>IF(NOT(ISNUMBER(D7027)),"UB: Check inputs",IF(ISNUMBER(D7029),IF(D7029&gt;=D7027,"UB: OK","UB: Not ok"),"UB: Check section"))</f>
        <v>UB: OK</v>
      </c>
    </row>
    <row r="7031" spans="1:6" hidden="1">
      <c r="A7031" s="16"/>
      <c r="B7031" s="16"/>
      <c r="C7031" s="16"/>
      <c r="D7031" s="16"/>
      <c r="E7031" s="16"/>
      <c r="F7031" s="16"/>
    </row>
    <row r="7032" spans="1:6" hidden="1">
      <c r="A7032" s="174" t="s">
        <v>501</v>
      </c>
      <c r="B7032" s="174"/>
      <c r="C7032" s="174"/>
      <c r="D7032" s="174"/>
      <c r="E7032" s="174"/>
      <c r="F7032" s="174"/>
    </row>
    <row r="7033" spans="1:6" hidden="1"/>
    <row r="7034" spans="1:6" hidden="1"/>
    <row r="7035" spans="1:6" hidden="1"/>
    <row r="7036" spans="1:6" hidden="1"/>
    <row r="7037" spans="1:6" hidden="1"/>
    <row r="7038" spans="1:6" hidden="1"/>
    <row r="7039" spans="1:6" hidden="1"/>
    <row r="7040" spans="1:6" ht="14.1" hidden="1">
      <c r="A7040" s="176" t="s">
        <v>448</v>
      </c>
      <c r="B7040" s="176"/>
      <c r="C7040" s="176"/>
      <c r="D7040" s="176"/>
      <c r="E7040" s="176"/>
      <c r="F7040" s="176"/>
    </row>
    <row r="7041" spans="1:13" hidden="1">
      <c r="A7041" s="177" t="s">
        <v>449</v>
      </c>
      <c r="B7041" s="177"/>
      <c r="C7041" s="177"/>
      <c r="D7041" s="17">
        <f>IF(ISNUMBER(O27),O27,"")</f>
        <v>278.12499999999994</v>
      </c>
      <c r="E7041" s="16" t="s">
        <v>18</v>
      </c>
      <c r="F7041" s="16"/>
    </row>
    <row r="7042" spans="1:13" hidden="1">
      <c r="A7042" s="16"/>
      <c r="B7042" s="16"/>
      <c r="C7042" s="16"/>
      <c r="D7042" s="16"/>
      <c r="E7042" s="16"/>
      <c r="F7042" s="16"/>
    </row>
    <row r="7043" spans="1:13" hidden="1">
      <c r="A7043" s="177" t="s">
        <v>430</v>
      </c>
      <c r="B7043" s="177"/>
      <c r="C7043" s="177"/>
      <c r="D7043" s="17">
        <f>IF(ISNUMBER(D7041),D7041/1.6,"")</f>
        <v>173.82812499999994</v>
      </c>
      <c r="E7043" s="16" t="s">
        <v>18</v>
      </c>
      <c r="F7043" s="16"/>
    </row>
    <row r="7044" spans="1:13" hidden="1">
      <c r="A7044" s="16"/>
      <c r="B7044" s="16"/>
      <c r="C7044" s="16"/>
      <c r="D7044" s="16"/>
      <c r="E7044" s="16"/>
      <c r="F7044" s="16"/>
    </row>
    <row r="7045" spans="1:13" ht="14.1" hidden="1">
      <c r="A7045" s="178" t="s">
        <v>456</v>
      </c>
      <c r="B7045" s="178"/>
      <c r="C7045" s="178"/>
      <c r="D7045" s="178"/>
      <c r="E7045" s="178"/>
      <c r="F7045" s="178"/>
      <c r="G7045" s="178"/>
      <c r="H7045" s="178"/>
      <c r="I7045" s="178"/>
      <c r="J7045" s="178"/>
      <c r="K7045" s="178"/>
      <c r="L7045" s="178"/>
      <c r="M7045" s="178"/>
    </row>
    <row r="7046" spans="1:13" hidden="1">
      <c r="A7046" s="179" t="s">
        <v>385</v>
      </c>
      <c r="B7046" s="179"/>
      <c r="C7046" s="179"/>
      <c r="D7046" s="49" t="str">
        <f>$D$7006</f>
        <v>S355</v>
      </c>
      <c r="E7046" s="6"/>
      <c r="F7046" s="6"/>
      <c r="G7046" s="6"/>
      <c r="H7046" s="6"/>
      <c r="I7046" s="6"/>
      <c r="J7046" s="6"/>
      <c r="K7046" s="6"/>
      <c r="L7046" s="6"/>
      <c r="M7046" s="6"/>
    </row>
    <row r="7047" spans="1:13" hidden="1">
      <c r="A7047" s="6"/>
      <c r="B7047" s="6"/>
      <c r="C7047" s="6"/>
      <c r="D7047" s="6"/>
      <c r="E7047" s="6"/>
      <c r="F7047" s="6"/>
      <c r="G7047" s="6"/>
      <c r="H7047" s="6"/>
      <c r="I7047" s="6"/>
      <c r="J7047" s="6"/>
      <c r="K7047" s="6"/>
      <c r="L7047" s="6"/>
      <c r="M7047" s="6"/>
    </row>
    <row r="7048" spans="1:13" hidden="1">
      <c r="A7048" s="179" t="s">
        <v>432</v>
      </c>
      <c r="B7048" s="179"/>
      <c r="C7048" s="179"/>
      <c r="D7048" s="18">
        <f>E2072</f>
        <v>181.05</v>
      </c>
      <c r="E7048" s="6" t="s">
        <v>18</v>
      </c>
      <c r="F7048" s="180" t="str">
        <f>IF(TRIM(D16)="","",IF(0.6*'Steel Beam Design'!E2063&gt;'Steel Beam Design'!E2064,IF(OR('Steel Beam Design'!E2060=13,'Steel Beam Design'!E2061=120),"Mcx = py × Zx / 1000","Mcx = py × MIN(Sx, 1.2Zx) / 1000"),IF(OR('Steel Beam Design'!E2060=13,'Steel Beam Design'!E2061=120),"Mcx = py × (Zx − ρSvx/1.5) / 1000","Mcx = py × MIN(Sx − ρSvx, 1.2(Zx − ρSvx/1.5)) / 1000")))</f>
        <v>Mcx = py × Zx / 1000</v>
      </c>
      <c r="G7048" s="180"/>
      <c r="H7048" s="180"/>
      <c r="I7048" s="180"/>
      <c r="J7048" s="180"/>
      <c r="K7048" s="180"/>
      <c r="L7048" s="180"/>
      <c r="M7048" s="180"/>
    </row>
    <row r="7049" spans="1:13" hidden="1">
      <c r="A7049" s="179" t="s">
        <v>386</v>
      </c>
      <c r="B7049" s="179"/>
      <c r="C7049" s="179"/>
      <c r="D7049" s="18">
        <f>E2073</f>
        <v>61.77</v>
      </c>
      <c r="E7049" s="6" t="s">
        <v>18</v>
      </c>
      <c r="F7049" s="180" t="str">
        <f>IF(TRIM(D16)="","",IF(0.6*'Steel Beam Design'!E2063&gt;'Steel Beam Design'!E2064,IF(OR('Steel Beam Design'!E2060=13,'Steel Beam Design'!E2061=120),"Mcy = py × Zy / 1000","Mcy = py × MIN(Sy, 1.2Zy) / 1000"),IF(OR('Steel Beam Design'!E2060=13,'Steel Beam Design'!E2061=120),"Mcy = py × (Zy − ρSvy/1.5) / 1000","Mcy = py × MIN(Sy − ρSvy, 1.2(Zy − ρSvy/1.5)) / 1000")))</f>
        <v>Mcy = py × Zy / 1000</v>
      </c>
      <c r="G7049" s="180"/>
      <c r="H7049" s="180"/>
      <c r="I7049" s="180"/>
      <c r="J7049" s="180"/>
      <c r="K7049" s="180"/>
      <c r="L7049" s="180"/>
      <c r="M7049" s="180"/>
    </row>
    <row r="7050" spans="1:13" hidden="1">
      <c r="A7050" s="6"/>
      <c r="B7050" s="6"/>
      <c r="C7050" s="6"/>
      <c r="D7050" s="6"/>
      <c r="E7050" s="6"/>
      <c r="F7050" s="6"/>
      <c r="G7050" s="6"/>
      <c r="H7050" s="6"/>
      <c r="I7050" s="6"/>
      <c r="J7050" s="6"/>
      <c r="K7050" s="6"/>
      <c r="L7050" s="6"/>
      <c r="M7050" s="6"/>
    </row>
    <row r="7051" spans="1:13" hidden="1">
      <c r="A7051" s="179" t="s">
        <v>433</v>
      </c>
      <c r="B7051" s="179"/>
      <c r="C7051" s="179"/>
      <c r="D7051" s="18">
        <f>F2072</f>
        <v>108.63</v>
      </c>
      <c r="E7051" s="6" t="s">
        <v>18</v>
      </c>
      <c r="F7051" s="180" t="str">
        <f>IF(TRIM(D17)="","",IF(0.6*'Steel Beam Design'!F2063&gt;'Steel Beam Design'!F2064,IF(OR('Steel Beam Design'!F2060=13,'Steel Beam Design'!F2061=120),"Mcx = py × Zx / 1000","Mcx = py × MIN(Sx, 1.2Zx) / 1000"),IF(OR('Steel Beam Design'!F2060=13,'Steel Beam Design'!F2061=120),"Mcx = py × (Zx − ρSvx/1.5) / 1000","Mcx = py × MIN(Sx − ρSvx, 1.2(Zx − ρSvx/1.5)) / 1000")))</f>
        <v>Mcx = py × MIN(Sx, 1.2Zx) / 1000</v>
      </c>
      <c r="G7051" s="180"/>
      <c r="H7051" s="180"/>
      <c r="I7051" s="180"/>
      <c r="J7051" s="180"/>
      <c r="K7051" s="180"/>
      <c r="L7051" s="180"/>
      <c r="M7051" s="180"/>
    </row>
    <row r="7052" spans="1:13" hidden="1">
      <c r="A7052" s="179" t="s">
        <v>387</v>
      </c>
      <c r="B7052" s="179"/>
      <c r="C7052" s="179"/>
      <c r="D7052" s="18">
        <f>F2073</f>
        <v>12.4392</v>
      </c>
      <c r="E7052" s="6" t="s">
        <v>18</v>
      </c>
      <c r="F7052" s="180" t="str">
        <f>IF(TRIM(D17)="","",IF(0.6*'Steel Beam Design'!F2063&gt;'Steel Beam Design'!F2064,IF(OR('Steel Beam Design'!F2060=13,'Steel Beam Design'!F2061=120),"Mcy = py × Zy / 1000","Mcy = py × MIN(Sy, 1.2Zy) / 1000"),IF(OR('Steel Beam Design'!F2060=13,'Steel Beam Design'!F2061=120),"Mcy = py × (Zy − ρSvy/1.5) / 1000","Mcy = py × MIN(Sy − ρSvy, 1.2(Zy − ρSvy/1.5)) / 1000")))</f>
        <v>Mcy = py × MIN(Sy, 1.2Zy) / 1000</v>
      </c>
      <c r="G7052" s="180"/>
      <c r="H7052" s="180"/>
      <c r="I7052" s="180"/>
      <c r="J7052" s="180"/>
      <c r="K7052" s="180"/>
      <c r="L7052" s="180"/>
      <c r="M7052" s="180"/>
    </row>
    <row r="7053" spans="1:13" ht="14.1" hidden="1">
      <c r="A7053" s="6" t="s">
        <v>436</v>
      </c>
      <c r="B7053" s="6"/>
      <c r="C7053" s="6"/>
      <c r="D7053" s="50" t="str">
        <f>IF(NOT(B7083),"UC: Check inputs",IF(AND(ISNUMBER(E2063),E2064&gt;E2063),"UC: Shear NG",IF(ISNUMBER(D7048),IF(D7048&gt;=D7043,"UC: OK","UC: Not ok"),"UC: Check section")))</f>
        <v>UC: OK</v>
      </c>
      <c r="E7053" s="6"/>
      <c r="F7053" s="50" t="str">
        <f>IF(NOT(B7083),"UB: Check inputs",IF(AND(ISNUMBER(F2063),F2064&gt;F2063),"UB: Shear NG",IF(ISNUMBER(D7051),IF(D7051&gt;=D7043,"UB: OK","UB: Not ok"),"UB: Check section")))</f>
        <v>UB: Not ok</v>
      </c>
      <c r="G7053" s="6"/>
      <c r="H7053" s="6"/>
      <c r="I7053" s="6"/>
      <c r="J7053" s="6"/>
      <c r="K7053" s="6"/>
      <c r="L7053" s="6"/>
      <c r="M7053" s="6"/>
    </row>
    <row r="7054" spans="1:13" hidden="1">
      <c r="A7054" s="185" t="s">
        <v>499</v>
      </c>
      <c r="B7054" s="185"/>
      <c r="C7054" s="185"/>
      <c r="D7054" s="185"/>
      <c r="E7054" s="185"/>
      <c r="F7054" s="185"/>
      <c r="G7054" s="185"/>
      <c r="H7054" s="185"/>
      <c r="I7054" s="185"/>
      <c r="J7054" s="185"/>
      <c r="K7054" s="185"/>
      <c r="L7054" s="185"/>
      <c r="M7054" s="185"/>
    </row>
    <row r="7055" spans="1:13" hidden="1">
      <c r="A7055" s="185" t="s">
        <v>388</v>
      </c>
      <c r="B7055" s="185"/>
      <c r="C7055" s="185"/>
      <c r="D7055" s="185"/>
      <c r="E7055" s="185"/>
      <c r="F7055" s="185"/>
      <c r="G7055" s="185"/>
      <c r="H7055" s="185"/>
      <c r="I7055" s="185"/>
      <c r="J7055" s="185"/>
      <c r="K7055" s="185"/>
      <c r="L7055" s="185"/>
      <c r="M7055" s="185"/>
    </row>
    <row r="7056" spans="1:13" hidden="1">
      <c r="A7056" s="16"/>
      <c r="B7056" s="16"/>
      <c r="C7056" s="16"/>
      <c r="D7056" s="16"/>
      <c r="E7056" s="16"/>
      <c r="F7056" s="16"/>
    </row>
    <row r="7057" spans="1:6" hidden="1">
      <c r="A7057" s="16"/>
      <c r="B7057" s="16"/>
      <c r="C7057" s="16"/>
      <c r="D7057" s="16"/>
      <c r="E7057" s="16"/>
      <c r="F7057" s="16"/>
    </row>
    <row r="7058" spans="1:6" ht="14.1" hidden="1">
      <c r="A7058" s="176" t="s">
        <v>450</v>
      </c>
      <c r="B7058" s="176"/>
      <c r="C7058" s="176"/>
      <c r="D7058" s="176"/>
      <c r="E7058" s="176"/>
      <c r="F7058" s="176"/>
    </row>
    <row r="7059" spans="1:6" hidden="1">
      <c r="A7059" s="134"/>
      <c r="B7059" s="134"/>
      <c r="C7059" s="134"/>
      <c r="D7059" s="134"/>
      <c r="E7059" s="134"/>
      <c r="F7059" s="134"/>
    </row>
    <row r="7060" spans="1:6" hidden="1">
      <c r="A7060" s="155" t="str">
        <f>"SB2 live-load short form: "&amp;IF(ISNUMBER(D7061),TEXT(D7075*H10*100000/D12,"0.00")&amp;" P_live L²; P_live = each point","Check inputs")</f>
        <v>SB2 live-load short form: 3.66 P_live L²; P_live = each point</v>
      </c>
      <c r="B7060" s="155"/>
      <c r="C7060" s="155"/>
      <c r="D7060" s="155"/>
      <c r="E7060" s="155"/>
      <c r="F7060" s="155"/>
    </row>
    <row r="7061" spans="1:6" hidden="1">
      <c r="A7061" s="134" t="s">
        <v>427</v>
      </c>
      <c r="B7061" s="134"/>
      <c r="C7061" s="134"/>
      <c r="D7061" s="20">
        <f>IF(AND(COUNT(D7074,D7075,B27,D12,H10)=5,B27&gt;0,D12&gt;0,H10&gt;0),D7075*D7074*B27^2*H10*100000/D12,"")</f>
        <v>11432.92682926829</v>
      </c>
      <c r="E7061" s="19" t="s">
        <v>428</v>
      </c>
      <c r="F7061" s="19"/>
    </row>
    <row r="7062" spans="1:6" hidden="1"/>
    <row r="7063" spans="1:6" hidden="1">
      <c r="A7063" s="177" t="s">
        <v>21</v>
      </c>
      <c r="B7063" s="177"/>
      <c r="C7063" s="177"/>
      <c r="E7063" s="16"/>
      <c r="F7063" s="16"/>
    </row>
    <row r="7064" spans="1:6" hidden="1">
      <c r="A7064" s="155" t="s">
        <v>500</v>
      </c>
      <c r="B7064" s="155"/>
      <c r="C7064" s="155"/>
      <c r="D7064" s="155"/>
      <c r="E7064" s="155"/>
      <c r="F7064" s="155"/>
    </row>
    <row r="7065" spans="1:6" hidden="1">
      <c r="A7065" s="174"/>
      <c r="B7065" s="174"/>
      <c r="C7065" s="174"/>
      <c r="D7065" s="174"/>
      <c r="E7065" s="174"/>
      <c r="F7065" s="174"/>
    </row>
    <row r="7066" spans="1:6" hidden="1">
      <c r="A7066" s="16"/>
      <c r="B7066" s="16"/>
      <c r="C7066" s="16"/>
      <c r="D7066" s="16"/>
      <c r="E7066" s="16"/>
      <c r="F7066" s="16"/>
    </row>
    <row r="7067" spans="1:6" ht="14.1" hidden="1">
      <c r="A7067" s="175" t="s">
        <v>431</v>
      </c>
      <c r="B7067" s="175"/>
      <c r="C7067" s="175"/>
      <c r="D7067" s="22">
        <f>IF(ISNUMBER(D7061),D7061/2.8,"")</f>
        <v>4083.1881533101036</v>
      </c>
      <c r="E7067" s="21" t="s">
        <v>22</v>
      </c>
      <c r="F7067" s="21"/>
    </row>
    <row r="7068" spans="1:6" hidden="1">
      <c r="A7068" s="181" t="s">
        <v>434</v>
      </c>
      <c r="B7068" s="181"/>
      <c r="C7068" s="181"/>
      <c r="D7068" s="24">
        <f>D7028</f>
        <v>5259</v>
      </c>
      <c r="E7068" s="23" t="s">
        <v>22</v>
      </c>
      <c r="F7068" s="23"/>
    </row>
    <row r="7069" spans="1:6" hidden="1">
      <c r="A7069" s="184" t="s">
        <v>435</v>
      </c>
      <c r="B7069" s="184"/>
      <c r="C7069" s="184"/>
      <c r="D7069" s="26">
        <f>D7029</f>
        <v>3415</v>
      </c>
      <c r="E7069" s="25" t="s">
        <v>22</v>
      </c>
      <c r="F7069" s="25"/>
    </row>
    <row r="7070" spans="1:6" ht="14.1" hidden="1">
      <c r="A7070" s="27" t="s">
        <v>436</v>
      </c>
      <c r="B7070" s="27"/>
      <c r="C7070" s="27"/>
      <c r="D7070" s="51" t="str">
        <f>IF(NOT(ISNUMBER(D7067)),"UC: Check inputs",IF(ISNUMBER(D7068),IF(D7068&gt;=D7067,"UC: OK","UC: Not ok"),"UC: Check section"))</f>
        <v>UC: OK</v>
      </c>
      <c r="E7070" s="27"/>
      <c r="F7070" s="52" t="str">
        <f>IF(NOT(ISNUMBER(D7067)),"UB: Check inputs",IF(ISNUMBER(D7069),IF(D7069&gt;=D7067,"UB: OK","UB: Not ok"),"UB: Check section"))</f>
        <v>UB: Not ok</v>
      </c>
    </row>
    <row r="7071" spans="1:6" hidden="1">
      <c r="A7071" s="16"/>
      <c r="B7071" s="16"/>
      <c r="C7071" s="16"/>
      <c r="D7071" s="16"/>
      <c r="E7071" s="16"/>
      <c r="F7071" s="16"/>
    </row>
    <row r="7072" spans="1:6" hidden="1">
      <c r="A7072" s="174" t="s">
        <v>501</v>
      </c>
      <c r="B7072" s="174"/>
      <c r="C7072" s="174"/>
      <c r="D7072" s="174"/>
      <c r="E7072" s="174"/>
      <c r="F7072" s="174"/>
    </row>
    <row r="7074" spans="1:4" hidden="1">
      <c r="C7074" s="3" t="s">
        <v>475</v>
      </c>
      <c r="D7074" s="3">
        <f>IF(AND(B7080,ISNUMBER(B8),B8&gt;=0),B8*D11*B26/2*B7093,"")</f>
        <v>31.25</v>
      </c>
    </row>
    <row r="7075" spans="1:4" hidden="1">
      <c r="C7075" s="3" t="s">
        <v>476</v>
      </c>
      <c r="D7075" s="3">
        <f>IF(B7080,(3*(INT(B6/2)*(INT(B6/2)+1)/2)/(B6+1)-4*(INT(B6/2)*(INT(B6/2)+1)/2)^2/(B6+1)^3)/24+MOD(B6,2)/48,"")</f>
        <v>2.0833333333333332E-2</v>
      </c>
    </row>
    <row r="7080" spans="1:4" hidden="1">
      <c r="A7080" s="3" t="s">
        <v>490</v>
      </c>
      <c r="B7080" s="3" t="b">
        <f>IF(COUNT(B4,E4,H4,B6)=4,AND(B4&gt;0,E4&gt;0,OR(H4=0,H4=90),B6&gt;=0,B6=INT(B6),OR(B3="Simply Supported",B3="Cantilever Supported")),FALSE)</f>
        <v>1</v>
      </c>
    </row>
    <row r="7081" spans="1:4" hidden="1">
      <c r="A7081" s="3" t="s">
        <v>491</v>
      </c>
      <c r="B7081" s="3" t="b">
        <f>AND(COUNT(B7,B8)=2,B7&gt;=0,B8&gt;=0)</f>
        <v>1</v>
      </c>
    </row>
    <row r="7082" spans="1:4" hidden="1">
      <c r="A7082" s="3" t="s">
        <v>492</v>
      </c>
      <c r="B7082" s="3" t="b">
        <f>IF(COUNT(B5,H6)=2,AND(B5&gt;0,H6&gt;=0,H6=INT(H6)),FALSE)</f>
        <v>0</v>
      </c>
    </row>
    <row r="7083" spans="1:4" hidden="1">
      <c r="A7083" s="3" t="s">
        <v>493</v>
      </c>
      <c r="B7083" s="3" t="b">
        <f>AND(B7080,B7081)</f>
        <v>1</v>
      </c>
    </row>
    <row r="7084" spans="1:4" hidden="1">
      <c r="A7084" s="3" t="s">
        <v>494</v>
      </c>
      <c r="B7084" s="3" t="b">
        <f>AND(B7083,OR(B3="Simply Supported",B7082))</f>
        <v>1</v>
      </c>
    </row>
    <row r="7085" spans="1:4" hidden="1">
      <c r="A7085" s="3" t="s">
        <v>495</v>
      </c>
      <c r="B7085" s="3" t="b">
        <f>AND(B7080,ISNUMBER(B8),B8&gt;=0,OR(B3="Simply Supported",B7082))</f>
        <v>1</v>
      </c>
    </row>
    <row r="7086" spans="1:4" hidden="1">
      <c r="A7086" s="3" t="s">
        <v>496</v>
      </c>
      <c r="B7086" s="3" t="b">
        <f>AND(B3="Cantilever Supported",B7083,B7082)</f>
        <v>0</v>
      </c>
    </row>
    <row r="7087" spans="1:4" hidden="1">
      <c r="A7087" s="3" t="s">
        <v>497</v>
      </c>
      <c r="B7087" s="3">
        <f>IF(AND(B7086,H6&gt;0),(1.4*B7+1.6*B8)*J11,0)</f>
        <v>0</v>
      </c>
    </row>
    <row r="7088" spans="1:4" hidden="1">
      <c r="A7088" s="3" t="s">
        <v>498</v>
      </c>
      <c r="B7088" s="3">
        <f>IF(AND(B7085,B3="Cantilever Supported",H6&gt;0),B8*J11,0)</f>
        <v>0</v>
      </c>
    </row>
    <row r="7090" spans="1:2" hidden="1">
      <c r="A7090" s="3" t="s">
        <v>512</v>
      </c>
    </row>
    <row r="7091" spans="1:2" hidden="1">
      <c r="A7091" s="3" t="s">
        <v>513</v>
      </c>
      <c r="B7091" s="3" t="str">
        <f>IF(AND(ISNUMBER(O74),B7086),S28*B28^2*L10*100000/(3*D12),"")</f>
        <v/>
      </c>
    </row>
    <row r="7093" spans="1:2" hidden="1">
      <c r="A7093" s="3" t="s">
        <v>514</v>
      </c>
      <c r="B7093" s="3">
        <f>IF(AND(B3="Cantilever Supported",H4=0,ISNUMBER(H6),H6&gt;=1),2,1)</f>
        <v>1</v>
      </c>
    </row>
    <row r="8900" spans="2:2" hidden="1">
      <c r="B8900" s="3">
        <v>1.3582784225794593</v>
      </c>
    </row>
    <row r="8901" spans="2:2" hidden="1">
      <c r="B8901" s="80">
        <f>B4+B8904</f>
        <v>10</v>
      </c>
    </row>
    <row r="8902" spans="2:2" hidden="1">
      <c r="B8902" s="3">
        <f>IF(B7080,IFERROR(MIN(0.65/B8901,0.56/(E4*B8900)),0),0)</f>
        <v>6.5000000000000002E-2</v>
      </c>
    </row>
    <row r="8903" spans="2:2" hidden="1">
      <c r="B8903" s="3">
        <f>(1-E4*B8902*B8900)/2</f>
        <v>0.3896398781654189</v>
      </c>
    </row>
    <row r="8904" spans="2:2" hidden="1">
      <c r="B8904" s="3">
        <f>IF(AND(B3="Cantilever Supported",ISNUMBER(B5),B5&gt;0),B5,0)</f>
        <v>0</v>
      </c>
    </row>
    <row r="8905" spans="2:2" hidden="1"/>
    <row r="8906" spans="2:2" hidden="1"/>
    <row r="8907" spans="2:2" hidden="1"/>
    <row r="8908" spans="2:2" hidden="1"/>
    <row r="8909" spans="2:2" hidden="1"/>
    <row r="8910" spans="2:2" hidden="1"/>
    <row r="8911" spans="2:2" hidden="1"/>
    <row r="8912" spans="2:2" hidden="1"/>
    <row r="8913" hidden="1"/>
    <row r="8914" hidden="1"/>
    <row r="8915" hidden="1"/>
    <row r="8916" hidden="1"/>
    <row r="8917" hidden="1"/>
    <row r="8918" hidden="1"/>
    <row r="8919" hidden="1"/>
    <row r="8920" hidden="1"/>
    <row r="8921" hidden="1"/>
    <row r="8922" hidden="1"/>
    <row r="8923" hidden="1"/>
    <row r="8924" hidden="1"/>
    <row r="8925" hidden="1"/>
    <row r="8926" hidden="1"/>
    <row r="8927" hidden="1"/>
    <row r="8928" hidden="1"/>
    <row r="8929" hidden="1"/>
    <row r="8930" hidden="1"/>
    <row r="8931" hidden="1"/>
    <row r="8932" hidden="1"/>
    <row r="8933" hidden="1"/>
    <row r="8934" hidden="1"/>
    <row r="8935" hidden="1"/>
    <row r="8936" hidden="1"/>
    <row r="8937" hidden="1"/>
    <row r="8938" hidden="1"/>
    <row r="8939" hidden="1"/>
    <row r="8940" hidden="1"/>
    <row r="8941" hidden="1"/>
    <row r="8942" hidden="1"/>
    <row r="8943" hidden="1"/>
    <row r="8944" hidden="1"/>
    <row r="8945" hidden="1"/>
    <row r="8946" hidden="1"/>
    <row r="8947" hidden="1"/>
    <row r="8948" hidden="1"/>
    <row r="8949" hidden="1"/>
    <row r="8950" hidden="1"/>
    <row r="8951" hidden="1"/>
    <row r="8952" hidden="1"/>
    <row r="8953" hidden="1"/>
    <row r="8954" hidden="1"/>
    <row r="8955" hidden="1"/>
    <row r="8956" hidden="1"/>
    <row r="8957" hidden="1"/>
    <row r="8958" hidden="1"/>
    <row r="8959" hidden="1"/>
    <row r="8960" hidden="1"/>
    <row r="8961" hidden="1"/>
    <row r="8962" hidden="1"/>
    <row r="8963" hidden="1"/>
    <row r="8964" hidden="1"/>
    <row r="8965" hidden="1"/>
    <row r="8966" hidden="1"/>
    <row r="8967" hidden="1"/>
    <row r="8968" hidden="1"/>
    <row r="8969" hidden="1"/>
    <row r="8970" hidden="1"/>
    <row r="8971" hidden="1"/>
    <row r="8972" hidden="1"/>
    <row r="8973" hidden="1"/>
    <row r="8974" hidden="1"/>
    <row r="8975" hidden="1"/>
    <row r="8976" hidden="1"/>
    <row r="8977" hidden="1"/>
    <row r="8978" hidden="1"/>
    <row r="8979" hidden="1"/>
    <row r="8980" hidden="1"/>
    <row r="8981" hidden="1"/>
    <row r="8982" hidden="1"/>
    <row r="8983" hidden="1"/>
    <row r="8984" hidden="1"/>
    <row r="8985" hidden="1"/>
    <row r="8986" hidden="1"/>
    <row r="8987" hidden="1"/>
    <row r="8988" hidden="1"/>
    <row r="8989" hidden="1"/>
    <row r="8990" hidden="1"/>
    <row r="8991" hidden="1"/>
    <row r="8992" hidden="1"/>
    <row r="8993" spans="1:2" hidden="1"/>
    <row r="8994" spans="1:2" hidden="1"/>
    <row r="8995" spans="1:2" hidden="1"/>
    <row r="8996" spans="1:2" hidden="1"/>
    <row r="8997" spans="1:2" hidden="1"/>
    <row r="8998" spans="1:2" hidden="1"/>
    <row r="8999" spans="1:2" hidden="1"/>
    <row r="9000" spans="1:2" hidden="1">
      <c r="A9000" s="3">
        <f>IF($A$5911&lt;-1,-10,IF($A$5911&lt;0,0.12+$A$5911*0.4,IF($A$5911&gt;1,0.12+$B$8901*$B$8902+($A$5911-1)*0.4,0.12+$A$5911*$B$4*$B$8902)))</f>
        <v>0.12</v>
      </c>
      <c r="B9000" s="3">
        <f>IF($A$5911&lt;-1,-10,IF($B$5911&lt;0,$B$8903+$B$5911*0.4,IF($B$5911&gt;1,$B$8903+$E$4*$B$8902*$B$8900+($B$5911-1)*0.4,$B$8903+$B$5911*$E$4*$B$8902*$B$8900)))</f>
        <v>0.3896398781654189</v>
      </c>
    </row>
    <row r="9001" spans="1:2" hidden="1">
      <c r="A9001" s="3">
        <f>IF($A$5912&lt;-1,-10,IF($A$5912&lt;0,0.12+$A$5912*0.4,IF($A$5912&gt;1,0.12+$B$8901*$B$8902+($A$5912-1)*0.4,0.12+$A$5912*$B$4*$B$8902)))</f>
        <v>0.77</v>
      </c>
      <c r="B9001" s="3">
        <f>IF($A$5912&lt;-1,-10,IF($B$5912&lt;0,$B$8903+$B$5912*0.4,IF($B$5912&gt;1,$B$8903+$E$4*$B$8902*$B$8900+($B$5912-1)*0.4,$B$8903+$B$5912*$E$4*$B$8902*$B$8900)))</f>
        <v>0.3896398781654189</v>
      </c>
    </row>
    <row r="9002" spans="1:2" hidden="1">
      <c r="A9002" s="3">
        <f>IF($A$5913&lt;-1,-10,IF($A$5913&lt;0,0.12+$A$5913*0.4,IF($A$5913&gt;1,0.12+$B$8901*$B$8902+($A$5913-1)*0.4,0.12+$A$5913*$B$4*$B$8902)))</f>
        <v>0.77</v>
      </c>
      <c r="B9002" s="3">
        <f>IF($A$5913&lt;-1,-10,IF($B$5913&lt;0,$B$8903+$B$5913*0.4,IF($B$5913&gt;1,$B$8903+$E$4*$B$8902*$B$8900+($B$5913-1)*0.4,$B$8903+$B$5913*$E$4*$B$8902*$B$8900)))</f>
        <v>0.6103601218345811</v>
      </c>
    </row>
    <row r="9003" spans="1:2" hidden="1">
      <c r="A9003" s="3">
        <f>IF($A$5914&lt;-1,-10,IF($A$5914&lt;0,0.12+$A$5914*0.4,IF($A$5914&gt;1,0.12+$B$8901*$B$8902+($A$5914-1)*0.4,0.12+$A$5914*$B$4*$B$8902)))</f>
        <v>0.12</v>
      </c>
      <c r="B9003" s="3">
        <f>IF($A$5914&lt;-1,-10,IF($B$5914&lt;0,$B$8903+$B$5914*0.4,IF($B$5914&gt;1,$B$8903+$E$4*$B$8902*$B$8900+($B$5914-1)*0.4,$B$8903+$B$5914*$E$4*$B$8902*$B$8900)))</f>
        <v>0.6103601218345811</v>
      </c>
    </row>
    <row r="9004" spans="1:2" hidden="1">
      <c r="A9004" s="3">
        <f>IF($A$5915&lt;-1,-10,IF($A$5915&lt;0,0.12+$A$5915*0.4,IF($A$5915&gt;1,0.12+$B$8901*$B$8902+($A$5915-1)*0.4,0.12+$A$5915*$B$4*$B$8902)))</f>
        <v>0.12</v>
      </c>
      <c r="B9004" s="3">
        <f>IF($A$5915&lt;-1,-10,IF($B$5915&lt;0,$B$8903+$B$5915*0.4,IF($B$5915&gt;1,$B$8903+$E$4*$B$8902*$B$8900+($B$5915-1)*0.4,$B$8903+$B$5915*$E$4*$B$8902*$B$8900)))</f>
        <v>0.3896398781654189</v>
      </c>
    </row>
    <row r="9005" spans="1:2" hidden="1"/>
    <row r="9006" spans="1:2" hidden="1">
      <c r="A9006" s="3">
        <f>IF($A$5917&lt;-1,-10,0.12+ROUND($A$5917,0)*$B$4*$B$8902+($A$5917-ROUND($A$5917,0))*0.5)</f>
        <v>0.1075</v>
      </c>
      <c r="B9006" s="3">
        <f>IF($A$5917&lt;-1,-10,$B$8903+ROUND($B$5917,0)*$E$4*$B$8902*$B$8900+($B$5917-ROUND($B$5917,0))*0.5)</f>
        <v>0.41213987816541892</v>
      </c>
    </row>
    <row r="9007" spans="1:2" hidden="1">
      <c r="A9007" s="3">
        <f>IF($A$5918&lt;-1,-10,0.12+ROUND($A$5918,0)*$B$4*$B$8902+($A$5918-ROUND($A$5918,0))*0.5)</f>
        <v>0.13250000000000001</v>
      </c>
      <c r="B9007" s="3">
        <f>IF($A$5918&lt;-1,-10,$B$8903+ROUND($B$5918,0)*$E$4*$B$8902*$B$8900+($B$5918-ROUND($B$5918,0))*0.5)</f>
        <v>0.41213987816541892</v>
      </c>
    </row>
    <row r="9008" spans="1:2" hidden="1">
      <c r="A9008" s="3">
        <f>IF($A$5919&lt;-1,-10,0.12+ROUND($A$5919,0)*$B$4*$B$8902+($A$5919-ROUND($A$5919,0))*0.5)</f>
        <v>0.12</v>
      </c>
      <c r="B9008" s="3">
        <f>IF($A$5919&lt;-1,-10,$B$8903+ROUND($B$5919,0)*$E$4*$B$8902*$B$8900+($B$5919-ROUND($B$5919,0))*0.5)</f>
        <v>0.41213987816541892</v>
      </c>
    </row>
    <row r="9009" spans="1:2" hidden="1">
      <c r="A9009" s="3">
        <f>IF($A$5920&lt;-1,-10,0.12+ROUND($A$5920,0)*$B$4*$B$8902+($A$5920-ROUND($A$5920,0))*0.5)</f>
        <v>0.12</v>
      </c>
      <c r="B9009" s="3">
        <f>IF($A$5920&lt;-1,-10,$B$8903+ROUND($B$5920,0)*$E$4*$B$8902*$B$8900+($B$5920-ROUND($B$5920,0))*0.5)</f>
        <v>0.36713987816541888</v>
      </c>
    </row>
    <row r="9010" spans="1:2" hidden="1">
      <c r="A9010" s="3">
        <f>IF($A$5921&lt;-1,-10,0.12+ROUND($A$5921,0)*$B$4*$B$8902+($A$5921-ROUND($A$5921,0))*0.5)</f>
        <v>0.1075</v>
      </c>
      <c r="B9010" s="3">
        <f>IF($A$5921&lt;-1,-10,$B$8903+ROUND($B$5921,0)*$E$4*$B$8902*$B$8900+($B$5921-ROUND($B$5921,0))*0.5)</f>
        <v>0.36713987816541888</v>
      </c>
    </row>
    <row r="9011" spans="1:2" hidden="1">
      <c r="A9011" s="3">
        <f>IF($A$5922&lt;-1,-10,0.12+ROUND($A$5922,0)*$B$4*$B$8902+($A$5922-ROUND($A$5922,0))*0.5)</f>
        <v>0.13250000000000001</v>
      </c>
      <c r="B9011" s="3">
        <f>IF($A$5922&lt;-1,-10,$B$8903+ROUND($B$5922,0)*$E$4*$B$8902*$B$8900+($B$5922-ROUND($B$5922,0))*0.5)</f>
        <v>0.36713987816541888</v>
      </c>
    </row>
    <row r="9012" spans="1:2" hidden="1"/>
    <row r="9013" spans="1:2" hidden="1">
      <c r="A9013" s="3">
        <f>IF($A$5924&lt;-1,-10,0.12+ROUND($A$5924,0)*$B$4*$B$8902+($A$5924-ROUND($A$5924,0))*0.5)</f>
        <v>0.75750000000000006</v>
      </c>
      <c r="B9013" s="3">
        <f>IF($A$5924&lt;-1,-10,$B$8903+ROUND($B$5924,0)*$E$4*$B$8902*$B$8900+($B$5924-ROUND($B$5924,0))*0.5)</f>
        <v>0.41213987816541892</v>
      </c>
    </row>
    <row r="9014" spans="1:2" hidden="1">
      <c r="A9014" s="3">
        <f>IF($A$5925&lt;-1,-10,0.12+ROUND($A$5925,0)*$B$4*$B$8902+($A$5925-ROUND($A$5925,0))*0.5)</f>
        <v>0.78249999999999997</v>
      </c>
      <c r="B9014" s="3">
        <f>IF($A$5925&lt;-1,-10,$B$8903+ROUND($B$5925,0)*$E$4*$B$8902*$B$8900+($B$5925-ROUND($B$5925,0))*0.5)</f>
        <v>0.41213987816541892</v>
      </c>
    </row>
    <row r="9015" spans="1:2" hidden="1">
      <c r="A9015" s="3">
        <f>IF($A$5926&lt;-1,-10,0.12+ROUND($A$5926,0)*$B$4*$B$8902+($A$5926-ROUND($A$5926,0))*0.5)</f>
        <v>0.77</v>
      </c>
      <c r="B9015" s="3">
        <f>IF($A$5926&lt;-1,-10,$B$8903+ROUND($B$5926,0)*$E$4*$B$8902*$B$8900+($B$5926-ROUND($B$5926,0))*0.5)</f>
        <v>0.41213987816541892</v>
      </c>
    </row>
    <row r="9016" spans="1:2" hidden="1">
      <c r="A9016" s="3">
        <f>IF($A$5927&lt;-1,-10,0.12+ROUND($A$5927,0)*$B$4*$B$8902+($A$5927-ROUND($A$5927,0))*0.5)</f>
        <v>0.77</v>
      </c>
      <c r="B9016" s="3">
        <f>IF($A$5927&lt;-1,-10,$B$8903+ROUND($B$5927,0)*$E$4*$B$8902*$B$8900+($B$5927-ROUND($B$5927,0))*0.5)</f>
        <v>0.36713987816541888</v>
      </c>
    </row>
    <row r="9017" spans="1:2" hidden="1">
      <c r="A9017" s="3">
        <f>IF($A$5928&lt;-1,-10,0.12+ROUND($A$5928,0)*$B$4*$B$8902+($A$5928-ROUND($A$5928,0))*0.5)</f>
        <v>0.75750000000000006</v>
      </c>
      <c r="B9017" s="3">
        <f>IF($A$5928&lt;-1,-10,$B$8903+ROUND($B$5928,0)*$E$4*$B$8902*$B$8900+($B$5928-ROUND($B$5928,0))*0.5)</f>
        <v>0.36713987816541888</v>
      </c>
    </row>
    <row r="9018" spans="1:2" hidden="1">
      <c r="A9018" s="3">
        <f>IF($A$5929&lt;-1,-10,0.12+ROUND($A$5929,0)*$B$4*$B$8902+($A$5929-ROUND($A$5929,0))*0.5)</f>
        <v>0.78249999999999997</v>
      </c>
      <c r="B9018" s="3">
        <f>IF($A$5929&lt;-1,-10,$B$8903+ROUND($B$5929,0)*$E$4*$B$8902*$B$8900+($B$5929-ROUND($B$5929,0))*0.5)</f>
        <v>0.36713987816541888</v>
      </c>
    </row>
    <row r="9019" spans="1:2" hidden="1"/>
    <row r="9020" spans="1:2" hidden="1">
      <c r="A9020" s="3">
        <f>IF($A$5931&lt;-1,-10,0.12+ROUND($A$5931,0)*$B$4*$B$8902+($A$5931-ROUND($A$5931,0))*0.5)</f>
        <v>0.1075</v>
      </c>
      <c r="B9020" s="3">
        <f>IF($A$5931&lt;-1,-10,$B$8903+ROUND($B$5931,0)*$E$4*$B$8902*$B$8900+($B$5931-ROUND($B$5931,0))*0.5)</f>
        <v>0.63286012183458107</v>
      </c>
    </row>
    <row r="9021" spans="1:2" hidden="1">
      <c r="A9021" s="3">
        <f>IF($A$5932&lt;-1,-10,0.12+ROUND($A$5932,0)*$B$4*$B$8902+($A$5932-ROUND($A$5932,0))*0.5)</f>
        <v>0.13250000000000001</v>
      </c>
      <c r="B9021" s="3">
        <f>IF($A$5932&lt;-1,-10,$B$8903+ROUND($B$5932,0)*$E$4*$B$8902*$B$8900+($B$5932-ROUND($B$5932,0))*0.5)</f>
        <v>0.63286012183458107</v>
      </c>
    </row>
    <row r="9022" spans="1:2" hidden="1">
      <c r="A9022" s="3">
        <f>IF($A$5933&lt;-1,-10,0.12+ROUND($A$5933,0)*$B$4*$B$8902+($A$5933-ROUND($A$5933,0))*0.5)</f>
        <v>0.12</v>
      </c>
      <c r="B9022" s="3">
        <f>IF($A$5933&lt;-1,-10,$B$8903+ROUND($B$5933,0)*$E$4*$B$8902*$B$8900+($B$5933-ROUND($B$5933,0))*0.5)</f>
        <v>0.63286012183458107</v>
      </c>
    </row>
    <row r="9023" spans="1:2" hidden="1">
      <c r="A9023" s="3">
        <f>IF($A$5934&lt;-1,-10,0.12+ROUND($A$5934,0)*$B$4*$B$8902+($A$5934-ROUND($A$5934,0))*0.5)</f>
        <v>0.12</v>
      </c>
      <c r="B9023" s="3">
        <f>IF($A$5934&lt;-1,-10,$B$8903+ROUND($B$5934,0)*$E$4*$B$8902*$B$8900+($B$5934-ROUND($B$5934,0))*0.5)</f>
        <v>0.58786012183458114</v>
      </c>
    </row>
    <row r="9024" spans="1:2" hidden="1">
      <c r="A9024" s="3">
        <f>IF($A$5935&lt;-1,-10,0.12+ROUND($A$5935,0)*$B$4*$B$8902+($A$5935-ROUND($A$5935,0))*0.5)</f>
        <v>0.1075</v>
      </c>
      <c r="B9024" s="3">
        <f>IF($A$5935&lt;-1,-10,$B$8903+ROUND($B$5935,0)*$E$4*$B$8902*$B$8900+($B$5935-ROUND($B$5935,0))*0.5)</f>
        <v>0.58786012183458114</v>
      </c>
    </row>
    <row r="9025" spans="1:2" hidden="1">
      <c r="A9025" s="3">
        <f>IF($A$5936&lt;-1,-10,0.12+ROUND($A$5936,0)*$B$4*$B$8902+($A$5936-ROUND($A$5936,0))*0.5)</f>
        <v>0.13250000000000001</v>
      </c>
      <c r="B9025" s="3">
        <f>IF($A$5936&lt;-1,-10,$B$8903+ROUND($B$5936,0)*$E$4*$B$8902*$B$8900+($B$5936-ROUND($B$5936,0))*0.5)</f>
        <v>0.58786012183458114</v>
      </c>
    </row>
    <row r="9026" spans="1:2" hidden="1"/>
    <row r="9027" spans="1:2" hidden="1">
      <c r="A9027" s="3">
        <f>IF($A$5938&lt;-1,-10,0.12+ROUND($A$5938,0)*$B$4*$B$8902+($A$5938-ROUND($A$5938,0))*0.5)</f>
        <v>0.75750000000000006</v>
      </c>
      <c r="B9027" s="3">
        <f>IF($A$5938&lt;-1,-10,$B$8903+ROUND($B$5938,0)*$E$4*$B$8902*$B$8900+($B$5938-ROUND($B$5938,0))*0.5)</f>
        <v>0.63286012183458107</v>
      </c>
    </row>
    <row r="9028" spans="1:2" hidden="1">
      <c r="A9028" s="3">
        <f>IF($A$5939&lt;-1,-10,0.12+ROUND($A$5939,0)*$B$4*$B$8902+($A$5939-ROUND($A$5939,0))*0.5)</f>
        <v>0.78249999999999997</v>
      </c>
      <c r="B9028" s="3">
        <f>IF($A$5939&lt;-1,-10,$B$8903+ROUND($B$5939,0)*$E$4*$B$8902*$B$8900+($B$5939-ROUND($B$5939,0))*0.5)</f>
        <v>0.63286012183458107</v>
      </c>
    </row>
    <row r="9029" spans="1:2" hidden="1">
      <c r="A9029" s="3">
        <f>IF($A$5940&lt;-1,-10,0.12+ROUND($A$5940,0)*$B$4*$B$8902+($A$5940-ROUND($A$5940,0))*0.5)</f>
        <v>0.77</v>
      </c>
      <c r="B9029" s="3">
        <f>IF($A$5940&lt;-1,-10,$B$8903+ROUND($B$5940,0)*$E$4*$B$8902*$B$8900+($B$5940-ROUND($B$5940,0))*0.5)</f>
        <v>0.63286012183458107</v>
      </c>
    </row>
    <row r="9030" spans="1:2" hidden="1">
      <c r="A9030" s="3">
        <f>IF($A$5941&lt;-1,-10,0.12+ROUND($A$5941,0)*$B$4*$B$8902+($A$5941-ROUND($A$5941,0))*0.5)</f>
        <v>0.77</v>
      </c>
      <c r="B9030" s="3">
        <f>IF($A$5941&lt;-1,-10,$B$8903+ROUND($B$5941,0)*$E$4*$B$8902*$B$8900+($B$5941-ROUND($B$5941,0))*0.5)</f>
        <v>0.58786012183458114</v>
      </c>
    </row>
    <row r="9031" spans="1:2" hidden="1">
      <c r="A9031" s="3">
        <f>IF($A$5942&lt;-1,-10,0.12+ROUND($A$5942,0)*$B$4*$B$8902+($A$5942-ROUND($A$5942,0))*0.5)</f>
        <v>0.75750000000000006</v>
      </c>
      <c r="B9031" s="3">
        <f>IF($A$5942&lt;-1,-10,$B$8903+ROUND($B$5942,0)*$E$4*$B$8902*$B$8900+($B$5942-ROUND($B$5942,0))*0.5)</f>
        <v>0.58786012183458114</v>
      </c>
    </row>
    <row r="9032" spans="1:2" hidden="1">
      <c r="A9032" s="3">
        <f>IF($A$5943&lt;-1,-10,0.12+ROUND($A$5943,0)*$B$4*$B$8902+($A$5943-ROUND($A$5943,0))*0.5)</f>
        <v>0.78249999999999997</v>
      </c>
      <c r="B9032" s="3">
        <f>IF($A$5943&lt;-1,-10,$B$8903+ROUND($B$5943,0)*$E$4*$B$8902*$B$8900+($B$5943-ROUND($B$5943,0))*0.5)</f>
        <v>0.58786012183458114</v>
      </c>
    </row>
    <row r="9033" spans="1:2" hidden="1"/>
    <row r="9034" spans="1:2" hidden="1">
      <c r="A9034" s="3">
        <f>IF($A$5945&lt;-1,-10,IF($A$5945&lt;0,0.12+$A$5945*0.4,IF($A$5945&gt;1,0.12+$B$8901*$B$8902+($A$5945-1)*0.4,0.12+$A$5945*$B$4*$B$8902)))</f>
        <v>0.44500000000000001</v>
      </c>
      <c r="B9034" s="3">
        <f>IF($A$5945&lt;-1,-10,IF($B$5945&lt;0,$B$8903+$B$5945*0.4,IF($B$5945&gt;1,$B$8903+$E$4*$B$8902*$B$8900+($B$5945-1)*0.4,$B$8903+$B$5945*$E$4*$B$8902*$B$8900)))</f>
        <v>0.3896398781654189</v>
      </c>
    </row>
    <row r="9035" spans="1:2" hidden="1">
      <c r="A9035" s="3">
        <f>IF($A$5946&lt;-1,-10,IF($A$5946&lt;0,0.12+$A$5946*0.4,IF($A$5946&gt;1,0.12+$B$8901*$B$8902+($A$5946-1)*0.4,0.12+$A$5946*$B$4*$B$8902)))</f>
        <v>0.44500000000000001</v>
      </c>
      <c r="B9035" s="3">
        <f>IF($A$5946&lt;-1,-10,IF($B$5946&lt;0,$B$8903+$B$5946*0.4,IF($B$5946&gt;1,$B$8903+$E$4*$B$8902*$B$8900+($B$5946-1)*0.4,$B$8903+$B$5946*$E$4*$B$8902*$B$8900)))</f>
        <v>0.6103601218345811</v>
      </c>
    </row>
    <row r="9036" spans="1:2" hidden="1"/>
    <row r="9037" spans="1:2" hidden="1">
      <c r="A9037" s="3">
        <f>IF($A$5948&lt;-1,-10,IF($A$5948&lt;0,0.12+$A$5948*0.4,IF($A$5948&gt;1,0.12+$B$8901*$B$8902+($A$5948-1)*0.4,0.12+$A$5948*$B$4*$B$8902)))</f>
        <v>-10</v>
      </c>
      <c r="B9037" s="3">
        <f>IF($A$5948&lt;-1,-10,IF($B$5948&lt;0,$B$8903+$B$5948*0.4,IF($B$5948&gt;1,$B$8903+$E$4*$B$8902*$B$8900+($B$5948-1)*0.4,$B$8903+$B$5948*$E$4*$B$8902*$B$8900)))</f>
        <v>-10</v>
      </c>
    </row>
    <row r="9038" spans="1:2" hidden="1">
      <c r="A9038" s="3">
        <f>IF($A$5949&lt;-1,-10,IF($A$5949&lt;0,0.12+$A$5949*0.4,IF($A$5949&gt;1,0.12+$B$8901*$B$8902+($A$5949-1)*0.4,0.12+$A$5949*$B$4*$B$8902)))</f>
        <v>-10</v>
      </c>
      <c r="B9038" s="3">
        <f>IF($A$5949&lt;-1,-10,IF($B$5949&lt;0,$B$8903+$B$5949*0.4,IF($B$5949&gt;1,$B$8903+$E$4*$B$8902*$B$8900+($B$5949-1)*0.4,$B$8903+$B$5949*$E$4*$B$8902*$B$8900)))</f>
        <v>-10</v>
      </c>
    </row>
    <row r="9039" spans="1:2" hidden="1"/>
    <row r="9040" spans="1:2" hidden="1">
      <c r="A9040" s="3">
        <f>IF($A$5951&lt;-1,-10,IF($A$5951&lt;0,0.12+$A$5951*0.4,IF($A$5951&gt;1,0.12+$B$8901*$B$8902+($A$5951-1)*0.4,0.12+$A$5951*$B$4*$B$8902)))</f>
        <v>-10</v>
      </c>
      <c r="B9040" s="3">
        <f>IF($A$5951&lt;-1,-10,IF($B$5951&lt;0,$B$8903+$B$5951*0.4,IF($B$5951&gt;1,$B$8903+$E$4*$B$8902*$B$8900+($B$5951-1)*0.4,$B$8903+$B$5951*$E$4*$B$8902*$B$8900)))</f>
        <v>-10</v>
      </c>
    </row>
    <row r="9041" spans="1:2" hidden="1">
      <c r="A9041" s="3">
        <f>IF($A$5952&lt;-1,-10,IF($A$5952&lt;0,0.12+$A$5952*0.4,IF($A$5952&gt;1,0.12+$B$8901*$B$8902+($A$5952-1)*0.4,0.12+$A$5952*$B$4*$B$8902)))</f>
        <v>-10</v>
      </c>
      <c r="B9041" s="3">
        <f>IF($A$5952&lt;-1,-10,IF($B$5952&lt;0,$B$8903+$B$5952*0.4,IF($B$5952&gt;1,$B$8903+$E$4*$B$8902*$B$8900+($B$5952-1)*0.4,$B$8903+$B$5952*$E$4*$B$8902*$B$8900)))</f>
        <v>-10</v>
      </c>
    </row>
    <row r="9042" spans="1:2" hidden="1"/>
    <row r="9043" spans="1:2" hidden="1">
      <c r="A9043" s="3">
        <f>IF($A$5954&lt;-1,-10,IF($A$5954&lt;0,0.12+$A$5954*0.4,IF($A$5954&gt;1,0.12+$B$8901*$B$8902+($A$5954-1)*0.4,0.12+$A$5954*$B$4*$B$8902)))</f>
        <v>-10</v>
      </c>
      <c r="B9043" s="3">
        <f>IF($A$5954&lt;-1,-10,IF($B$5954&lt;0,$B$8903+$B$5954*0.4,IF($B$5954&gt;1,$B$8903+$E$4*$B$8902*$B$8900+($B$5954-1)*0.4,$B$8903+$B$5954*$E$4*$B$8902*$B$8900)))</f>
        <v>-10</v>
      </c>
    </row>
    <row r="9044" spans="1:2" hidden="1">
      <c r="A9044" s="3">
        <f>IF($A$5955&lt;-1,-10,IF($A$5955&lt;0,0.12+$A$5955*0.4,IF($A$5955&gt;1,0.12+$B$8901*$B$8902+($A$5955-1)*0.4,0.12+$A$5955*$B$4*$B$8902)))</f>
        <v>-10</v>
      </c>
      <c r="B9044" s="3">
        <f>IF($A$5955&lt;-1,-10,IF($B$5955&lt;0,$B$8903+$B$5955*0.4,IF($B$5955&gt;1,$B$8903+$E$4*$B$8902*$B$8900+($B$5955-1)*0.4,$B$8903+$B$5955*$E$4*$B$8902*$B$8900)))</f>
        <v>-10</v>
      </c>
    </row>
    <row r="9045" spans="1:2" hidden="1"/>
    <row r="9046" spans="1:2" hidden="1">
      <c r="A9046" s="3">
        <f>IF($A$5957&lt;-1,-10,IF($A$5957&lt;0,0.12+$A$5957*0.4,IF($A$5957&gt;1,0.12+$B$8901*$B$8902+($A$5957-1)*0.4,0.12+$A$5957*$B$4*$B$8902)))</f>
        <v>-10</v>
      </c>
      <c r="B9046" s="3">
        <f>IF($A$5957&lt;-1,-10,IF($B$5957&lt;0,$B$8903+$B$5957*0.4,IF($B$5957&gt;1,$B$8903+$E$4*$B$8902*$B$8900+($B$5957-1)*0.4,$B$8903+$B$5957*$E$4*$B$8902*$B$8900)))</f>
        <v>-10</v>
      </c>
    </row>
    <row r="9047" spans="1:2" hidden="1">
      <c r="A9047" s="3">
        <f>IF($A$5958&lt;-1,-10,IF($A$5958&lt;0,0.12+$A$5958*0.4,IF($A$5958&gt;1,0.12+$B$8901*$B$8902+($A$5958-1)*0.4,0.12+$A$5958*$B$4*$B$8902)))</f>
        <v>-10</v>
      </c>
      <c r="B9047" s="3">
        <f>IF($A$5958&lt;-1,-10,IF($B$5958&lt;0,$B$8903+$B$5958*0.4,IF($B$5958&gt;1,$B$8903+$E$4*$B$8902*$B$8900+($B$5958-1)*0.4,$B$8903+$B$5958*$E$4*$B$8902*$B$8900)))</f>
        <v>-10</v>
      </c>
    </row>
    <row r="9048" spans="1:2" hidden="1"/>
    <row r="9049" spans="1:2" hidden="1">
      <c r="A9049" s="3">
        <f>IF($A$5960&lt;-1,-10,IF($A$5960&lt;0,0.12+$A$5960*0.4,IF($A$5960&gt;1,0.12+$B$8901*$B$8902+($A$5960-1)*0.4,0.12+$A$5960*$B$4*$B$8902)))</f>
        <v>0.28249999999999997</v>
      </c>
      <c r="B9049" s="3">
        <f>IF($A$5960&lt;-1,-10,IF($B$5960&lt;0,$B$8903+$B$5960*0.4,IF($B$5960&gt;1,$B$8903+$E$4*$B$8902*$B$8900+($B$5960-1)*0.4,$B$8903+$B$5960*$E$4*$B$8902*$B$8900)))</f>
        <v>0.68236012183458106</v>
      </c>
    </row>
    <row r="9050" spans="1:2" hidden="1">
      <c r="A9050" s="3">
        <f>IF($A$5961&lt;-1,-10,IF($A$5961&lt;0,0.12+$A$5961*0.4,IF($A$5961&gt;1,0.12+$B$8901*$B$8902+($A$5961-1)*0.4,0.12+$A$5961*$B$4*$B$8902)))</f>
        <v>0.12</v>
      </c>
      <c r="B9050" s="3">
        <f>IF($A$5961&lt;-1,-10,IF($B$5961&lt;0,$B$8903+$B$5961*0.4,IF($B$5961&gt;1,$B$8903+$E$4*$B$8902*$B$8900+($B$5961-1)*0.4,$B$8903+$B$5961*$E$4*$B$8902*$B$8900)))</f>
        <v>0.68236012183458106</v>
      </c>
    </row>
    <row r="9051" spans="1:2" hidden="1">
      <c r="A9051" s="3">
        <f>IF($A$5962&lt;-1,-10,IF($A$5962&lt;0,0.12+$A$5962*0.4,IF($A$5962&gt;1,0.12+$B$8901*$B$8902+($A$5962-1)*0.4,0.12+$A$5962*$B$4*$B$8902)))</f>
        <v>0.12</v>
      </c>
      <c r="B9051" s="3">
        <f>IF($A$5962&lt;-1,-10,IF($B$5962&lt;0,$B$8903+$B$5962*0.4,IF($B$5962&gt;1,$B$8903+$E$4*$B$8902*$B$8900+($B$5962-1)*0.4,$B$8903+$B$5962*$E$4*$B$8902*$B$8900)))</f>
        <v>0.66636012183458104</v>
      </c>
    </row>
    <row r="9052" spans="1:2" hidden="1">
      <c r="A9052" s="3">
        <f>IF($A$5963&lt;-1,-10,IF($A$5963&lt;0,0.12+$A$5963*0.4,IF($A$5963&gt;1,0.12+$B$8901*$B$8902+($A$5963-1)*0.4,0.12+$A$5963*$B$4*$B$8902)))</f>
        <v>0.12</v>
      </c>
      <c r="B9052" s="3">
        <f>IF($A$5963&lt;-1,-10,IF($B$5963&lt;0,$B$8903+$B$5963*0.4,IF($B$5963&gt;1,$B$8903+$E$4*$B$8902*$B$8900+($B$5963-1)*0.4,$B$8903+$B$5963*$E$4*$B$8902*$B$8900)))</f>
        <v>0.69836012183458107</v>
      </c>
    </row>
    <row r="9053" spans="1:2" hidden="1">
      <c r="A9053" s="3">
        <f>IF($A$5964&lt;-1,-10,IF($A$5964&lt;0,0.12+$A$5964*0.4,IF($A$5964&gt;1,0.12+$B$8901*$B$8902+($A$5964-1)*0.4,0.12+$A$5964*$B$4*$B$8902)))</f>
        <v>0.12</v>
      </c>
      <c r="B9053" s="3">
        <f>IF($A$5964&lt;-1,-10,IF($B$5964&lt;0,$B$8903+$B$5964*0.4,IF($B$5964&gt;1,$B$8903+$E$4*$B$8902*$B$8900+($B$5964-1)*0.4,$B$8903+$B$5964*$E$4*$B$8902*$B$8900)))</f>
        <v>0.68236012183458106</v>
      </c>
    </row>
    <row r="9054" spans="1:2" hidden="1">
      <c r="A9054" s="3">
        <f>IF($A$5965&lt;-1,-10,IF($A$5965&lt;0,0.12+$A$5965*0.4,IF($A$5965&gt;1,0.12+$B$8901*$B$8902+($A$5965-1)*0.4,0.12+$A$5965*$B$4*$B$8902)))</f>
        <v>0.44500000000000001</v>
      </c>
      <c r="B9054" s="3">
        <f>IF($A$5965&lt;-1,-10,IF($B$5965&lt;0,$B$8903+$B$5965*0.4,IF($B$5965&gt;1,$B$8903+$E$4*$B$8902*$B$8900+($B$5965-1)*0.4,$B$8903+$B$5965*$E$4*$B$8902*$B$8900)))</f>
        <v>0.68236012183458106</v>
      </c>
    </row>
    <row r="9055" spans="1:2" hidden="1">
      <c r="A9055" s="3">
        <f>IF($A$5966&lt;-1,-10,IF($A$5966&lt;0,0.12+$A$5966*0.4,IF($A$5966&gt;1,0.12+$B$8901*$B$8902+($A$5966-1)*0.4,0.12+$A$5966*$B$4*$B$8902)))</f>
        <v>0.44500000000000001</v>
      </c>
      <c r="B9055" s="3">
        <f>IF($A$5966&lt;-1,-10,IF($B$5966&lt;0,$B$8903+$B$5966*0.4,IF($B$5966&gt;1,$B$8903+$E$4*$B$8902*$B$8900+($B$5966-1)*0.4,$B$8903+$B$5966*$E$4*$B$8902*$B$8900)))</f>
        <v>0.66636012183458104</v>
      </c>
    </row>
    <row r="9056" spans="1:2" hidden="1">
      <c r="A9056" s="3">
        <f>IF($A$5967&lt;-1,-10,IF($A$5967&lt;0,0.12+$A$5967*0.4,IF($A$5967&gt;1,0.12+$B$8901*$B$8902+($A$5967-1)*0.4,0.12+$A$5967*$B$4*$B$8902)))</f>
        <v>0.44500000000000001</v>
      </c>
      <c r="B9056" s="3">
        <f>IF($A$5967&lt;-1,-10,IF($B$5967&lt;0,$B$8903+$B$5967*0.4,IF($B$5967&gt;1,$B$8903+$E$4*$B$8902*$B$8900+($B$5967-1)*0.4,$B$8903+$B$5967*$E$4*$B$8902*$B$8900)))</f>
        <v>0.69836012183458107</v>
      </c>
    </row>
    <row r="9057" spans="1:2" hidden="1"/>
    <row r="9058" spans="1:2" hidden="1">
      <c r="A9058" s="3">
        <f>IF($A$5969&lt;-1,-10,IF($A$5969&lt;0,0.12+$A$5969*0.4,IF($A$5969&gt;1,0.12+$B$8901*$B$8902+($A$5969-1)*0.4,0.12+$A$5969*$B$4*$B$8902)))</f>
        <v>0.60750000000000004</v>
      </c>
      <c r="B9058" s="3">
        <f>IF($A$5969&lt;-1,-10,IF($B$5969&lt;0,$B$8903+$B$5969*0.4,IF($B$5969&gt;1,$B$8903+$E$4*$B$8902*$B$8900+($B$5969-1)*0.4,$B$8903+$B$5969*$E$4*$B$8902*$B$8900)))</f>
        <v>0.68236012183458106</v>
      </c>
    </row>
    <row r="9059" spans="1:2" hidden="1">
      <c r="A9059" s="3">
        <f>IF($A$5970&lt;-1,-10,IF($A$5970&lt;0,0.12+$A$5970*0.4,IF($A$5970&gt;1,0.12+$B$8901*$B$8902+($A$5970-1)*0.4,0.12+$A$5970*$B$4*$B$8902)))</f>
        <v>0.44500000000000001</v>
      </c>
      <c r="B9059" s="3">
        <f>IF($A$5970&lt;-1,-10,IF($B$5970&lt;0,$B$8903+$B$5970*0.4,IF($B$5970&gt;1,$B$8903+$E$4*$B$8902*$B$8900+($B$5970-1)*0.4,$B$8903+$B$5970*$E$4*$B$8902*$B$8900)))</f>
        <v>0.68236012183458106</v>
      </c>
    </row>
    <row r="9060" spans="1:2" hidden="1">
      <c r="A9060" s="3">
        <f>IF($A$5971&lt;-1,-10,IF($A$5971&lt;0,0.12+$A$5971*0.4,IF($A$5971&gt;1,0.12+$B$8901*$B$8902+($A$5971-1)*0.4,0.12+$A$5971*$B$4*$B$8902)))</f>
        <v>0.44500000000000001</v>
      </c>
      <c r="B9060" s="3">
        <f>IF($A$5971&lt;-1,-10,IF($B$5971&lt;0,$B$8903+$B$5971*0.4,IF($B$5971&gt;1,$B$8903+$E$4*$B$8902*$B$8900+($B$5971-1)*0.4,$B$8903+$B$5971*$E$4*$B$8902*$B$8900)))</f>
        <v>0.66636012183458104</v>
      </c>
    </row>
    <row r="9061" spans="1:2" hidden="1">
      <c r="A9061" s="3">
        <f>IF($A$5972&lt;-1,-10,IF($A$5972&lt;0,0.12+$A$5972*0.4,IF($A$5972&gt;1,0.12+$B$8901*$B$8902+($A$5972-1)*0.4,0.12+$A$5972*$B$4*$B$8902)))</f>
        <v>0.44500000000000001</v>
      </c>
      <c r="B9061" s="3">
        <f>IF($A$5972&lt;-1,-10,IF($B$5972&lt;0,$B$8903+$B$5972*0.4,IF($B$5972&gt;1,$B$8903+$E$4*$B$8902*$B$8900+($B$5972-1)*0.4,$B$8903+$B$5972*$E$4*$B$8902*$B$8900)))</f>
        <v>0.69836012183458107</v>
      </c>
    </row>
    <row r="9062" spans="1:2" hidden="1">
      <c r="A9062" s="3">
        <f>IF($A$5973&lt;-1,-10,IF($A$5973&lt;0,0.12+$A$5973*0.4,IF($A$5973&gt;1,0.12+$B$8901*$B$8902+($A$5973-1)*0.4,0.12+$A$5973*$B$4*$B$8902)))</f>
        <v>0.44500000000000001</v>
      </c>
      <c r="B9062" s="3">
        <f>IF($A$5973&lt;-1,-10,IF($B$5973&lt;0,$B$8903+$B$5973*0.4,IF($B$5973&gt;1,$B$8903+$E$4*$B$8902*$B$8900+($B$5973-1)*0.4,$B$8903+$B$5973*$E$4*$B$8902*$B$8900)))</f>
        <v>0.68236012183458106</v>
      </c>
    </row>
    <row r="9063" spans="1:2" hidden="1">
      <c r="A9063" s="3">
        <f>IF($A$5974&lt;-1,-10,IF($A$5974&lt;0,0.12+$A$5974*0.4,IF($A$5974&gt;1,0.12+$B$8901*$B$8902+($A$5974-1)*0.4,0.12+$A$5974*$B$4*$B$8902)))</f>
        <v>0.77</v>
      </c>
      <c r="B9063" s="3">
        <f>IF($A$5974&lt;-1,-10,IF($B$5974&lt;0,$B$8903+$B$5974*0.4,IF($B$5974&gt;1,$B$8903+$E$4*$B$8902*$B$8900+($B$5974-1)*0.4,$B$8903+$B$5974*$E$4*$B$8902*$B$8900)))</f>
        <v>0.68236012183458106</v>
      </c>
    </row>
    <row r="9064" spans="1:2" hidden="1">
      <c r="A9064" s="3">
        <f>IF($A$5975&lt;-1,-10,IF($A$5975&lt;0,0.12+$A$5975*0.4,IF($A$5975&gt;1,0.12+$B$8901*$B$8902+($A$5975-1)*0.4,0.12+$A$5975*$B$4*$B$8902)))</f>
        <v>0.77</v>
      </c>
      <c r="B9064" s="3">
        <f>IF($A$5975&lt;-1,-10,IF($B$5975&lt;0,$B$8903+$B$5975*0.4,IF($B$5975&gt;1,$B$8903+$E$4*$B$8902*$B$8900+($B$5975-1)*0.4,$B$8903+$B$5975*$E$4*$B$8902*$B$8900)))</f>
        <v>0.66636012183458104</v>
      </c>
    </row>
    <row r="9065" spans="1:2" hidden="1">
      <c r="A9065" s="3">
        <f>IF($A$5976&lt;-1,-10,IF($A$5976&lt;0,0.12+$A$5976*0.4,IF($A$5976&gt;1,0.12+$B$8901*$B$8902+($A$5976-1)*0.4,0.12+$A$5976*$B$4*$B$8902)))</f>
        <v>0.77</v>
      </c>
      <c r="B9065" s="3">
        <f>IF($A$5976&lt;-1,-10,IF($B$5976&lt;0,$B$8903+$B$5976*0.4,IF($B$5976&gt;1,$B$8903+$E$4*$B$8902*$B$8900+($B$5976-1)*0.4,$B$8903+$B$5976*$E$4*$B$8902*$B$8900)))</f>
        <v>0.69836012183458107</v>
      </c>
    </row>
    <row r="9066" spans="1:2" hidden="1"/>
    <row r="9067" spans="1:2" hidden="1">
      <c r="A9067" s="3">
        <f>IF($A$5978&lt;-1,-10,IF($A$5978&lt;0,0.12+$A$5978*0.4,IF($A$5978&gt;1,0.12+$B$8901*$B$8902+($A$5978-1)*0.4,0.12+$A$5978*$B$4*$B$8902)))</f>
        <v>-10</v>
      </c>
      <c r="B9067" s="3">
        <f>IF($A$5978&lt;-1,-10,IF($B$5978&lt;0,$B$8903+$B$5978*0.4,IF($B$5978&gt;1,$B$8903+$E$4*$B$8902*$B$8900+($B$5978-1)*0.4,$B$8903+$B$5978*$E$4*$B$8902*$B$8900)))</f>
        <v>-10</v>
      </c>
    </row>
    <row r="9068" spans="1:2" hidden="1">
      <c r="A9068" s="3">
        <f>IF($A$5979&lt;-1,-10,IF($A$5979&lt;0,0.12+$A$5979*0.4,IF($A$5979&gt;1,0.12+$B$8901*$B$8902+($A$5979-1)*0.4,0.12+$A$5979*$B$4*$B$8902)))</f>
        <v>-10</v>
      </c>
      <c r="B9068" s="3">
        <f>IF($A$5979&lt;-1,-10,IF($B$5979&lt;0,$B$8903+$B$5979*0.4,IF($B$5979&gt;1,$B$8903+$E$4*$B$8902*$B$8900+($B$5979-1)*0.4,$B$8903+$B$5979*$E$4*$B$8902*$B$8900)))</f>
        <v>-10</v>
      </c>
    </row>
    <row r="9069" spans="1:2" hidden="1">
      <c r="A9069" s="3">
        <f>IF($A$5980&lt;-1,-10,IF($A$5980&lt;0,0.12+$A$5980*0.4,IF($A$5980&gt;1,0.12+$B$8901*$B$8902+($A$5980-1)*0.4,0.12+$A$5980*$B$4*$B$8902)))</f>
        <v>-10</v>
      </c>
      <c r="B9069" s="3">
        <f>IF($A$5980&lt;-1,-10,IF($B$5980&lt;0,$B$8903+$B$5980*0.4,IF($B$5980&gt;1,$B$8903+$E$4*$B$8902*$B$8900+($B$5980-1)*0.4,$B$8903+$B$5980*$E$4*$B$8902*$B$8900)))</f>
        <v>-10</v>
      </c>
    </row>
    <row r="9070" spans="1:2" hidden="1">
      <c r="A9070" s="3">
        <f>IF($A$5981&lt;-1,-10,IF($A$5981&lt;0,0.12+$A$5981*0.4,IF($A$5981&gt;1,0.12+$B$8901*$B$8902+($A$5981-1)*0.4,0.12+$A$5981*$B$4*$B$8902)))</f>
        <v>-10</v>
      </c>
      <c r="B9070" s="3">
        <f>IF($A$5981&lt;-1,-10,IF($B$5981&lt;0,$B$8903+$B$5981*0.4,IF($B$5981&gt;1,$B$8903+$E$4*$B$8902*$B$8900+($B$5981-1)*0.4,$B$8903+$B$5981*$E$4*$B$8902*$B$8900)))</f>
        <v>-10</v>
      </c>
    </row>
    <row r="9071" spans="1:2" hidden="1">
      <c r="A9071" s="3">
        <f>IF($A$5982&lt;-1,-10,IF($A$5982&lt;0,0.12+$A$5982*0.4,IF($A$5982&gt;1,0.12+$B$8901*$B$8902+($A$5982-1)*0.4,0.12+$A$5982*$B$4*$B$8902)))</f>
        <v>-10</v>
      </c>
      <c r="B9071" s="3">
        <f>IF($A$5982&lt;-1,-10,IF($B$5982&lt;0,$B$8903+$B$5982*0.4,IF($B$5982&gt;1,$B$8903+$E$4*$B$8902*$B$8900+($B$5982-1)*0.4,$B$8903+$B$5982*$E$4*$B$8902*$B$8900)))</f>
        <v>-10</v>
      </c>
    </row>
    <row r="9072" spans="1:2" hidden="1">
      <c r="A9072" s="3">
        <f>IF($A$5983&lt;-1,-10,IF($A$5983&lt;0,0.12+$A$5983*0.4,IF($A$5983&gt;1,0.12+$B$8901*$B$8902+($A$5983-1)*0.4,0.12+$A$5983*$B$4*$B$8902)))</f>
        <v>-10</v>
      </c>
      <c r="B9072" s="3">
        <f>IF($A$5983&lt;-1,-10,IF($B$5983&lt;0,$B$8903+$B$5983*0.4,IF($B$5983&gt;1,$B$8903+$E$4*$B$8902*$B$8900+($B$5983-1)*0.4,$B$8903+$B$5983*$E$4*$B$8902*$B$8900)))</f>
        <v>-10</v>
      </c>
    </row>
    <row r="9073" spans="1:2" hidden="1">
      <c r="A9073" s="3">
        <f>IF($A$5984&lt;-1,-10,IF($A$5984&lt;0,0.12+$A$5984*0.4,IF($A$5984&gt;1,0.12+$B$8901*$B$8902+($A$5984-1)*0.4,0.12+$A$5984*$B$4*$B$8902)))</f>
        <v>-10</v>
      </c>
      <c r="B9073" s="3">
        <f>IF($A$5984&lt;-1,-10,IF($B$5984&lt;0,$B$8903+$B$5984*0.4,IF($B$5984&gt;1,$B$8903+$E$4*$B$8902*$B$8900+($B$5984-1)*0.4,$B$8903+$B$5984*$E$4*$B$8902*$B$8900)))</f>
        <v>-10</v>
      </c>
    </row>
    <row r="9074" spans="1:2" hidden="1">
      <c r="A9074" s="3">
        <f>IF($A$5985&lt;-1,-10,IF($A$5985&lt;0,0.12+$A$5985*0.4,IF($A$5985&gt;1,0.12+$B$8901*$B$8902+($A$5985-1)*0.4,0.12+$A$5985*$B$4*$B$8902)))</f>
        <v>-10</v>
      </c>
      <c r="B9074" s="3">
        <f>IF($A$5985&lt;-1,-10,IF($B$5985&lt;0,$B$8903+$B$5985*0.4,IF($B$5985&gt;1,$B$8903+$E$4*$B$8902*$B$8900+($B$5985-1)*0.4,$B$8903+$B$5985*$E$4*$B$8902*$B$8900)))</f>
        <v>-10</v>
      </c>
    </row>
    <row r="9075" spans="1:2" hidden="1"/>
    <row r="9076" spans="1:2" hidden="1">
      <c r="A9076" s="3">
        <f>IF($A$5987&lt;-1,-10,IF($A$5987&lt;0,0.12+$A$5987*0.4,IF($A$5987&gt;1,0.12+$B$8901*$B$8902+($A$5987-1)*0.4,0.12+$A$5987*$B$4*$B$8902)))</f>
        <v>-10</v>
      </c>
      <c r="B9076" s="3">
        <f>IF($A$5987&lt;-1,-10,IF($B$5987&lt;0,$B$8903+$B$5987*0.4,IF($B$5987&gt;1,$B$8903+$E$4*$B$8902*$B$8900+($B$5987-1)*0.4,$B$8903+$B$5987*$E$4*$B$8902*$B$8900)))</f>
        <v>-10</v>
      </c>
    </row>
    <row r="9077" spans="1:2" hidden="1">
      <c r="A9077" s="3">
        <f>IF($A$5988&lt;-1,-10,IF($A$5988&lt;0,0.12+$A$5988*0.4,IF($A$5988&gt;1,0.12+$B$8901*$B$8902+($A$5988-1)*0.4,0.12+$A$5988*$B$4*$B$8902)))</f>
        <v>-10</v>
      </c>
      <c r="B9077" s="3">
        <f>IF($A$5988&lt;-1,-10,IF($B$5988&lt;0,$B$8903+$B$5988*0.4,IF($B$5988&gt;1,$B$8903+$E$4*$B$8902*$B$8900+($B$5988-1)*0.4,$B$8903+$B$5988*$E$4*$B$8902*$B$8900)))</f>
        <v>-10</v>
      </c>
    </row>
    <row r="9078" spans="1:2" hidden="1">
      <c r="A9078" s="3">
        <f>IF($A$5989&lt;-1,-10,IF($A$5989&lt;0,0.12+$A$5989*0.4,IF($A$5989&gt;1,0.12+$B$8901*$B$8902+($A$5989-1)*0.4,0.12+$A$5989*$B$4*$B$8902)))</f>
        <v>-10</v>
      </c>
      <c r="B9078" s="3">
        <f>IF($A$5989&lt;-1,-10,IF($B$5989&lt;0,$B$8903+$B$5989*0.4,IF($B$5989&gt;1,$B$8903+$E$4*$B$8902*$B$8900+($B$5989-1)*0.4,$B$8903+$B$5989*$E$4*$B$8902*$B$8900)))</f>
        <v>-10</v>
      </c>
    </row>
    <row r="9079" spans="1:2" hidden="1">
      <c r="A9079" s="3">
        <f>IF($A$5990&lt;-1,-10,IF($A$5990&lt;0,0.12+$A$5990*0.4,IF($A$5990&gt;1,0.12+$B$8901*$B$8902+($A$5990-1)*0.4,0.12+$A$5990*$B$4*$B$8902)))</f>
        <v>-10</v>
      </c>
      <c r="B9079" s="3">
        <f>IF($A$5990&lt;-1,-10,IF($B$5990&lt;0,$B$8903+$B$5990*0.4,IF($B$5990&gt;1,$B$8903+$E$4*$B$8902*$B$8900+($B$5990-1)*0.4,$B$8903+$B$5990*$E$4*$B$8902*$B$8900)))</f>
        <v>-10</v>
      </c>
    </row>
    <row r="9080" spans="1:2" hidden="1">
      <c r="A9080" s="3">
        <f>IF($A$5991&lt;-1,-10,IF($A$5991&lt;0,0.12+$A$5991*0.4,IF($A$5991&gt;1,0.12+$B$8901*$B$8902+($A$5991-1)*0.4,0.12+$A$5991*$B$4*$B$8902)))</f>
        <v>-10</v>
      </c>
      <c r="B9080" s="3">
        <f>IF($A$5991&lt;-1,-10,IF($B$5991&lt;0,$B$8903+$B$5991*0.4,IF($B$5991&gt;1,$B$8903+$E$4*$B$8902*$B$8900+($B$5991-1)*0.4,$B$8903+$B$5991*$E$4*$B$8902*$B$8900)))</f>
        <v>-10</v>
      </c>
    </row>
    <row r="9081" spans="1:2" hidden="1">
      <c r="A9081" s="3">
        <f>IF($A$5992&lt;-1,-10,IF($A$5992&lt;0,0.12+$A$5992*0.4,IF($A$5992&gt;1,0.12+$B$8901*$B$8902+($A$5992-1)*0.4,0.12+$A$5992*$B$4*$B$8902)))</f>
        <v>-10</v>
      </c>
      <c r="B9081" s="3">
        <f>IF($A$5992&lt;-1,-10,IF($B$5992&lt;0,$B$8903+$B$5992*0.4,IF($B$5992&gt;1,$B$8903+$E$4*$B$8902*$B$8900+($B$5992-1)*0.4,$B$8903+$B$5992*$E$4*$B$8902*$B$8900)))</f>
        <v>-10</v>
      </c>
    </row>
    <row r="9082" spans="1:2" hidden="1">
      <c r="A9082" s="3">
        <f>IF($A$5993&lt;-1,-10,IF($A$5993&lt;0,0.12+$A$5993*0.4,IF($A$5993&gt;1,0.12+$B$8901*$B$8902+($A$5993-1)*0.4,0.12+$A$5993*$B$4*$B$8902)))</f>
        <v>-10</v>
      </c>
      <c r="B9082" s="3">
        <f>IF($A$5993&lt;-1,-10,IF($B$5993&lt;0,$B$8903+$B$5993*0.4,IF($B$5993&gt;1,$B$8903+$E$4*$B$8902*$B$8900+($B$5993-1)*0.4,$B$8903+$B$5993*$E$4*$B$8902*$B$8900)))</f>
        <v>-10</v>
      </c>
    </row>
    <row r="9083" spans="1:2" hidden="1">
      <c r="A9083" s="3">
        <f>IF($A$5994&lt;-1,-10,IF($A$5994&lt;0,0.12+$A$5994*0.4,IF($A$5994&gt;1,0.12+$B$8901*$B$8902+($A$5994-1)*0.4,0.12+$A$5994*$B$4*$B$8902)))</f>
        <v>-10</v>
      </c>
      <c r="B9083" s="3">
        <f>IF($A$5994&lt;-1,-10,IF($B$5994&lt;0,$B$8903+$B$5994*0.4,IF($B$5994&gt;1,$B$8903+$E$4*$B$8902*$B$8900+($B$5994-1)*0.4,$B$8903+$B$5994*$E$4*$B$8902*$B$8900)))</f>
        <v>-10</v>
      </c>
    </row>
    <row r="9084" spans="1:2" hidden="1"/>
    <row r="9085" spans="1:2" hidden="1">
      <c r="A9085" s="3">
        <f>IF($A$5996&lt;-1,-10,IF($A$5996&lt;0,0.12+$A$5996*0.4,IF($A$5996&gt;1,0.12+$B$8901*$B$8902+($A$5996-1)*0.4,0.12+$A$5996*$B$4*$B$8902)))</f>
        <v>-10</v>
      </c>
      <c r="B9085" s="3">
        <f>IF($A$5996&lt;-1,-10,IF($B$5996&lt;0,$B$8903+$B$5996*0.4,IF($B$5996&gt;1,$B$8903+$E$4*$B$8902*$B$8900+($B$5996-1)*0.4,$B$8903+$B$5996*$E$4*$B$8902*$B$8900)))</f>
        <v>-10</v>
      </c>
    </row>
    <row r="9086" spans="1:2" hidden="1">
      <c r="A9086" s="3">
        <f>IF($A$5997&lt;-1,-10,IF($A$5997&lt;0,0.12+$A$5997*0.4,IF($A$5997&gt;1,0.12+$B$8901*$B$8902+($A$5997-1)*0.4,0.12+$A$5997*$B$4*$B$8902)))</f>
        <v>-10</v>
      </c>
      <c r="B9086" s="3">
        <f>IF($A$5997&lt;-1,-10,IF($B$5997&lt;0,$B$8903+$B$5997*0.4,IF($B$5997&gt;1,$B$8903+$E$4*$B$8902*$B$8900+($B$5997-1)*0.4,$B$8903+$B$5997*$E$4*$B$8902*$B$8900)))</f>
        <v>-10</v>
      </c>
    </row>
    <row r="9087" spans="1:2" hidden="1">
      <c r="A9087" s="3">
        <f>IF($A$5998&lt;-1,-10,IF($A$5998&lt;0,0.12+$A$5998*0.4,IF($A$5998&gt;1,0.12+$B$8901*$B$8902+($A$5998-1)*0.4,0.12+$A$5998*$B$4*$B$8902)))</f>
        <v>-10</v>
      </c>
      <c r="B9087" s="3">
        <f>IF($A$5998&lt;-1,-10,IF($B$5998&lt;0,$B$8903+$B$5998*0.4,IF($B$5998&gt;1,$B$8903+$E$4*$B$8902*$B$8900+($B$5998-1)*0.4,$B$8903+$B$5998*$E$4*$B$8902*$B$8900)))</f>
        <v>-10</v>
      </c>
    </row>
    <row r="9088" spans="1:2" hidden="1">
      <c r="A9088" s="3">
        <f>IF($A$5999&lt;-1,-10,IF($A$5999&lt;0,0.12+$A$5999*0.4,IF($A$5999&gt;1,0.12+$B$8901*$B$8902+($A$5999-1)*0.4,0.12+$A$5999*$B$4*$B$8902)))</f>
        <v>-10</v>
      </c>
      <c r="B9088" s="3">
        <f>IF($A$5999&lt;-1,-10,IF($B$5999&lt;0,$B$8903+$B$5999*0.4,IF($B$5999&gt;1,$B$8903+$E$4*$B$8902*$B$8900+($B$5999-1)*0.4,$B$8903+$B$5999*$E$4*$B$8902*$B$8900)))</f>
        <v>-10</v>
      </c>
    </row>
    <row r="9089" spans="1:2" hidden="1">
      <c r="A9089" s="3">
        <f>IF($A$6000&lt;-1,-10,IF($A$6000&lt;0,0.12+$A$6000*0.4,IF($A$6000&gt;1,0.12+$B$8901*$B$8902+($A$6000-1)*0.4,0.12+$A$6000*$B$4*$B$8902)))</f>
        <v>-10</v>
      </c>
      <c r="B9089" s="3">
        <f>IF($A$6000&lt;-1,-10,IF($B$6000&lt;0,$B$8903+$B$6000*0.4,IF($B$6000&gt;1,$B$8903+$E$4*$B$8902*$B$8900+($B$6000-1)*0.4,$B$8903+$B$6000*$E$4*$B$8902*$B$8900)))</f>
        <v>-10</v>
      </c>
    </row>
    <row r="9090" spans="1:2" hidden="1">
      <c r="A9090" s="3">
        <f>IF($A$6001&lt;-1,-10,IF($A$6001&lt;0,0.12+$A$6001*0.4,IF($A$6001&gt;1,0.12+$B$8901*$B$8902+($A$6001-1)*0.4,0.12+$A$6001*$B$4*$B$8902)))</f>
        <v>-10</v>
      </c>
      <c r="B9090" s="3">
        <f>IF($A$6001&lt;-1,-10,IF($B$6001&lt;0,$B$8903+$B$6001*0.4,IF($B$6001&gt;1,$B$8903+$E$4*$B$8902*$B$8900+($B$6001-1)*0.4,$B$8903+$B$6001*$E$4*$B$8902*$B$8900)))</f>
        <v>-10</v>
      </c>
    </row>
    <row r="9091" spans="1:2" hidden="1">
      <c r="A9091" s="3">
        <f>IF($A$6002&lt;-1,-10,IF($A$6002&lt;0,0.12+$A$6002*0.4,IF($A$6002&gt;1,0.12+$B$8901*$B$8902+($A$6002-1)*0.4,0.12+$A$6002*$B$4*$B$8902)))</f>
        <v>-10</v>
      </c>
      <c r="B9091" s="3">
        <f>IF($A$6002&lt;-1,-10,IF($B$6002&lt;0,$B$8903+$B$6002*0.4,IF($B$6002&gt;1,$B$8903+$E$4*$B$8902*$B$8900+($B$6002-1)*0.4,$B$8903+$B$6002*$E$4*$B$8902*$B$8900)))</f>
        <v>-10</v>
      </c>
    </row>
    <row r="9092" spans="1:2" hidden="1">
      <c r="A9092" s="3">
        <f>IF($A$6003&lt;-1,-10,IF($A$6003&lt;0,0.12+$A$6003*0.4,IF($A$6003&gt;1,0.12+$B$8901*$B$8902+($A$6003-1)*0.4,0.12+$A$6003*$B$4*$B$8902)))</f>
        <v>-10</v>
      </c>
      <c r="B9092" s="3">
        <f>IF($A$6003&lt;-1,-10,IF($B$6003&lt;0,$B$8903+$B$6003*0.4,IF($B$6003&gt;1,$B$8903+$E$4*$B$8902*$B$8900+($B$6003-1)*0.4,$B$8903+$B$6003*$E$4*$B$8902*$B$8900)))</f>
        <v>-10</v>
      </c>
    </row>
    <row r="9093" spans="1:2" hidden="1"/>
    <row r="9094" spans="1:2" hidden="1">
      <c r="A9094" s="3">
        <f>IF($A$6005&lt;-1,-10,IF($A$6005&lt;0,0.12+$A$6005*0.4,IF($A$6005&gt;1,0.12+$B$8901*$B$8902+($A$6005-1)*0.4,0.12+$A$6005*$B$4*$B$8902)))</f>
        <v>-10</v>
      </c>
      <c r="B9094" s="3">
        <f>IF($A$6005&lt;-1,-10,IF($B$6005&lt;0,$B$8903+$B$6005*0.4,IF($B$6005&gt;1,$B$8903+$E$4*$B$8902*$B$8900+($B$6005-1)*0.4,$B$8903+$B$6005*$E$4*$B$8902*$B$8900)))</f>
        <v>-10</v>
      </c>
    </row>
    <row r="9095" spans="1:2" hidden="1">
      <c r="A9095" s="3">
        <f>IF($A$6006&lt;-1,-10,IF($A$6006&lt;0,0.12+$A$6006*0.4,IF($A$6006&gt;1,0.12+$B$8901*$B$8902+($A$6006-1)*0.4,0.12+$A$6006*$B$4*$B$8902)))</f>
        <v>-10</v>
      </c>
      <c r="B9095" s="3">
        <f>IF($A$6006&lt;-1,-10,IF($B$6006&lt;0,$B$8903+$B$6006*0.4,IF($B$6006&gt;1,$B$8903+$E$4*$B$8902*$B$8900+($B$6006-1)*0.4,$B$8903+$B$6006*$E$4*$B$8902*$B$8900)))</f>
        <v>-10</v>
      </c>
    </row>
    <row r="9096" spans="1:2" hidden="1">
      <c r="A9096" s="3">
        <f>IF($A$6007&lt;-1,-10,IF($A$6007&lt;0,0.12+$A$6007*0.4,IF($A$6007&gt;1,0.12+$B$8901*$B$8902+($A$6007-1)*0.4,0.12+$A$6007*$B$4*$B$8902)))</f>
        <v>-10</v>
      </c>
      <c r="B9096" s="3">
        <f>IF($A$6007&lt;-1,-10,IF($B$6007&lt;0,$B$8903+$B$6007*0.4,IF($B$6007&gt;1,$B$8903+$E$4*$B$8902*$B$8900+($B$6007-1)*0.4,$B$8903+$B$6007*$E$4*$B$8902*$B$8900)))</f>
        <v>-10</v>
      </c>
    </row>
    <row r="9097" spans="1:2" hidden="1">
      <c r="A9097" s="3">
        <f>IF($A$6008&lt;-1,-10,IF($A$6008&lt;0,0.12+$A$6008*0.4,IF($A$6008&gt;1,0.12+$B$8901*$B$8902+($A$6008-1)*0.4,0.12+$A$6008*$B$4*$B$8902)))</f>
        <v>-10</v>
      </c>
      <c r="B9097" s="3">
        <f>IF($A$6008&lt;-1,-10,IF($B$6008&lt;0,$B$8903+$B$6008*0.4,IF($B$6008&gt;1,$B$8903+$E$4*$B$8902*$B$8900+($B$6008-1)*0.4,$B$8903+$B$6008*$E$4*$B$8902*$B$8900)))</f>
        <v>-10</v>
      </c>
    </row>
    <row r="9098" spans="1:2" hidden="1">
      <c r="A9098" s="3">
        <f>IF($A$6009&lt;-1,-10,IF($A$6009&lt;0,0.12+$A$6009*0.4,IF($A$6009&gt;1,0.12+$B$8901*$B$8902+($A$6009-1)*0.4,0.12+$A$6009*$B$4*$B$8902)))</f>
        <v>-10</v>
      </c>
      <c r="B9098" s="3">
        <f>IF($A$6009&lt;-1,-10,IF($B$6009&lt;0,$B$8903+$B$6009*0.4,IF($B$6009&gt;1,$B$8903+$E$4*$B$8902*$B$8900+($B$6009-1)*0.4,$B$8903+$B$6009*$E$4*$B$8902*$B$8900)))</f>
        <v>-10</v>
      </c>
    </row>
    <row r="9099" spans="1:2" hidden="1">
      <c r="A9099" s="3">
        <f>IF($A$6010&lt;-1,-10,IF($A$6010&lt;0,0.12+$A$6010*0.4,IF($A$6010&gt;1,0.12+$B$8901*$B$8902+($A$6010-1)*0.4,0.12+$A$6010*$B$4*$B$8902)))</f>
        <v>-10</v>
      </c>
      <c r="B9099" s="3">
        <f>IF($A$6010&lt;-1,-10,IF($B$6010&lt;0,$B$8903+$B$6010*0.4,IF($B$6010&gt;1,$B$8903+$E$4*$B$8902*$B$8900+($B$6010-1)*0.4,$B$8903+$B$6010*$E$4*$B$8902*$B$8900)))</f>
        <v>-10</v>
      </c>
    </row>
    <row r="9100" spans="1:2" hidden="1">
      <c r="A9100" s="3">
        <f>IF($A$6011&lt;-1,-10,IF($A$6011&lt;0,0.12+$A$6011*0.4,IF($A$6011&gt;1,0.12+$B$8901*$B$8902+($A$6011-1)*0.4,0.12+$A$6011*$B$4*$B$8902)))</f>
        <v>-10</v>
      </c>
      <c r="B9100" s="3">
        <f>IF($A$6011&lt;-1,-10,IF($B$6011&lt;0,$B$8903+$B$6011*0.4,IF($B$6011&gt;1,$B$8903+$E$4*$B$8902*$B$8900+($B$6011-1)*0.4,$B$8903+$B$6011*$E$4*$B$8902*$B$8900)))</f>
        <v>-10</v>
      </c>
    </row>
    <row r="9101" spans="1:2" hidden="1">
      <c r="A9101" s="3">
        <f>IF($A$6012&lt;-1,-10,IF($A$6012&lt;0,0.12+$A$6012*0.4,IF($A$6012&gt;1,0.12+$B$8901*$B$8902+($A$6012-1)*0.4,0.12+$A$6012*$B$4*$B$8902)))</f>
        <v>-10</v>
      </c>
      <c r="B9101" s="3">
        <f>IF($A$6012&lt;-1,-10,IF($B$6012&lt;0,$B$8903+$B$6012*0.4,IF($B$6012&gt;1,$B$8903+$E$4*$B$8902*$B$8900+($B$6012-1)*0.4,$B$8903+$B$6012*$E$4*$B$8902*$B$8900)))</f>
        <v>-10</v>
      </c>
    </row>
    <row r="9102" spans="1:2" hidden="1"/>
    <row r="9103" spans="1:2" hidden="1">
      <c r="A9103" s="3">
        <f>IF($A$6014&lt;-1,-10,IF($A$6014&lt;0,0.12+$A$6014*0.4,IF($A$6014&gt;1,0.12+$B$8901*$B$8902+($A$6014-1)*0.4,0.12+$A$6014*$B$4*$B$8902)))</f>
        <v>0.44500000000000001</v>
      </c>
      <c r="B9103" s="3">
        <f>IF($A$6014&lt;-1,-10,IF($B$6014&lt;0,$B$8903+$B$6014*0.4,IF($B$6014&gt;1,$B$8903+$E$4*$B$8902*$B$8900+($B$6014-1)*0.4,$B$8903+$B$6014*$E$4*$B$8902*$B$8900)))</f>
        <v>0.31763987816541889</v>
      </c>
    </row>
    <row r="9104" spans="1:2" hidden="1">
      <c r="A9104" s="3">
        <f>IF($A$6015&lt;-1,-10,IF($A$6015&lt;0,0.12+$A$6015*0.4,IF($A$6015&gt;1,0.12+$B$8901*$B$8902+($A$6015-1)*0.4,0.12+$A$6015*$B$4*$B$8902)))</f>
        <v>0.12</v>
      </c>
      <c r="B9104" s="3">
        <f>IF($A$6015&lt;-1,-10,IF($B$6015&lt;0,$B$8903+$B$6015*0.4,IF($B$6015&gt;1,$B$8903+$E$4*$B$8902*$B$8900+($B$6015-1)*0.4,$B$8903+$B$6015*$E$4*$B$8902*$B$8900)))</f>
        <v>0.31763987816541889</v>
      </c>
    </row>
    <row r="9105" spans="1:2" hidden="1">
      <c r="A9105" s="3">
        <f>IF($A$6016&lt;-1,-10,IF($A$6016&lt;0,0.12+$A$6016*0.4,IF($A$6016&gt;1,0.12+$B$8901*$B$8902+($A$6016-1)*0.4,0.12+$A$6016*$B$4*$B$8902)))</f>
        <v>0.12</v>
      </c>
      <c r="B9105" s="3">
        <f>IF($A$6016&lt;-1,-10,IF($B$6016&lt;0,$B$8903+$B$6016*0.4,IF($B$6016&gt;1,$B$8903+$E$4*$B$8902*$B$8900+($B$6016-1)*0.4,$B$8903+$B$6016*$E$4*$B$8902*$B$8900)))</f>
        <v>0.3336398781654189</v>
      </c>
    </row>
    <row r="9106" spans="1:2" hidden="1">
      <c r="A9106" s="3">
        <f>IF($A$6017&lt;-1,-10,IF($A$6017&lt;0,0.12+$A$6017*0.4,IF($A$6017&gt;1,0.12+$B$8901*$B$8902+($A$6017-1)*0.4,0.12+$A$6017*$B$4*$B$8902)))</f>
        <v>0.12</v>
      </c>
      <c r="B9106" s="3">
        <f>IF($A$6017&lt;-1,-10,IF($B$6017&lt;0,$B$8903+$B$6017*0.4,IF($B$6017&gt;1,$B$8903+$E$4*$B$8902*$B$8900+($B$6017-1)*0.4,$B$8903+$B$6017*$E$4*$B$8902*$B$8900)))</f>
        <v>0.30163987816541887</v>
      </c>
    </row>
    <row r="9107" spans="1:2" hidden="1">
      <c r="A9107" s="3">
        <f>IF($A$6018&lt;-1,-10,IF($A$6018&lt;0,0.12+$A$6018*0.4,IF($A$6018&gt;1,0.12+$B$8901*$B$8902+($A$6018-1)*0.4,0.12+$A$6018*$B$4*$B$8902)))</f>
        <v>0.12</v>
      </c>
      <c r="B9107" s="3">
        <f>IF($A$6018&lt;-1,-10,IF($B$6018&lt;0,$B$8903+$B$6018*0.4,IF($B$6018&gt;1,$B$8903+$E$4*$B$8902*$B$8900+($B$6018-1)*0.4,$B$8903+$B$6018*$E$4*$B$8902*$B$8900)))</f>
        <v>0.31763987816541889</v>
      </c>
    </row>
    <row r="9108" spans="1:2" hidden="1">
      <c r="A9108" s="3">
        <f>IF($A$6019&lt;-1,-10,IF($A$6019&lt;0,0.12+$A$6019*0.4,IF($A$6019&gt;1,0.12+$B$8901*$B$8902+($A$6019-1)*0.4,0.12+$A$6019*$B$4*$B$8902)))</f>
        <v>0.77</v>
      </c>
      <c r="B9108" s="3">
        <f>IF($A$6019&lt;-1,-10,IF($B$6019&lt;0,$B$8903+$B$6019*0.4,IF($B$6019&gt;1,$B$8903+$E$4*$B$8902*$B$8900+($B$6019-1)*0.4,$B$8903+$B$6019*$E$4*$B$8902*$B$8900)))</f>
        <v>0.31763987816541889</v>
      </c>
    </row>
    <row r="9109" spans="1:2" hidden="1">
      <c r="A9109" s="3">
        <f>IF($A$6020&lt;-1,-10,IF($A$6020&lt;0,0.12+$A$6020*0.4,IF($A$6020&gt;1,0.12+$B$8901*$B$8902+($A$6020-1)*0.4,0.12+$A$6020*$B$4*$B$8902)))</f>
        <v>0.77</v>
      </c>
      <c r="B9109" s="3">
        <f>IF($A$6020&lt;-1,-10,IF($B$6020&lt;0,$B$8903+$B$6020*0.4,IF($B$6020&gt;1,$B$8903+$E$4*$B$8902*$B$8900+($B$6020-1)*0.4,$B$8903+$B$6020*$E$4*$B$8902*$B$8900)))</f>
        <v>0.3336398781654189</v>
      </c>
    </row>
    <row r="9110" spans="1:2" hidden="1">
      <c r="A9110" s="3">
        <f>IF($A$6021&lt;-1,-10,IF($A$6021&lt;0,0.12+$A$6021*0.4,IF($A$6021&gt;1,0.12+$B$8901*$B$8902+($A$6021-1)*0.4,0.12+$A$6021*$B$4*$B$8902)))</f>
        <v>0.77</v>
      </c>
      <c r="B9110" s="3">
        <f>IF($A$6021&lt;-1,-10,IF($B$6021&lt;0,$B$8903+$B$6021*0.4,IF($B$6021&gt;1,$B$8903+$E$4*$B$8902*$B$8900+($B$6021-1)*0.4,$B$8903+$B$6021*$E$4*$B$8902*$B$8900)))</f>
        <v>0.30163987816541887</v>
      </c>
    </row>
    <row r="9111" spans="1:2" hidden="1"/>
    <row r="9112" spans="1:2" hidden="1">
      <c r="A9112" s="3">
        <f>IF($A$6023&lt;-1,-10,IF($A$6023&lt;0,0.12+$A$6023*0.4,IF($A$6023&gt;1,0.12+$B$8901*$B$8902+($A$6023-1)*0.4,0.12+$A$6023*$B$4*$B$8902)))</f>
        <v>7.1999999999999995E-2</v>
      </c>
      <c r="B9112" s="3">
        <f>IF($A$6023&lt;-1,-10,IF($B$6023&lt;0,$B$8903+$B$6023*0.4,IF($B$6023&gt;1,$B$8903+$E$4*$B$8902*$B$8900+($B$6023-1)*0.4,$B$8903+$B$6023*$E$4*$B$8902*$B$8900)))</f>
        <v>0.5</v>
      </c>
    </row>
    <row r="9113" spans="1:2" hidden="1">
      <c r="A9113" s="3">
        <f>IF($A$6024&lt;-1,-10,IF($A$6024&lt;0,0.12+$A$6024*0.4,IF($A$6024&gt;1,0.12+$B$8901*$B$8902+($A$6024-1)*0.4,0.12+$A$6024*$B$4*$B$8902)))</f>
        <v>7.1999999999999995E-2</v>
      </c>
      <c r="B9113" s="3">
        <f>IF($A$6024&lt;-1,-10,IF($B$6024&lt;0,$B$8903+$B$6024*0.4,IF($B$6024&gt;1,$B$8903+$E$4*$B$8902*$B$8900+($B$6024-1)*0.4,$B$8903+$B$6024*$E$4*$B$8902*$B$8900)))</f>
        <v>0.3896398781654189</v>
      </c>
    </row>
    <row r="9114" spans="1:2" hidden="1">
      <c r="A9114" s="3">
        <f>IF($A$6025&lt;-1,-10,IF($A$6025&lt;0,0.12+$A$6025*0.4,IF($A$6025&gt;1,0.12+$B$8901*$B$8902+($A$6025-1)*0.4,0.12+$A$6025*$B$4*$B$8902)))</f>
        <v>7.9999999999999988E-2</v>
      </c>
      <c r="B9114" s="3">
        <f>IF($A$6025&lt;-1,-10,IF($B$6025&lt;0,$B$8903+$B$6025*0.4,IF($B$6025&gt;1,$B$8903+$E$4*$B$8902*$B$8900+($B$6025-1)*0.4,$B$8903+$B$6025*$E$4*$B$8902*$B$8900)))</f>
        <v>0.3896398781654189</v>
      </c>
    </row>
    <row r="9115" spans="1:2" hidden="1">
      <c r="A9115" s="3">
        <f>IF($A$6026&lt;-1,-10,IF($A$6026&lt;0,0.12+$A$6026*0.4,IF($A$6026&gt;1,0.12+$B$8901*$B$8902+($A$6026-1)*0.4,0.12+$A$6026*$B$4*$B$8902)))</f>
        <v>6.3999999999999987E-2</v>
      </c>
      <c r="B9115" s="3">
        <f>IF($A$6026&lt;-1,-10,IF($B$6026&lt;0,$B$8903+$B$6026*0.4,IF($B$6026&gt;1,$B$8903+$E$4*$B$8902*$B$8900+($B$6026-1)*0.4,$B$8903+$B$6026*$E$4*$B$8902*$B$8900)))</f>
        <v>0.3896398781654189</v>
      </c>
    </row>
    <row r="9116" spans="1:2" hidden="1">
      <c r="A9116" s="3">
        <f>IF($A$6027&lt;-1,-10,IF($A$6027&lt;0,0.12+$A$6027*0.4,IF($A$6027&gt;1,0.12+$B$8901*$B$8902+($A$6027-1)*0.4,0.12+$A$6027*$B$4*$B$8902)))</f>
        <v>7.1999999999999995E-2</v>
      </c>
      <c r="B9116" s="3">
        <f>IF($A$6027&lt;-1,-10,IF($B$6027&lt;0,$B$8903+$B$6027*0.4,IF($B$6027&gt;1,$B$8903+$E$4*$B$8902*$B$8900+($B$6027-1)*0.4,$B$8903+$B$6027*$E$4*$B$8902*$B$8900)))</f>
        <v>0.3896398781654189</v>
      </c>
    </row>
    <row r="9117" spans="1:2" hidden="1">
      <c r="A9117" s="3">
        <f>IF($A$6028&lt;-1,-10,IF($A$6028&lt;0,0.12+$A$6028*0.4,IF($A$6028&gt;1,0.12+$B$8901*$B$8902+($A$6028-1)*0.4,0.12+$A$6028*$B$4*$B$8902)))</f>
        <v>7.1999999999999995E-2</v>
      </c>
      <c r="B9117" s="3">
        <f>IF($A$6028&lt;-1,-10,IF($B$6028&lt;0,$B$8903+$B$6028*0.4,IF($B$6028&gt;1,$B$8903+$E$4*$B$8902*$B$8900+($B$6028-1)*0.4,$B$8903+$B$6028*$E$4*$B$8902*$B$8900)))</f>
        <v>0.6103601218345811</v>
      </c>
    </row>
    <row r="9118" spans="1:2" hidden="1">
      <c r="A9118" s="3">
        <f>IF($A$6029&lt;-1,-10,IF($A$6029&lt;0,0.12+$A$6029*0.4,IF($A$6029&gt;1,0.12+$B$8901*$B$8902+($A$6029-1)*0.4,0.12+$A$6029*$B$4*$B$8902)))</f>
        <v>7.9999999999999988E-2</v>
      </c>
      <c r="B9118" s="3">
        <f>IF($A$6029&lt;-1,-10,IF($B$6029&lt;0,$B$8903+$B$6029*0.4,IF($B$6029&gt;1,$B$8903+$E$4*$B$8902*$B$8900+($B$6029-1)*0.4,$B$8903+$B$6029*$E$4*$B$8902*$B$8900)))</f>
        <v>0.6103601218345811</v>
      </c>
    </row>
    <row r="9119" spans="1:2" hidden="1">
      <c r="A9119" s="3">
        <f>IF($A$6030&lt;-1,-10,IF($A$6030&lt;0,0.12+$A$6030*0.4,IF($A$6030&gt;1,0.12+$B$8901*$B$8902+($A$6030-1)*0.4,0.12+$A$6030*$B$4*$B$8902)))</f>
        <v>6.3999999999999987E-2</v>
      </c>
      <c r="B9119" s="3">
        <f>IF($A$6030&lt;-1,-10,IF($B$6030&lt;0,$B$8903+$B$6030*0.4,IF($B$6030&gt;1,$B$8903+$E$4*$B$8902*$B$8900+($B$6030-1)*0.4,$B$8903+$B$6030*$E$4*$B$8902*$B$8900)))</f>
        <v>0.6103601218345811</v>
      </c>
    </row>
    <row r="9120" spans="1:2" hidden="1"/>
    <row r="9121" spans="1:2" hidden="1">
      <c r="A9121" s="3">
        <f>IF($A$6300&lt;-1,-10,IF($A$6300&lt;0,0.12+$A$6300*0.4,IF($A$6300&gt;1,0.12+$B$8901*$B$8902+($A$6300-1)*0.4,0.12+$A$6300*$B$4*$B$8902)))</f>
        <v>0.44500000000000001</v>
      </c>
      <c r="B9121" s="3">
        <f>IF($A$6300&lt;-1,-10,IF($B$6300&lt;0,$B$8903+$B$6300*0.4,IF($B$6300&gt;1,$B$8903+$E$4*$B$8902*$B$8900+($B$6300-1)*0.4,$B$8903+$B$6300*$E$4*$B$8902*$B$8900)))</f>
        <v>0.5</v>
      </c>
    </row>
    <row r="9122" spans="1:2" hidden="1"/>
    <row r="9123" spans="1:2" hidden="1">
      <c r="A9123" s="3">
        <f>IF($A$6301&lt;-1,-10,IF($A$6301&lt;0,0.12+$A$6301*0.4,IF($A$6301&gt;1,0.12+$B$8901*$B$8902+($A$6301-1)*0.4,0.12+$A$6301*$B$4*$B$8902)))</f>
        <v>-10</v>
      </c>
      <c r="B9123" s="3">
        <f>IF($A$6301&lt;-1,-10,IF($B$6301&lt;0,$B$8903+$B$6301*0.4,IF($B$6301&gt;1,$B$8903+$E$4*$B$8902*$B$8900+($B$6301-1)*0.4,$B$8903+$B$6301*$E$4*$B$8902*$B$8900)))</f>
        <v>-10</v>
      </c>
    </row>
    <row r="9124" spans="1:2" hidden="1"/>
    <row r="9125" spans="1:2" hidden="1">
      <c r="A9125" s="3">
        <f>IF($A$6302&lt;-1,-10,IF($A$6302&lt;0,0.12+$A$6302*0.4,IF($A$6302&gt;1,0.12+$B$8901*$B$8902+($A$6302-1)*0.4,0.12+$A$6302*$B$4*$B$8902)))</f>
        <v>-10</v>
      </c>
      <c r="B9125" s="3">
        <f>IF($A$6302&lt;-1,-10,IF($B$6302&lt;0,$B$8903+$B$6302*0.4,IF($B$6302&gt;1,$B$8903+$E$4*$B$8902*$B$8900+($B$6302-1)*0.4,$B$8903+$B$6302*$E$4*$B$8902*$B$8900)))</f>
        <v>-10</v>
      </c>
    </row>
    <row r="9126" spans="1:2" hidden="1"/>
    <row r="9127" spans="1:2" hidden="1">
      <c r="A9127" s="3">
        <f>IF($A$6303&lt;-1,-10,IF($A$6303&lt;0,0.12+$A$6303*0.4,IF($A$6303&gt;1,0.12+$B$8901*$B$8902+($A$6303-1)*0.4,0.12+$A$6303*$B$4*$B$8902)))</f>
        <v>-10</v>
      </c>
      <c r="B9127" s="3">
        <f>IF($A$6303&lt;-1,-10,IF($B$6303&lt;0,$B$8903+$B$6303*0.4,IF($B$6303&gt;1,$B$8903+$E$4*$B$8902*$B$8900+($B$6303-1)*0.4,$B$8903+$B$6303*$E$4*$B$8902*$B$8900)))</f>
        <v>-10</v>
      </c>
    </row>
    <row r="9128" spans="1:2" hidden="1"/>
    <row r="9129" spans="1:2" hidden="1">
      <c r="A9129" s="3">
        <f>IF($A$6304&lt;-1,-10,IF($A$6304&lt;0,0.12+$A$6304*0.4,IF($A$6304&gt;1,0.12+$B$8901*$B$8902+($A$6304-1)*0.4,0.12+$A$6304*$B$4*$B$8902)))</f>
        <v>-10</v>
      </c>
      <c r="B9129" s="3">
        <f>IF($A$6304&lt;-1,-10,IF($B$6304&lt;0,$B$8903+$B$6304*0.4,IF($B$6304&gt;1,$B$8903+$E$4*$B$8902*$B$8900+($B$6304-1)*0.4,$B$8903+$B$6304*$E$4*$B$8902*$B$8900)))</f>
        <v>-10</v>
      </c>
    </row>
    <row r="9130" spans="1:2" hidden="1"/>
    <row r="9131" spans="1:2" hidden="1">
      <c r="A9131" s="3">
        <f>IF($A$6305&lt;-1,-10,IF($A$6305&lt;0,0.12+$A$6305*0.4,IF($A$6305&gt;1,0.12+$B$8901*$B$8902+($A$6305-1)*0.4,0.12+$A$6305*$B$4*$B$8902)))</f>
        <v>0.44500000000000001</v>
      </c>
      <c r="B9131" s="3">
        <f>IF($A$6305&lt;-1,-10,IF($B$6305&lt;0,$B$8903+$B$6305*0.4,IF($B$6305&gt;1,$B$8903+$E$4*$B$8902*$B$8900+($B$6305-1)*0.4,$B$8903+$B$6305*$E$4*$B$8902*$B$8900)))</f>
        <v>0.6103601218345811</v>
      </c>
    </row>
    <row r="9132" spans="1:2" hidden="1"/>
    <row r="9133" spans="1:2" hidden="1">
      <c r="A9133" s="3">
        <f>IF($A$6306&lt;-1,-10,IF($A$6306&lt;0,0.12+$A$6306*0.4,IF($A$6306&gt;1,0.12+$B$8901*$B$8902+($A$6306-1)*0.4,0.12+$A$6306*$B$4*$B$8902)))</f>
        <v>0.44500000000000001</v>
      </c>
      <c r="B9133" s="3">
        <f>IF($A$6306&lt;-1,-10,IF($B$6306&lt;0,$B$8903+$B$6306*0.4,IF($B$6306&gt;1,$B$8903+$E$4*$B$8902*$B$8900+($B$6306-1)*0.4,$B$8903+$B$6306*$E$4*$B$8902*$B$8900)))</f>
        <v>0.3896398781654189</v>
      </c>
    </row>
    <row r="9134" spans="1:2" hidden="1"/>
    <row r="9135" spans="1:2" hidden="1">
      <c r="A9135" s="3">
        <f>IF($A$6307&lt;-1,-10,IF($A$6307&lt;0,0.12+$A$6307*0.4,IF($A$6307&gt;1,0.12+$B$8901*$B$8902+($A$6307-1)*0.4,0.12+$A$6307*$B$4*$B$8902)))</f>
        <v>0.12</v>
      </c>
      <c r="B9135" s="3">
        <f>IF($A$6307&lt;-1,-10,IF($B$6307&lt;0,$B$8903+$B$6307*0.4,IF($B$6307&gt;1,$B$8903+$E$4*$B$8902*$B$8900+($B$6307-1)*0.4,$B$8903+$B$6307*$E$4*$B$8902*$B$8900)))</f>
        <v>0.5</v>
      </c>
    </row>
    <row r="9136" spans="1:2" hidden="1"/>
    <row r="9137" spans="1:2" hidden="1">
      <c r="A9137" s="3">
        <f>IF($A$6308&lt;-1,-10,IF($A$6308&lt;0,0.12+$A$6308*0.4,IF($A$6308&gt;1,0.12+$B$8901*$B$8902+($A$6308-1)*0.4,0.12+$A$6308*$B$4*$B$8902)))</f>
        <v>0.77</v>
      </c>
      <c r="B9137" s="3">
        <f>IF($A$6308&lt;-1,-10,IF($B$6308&lt;0,$B$8903+$B$6308*0.4,IF($B$6308&gt;1,$B$8903+$E$4*$B$8902*$B$8900+($B$6308-1)*0.4,$B$8903+$B$6308*$E$4*$B$8902*$B$8900)))</f>
        <v>0.5</v>
      </c>
    </row>
    <row r="9138" spans="1:2" hidden="1"/>
    <row r="9139" spans="1:2" hidden="1">
      <c r="A9139" s="3">
        <f>IF($A$6400&lt;-1,-10,IF($A$6400&lt;0,0.12+$A$6400*0.4,IF($A$6400&gt;1,0.12+$B$8901*$B$8902+($A$6400-1)*0.4,0.12+$A$6400*$B$4*$B$8902)))</f>
        <v>-10</v>
      </c>
      <c r="B9139" s="3">
        <f>IF($A$6400&lt;-1,-10,IF($B$6400&lt;0,$B$8903+$B$6400*0.4,IF($B$6400&gt;1,$B$8903+$E$4*$B$8902*$B$8900+($B$6400-1)*0.4,$B$8903+$B$6400*$E$4*$B$8902*$B$8900)))</f>
        <v>-10</v>
      </c>
    </row>
    <row r="9140" spans="1:2" hidden="1">
      <c r="A9140" s="3">
        <f>IF($A$6401&lt;-1,-10,IF($A$6401&lt;0,0.12+$A$6401*0.4,IF($A$6401&gt;1,0.12+$B$8901*$B$8902+($A$6401-1)*0.4,0.12+$A$6401*$B$4*$B$8902)))</f>
        <v>-10</v>
      </c>
      <c r="B9140" s="3">
        <f>IF($A$6401&lt;-1,-10,IF($B$6401&lt;0,$B$8903+$B$6401*0.4,IF($B$6401&gt;1,$B$8903+$E$4*$B$8902*$B$8900+($B$6401-1)*0.4,$B$8903+$B$6401*$E$4*$B$8902*$B$8900)))</f>
        <v>-10</v>
      </c>
    </row>
    <row r="9141" spans="1:2" hidden="1"/>
    <row r="9142" spans="1:2" hidden="1">
      <c r="A9142" s="3">
        <f>IF($A$6403&lt;-1,-10,IF($A$6403&lt;0,0.12+$A$6403*0.4,IF($A$6403&gt;1,0.12+$B$8901*$B$8902+($A$6403-1)*0.4,0.12+$A$6403*$B$4*$B$8902)))</f>
        <v>-10</v>
      </c>
      <c r="B9142" s="3">
        <f>IF($A$6403&lt;-1,-10,IF($B$6403&lt;0,$B$8903+$B$6403*0.4,IF($B$6403&gt;1,$B$8903+$E$4*$B$8902*$B$8900+($B$6403-1)*0.4,$B$8903+$B$6403*$E$4*$B$8902*$B$8900)))</f>
        <v>-10</v>
      </c>
    </row>
    <row r="9143" spans="1:2" hidden="1">
      <c r="A9143" s="3">
        <f>IF($A$6404&lt;-1,-10,IF($A$6404&lt;0,0.12+$A$6404*0.4,IF($A$6404&gt;1,0.12+$B$8901*$B$8902+($A$6404-1)*0.4,0.12+$A$6404*$B$4*$B$8902)))</f>
        <v>-10</v>
      </c>
      <c r="B9143" s="3">
        <f>IF($A$6404&lt;-1,-10,IF($B$6404&lt;0,$B$8903+$B$6404*0.4,IF($B$6404&gt;1,$B$8903+$E$4*$B$8902*$B$8900+($B$6404-1)*0.4,$B$8903+$B$6404*$E$4*$B$8902*$B$8900)))</f>
        <v>-10</v>
      </c>
    </row>
    <row r="9144" spans="1:2" hidden="1"/>
    <row r="9145" spans="1:2" hidden="1">
      <c r="A9145" s="3">
        <f>IF($A$6406&lt;-1,-10,IF($A$6406&lt;0,0.12+$A$6406*0.4,IF($A$6406&gt;1,0.12+$B$8901*$B$8902+($A$6406-1)*0.4,0.12+$A$6406*$B$4*$B$8902)))</f>
        <v>0.12</v>
      </c>
      <c r="B9145" s="3">
        <f>IF($A$6406&lt;-1,-10,IF($B$6406&lt;0,$B$8903+$B$6406*0.4,IF($B$6406&gt;1,$B$8903+$E$4*$B$8902*$B$8900+($B$6406-1)*0.4,$B$8903+$B$6406*$E$4*$B$8902*$B$8900)))</f>
        <v>0.3896398781654189</v>
      </c>
    </row>
    <row r="9146" spans="1:2" hidden="1">
      <c r="A9146" s="3">
        <f>IF($A$6407&lt;-1,-10,IF($A$6407&lt;0,0.12+$A$6407*0.4,IF($A$6407&gt;1,0.12+$B$8901*$B$8902+($A$6407-1)*0.4,0.12+$A$6407*$B$4*$B$8902)))</f>
        <v>0.12</v>
      </c>
      <c r="B9146" s="3">
        <f>IF($A$6407&lt;-1,-10,IF($B$6407&lt;0,$B$8903+$B$6407*0.4,IF($B$6407&gt;1,$B$8903+$E$4*$B$8902*$B$8900+($B$6407-1)*0.4,$B$8903+$B$6407*$E$4*$B$8902*$B$8900)))</f>
        <v>0.6103601218345811</v>
      </c>
    </row>
    <row r="9147" spans="1:2" hidden="1"/>
    <row r="9148" spans="1:2" hidden="1">
      <c r="A9148" s="3">
        <f>IF($A$6409&lt;-1,-10,IF($A$6409&lt;0,0.12+$A$6409*0.4,IF($A$6409&gt;1,0.12+$B$8901*$B$8902+($A$6409-1)*0.4,0.12+$A$6409*$B$4*$B$8902)))</f>
        <v>0.77</v>
      </c>
      <c r="B9148" s="3">
        <f>IF($A$6409&lt;-1,-10,IF($B$6409&lt;0,$B$8903+$B$6409*0.4,IF($B$6409&gt;1,$B$8903+$E$4*$B$8902*$B$8900+($B$6409-1)*0.4,$B$8903+$B$6409*$E$4*$B$8902*$B$8900)))</f>
        <v>0.3896398781654189</v>
      </c>
    </row>
    <row r="9149" spans="1:2" hidden="1">
      <c r="A9149" s="3">
        <f>IF($A$6410&lt;-1,-10,IF($A$6410&lt;0,0.12+$A$6410*0.4,IF($A$6410&gt;1,0.12+$B$8901*$B$8902+($A$6410-1)*0.4,0.12+$A$6410*$B$4*$B$8902)))</f>
        <v>0.77</v>
      </c>
      <c r="B9149" s="3">
        <f>IF($A$6410&lt;-1,-10,IF($B$6410&lt;0,$B$8903+$B$6410*0.4,IF($B$6410&gt;1,$B$8903+$E$4*$B$8902*$B$8900+($B$6410-1)*0.4,$B$8903+$B$6410*$E$4*$B$8902*$B$8900)))</f>
        <v>0.6103601218345811</v>
      </c>
    </row>
    <row r="9150" spans="1:2" hidden="1"/>
    <row r="9151" spans="1:2" hidden="1">
      <c r="A9151" s="3">
        <f>IF($A$6500&lt;-1,-10,IF($A$6500&lt;1,0.12+$A$6500*$B$4*$B$8902,IF($A$6500&lt;=$A$6502+0.00000001,0.12+$B$4*$B$8902+IFERROR(($A$6500-1)/($A$6502-1),0)*$B$8904*$B$8902,0.12+$B$8901*$B$8902+($A$6500-$A$6502)*0.6)))</f>
        <v>-10</v>
      </c>
      <c r="B9151" s="3">
        <f>IF($A$6500&lt;-1,-10,IF($B$6500&lt;0,$B$8903+$B$6500*0.4,IF($B$6500&gt;1,$B$8903+$E$4*$B$8902*$B$8900+($B$6500-1)*0.4,$B$8903+$B$6500*$E$4*$B$8902*$B$8900)))</f>
        <v>-10</v>
      </c>
    </row>
    <row r="9152" spans="1:2" hidden="1">
      <c r="A9152" s="3">
        <f>IF($A$6501&lt;-1,-10,IF($A$6501&lt;1,0.12+$A$6501*$B$4*$B$8902,IF($A$6501&lt;=$A$6502+0.00000001,0.12+$B$4*$B$8902+IFERROR(($A$6501-1)/($A$6502-1),0)*$B$8904*$B$8902,0.12+$B$8901*$B$8902+($A$6501-$A$6502)*0.6)))</f>
        <v>-10</v>
      </c>
      <c r="B9152" s="3">
        <f>IF($A$6501&lt;-1,-10,IF($B$6501&lt;0,$B$8903+$B$6501*0.4,IF($B$6501&gt;1,$B$8903+$E$4*$B$8902*$B$8900+($B$6501-1)*0.4,$B$8903+$B$6501*$E$4*$B$8902*$B$8900)))</f>
        <v>-10</v>
      </c>
    </row>
    <row r="9153" spans="1:2" hidden="1">
      <c r="A9153" s="3">
        <f>IF($A$6502&lt;-1,-10,IF($A$6502&lt;1,0.12+$A$6502*$B$4*$B$8902,IF($A$6502&lt;=$A$6502+0.00000001,0.12+$B$4*$B$8902+IFERROR(($A$6502-1)/($A$6502-1),0)*$B$8904*$B$8902,0.12+$B$8901*$B$8902+($A$6502-$A$6502)*0.6)))</f>
        <v>-10</v>
      </c>
      <c r="B9153" s="3">
        <f>IF($A$6502&lt;-1,-10,IF($B$6502&lt;0,$B$8903+$B$6502*0.4,IF($B$6502&gt;1,$B$8903+$E$4*$B$8902*$B$8900+($B$6502-1)*0.4,$B$8903+$B$6502*$E$4*$B$8902*$B$8900)))</f>
        <v>-10</v>
      </c>
    </row>
    <row r="9154" spans="1:2" hidden="1"/>
    <row r="9155" spans="1:2" hidden="1">
      <c r="A9155" s="3">
        <f>IF($A$6504&lt;-1,-10,IF($A$6504&lt;1,0.12+$A$6504*$B$4*$B$8902,IF($A$6504&lt;=$A$6502+0.00000001,0.12+$B$4*$B$8902+IFERROR(($A$6504-1)/($A$6502-1),0)*$B$8904*$B$8902,0.12+$B$8901*$B$8902+($A$6504-$A$6502)*0.6)))</f>
        <v>-10</v>
      </c>
      <c r="B9155" s="3">
        <f>IF($A$6504&lt;-1,-10,IF($B$6504&lt;0,$B$8903+$B$6504*0.4,IF($B$6504&gt;1,$B$8903+$E$4*$B$8902*$B$8900+($B$6504-1)*0.4,$B$8903+$B$6504*$E$4*$B$8902*$B$8900)))</f>
        <v>-10</v>
      </c>
    </row>
    <row r="9156" spans="1:2" hidden="1">
      <c r="A9156" s="3">
        <f>IF($A$6505&lt;-1,-10,IF($A$6505&lt;1,0.12+$A$6505*$B$4*$B$8902,IF($A$6505&lt;=$A$6502+0.00000001,0.12+$B$4*$B$8902+IFERROR(($A$6505-1)/($A$6502-1),0)*$B$8904*$B$8902,0.12+$B$8901*$B$8902+($A$6505-$A$6502)*0.6)))</f>
        <v>-10</v>
      </c>
      <c r="B9156" s="3">
        <f>IF($A$6505&lt;-1,-10,IF($B$6505&lt;0,$B$8903+$B$6505*0.4,IF($B$6505&gt;1,$B$8903+$E$4*$B$8902*$B$8900+($B$6505-1)*0.4,$B$8903+$B$6505*$E$4*$B$8902*$B$8900)))</f>
        <v>-10</v>
      </c>
    </row>
    <row r="9157" spans="1:2" hidden="1">
      <c r="A9157" s="3">
        <f>IF($A$6506&lt;-1,-10,IF($A$6506&lt;1,0.12+$A$6506*$B$4*$B$8902,IF($A$6506&lt;=$A$6502+0.00000001,0.12+$B$4*$B$8902+IFERROR(($A$6506-1)/($A$6502-1),0)*$B$8904*$B$8902,0.12+$B$8901*$B$8902+($A$6506-$A$6502)*0.6)))</f>
        <v>-10</v>
      </c>
      <c r="B9157" s="3">
        <f>IF($A$6506&lt;-1,-10,IF($B$6506&lt;0,$B$8903+$B$6506*0.4,IF($B$6506&gt;1,$B$8903+$E$4*$B$8902*$B$8900+($B$6506-1)*0.4,$B$8903+$B$6506*$E$4*$B$8902*$B$8900)))</f>
        <v>-10</v>
      </c>
    </row>
    <row r="9158" spans="1:2" hidden="1"/>
    <row r="9159" spans="1:2" hidden="1">
      <c r="A9159" s="3">
        <f>IF($A$6520&lt;-1,-10,IF($A$6520&lt;1,0.12+$A$6520*$B$4*$B$8902,IF($A$6520&lt;=$A$6502+0.00000001,0.12+$B$4*$B$8902+IFERROR(($A$6520-1)/($A$6502-1),0)*$B$8904*$B$8902,0.12+$B$8901*$B$8902+($A$6520-$A$6502)*0.6)))</f>
        <v>-10</v>
      </c>
      <c r="B9159" s="3">
        <f>IF($A$6520&lt;-1,-10,IF($B$6520&lt;0,$B$8903+$B$6520*0.4,IF($B$6520&gt;1,$B$8903+$E$4*$B$8902*$B$8900+($B$6520-1)*0.4,$B$8903+$B$6520*$E$4*$B$8902*$B$8900)))</f>
        <v>-10</v>
      </c>
    </row>
    <row r="9160" spans="1:2" hidden="1">
      <c r="A9160" s="3">
        <f>IF($A$6521&lt;-1,-10,IF($A$6521&lt;1,0.12+$A$6521*$B$4*$B$8902,IF($A$6521&lt;=$A$6502+0.00000001,0.12+$B$4*$B$8902+IFERROR(($A$6521-1)/($A$6502-1),0)*$B$8904*$B$8902,0.12+$B$8901*$B$8902+($A$6521-$A$6502)*0.6)))</f>
        <v>-10</v>
      </c>
      <c r="B9160" s="3">
        <f>IF($A$6521&lt;-1,-10,IF($B$6521&lt;0,$B$8903+$B$6521*0.4,IF($B$6521&gt;1,$B$8903+$E$4*$B$8902*$B$8900+($B$6521-1)*0.4,$B$8903+$B$6521*$E$4*$B$8902*$B$8900)))</f>
        <v>-10</v>
      </c>
    </row>
    <row r="9161" spans="1:2" hidden="1">
      <c r="A9161" s="3">
        <f>IF($A$6522&lt;-1,-10,IF($A$6522&lt;1,0.12+$A$6522*$B$4*$B$8902,IF($A$6522&lt;=$A$6502+0.00000001,0.12+$B$4*$B$8902+IFERROR(($A$6522-1)/($A$6502-1),0)*$B$8904*$B$8902,0.12+$B$8901*$B$8902+($A$6522-$A$6502)*0.6)))</f>
        <v>-10</v>
      </c>
      <c r="B9161" s="3">
        <f>IF($A$6522&lt;-1,-10,IF($B$6522&lt;0,$B$8903+$B$6522*0.4,IF($B$6522&gt;1,$B$8903+$E$4*$B$8902*$B$8900+($B$6522-1)*0.4,$B$8903+$B$6522*$E$4*$B$8902*$B$8900)))</f>
        <v>-10</v>
      </c>
    </row>
    <row r="9162" spans="1:2" hidden="1"/>
    <row r="9163" spans="1:2" hidden="1">
      <c r="A9163" s="3">
        <f>IF($A$6550&lt;-1,-10,IF($A$6550&lt;1,0.12+$A$6550*$B$4*$B$8902,IF($A$6550&lt;=$A$6502+0.00000001,0.12+$B$4*$B$8902+IFERROR(($A$6550-1)/($A$6502-1),0)*$B$8904*$B$8902,0.12+$B$8901*$B$8902+($A$6550-$A$6502)*0.6)))</f>
        <v>-10</v>
      </c>
      <c r="B9163" s="3">
        <f>IF($A$6550&lt;-1,-10,IF($B$6550&lt;0,$B$8903+$B$6550*0.4,IF($B$6550&gt;1,$B$8903+$E$4*$B$8902*$B$8900+($B$6550-1)*0.4,$B$8903+$B$6550*$E$4*$B$8902*$B$8900)))</f>
        <v>-10</v>
      </c>
    </row>
    <row r="9164" spans="1:2" hidden="1">
      <c r="A9164" s="3">
        <f>IF($A$6551&lt;-1,-10,IF($A$6551&lt;1,0.12+$A$6551*$B$4*$B$8902,IF($A$6551&lt;=$A$6502+0.00000001,0.12+$B$4*$B$8902+IFERROR(($A$6551-1)/($A$6502-1),0)*$B$8904*$B$8902,0.12+$B$8901*$B$8902+($A$6551-$A$6502)*0.6)))</f>
        <v>-10</v>
      </c>
      <c r="B9164" s="3">
        <f>IF($A$6551&lt;-1,-10,IF($B$6551&lt;0,$B$8903+$B$6551*0.4,IF($B$6551&gt;1,$B$8903+$E$4*$B$8902*$B$8900+($B$6551-1)*0.4,$B$8903+$B$6551*$E$4*$B$8902*$B$8900)))</f>
        <v>-10</v>
      </c>
    </row>
    <row r="9165" spans="1:2" hidden="1">
      <c r="A9165" s="3">
        <f>IF($A$6552&lt;-1,-10,IF($A$6552&lt;1,0.12+$A$6552*$B$4*$B$8902,IF($A$6552&lt;=$A$6502+0.00000001,0.12+$B$4*$B$8902+IFERROR(($A$6552-1)/($A$6502-1),0)*$B$8904*$B$8902,0.12+$B$8901*$B$8902+($A$6552-$A$6502)*0.6)))</f>
        <v>-10</v>
      </c>
      <c r="B9165" s="3">
        <f>IF($A$6552&lt;-1,-10,IF($B$6552&lt;0,$B$8903+$B$6552*0.4,IF($B$6552&gt;1,$B$8903+$E$4*$B$8902*$B$8900+($B$6552-1)*0.4,$B$8903+$B$6552*$E$4*$B$8902*$B$8900)))</f>
        <v>-10</v>
      </c>
    </row>
    <row r="9166" spans="1:2" hidden="1"/>
    <row r="9167" spans="1:2" hidden="1">
      <c r="A9167" s="3">
        <f>IF($A$6554&lt;-1,-10,IF($A$6554&lt;1,0.12+$A$6554*$B$4*$B$8902,IF($A$6554&lt;=$A$6502+0.00000001,0.12+$B$4*$B$8902+IFERROR(($A$6554-1)/($A$6502-1),0)*$B$8904*$B$8902,0.12+$B$8901*$B$8902+($A$6554-$A$6502)*0.6)))</f>
        <v>-10</v>
      </c>
      <c r="B9167" s="3">
        <f>IF($A$6554&lt;-1,-10,IF($B$6554&lt;0,$B$8903+$B$6554*0.4,IF($B$6554&gt;1,$B$8903+$E$4*$B$8902*$B$8900+($B$6554-1)*0.4,$B$8903+$B$6554*$E$4*$B$8902*$B$8900)))</f>
        <v>-10</v>
      </c>
    </row>
    <row r="9168" spans="1:2" hidden="1">
      <c r="A9168" s="3">
        <f>IF($A$6555&lt;-1,-10,IF($A$6555&lt;1,0.12+$A$6555*$B$4*$B$8902,IF($A$6555&lt;=$A$6502+0.00000001,0.12+$B$4*$B$8902+IFERROR(($A$6555-1)/($A$6502-1),0)*$B$8904*$B$8902,0.12+$B$8901*$B$8902+($A$6555-$A$6502)*0.6)))</f>
        <v>-10</v>
      </c>
      <c r="B9168" s="3">
        <f>IF($A$6555&lt;-1,-10,IF($B$6555&lt;0,$B$8903+$B$6555*0.4,IF($B$6555&gt;1,$B$8903+$E$4*$B$8902*$B$8900+($B$6555-1)*0.4,$B$8903+$B$6555*$E$4*$B$8902*$B$8900)))</f>
        <v>-10</v>
      </c>
    </row>
    <row r="9169" spans="1:2" hidden="1">
      <c r="A9169" s="3">
        <f>IF($A$6556&lt;-1,-10,IF($A$6556&lt;1,0.12+$A$6556*$B$4*$B$8902,IF($A$6556&lt;=$A$6502+0.00000001,0.12+$B$4*$B$8902+IFERROR(($A$6556-1)/($A$6502-1),0)*$B$8904*$B$8902,0.12+$B$8901*$B$8902+($A$6556-$A$6502)*0.6)))</f>
        <v>-10</v>
      </c>
      <c r="B9169" s="3">
        <f>IF($A$6556&lt;-1,-10,IF($B$6556&lt;0,$B$8903+$B$6556*0.4,IF($B$6556&gt;1,$B$8903+$E$4*$B$8902*$B$8900+($B$6556-1)*0.4,$B$8903+$B$6556*$E$4*$B$8902*$B$8900)))</f>
        <v>-10</v>
      </c>
    </row>
    <row r="9170" spans="1:2" hidden="1"/>
    <row r="9171" spans="1:2" hidden="1">
      <c r="A9171" s="3">
        <f>IF($A$6558&lt;-1,-10,IF($A$6558&lt;1,0.12+$A$6558*$B$4*$B$8902,IF($A$6558&lt;=$A$6502+0.00000001,0.12+$B$4*$B$8902+IFERROR(($A$6558-1)/($A$6502-1),0)*$B$8904*$B$8902,0.12+$B$8901*$B$8902+($A$6558-$A$6502)*0.6)))</f>
        <v>-10</v>
      </c>
      <c r="B9171" s="3">
        <f>IF($A$6558&lt;-1,-10,IF($B$6558&lt;0,$B$8903+$B$6558*0.4,IF($B$6558&gt;1,$B$8903+$E$4*$B$8902*$B$8900+($B$6558-1)*0.4,$B$8903+$B$6558*$E$4*$B$8902*$B$8900)))</f>
        <v>-10</v>
      </c>
    </row>
    <row r="9172" spans="1:2" hidden="1">
      <c r="A9172" s="3">
        <f>IF($A$6559&lt;-1,-10,IF($A$6559&lt;1,0.12+$A$6559*$B$4*$B$8902,IF($A$6559&lt;=$A$6502+0.00000001,0.12+$B$4*$B$8902+IFERROR(($A$6559-1)/($A$6502-1),0)*$B$8904*$B$8902,0.12+$B$8901*$B$8902+($A$6559-$A$6502)*0.6)))</f>
        <v>-10</v>
      </c>
      <c r="B9172" s="3">
        <f>IF($A$6559&lt;-1,-10,IF($B$6559&lt;0,$B$8903+$B$6559*0.4,IF($B$6559&gt;1,$B$8903+$E$4*$B$8902*$B$8900+($B$6559-1)*0.4,$B$8903+$B$6559*$E$4*$B$8902*$B$8900)))</f>
        <v>-10</v>
      </c>
    </row>
    <row r="9173" spans="1:2" hidden="1">
      <c r="A9173" s="3">
        <f>IF($A$6560&lt;-1,-10,IF($A$6560&lt;1,0.12+$A$6560*$B$4*$B$8902,IF($A$6560&lt;=$A$6502+0.00000001,0.12+$B$4*$B$8902+IFERROR(($A$6560-1)/($A$6502-1),0)*$B$8904*$B$8902,0.12+$B$8901*$B$8902+($A$6560-$A$6502)*0.6)))</f>
        <v>-10</v>
      </c>
      <c r="B9173" s="3">
        <f>IF($A$6560&lt;-1,-10,IF($B$6560&lt;0,$B$8903+$B$6560*0.4,IF($B$6560&gt;1,$B$8903+$E$4*$B$8902*$B$8900+($B$6560-1)*0.4,$B$8903+$B$6560*$E$4*$B$8902*$B$8900)))</f>
        <v>-10</v>
      </c>
    </row>
    <row r="9174" spans="1:2" hidden="1"/>
    <row r="9175" spans="1:2" hidden="1">
      <c r="A9175" s="3">
        <f>IF($A$6562&lt;-1,-10,IF($A$6562&lt;1,0.12+$A$6562*$B$4*$B$8902,IF($A$6562&lt;=$A$6502+0.00000001,0.12+$B$4*$B$8902+IFERROR(($A$6562-1)/($A$6502-1),0)*$B$8904*$B$8902,0.12+$B$8901*$B$8902+($A$6562-$A$6502)*0.6)))</f>
        <v>-10</v>
      </c>
      <c r="B9175" s="3">
        <f>IF($A$6562&lt;-1,-10,IF($B$6562&lt;0,$B$8903+$B$6562*0.4,IF($B$6562&gt;1,$B$8903+$E$4*$B$8902*$B$8900+($B$6562-1)*0.4,$B$8903+$B$6562*$E$4*$B$8902*$B$8900)))</f>
        <v>-10</v>
      </c>
    </row>
    <row r="9176" spans="1:2" hidden="1">
      <c r="A9176" s="3">
        <f>IF($A$6563&lt;-1,-10,IF($A$6563&lt;1,0.12+$A$6563*$B$4*$B$8902,IF($A$6563&lt;=$A$6502+0.00000001,0.12+$B$4*$B$8902+IFERROR(($A$6563-1)/($A$6502-1),0)*$B$8904*$B$8902,0.12+$B$8901*$B$8902+($A$6563-$A$6502)*0.6)))</f>
        <v>-10</v>
      </c>
      <c r="B9176" s="3">
        <f>IF($A$6563&lt;-1,-10,IF($B$6563&lt;0,$B$8903+$B$6563*0.4,IF($B$6563&gt;1,$B$8903+$E$4*$B$8902*$B$8900+($B$6563-1)*0.4,$B$8903+$B$6563*$E$4*$B$8902*$B$8900)))</f>
        <v>-10</v>
      </c>
    </row>
    <row r="9177" spans="1:2" hidden="1">
      <c r="A9177" s="3">
        <f>IF($A$6564&lt;-1,-10,IF($A$6564&lt;1,0.12+$A$6564*$B$4*$B$8902,IF($A$6564&lt;=$A$6502+0.00000001,0.12+$B$4*$B$8902+IFERROR(($A$6564-1)/($A$6502-1),0)*$B$8904*$B$8902,0.12+$B$8901*$B$8902+($A$6564-$A$6502)*0.6)))</f>
        <v>-10</v>
      </c>
      <c r="B9177" s="3">
        <f>IF($A$6564&lt;-1,-10,IF($B$6564&lt;0,$B$8903+$B$6564*0.4,IF($B$6564&gt;1,$B$8903+$E$4*$B$8902*$B$8900+($B$6564-1)*0.4,$B$8903+$B$6564*$E$4*$B$8902*$B$8900)))</f>
        <v>-10</v>
      </c>
    </row>
    <row r="9178" spans="1:2" hidden="1"/>
    <row r="9179" spans="1:2" hidden="1">
      <c r="A9179" s="3">
        <f>IF($A$6566&lt;-1,-10,IF($A$6566&lt;1,0.12+$A$6566*$B$4*$B$8902,IF($A$6566&lt;=$A$6502+0.00000001,0.12+$B$4*$B$8902+IFERROR(($A$6566-1)/($A$6502-1),0)*$B$8904*$B$8902,0.12+$B$8901*$B$8902+($A$6566-$A$6502)*0.6)))</f>
        <v>-10</v>
      </c>
      <c r="B9179" s="3">
        <f>IF($A$6566&lt;-1,-10,IF($B$6566&lt;0,$B$8903+$B$6566*0.4,IF($B$6566&gt;1,$B$8903+$E$4*$B$8902*$B$8900+($B$6566-1)*0.4,$B$8903+$B$6566*$E$4*$B$8902*$B$8900)))</f>
        <v>-10</v>
      </c>
    </row>
    <row r="9180" spans="1:2" hidden="1">
      <c r="A9180" s="3">
        <f>IF($A$6567&lt;-1,-10,IF($A$6567&lt;1,0.12+$A$6567*$B$4*$B$8902,IF($A$6567&lt;=$A$6502+0.00000001,0.12+$B$4*$B$8902+IFERROR(($A$6567-1)/($A$6502-1),0)*$B$8904*$B$8902,0.12+$B$8901*$B$8902+($A$6567-$A$6502)*0.6)))</f>
        <v>-10</v>
      </c>
      <c r="B9180" s="3">
        <f>IF($A$6567&lt;-1,-10,IF($B$6567&lt;0,$B$8903+$B$6567*0.4,IF($B$6567&gt;1,$B$8903+$E$4*$B$8902*$B$8900+($B$6567-1)*0.4,$B$8903+$B$6567*$E$4*$B$8902*$B$8900)))</f>
        <v>-10</v>
      </c>
    </row>
    <row r="9181" spans="1:2" hidden="1">
      <c r="A9181" s="3">
        <f>IF($A$6568&lt;-1,-10,IF($A$6568&lt;1,0.12+$A$6568*$B$4*$B$8902,IF($A$6568&lt;=$A$6502+0.00000001,0.12+$B$4*$B$8902+IFERROR(($A$6568-1)/($A$6502-1),0)*$B$8904*$B$8902,0.12+$B$8901*$B$8902+($A$6568-$A$6502)*0.6)))</f>
        <v>-10</v>
      </c>
      <c r="B9181" s="3">
        <f>IF($A$6568&lt;-1,-10,IF($B$6568&lt;0,$B$8903+$B$6568*0.4,IF($B$6568&gt;1,$B$8903+$E$4*$B$8902*$B$8900+($B$6568-1)*0.4,$B$8903+$B$6568*$E$4*$B$8902*$B$8900)))</f>
        <v>-10</v>
      </c>
    </row>
    <row r="9182" spans="1:2" hidden="1"/>
    <row r="9183" spans="1:2" hidden="1">
      <c r="A9183" s="3">
        <f>IF($A$6580&lt;-1,-10,IF($A$6580&lt;1,0.12+$A$6580*$B$4*$B$8902,IF($A$6580&lt;=$A$6502+0.00000001,0.12+$B$4*$B$8902+IFERROR(($A$6580-1)/($A$6502-1),0)*$B$8904*$B$8902,0.12+$B$8901*$B$8902+($A$6580-$A$6502)*0.6)))</f>
        <v>-10</v>
      </c>
      <c r="B9183" s="3">
        <f>IF($A$6580&lt;-1,-10,IF($B$6580&lt;0,$B$8903+$B$6580*0.4,IF($B$6580&gt;1,$B$8903+$E$4*$B$8902*$B$8900+($B$6580-1)*0.4,$B$8903+$B$6580*$E$4*$B$8902*$B$8900)))</f>
        <v>-10</v>
      </c>
    </row>
    <row r="9184" spans="1:2" hidden="1">
      <c r="A9184" s="3">
        <f>IF($A$6581&lt;-1,-10,IF($A$6581&lt;1,0.12+$A$6581*$B$4*$B$8902,IF($A$6581&lt;=$A$6502+0.00000001,0.12+$B$4*$B$8902+IFERROR(($A$6581-1)/($A$6502-1),0)*$B$8904*$B$8902,0.12+$B$8901*$B$8902+($A$6581-$A$6502)*0.6)))</f>
        <v>-10</v>
      </c>
      <c r="B9184" s="3">
        <f>IF($A$6581&lt;-1,-10,IF($B$6581&lt;0,$B$8903+$B$6581*0.4,IF($B$6581&gt;1,$B$8903+$E$4*$B$8902*$B$8900+($B$6581-1)*0.4,$B$8903+$B$6581*$E$4*$B$8902*$B$8900)))</f>
        <v>-10</v>
      </c>
    </row>
    <row r="9185" spans="1:2" hidden="1">
      <c r="A9185" s="3">
        <f>IF($A$6582&lt;-1,-10,IF($A$6582&lt;1,0.12+$A$6582*$B$4*$B$8902,IF($A$6582&lt;=$A$6502+0.00000001,0.12+$B$4*$B$8902+IFERROR(($A$6582-1)/($A$6502-1),0)*$B$8904*$B$8902,0.12+$B$8901*$B$8902+($A$6582-$A$6502)*0.6)))</f>
        <v>-10</v>
      </c>
      <c r="B9185" s="3">
        <f>IF($A$6582&lt;-1,-10,IF($B$6582&lt;0,$B$8903+$B$6582*0.4,IF($B$6582&gt;1,$B$8903+$E$4*$B$8902*$B$8900+($B$6582-1)*0.4,$B$8903+$B$6582*$E$4*$B$8902*$B$8900)))</f>
        <v>-10</v>
      </c>
    </row>
    <row r="9186" spans="1:2" hidden="1"/>
    <row r="9187" spans="1:2" hidden="1">
      <c r="A9187" s="3">
        <f>IF($A$6590&lt;-1,-10,IF($A$6590&lt;1,0.12+$A$6590*$B$4*$B$8902,IF($A$6590&lt;=$A$6502+0.00000001,0.12+$B$4*$B$8902+IFERROR(($A$6590-1)/($A$6502-1),0)*$B$8904*$B$8902,0.12+$B$8901*$B$8902+($A$6590-$A$6502)*0.6)))</f>
        <v>-10</v>
      </c>
      <c r="B9187" s="3">
        <f>IF($A$6590&lt;-1,-10,IF($B$6590&lt;0,$B$8903+$B$6590*0.4,IF($B$6590&gt;1,$B$8903+$E$4*$B$8902*$B$8900+($B$6590-1)*0.4,$B$8903+$B$6590*$E$4*$B$8902*$B$8900)))</f>
        <v>-10</v>
      </c>
    </row>
    <row r="9188" spans="1:2" hidden="1">
      <c r="A9188" s="3">
        <f>IF($A$6591&lt;-1,-10,IF($A$6591&lt;1,0.12+$A$6591*$B$4*$B$8902,IF($A$6591&lt;=$A$6502+0.00000001,0.12+$B$4*$B$8902+IFERROR(($A$6591-1)/($A$6502-1),0)*$B$8904*$B$8902,0.12+$B$8901*$B$8902+($A$6591-$A$6502)*0.6)))</f>
        <v>-10</v>
      </c>
      <c r="B9188" s="3">
        <f>IF($A$6591&lt;-1,-10,IF($B$6591&lt;0,$B$8903+$B$6591*0.4,IF($B$6591&gt;1,$B$8903+$E$4*$B$8902*$B$8900+($B$6591-1)*0.4,$B$8903+$B$6591*$E$4*$B$8902*$B$8900)))</f>
        <v>-10</v>
      </c>
    </row>
    <row r="9189" spans="1:2" hidden="1"/>
    <row r="9190" spans="1:2" hidden="1">
      <c r="A9190" s="3">
        <f>IF($A$6593&lt;-1,-10,IF($A$6593&lt;1,0.12+$A$6593*$B$4*$B$8902,IF($A$6593&lt;=$A$6502+0.00000001,0.12+$B$4*$B$8902+IFERROR(($A$6593-1)/($A$6502-1),0)*$B$8904*$B$8902,0.12+$B$8901*$B$8902+($A$6593-$A$6502)*0.6)))</f>
        <v>-10</v>
      </c>
      <c r="B9190" s="3">
        <f>IF($A$6593&lt;-1,-10,IF($B$6593&lt;0,$B$8903+$B$6593*0.4,IF($B$6593&gt;1,$B$8903+$E$4*$B$8902*$B$8900+($B$6593-1)*0.4,$B$8903+$B$6593*$E$4*$B$8902*$B$8900)))</f>
        <v>-10</v>
      </c>
    </row>
    <row r="9191" spans="1:2" hidden="1">
      <c r="A9191" s="3">
        <f>IF($A$6594&lt;-1,-10,IF($A$6594&lt;1,0.12+$A$6594*$B$4*$B$8902,IF($A$6594&lt;=$A$6502+0.00000001,0.12+$B$4*$B$8902+IFERROR(($A$6594-1)/($A$6502-1),0)*$B$8904*$B$8902,0.12+$B$8901*$B$8902+($A$6594-$A$6502)*0.6)))</f>
        <v>-10</v>
      </c>
      <c r="B9191" s="3">
        <f>IF($A$6594&lt;-1,-10,IF($B$6594&lt;0,$B$8903+$B$6594*0.4,IF($B$6594&gt;1,$B$8903+$E$4*$B$8902*$B$8900+($B$6594-1)*0.4,$B$8903+$B$6594*$E$4*$B$8902*$B$8900)))</f>
        <v>-10</v>
      </c>
    </row>
    <row r="9192" spans="1:2" hidden="1"/>
    <row r="9193" spans="1:2" hidden="1">
      <c r="A9193" s="3">
        <f>IF($A$6596&lt;-1,-10,IF($A$6596&lt;1,0.12+$A$6596*$B$4*$B$8902,IF($A$6596&lt;=$A$6502+0.00000001,0.12+$B$4*$B$8902+IFERROR(($A$6596-1)/($A$6502-1),0)*$B$8904*$B$8902,0.12+$B$8901*$B$8902+($A$6596-$A$6502)*0.6)))</f>
        <v>-10</v>
      </c>
      <c r="B9193" s="3">
        <f>IF($A$6596&lt;-1,-10,IF($B$6596&lt;0,$B$8903+$B$6596*0.4,IF($B$6596&gt;1,$B$8903+$E$4*$B$8902*$B$8900+($B$6596-1)*0.4,$B$8903+$B$6596*$E$4*$B$8902*$B$8900)))</f>
        <v>-10</v>
      </c>
    </row>
    <row r="9194" spans="1:2" hidden="1">
      <c r="A9194" s="3">
        <f>IF($A$6597&lt;-1,-10,IF($A$6597&lt;1,0.12+$A$6597*$B$4*$B$8902,IF($A$6597&lt;=$A$6502+0.00000001,0.12+$B$4*$B$8902+IFERROR(($A$6597-1)/($A$6502-1),0)*$B$8904*$B$8902,0.12+$B$8901*$B$8902+($A$6597-$A$6502)*0.6)))</f>
        <v>-10</v>
      </c>
      <c r="B9194" s="3">
        <f>IF($A$6597&lt;-1,-10,IF($B$6597&lt;0,$B$8903+$B$6597*0.4,IF($B$6597&gt;1,$B$8903+$E$4*$B$8902*$B$8900+($B$6597-1)*0.4,$B$8903+$B$6597*$E$4*$B$8902*$B$8900)))</f>
        <v>-10</v>
      </c>
    </row>
    <row r="9195" spans="1:2" hidden="1"/>
    <row r="9196" spans="1:2" hidden="1">
      <c r="A9196" s="3">
        <f>IF($A$6599&lt;-1,-10,IF($A$6599&lt;1,0.12+$A$6599*$B$4*$B$8902,IF($A$6599&lt;=$A$6502+0.00000001,0.12+$B$4*$B$8902+IFERROR(($A$6599-1)/($A$6502-1),0)*$B$8904*$B$8902,0.12+$B$8901*$B$8902+($A$6599-$A$6502)*0.6)))</f>
        <v>-10</v>
      </c>
      <c r="B9196" s="3">
        <f>IF($A$6599&lt;-1,-10,IF($B$6599&lt;0,$B$8903+$B$6599*0.4,IF($B$6599&gt;1,$B$8903+$E$4*$B$8902*$B$8900+($B$6599-1)*0.4,$B$8903+$B$6599*$E$4*$B$8902*$B$8900)))</f>
        <v>-10</v>
      </c>
    </row>
    <row r="9197" spans="1:2" hidden="1">
      <c r="A9197" s="3">
        <f>IF($A$6600&lt;-1,-10,IF($A$6600&lt;1,0.12+$A$6600*$B$4*$B$8902,IF($A$6600&lt;=$A$6502+0.00000001,0.12+$B$4*$B$8902+IFERROR(($A$6600-1)/($A$6502-1),0)*$B$8904*$B$8902,0.12+$B$8901*$B$8902+($A$6600-$A$6502)*0.6)))</f>
        <v>-10</v>
      </c>
      <c r="B9197" s="3">
        <f>IF($A$6600&lt;-1,-10,IF($B$6600&lt;0,$B$8903+$B$6600*0.4,IF($B$6600&gt;1,$B$8903+$E$4*$B$8902*$B$8900+($B$6600-1)*0.4,$B$8903+$B$6600*$E$4*$B$8902*$B$8900)))</f>
        <v>-10</v>
      </c>
    </row>
    <row r="9198" spans="1:2" hidden="1"/>
    <row r="9199" spans="1:2" hidden="1">
      <c r="A9199" s="3">
        <f>IF($A$6602&lt;-1,-10,IF($A$6602&lt;1,0.12+$A$6602*$B$4*$B$8902,IF($A$6602&lt;=$A$6502+0.00000001,0.12+$B$4*$B$8902+IFERROR(($A$6602-1)/($A$6502-1),0)*$B$8904*$B$8902,0.12+$B$8901*$B$8902+($A$6602-$A$6502)*0.6)))</f>
        <v>-10</v>
      </c>
      <c r="B9199" s="3">
        <f>IF($A$6602&lt;-1,-10,IF($B$6602&lt;0,$B$8903+$B$6602*0.4,IF($B$6602&gt;1,$B$8903+$E$4*$B$8902*$B$8900+($B$6602-1)*0.4,$B$8903+$B$6602*$E$4*$B$8902*$B$8900)))</f>
        <v>-10</v>
      </c>
    </row>
    <row r="9200" spans="1:2" hidden="1">
      <c r="A9200" s="3">
        <f>IF($A$6603&lt;-1,-10,IF($A$6603&lt;1,0.12+$A$6603*$B$4*$B$8902,IF($A$6603&lt;=$A$6502+0.00000001,0.12+$B$4*$B$8902+IFERROR(($A$6603-1)/($A$6502-1),0)*$B$8904*$B$8902,0.12+$B$8901*$B$8902+($A$6603-$A$6502)*0.6)))</f>
        <v>-10</v>
      </c>
      <c r="B9200" s="3">
        <f>IF($A$6603&lt;-1,-10,IF($B$6603&lt;0,$B$8903+$B$6603*0.4,IF($B$6603&gt;1,$B$8903+$E$4*$B$8902*$B$8900+($B$6603-1)*0.4,$B$8903+$B$6603*$E$4*$B$8902*$B$8900)))</f>
        <v>-10</v>
      </c>
    </row>
    <row r="9201" spans="1:2" hidden="1"/>
    <row r="9202" spans="1:2" hidden="1">
      <c r="A9202" s="3">
        <f>IF($A$6605&lt;-1,-10,IF($A$6605&lt;1,0.12+$A$6605*$B$4*$B$8902,IF($A$6605&lt;=$A$6502+0.00000001,0.12+$B$4*$B$8902+IFERROR(($A$6605-1)/($A$6502-1),0)*$B$8904*$B$8902,0.12+$B$8901*$B$8902+($A$6605-$A$6502)*0.6)))</f>
        <v>-10</v>
      </c>
      <c r="B9202" s="3">
        <f>IF($A$6605&lt;-1,-10,IF($B$6605&lt;0,$B$8903+$B$6605*0.4,IF($B$6605&gt;1,$B$8903+$E$4*$B$8902*$B$8900+($B$6605-1)*0.4,$B$8903+$B$6605*$E$4*$B$8902*$B$8900)))</f>
        <v>-10</v>
      </c>
    </row>
    <row r="9203" spans="1:2" hidden="1">
      <c r="A9203" s="3">
        <f>IF($A$6606&lt;-1,-10,IF($A$6606&lt;1,0.12+$A$6606*$B$4*$B$8902,IF($A$6606&lt;=$A$6502+0.00000001,0.12+$B$4*$B$8902+IFERROR(($A$6606-1)/($A$6502-1),0)*$B$8904*$B$8902,0.12+$B$8901*$B$8902+($A$6606-$A$6502)*0.6)))</f>
        <v>-10</v>
      </c>
      <c r="B9203" s="3">
        <f>IF($A$6606&lt;-1,-10,IF($B$6606&lt;0,$B$8903+$B$6606*0.4,IF($B$6606&gt;1,$B$8903+$E$4*$B$8902*$B$8900+($B$6606-1)*0.4,$B$8903+$B$6606*$E$4*$B$8902*$B$8900)))</f>
        <v>-10</v>
      </c>
    </row>
    <row r="9204" spans="1:2" hidden="1"/>
    <row r="9205" spans="1:2" hidden="1">
      <c r="A9205" s="3">
        <f>IF($A$6608&lt;-1,-10,IF($A$6608&lt;1,0.12+$A$6608*$B$4*$B$8902,IF($A$6608&lt;=$A$6502+0.00000001,0.12+$B$4*$B$8902+IFERROR(($A$6608-1)/($A$6502-1),0)*$B$8904*$B$8902,0.12+$B$8901*$B$8902+($A$6608-$A$6502)*0.6)))</f>
        <v>-10</v>
      </c>
      <c r="B9205" s="3">
        <f>IF($A$6608&lt;-1,-10,IF($B$6608&lt;0,$B$8903+$B$6608*0.4,IF($B$6608&gt;1,$B$8903+$E$4*$B$8902*$B$8900+($B$6608-1)*0.4,$B$8903+$B$6608*$E$4*$B$8902*$B$8900)))</f>
        <v>-10</v>
      </c>
    </row>
    <row r="9206" spans="1:2" hidden="1">
      <c r="A9206" s="3">
        <f>IF($A$6609&lt;-1,-10,IF($A$6609&lt;1,0.12+$A$6609*$B$4*$B$8902,IF($A$6609&lt;=$A$6502+0.00000001,0.12+$B$4*$B$8902+IFERROR(($A$6609-1)/($A$6502-1),0)*$B$8904*$B$8902,0.12+$B$8901*$B$8902+($A$6609-$A$6502)*0.6)))</f>
        <v>-10</v>
      </c>
      <c r="B9206" s="3">
        <f>IF($A$6609&lt;-1,-10,IF($B$6609&lt;0,$B$8903+$B$6609*0.4,IF($B$6609&gt;1,$B$8903+$E$4*$B$8902*$B$8900+($B$6609-1)*0.4,$B$8903+$B$6609*$E$4*$B$8902*$B$8900)))</f>
        <v>-10</v>
      </c>
    </row>
    <row r="9207" spans="1:2" hidden="1"/>
    <row r="9208" spans="1:2" hidden="1"/>
    <row r="9209" spans="1:2" hidden="1"/>
    <row r="9210" spans="1:2" hidden="1"/>
    <row r="9211" spans="1:2" hidden="1"/>
    <row r="9212" spans="1:2" hidden="1"/>
    <row r="9213" spans="1:2" hidden="1"/>
    <row r="9214" spans="1:2" hidden="1"/>
    <row r="9215" spans="1:2" hidden="1"/>
    <row r="9216" spans="1:2" hidden="1"/>
    <row r="9217" spans="1:3" hidden="1"/>
    <row r="9218" spans="1:3" hidden="1"/>
    <row r="9219" spans="1:3" hidden="1"/>
    <row r="9220" spans="1:3" hidden="1">
      <c r="A9220" s="3">
        <f>IF(AND(B7080,B7082,B3="Cantilever Supported"),0.12+(B4+B5)*B8902,-10)</f>
        <v>-10</v>
      </c>
      <c r="B9220" s="3">
        <f>IF(AND(B7080,B7082,B3="Cantilever Supported"),B8903+0*E4*B8902*B8900,-10)</f>
        <v>-10</v>
      </c>
    </row>
    <row r="9221" spans="1:3" hidden="1">
      <c r="A9221" s="3">
        <f>IF(AND(B7080,B7082,B3="Cantilever Supported"),0.12+(B4+B5)*B8902,-10)</f>
        <v>-10</v>
      </c>
      <c r="B9221" s="3">
        <f>IF(AND(B7080,B7082,B3="Cantilever Supported"),B8903+0.5*E4*B8902*B8900,-10)</f>
        <v>-10</v>
      </c>
      <c r="C9221" s="3" t="str">
        <f>IF(AND(B7080,B7082,B3="Cantilever Supported"),IF(H4=90,"SB1","SB2"),"")</f>
        <v/>
      </c>
    </row>
    <row r="9222" spans="1:3" hidden="1">
      <c r="A9222" s="3">
        <f>IF(AND(B7080,B7082,B3="Cantilever Supported"),0.12+(B4+B5)*B8902,-10)</f>
        <v>-10</v>
      </c>
      <c r="B9222" s="3">
        <f>IF(AND(B7080,B7082,B3="Cantilever Supported"),B8903+1*E4*B8902*B8900,-10)</f>
        <v>-10</v>
      </c>
    </row>
    <row r="9223" spans="1:3" hidden="1"/>
    <row r="9224" spans="1:3" hidden="1"/>
    <row r="9225" spans="1:3" hidden="1"/>
    <row r="9226" spans="1:3" hidden="1"/>
    <row r="9227" spans="1:3" hidden="1"/>
    <row r="9228" spans="1:3" hidden="1"/>
    <row r="9229" spans="1:3" hidden="1"/>
    <row r="9230" spans="1:3" hidden="1"/>
    <row r="9231" spans="1:3" hidden="1"/>
    <row r="9232" spans="1:3" hidden="1"/>
    <row r="9233" spans="1:3" hidden="1"/>
    <row r="9234" spans="1:3" hidden="1"/>
    <row r="9235" spans="1:3" hidden="1"/>
    <row r="9236" spans="1:3" hidden="1"/>
    <row r="9237" spans="1:3" hidden="1"/>
    <row r="9238" spans="1:3" hidden="1"/>
    <row r="9239" spans="1:3" hidden="1"/>
    <row r="9240" spans="1:3" hidden="1">
      <c r="A9240" s="3">
        <f>IF(AND($X$46="CSB3",ISNUMBER($O$28),N($R$28)&gt;0),1,-10)</f>
        <v>-10</v>
      </c>
      <c r="B9240" s="3">
        <v>0.85</v>
      </c>
      <c r="C9240" s="3" t="str">
        <f>IF(AND($X$46="CSB3",ISNUMBER($O$28),N($R$28)&gt;0),"P end = "&amp;TEXT(R28,"0.00")&amp;" kN","")</f>
        <v/>
      </c>
    </row>
    <row r="9241" spans="1:3" hidden="1">
      <c r="A9241" s="3">
        <f>IF(AND($X$46="CSB3",ISNUMBER($O$28),N($R$28)&gt;0),1,-10)</f>
        <v>-10</v>
      </c>
      <c r="B9241" s="3">
        <v>0.04</v>
      </c>
    </row>
    <row r="9242" spans="1:3" hidden="1">
      <c r="A9242" s="3">
        <f>IF(AND($X$46="CSB3",ISNUMBER($O$28),N($R$28)&gt;0),0.988,-10)</f>
        <v>-10</v>
      </c>
      <c r="B9242" s="3">
        <v>9.5000000000000001E-2</v>
      </c>
    </row>
    <row r="9243" spans="1:3" hidden="1">
      <c r="A9243" s="3">
        <f>IF(AND($X$46="CSB3",ISNUMBER($O$28),N($R$28)&gt;0),1,-10)</f>
        <v>-10</v>
      </c>
      <c r="B9243" s="3">
        <v>0.04</v>
      </c>
    </row>
    <row r="9244" spans="1:3" hidden="1">
      <c r="A9244" s="3">
        <f>IF(AND($X$46="CSB3",ISNUMBER($O$28),N($R$28)&gt;0),1.012,-10)</f>
        <v>-10</v>
      </c>
      <c r="B9244" s="3">
        <v>9.5000000000000001E-2</v>
      </c>
    </row>
    <row r="9245" spans="1:3" hidden="1"/>
    <row r="9246" spans="1:3" hidden="1"/>
    <row r="9247" spans="1:3" hidden="1"/>
    <row r="9248" spans="1:3" hidden="1"/>
    <row r="9249" hidden="1"/>
    <row r="9250" hidden="1"/>
    <row r="9251" hidden="1"/>
    <row r="9252" hidden="1"/>
    <row r="9253" hidden="1"/>
    <row r="9254" hidden="1"/>
    <row r="9255" hidden="1"/>
    <row r="9256" hidden="1"/>
    <row r="9257" hidden="1"/>
    <row r="9258" hidden="1"/>
    <row r="9259" hidden="1"/>
    <row r="9260" hidden="1"/>
    <row r="9261" hidden="1"/>
    <row r="9262" hidden="1"/>
    <row r="9263" hidden="1"/>
    <row r="9264" hidden="1"/>
    <row r="9265" hidden="1"/>
    <row r="9266" hidden="1"/>
    <row r="9267" hidden="1"/>
    <row r="9268" hidden="1"/>
    <row r="9269" hidden="1"/>
    <row r="9270" hidden="1"/>
    <row r="9271" hidden="1"/>
    <row r="9272" hidden="1"/>
    <row r="9273" hidden="1"/>
    <row r="9274" hidden="1"/>
    <row r="9275" hidden="1"/>
    <row r="9276" hidden="1"/>
    <row r="9277" hidden="1"/>
    <row r="9278" hidden="1"/>
    <row r="9279" hidden="1"/>
    <row r="9280" hidden="1"/>
    <row r="9281" hidden="1"/>
    <row r="9282" hidden="1"/>
    <row r="9283" hidden="1"/>
    <row r="9284" hidden="1"/>
    <row r="9285" hidden="1"/>
    <row r="9286" hidden="1"/>
    <row r="9287" hidden="1"/>
    <row r="9288" hidden="1"/>
    <row r="9289" hidden="1"/>
    <row r="9290" hidden="1"/>
    <row r="9291" hidden="1"/>
    <row r="9292" hidden="1"/>
    <row r="9293" hidden="1"/>
    <row r="9294" hidden="1"/>
    <row r="9295" hidden="1"/>
    <row r="9296" hidden="1"/>
    <row r="9297" hidden="1"/>
    <row r="9298" hidden="1"/>
    <row r="9299" hidden="1"/>
    <row r="9300" hidden="1"/>
    <row r="9301" hidden="1"/>
    <row r="9302" hidden="1"/>
    <row r="9303" hidden="1"/>
    <row r="9304" hidden="1"/>
    <row r="9305" hidden="1"/>
    <row r="9306" hidden="1"/>
    <row r="9307" hidden="1"/>
    <row r="9308" hidden="1"/>
    <row r="9309" hidden="1"/>
    <row r="9310" hidden="1"/>
    <row r="9311" hidden="1"/>
    <row r="9312" hidden="1"/>
    <row r="9313" hidden="1"/>
    <row r="9314" hidden="1"/>
    <row r="9315" hidden="1"/>
    <row r="9316" hidden="1"/>
    <row r="9317" hidden="1"/>
    <row r="9318" hidden="1"/>
    <row r="9319" hidden="1"/>
    <row r="9320" hidden="1"/>
    <row r="9321" hidden="1"/>
    <row r="9322" hidden="1"/>
    <row r="9323" hidden="1"/>
    <row r="9324" hidden="1"/>
    <row r="9325" hidden="1"/>
    <row r="9326" hidden="1"/>
    <row r="9327" hidden="1"/>
    <row r="9328" hidden="1"/>
    <row r="9329" hidden="1"/>
    <row r="9330" hidden="1"/>
    <row r="9331" hidden="1"/>
    <row r="9332" hidden="1"/>
    <row r="9333" hidden="1"/>
    <row r="9334" hidden="1"/>
    <row r="9335" hidden="1"/>
    <row r="9336" hidden="1"/>
    <row r="9337" hidden="1"/>
    <row r="9338" hidden="1"/>
    <row r="9339" hidden="1"/>
    <row r="9340" hidden="1"/>
    <row r="9341" hidden="1"/>
    <row r="9342" hidden="1"/>
    <row r="9343" hidden="1"/>
    <row r="9344" hidden="1"/>
    <row r="9345" hidden="1"/>
    <row r="9346" hidden="1"/>
    <row r="9347" hidden="1"/>
    <row r="9348" hidden="1"/>
    <row r="9349" hidden="1"/>
    <row r="9350" hidden="1"/>
    <row r="9351" hidden="1"/>
    <row r="9352" hidden="1"/>
    <row r="9353" hidden="1"/>
    <row r="9354" hidden="1"/>
    <row r="9355" hidden="1"/>
    <row r="9356" hidden="1"/>
    <row r="9357" hidden="1"/>
    <row r="9358" hidden="1"/>
    <row r="9359" hidden="1"/>
    <row r="9360" hidden="1"/>
    <row r="9361" hidden="1"/>
    <row r="9362" hidden="1"/>
    <row r="9363" hidden="1"/>
    <row r="9364" hidden="1"/>
    <row r="9365" hidden="1"/>
    <row r="9366" hidden="1"/>
    <row r="9367" hidden="1"/>
    <row r="9368" hidden="1"/>
    <row r="9369" hidden="1"/>
    <row r="9370" hidden="1"/>
    <row r="9371" hidden="1"/>
    <row r="9372" hidden="1"/>
    <row r="9373" hidden="1"/>
    <row r="9374" hidden="1"/>
    <row r="9375" hidden="1"/>
    <row r="9376" hidden="1"/>
    <row r="9377" hidden="1"/>
    <row r="9378" hidden="1"/>
    <row r="9379" hidden="1"/>
    <row r="9380" hidden="1"/>
    <row r="9381" hidden="1"/>
    <row r="9382" hidden="1"/>
    <row r="9383" hidden="1"/>
    <row r="9384" hidden="1"/>
    <row r="9385" hidden="1"/>
    <row r="9386" hidden="1"/>
    <row r="9387" hidden="1"/>
    <row r="9388" hidden="1"/>
    <row r="9389" hidden="1"/>
    <row r="9390" hidden="1"/>
    <row r="9391" hidden="1"/>
    <row r="9392" hidden="1"/>
    <row r="9393" hidden="1"/>
    <row r="9394" hidden="1"/>
    <row r="9395" hidden="1"/>
    <row r="9396" hidden="1"/>
    <row r="9397" hidden="1"/>
    <row r="9398" hidden="1"/>
    <row r="9399" hidden="1"/>
    <row r="9400" hidden="1"/>
    <row r="9401" hidden="1"/>
    <row r="9402" hidden="1"/>
    <row r="9403" hidden="1"/>
    <row r="9404" hidden="1"/>
    <row r="9405" hidden="1"/>
    <row r="9406" hidden="1"/>
    <row r="9407" hidden="1"/>
    <row r="9408" hidden="1"/>
    <row r="9409" hidden="1"/>
    <row r="9410" hidden="1"/>
    <row r="9411" hidden="1"/>
    <row r="9412" hidden="1"/>
    <row r="9413" hidden="1"/>
    <row r="9414" hidden="1"/>
    <row r="9415" hidden="1"/>
    <row r="9416" hidden="1"/>
    <row r="9417" hidden="1"/>
    <row r="9418" hidden="1"/>
    <row r="9419" hidden="1"/>
    <row r="9420" hidden="1"/>
    <row r="9421" hidden="1"/>
    <row r="9422" hidden="1"/>
    <row r="9423" hidden="1"/>
    <row r="9424" hidden="1"/>
    <row r="9425" hidden="1"/>
    <row r="9426" hidden="1"/>
    <row r="9427" hidden="1"/>
    <row r="9428" hidden="1"/>
    <row r="9429" hidden="1"/>
    <row r="9430" hidden="1"/>
    <row r="9431" hidden="1"/>
    <row r="9432" hidden="1"/>
    <row r="9433" hidden="1"/>
    <row r="9434" hidden="1"/>
    <row r="9435" hidden="1"/>
    <row r="9436" hidden="1"/>
    <row r="9437" hidden="1"/>
    <row r="9438" hidden="1"/>
    <row r="9439" hidden="1"/>
    <row r="9440" hidden="1"/>
    <row r="9441" hidden="1"/>
    <row r="9442" hidden="1"/>
    <row r="9443" hidden="1"/>
    <row r="9444" hidden="1"/>
    <row r="9445" hidden="1"/>
    <row r="9446" hidden="1"/>
    <row r="9447" hidden="1"/>
    <row r="9448" hidden="1"/>
    <row r="9449" hidden="1"/>
    <row r="9450" hidden="1"/>
    <row r="9451" hidden="1"/>
    <row r="9452" hidden="1"/>
    <row r="9453" hidden="1"/>
    <row r="9454" hidden="1"/>
    <row r="9455" hidden="1"/>
    <row r="9456" hidden="1"/>
    <row r="9457" hidden="1"/>
    <row r="9458" hidden="1"/>
    <row r="9459" hidden="1"/>
    <row r="9460" hidden="1"/>
    <row r="9461" hidden="1"/>
    <row r="9462" hidden="1"/>
    <row r="9463" hidden="1"/>
    <row r="9464" hidden="1"/>
    <row r="9465" hidden="1"/>
    <row r="9466" hidden="1"/>
    <row r="9467" hidden="1"/>
    <row r="9468" hidden="1"/>
    <row r="9469" hidden="1"/>
    <row r="9470" hidden="1"/>
    <row r="9471" hidden="1"/>
    <row r="9472" hidden="1"/>
    <row r="9473" hidden="1"/>
    <row r="9474" hidden="1"/>
    <row r="9475" hidden="1"/>
    <row r="9476" hidden="1"/>
    <row r="9477" hidden="1"/>
    <row r="9478" hidden="1"/>
    <row r="9479" hidden="1"/>
    <row r="9480" hidden="1"/>
    <row r="9481" hidden="1"/>
    <row r="9482" hidden="1"/>
    <row r="9483" hidden="1"/>
    <row r="9484" hidden="1"/>
    <row r="9485" hidden="1"/>
    <row r="9486" hidden="1"/>
    <row r="9487" hidden="1"/>
    <row r="9488" hidden="1"/>
    <row r="9489" hidden="1"/>
    <row r="9490" hidden="1"/>
    <row r="9491" hidden="1"/>
    <row r="9492" hidden="1"/>
    <row r="9493" hidden="1"/>
    <row r="9494" hidden="1"/>
    <row r="9495" hidden="1"/>
    <row r="9496" hidden="1"/>
    <row r="9497" hidden="1"/>
    <row r="9498" hidden="1"/>
    <row r="9499" hidden="1"/>
    <row r="9500" hidden="1"/>
    <row r="9501" hidden="1"/>
    <row r="9502" hidden="1"/>
    <row r="9503" hidden="1"/>
    <row r="9504" hidden="1"/>
    <row r="9505" hidden="1"/>
    <row r="9506" hidden="1"/>
    <row r="9507" hidden="1"/>
    <row r="9508" hidden="1"/>
    <row r="9509" hidden="1"/>
    <row r="9510" hidden="1"/>
    <row r="9511" hidden="1"/>
    <row r="9512" hidden="1"/>
    <row r="9513" hidden="1"/>
    <row r="9514" hidden="1"/>
    <row r="9515" hidden="1"/>
    <row r="9516" hidden="1"/>
    <row r="9517" hidden="1"/>
    <row r="9518" hidden="1"/>
    <row r="9519" hidden="1"/>
    <row r="9520" hidden="1"/>
    <row r="9521" hidden="1"/>
    <row r="9522" hidden="1"/>
    <row r="9523" hidden="1"/>
    <row r="9524" hidden="1"/>
    <row r="9525" hidden="1"/>
    <row r="9526" hidden="1"/>
    <row r="9527" hidden="1"/>
    <row r="9528" hidden="1"/>
    <row r="9529" hidden="1"/>
    <row r="9530" hidden="1"/>
    <row r="9531" hidden="1"/>
    <row r="9532" hidden="1"/>
    <row r="9533" hidden="1"/>
    <row r="9534" hidden="1"/>
    <row r="9535" hidden="1"/>
    <row r="9536" hidden="1"/>
    <row r="9537" hidden="1"/>
    <row r="9538" hidden="1"/>
    <row r="9539" hidden="1"/>
    <row r="9540" hidden="1"/>
    <row r="9541" hidden="1"/>
    <row r="9542" hidden="1"/>
    <row r="9543" hidden="1"/>
    <row r="9544" hidden="1"/>
    <row r="9545" hidden="1"/>
    <row r="9546" hidden="1"/>
    <row r="9547" hidden="1"/>
    <row r="9548" hidden="1"/>
    <row r="9549" hidden="1"/>
    <row r="9550" hidden="1"/>
    <row r="9551" hidden="1"/>
    <row r="9552" hidden="1"/>
    <row r="9553" hidden="1"/>
    <row r="9554" hidden="1"/>
    <row r="9555" hidden="1"/>
    <row r="9556" hidden="1"/>
    <row r="9557" hidden="1"/>
    <row r="9558" hidden="1"/>
    <row r="9559" hidden="1"/>
    <row r="9560" hidden="1"/>
    <row r="9561" hidden="1"/>
    <row r="9562" hidden="1"/>
    <row r="9563" hidden="1"/>
    <row r="9564" hidden="1"/>
    <row r="9565" hidden="1"/>
    <row r="9566" hidden="1"/>
    <row r="9567" hidden="1"/>
    <row r="9568" hidden="1"/>
    <row r="9569" hidden="1"/>
    <row r="9570" hidden="1"/>
    <row r="9571" hidden="1"/>
    <row r="9572" hidden="1"/>
    <row r="9573" hidden="1"/>
    <row r="9574" hidden="1"/>
    <row r="9575" hidden="1"/>
    <row r="9576" hidden="1"/>
    <row r="9577" hidden="1"/>
    <row r="9578" hidden="1"/>
    <row r="9579" hidden="1"/>
    <row r="9580" hidden="1"/>
    <row r="9581" hidden="1"/>
    <row r="9582" hidden="1"/>
    <row r="9583" hidden="1"/>
    <row r="9584" hidden="1"/>
    <row r="9585" hidden="1"/>
    <row r="9586" hidden="1"/>
    <row r="9587" hidden="1"/>
    <row r="9588" hidden="1"/>
    <row r="9589" hidden="1"/>
    <row r="9590" hidden="1"/>
    <row r="9591" hidden="1"/>
    <row r="9592" hidden="1"/>
    <row r="9593" hidden="1"/>
    <row r="9594" hidden="1"/>
    <row r="9595" hidden="1"/>
    <row r="9596" hidden="1"/>
    <row r="9597" hidden="1"/>
    <row r="9598" hidden="1"/>
    <row r="9599" hidden="1"/>
    <row r="9600" hidden="1"/>
  </sheetData>
  <sheetProtection sheet="1" objects="1" scenarios="1"/>
  <mergeCells count="434">
    <mergeCell ref="A90:S90"/>
    <mergeCell ref="A94:J94"/>
    <mergeCell ref="C22:D22"/>
    <mergeCell ref="E22:F22"/>
    <mergeCell ref="G22:H22"/>
    <mergeCell ref="I22:J22"/>
    <mergeCell ref="K22:L22"/>
    <mergeCell ref="M22:N22"/>
    <mergeCell ref="O22:P22"/>
    <mergeCell ref="Q22:R22"/>
    <mergeCell ref="A78:F78"/>
    <mergeCell ref="G78:I78"/>
    <mergeCell ref="K78:M78"/>
    <mergeCell ref="A73:F73"/>
    <mergeCell ref="G73:I73"/>
    <mergeCell ref="K73:M73"/>
    <mergeCell ref="A74:F74"/>
    <mergeCell ref="G74:I74"/>
    <mergeCell ref="K74:M74"/>
    <mergeCell ref="A75:F75"/>
    <mergeCell ref="G75:I75"/>
    <mergeCell ref="A79:F79"/>
    <mergeCell ref="G79:I79"/>
    <mergeCell ref="K79:M79"/>
    <mergeCell ref="O23:P23"/>
    <mergeCell ref="Q23:R23"/>
    <mergeCell ref="K5:R6"/>
    <mergeCell ref="K7:R8"/>
    <mergeCell ref="I21:J21"/>
    <mergeCell ref="K21:L21"/>
    <mergeCell ref="M21:N21"/>
    <mergeCell ref="O21:P21"/>
    <mergeCell ref="Q21:R21"/>
    <mergeCell ref="G13:I13"/>
    <mergeCell ref="A14:M14"/>
    <mergeCell ref="A16:C16"/>
    <mergeCell ref="A17:C17"/>
    <mergeCell ref="D16:F16"/>
    <mergeCell ref="D17:F17"/>
    <mergeCell ref="A80:F80"/>
    <mergeCell ref="G80:I80"/>
    <mergeCell ref="K80:M80"/>
    <mergeCell ref="A81:F81"/>
    <mergeCell ref="G81:I81"/>
    <mergeCell ref="K81:M81"/>
    <mergeCell ref="A85:F85"/>
    <mergeCell ref="G85:I85"/>
    <mergeCell ref="K85:M85"/>
    <mergeCell ref="A82:F82"/>
    <mergeCell ref="G82:I82"/>
    <mergeCell ref="K82:M82"/>
    <mergeCell ref="A83:F83"/>
    <mergeCell ref="G83:I83"/>
    <mergeCell ref="K83:M83"/>
    <mergeCell ref="A84:F84"/>
    <mergeCell ref="G84:I84"/>
    <mergeCell ref="K84:M84"/>
    <mergeCell ref="A69:F69"/>
    <mergeCell ref="G69:I69"/>
    <mergeCell ref="K69:M69"/>
    <mergeCell ref="K75:M75"/>
    <mergeCell ref="A76:F76"/>
    <mergeCell ref="A77:F77"/>
    <mergeCell ref="A70:F70"/>
    <mergeCell ref="G70:I70"/>
    <mergeCell ref="K70:M70"/>
    <mergeCell ref="A71:F71"/>
    <mergeCell ref="G71:I71"/>
    <mergeCell ref="K71:M71"/>
    <mergeCell ref="A72:F72"/>
    <mergeCell ref="G72:I72"/>
    <mergeCell ref="K72:M72"/>
    <mergeCell ref="G77:I77"/>
    <mergeCell ref="K77:M77"/>
    <mergeCell ref="A66:F66"/>
    <mergeCell ref="G66:I66"/>
    <mergeCell ref="K66:M66"/>
    <mergeCell ref="A67:F67"/>
    <mergeCell ref="G67:I67"/>
    <mergeCell ref="K67:M67"/>
    <mergeCell ref="A68:F68"/>
    <mergeCell ref="G68:I68"/>
    <mergeCell ref="K68:M68"/>
    <mergeCell ref="A63:F63"/>
    <mergeCell ref="G63:I63"/>
    <mergeCell ref="K63:M63"/>
    <mergeCell ref="A64:F64"/>
    <mergeCell ref="G64:I64"/>
    <mergeCell ref="K64:M64"/>
    <mergeCell ref="A65:F65"/>
    <mergeCell ref="G65:I65"/>
    <mergeCell ref="K65:M65"/>
    <mergeCell ref="A56:F56"/>
    <mergeCell ref="G56:I56"/>
    <mergeCell ref="K56:M56"/>
    <mergeCell ref="F172:G172"/>
    <mergeCell ref="A179:O179"/>
    <mergeCell ref="A181:O181"/>
    <mergeCell ref="A182:O182"/>
    <mergeCell ref="A183:O183"/>
    <mergeCell ref="A174:C174"/>
    <mergeCell ref="D174:E174"/>
    <mergeCell ref="F174:G174"/>
    <mergeCell ref="H174:I174"/>
    <mergeCell ref="J174:K174"/>
    <mergeCell ref="L174:M174"/>
    <mergeCell ref="N174:O174"/>
    <mergeCell ref="A176:O176"/>
    <mergeCell ref="A177:O177"/>
    <mergeCell ref="A178:O178"/>
    <mergeCell ref="A61:F61"/>
    <mergeCell ref="G61:I61"/>
    <mergeCell ref="K61:M61"/>
    <mergeCell ref="A62:F62"/>
    <mergeCell ref="G62:I62"/>
    <mergeCell ref="K62:M62"/>
    <mergeCell ref="A7067:C7067"/>
    <mergeCell ref="A7068:C7068"/>
    <mergeCell ref="A7069:C7069"/>
    <mergeCell ref="A7072:F7072"/>
    <mergeCell ref="A7051:C7051"/>
    <mergeCell ref="F7051:M7051"/>
    <mergeCell ref="A7052:C7052"/>
    <mergeCell ref="F7052:M7052"/>
    <mergeCell ref="A7054:M7054"/>
    <mergeCell ref="A7055:M7055"/>
    <mergeCell ref="A7058:F7058"/>
    <mergeCell ref="A7059:F7059"/>
    <mergeCell ref="A7060:F7060"/>
    <mergeCell ref="A7061:C7061"/>
    <mergeCell ref="A7063:C7063"/>
    <mergeCell ref="A7064:F7064"/>
    <mergeCell ref="A7065:F7065"/>
    <mergeCell ref="A7040:F7040"/>
    <mergeCell ref="A7041:C7041"/>
    <mergeCell ref="A7043:C7043"/>
    <mergeCell ref="A7045:M7045"/>
    <mergeCell ref="A7046:C7046"/>
    <mergeCell ref="A7048:C7048"/>
    <mergeCell ref="F7048:M7048"/>
    <mergeCell ref="A7049:C7049"/>
    <mergeCell ref="F7049:M7049"/>
    <mergeCell ref="A164:O164"/>
    <mergeCell ref="A165:O165"/>
    <mergeCell ref="A166:O166"/>
    <mergeCell ref="A167:O167"/>
    <mergeCell ref="A169:C169"/>
    <mergeCell ref="A171:C171"/>
    <mergeCell ref="D171:E171"/>
    <mergeCell ref="F171:G171"/>
    <mergeCell ref="H171:I171"/>
    <mergeCell ref="J171:K171"/>
    <mergeCell ref="L171:M171"/>
    <mergeCell ref="N171:O171"/>
    <mergeCell ref="H172:I172"/>
    <mergeCell ref="J172:K172"/>
    <mergeCell ref="L172:M172"/>
    <mergeCell ref="N172:O172"/>
    <mergeCell ref="A173:C173"/>
    <mergeCell ref="D173:E173"/>
    <mergeCell ref="F173:G173"/>
    <mergeCell ref="H173:I173"/>
    <mergeCell ref="J173:K173"/>
    <mergeCell ref="L173:M173"/>
    <mergeCell ref="N173:O173"/>
    <mergeCell ref="A172:C172"/>
    <mergeCell ref="D172:E172"/>
    <mergeCell ref="A7029:C7029"/>
    <mergeCell ref="B158:C158"/>
    <mergeCell ref="G158:H158"/>
    <mergeCell ref="K158:L158"/>
    <mergeCell ref="K159:L159"/>
    <mergeCell ref="B156:C156"/>
    <mergeCell ref="G156:H156"/>
    <mergeCell ref="K156:L156"/>
    <mergeCell ref="B157:C157"/>
    <mergeCell ref="G157:H157"/>
    <mergeCell ref="K157:L157"/>
    <mergeCell ref="F7012:M7012"/>
    <mergeCell ref="A7014:M7014"/>
    <mergeCell ref="A7015:M7015"/>
    <mergeCell ref="A1004:H1004"/>
    <mergeCell ref="A1045:H1045"/>
    <mergeCell ref="A1046:H1046"/>
    <mergeCell ref="A1048:C1048"/>
    <mergeCell ref="A1049:C1049"/>
    <mergeCell ref="A1050:H1050"/>
    <mergeCell ref="A1052:C1052"/>
    <mergeCell ref="G1052:H1052"/>
    <mergeCell ref="A1053:C1053"/>
    <mergeCell ref="G1053:H1053"/>
    <mergeCell ref="B154:C154"/>
    <mergeCell ref="G154:H154"/>
    <mergeCell ref="K154:L154"/>
    <mergeCell ref="B155:C155"/>
    <mergeCell ref="G155:H155"/>
    <mergeCell ref="K155:L155"/>
    <mergeCell ref="B152:C152"/>
    <mergeCell ref="G152:H152"/>
    <mergeCell ref="K152:L152"/>
    <mergeCell ref="B153:C153"/>
    <mergeCell ref="G153:H153"/>
    <mergeCell ref="K153:L153"/>
    <mergeCell ref="B150:C150"/>
    <mergeCell ref="G150:H150"/>
    <mergeCell ref="K150:L150"/>
    <mergeCell ref="B151:C151"/>
    <mergeCell ref="G151:H151"/>
    <mergeCell ref="K151:L151"/>
    <mergeCell ref="B142:C142"/>
    <mergeCell ref="G142:H142"/>
    <mergeCell ref="K142:L142"/>
    <mergeCell ref="K143:L143"/>
    <mergeCell ref="A148:M148"/>
    <mergeCell ref="B140:C140"/>
    <mergeCell ref="G140:H140"/>
    <mergeCell ref="K140:L140"/>
    <mergeCell ref="B141:C141"/>
    <mergeCell ref="G141:H141"/>
    <mergeCell ref="K141:L141"/>
    <mergeCell ref="B138:C138"/>
    <mergeCell ref="G138:H138"/>
    <mergeCell ref="K138:L138"/>
    <mergeCell ref="B139:C139"/>
    <mergeCell ref="G139:H139"/>
    <mergeCell ref="K139:L139"/>
    <mergeCell ref="B136:C136"/>
    <mergeCell ref="G136:H136"/>
    <mergeCell ref="K136:L136"/>
    <mergeCell ref="B137:C137"/>
    <mergeCell ref="G137:H137"/>
    <mergeCell ref="K137:L137"/>
    <mergeCell ref="A132:M132"/>
    <mergeCell ref="B134:C134"/>
    <mergeCell ref="G134:H134"/>
    <mergeCell ref="K134:L134"/>
    <mergeCell ref="B135:C135"/>
    <mergeCell ref="G135:H135"/>
    <mergeCell ref="K135:L135"/>
    <mergeCell ref="A123:F123"/>
    <mergeCell ref="A7019:F7019"/>
    <mergeCell ref="A7027:C7027"/>
    <mergeCell ref="A7018:F7018"/>
    <mergeCell ref="A7000:F7000"/>
    <mergeCell ref="A86:F86"/>
    <mergeCell ref="A7032:F7032"/>
    <mergeCell ref="A7023:C7023"/>
    <mergeCell ref="A7003:C7003"/>
    <mergeCell ref="A7025:F7025"/>
    <mergeCell ref="A88:F88"/>
    <mergeCell ref="A7001:C7001"/>
    <mergeCell ref="A7021:C7021"/>
    <mergeCell ref="A7020:F7020"/>
    <mergeCell ref="A7005:M7005"/>
    <mergeCell ref="A7006:C7006"/>
    <mergeCell ref="A7008:C7008"/>
    <mergeCell ref="F7008:M7008"/>
    <mergeCell ref="A7009:C7009"/>
    <mergeCell ref="F7009:M7009"/>
    <mergeCell ref="A7011:C7011"/>
    <mergeCell ref="F7011:M7011"/>
    <mergeCell ref="A7012:C7012"/>
    <mergeCell ref="A7028:C7028"/>
    <mergeCell ref="A1:F1"/>
    <mergeCell ref="A2:F2"/>
    <mergeCell ref="B3:C3"/>
    <mergeCell ref="A11:C11"/>
    <mergeCell ref="A12:C12"/>
    <mergeCell ref="D6:G6"/>
    <mergeCell ref="G11:I11"/>
    <mergeCell ref="A10:C10"/>
    <mergeCell ref="D9:F9"/>
    <mergeCell ref="H9:J9"/>
    <mergeCell ref="A50:M50"/>
    <mergeCell ref="A45:M45"/>
    <mergeCell ref="A46:M46"/>
    <mergeCell ref="A47:M47"/>
    <mergeCell ref="A48:M48"/>
    <mergeCell ref="A49:M49"/>
    <mergeCell ref="G57:I57"/>
    <mergeCell ref="K57:M57"/>
    <mergeCell ref="A51:Q51"/>
    <mergeCell ref="O53:Q53"/>
    <mergeCell ref="O54:Q54"/>
    <mergeCell ref="O55:Q55"/>
    <mergeCell ref="O56:Q56"/>
    <mergeCell ref="O57:Q57"/>
    <mergeCell ref="A57:F57"/>
    <mergeCell ref="A53:F53"/>
    <mergeCell ref="G53:I53"/>
    <mergeCell ref="K53:M53"/>
    <mergeCell ref="A54:F54"/>
    <mergeCell ref="G54:I54"/>
    <mergeCell ref="K54:M54"/>
    <mergeCell ref="A55:F55"/>
    <mergeCell ref="G55:I55"/>
    <mergeCell ref="K55:M55"/>
    <mergeCell ref="A58:F58"/>
    <mergeCell ref="G58:I58"/>
    <mergeCell ref="K58:M58"/>
    <mergeCell ref="A59:F59"/>
    <mergeCell ref="G59:I59"/>
    <mergeCell ref="K59:M59"/>
    <mergeCell ref="A60:F60"/>
    <mergeCell ref="G60:I60"/>
    <mergeCell ref="K60:M60"/>
    <mergeCell ref="A1458:M1458"/>
    <mergeCell ref="A1483:M1483"/>
    <mergeCell ref="A1508:M1508"/>
    <mergeCell ref="A1283:M1283"/>
    <mergeCell ref="A1308:M1308"/>
    <mergeCell ref="A1333:M1333"/>
    <mergeCell ref="A1358:M1358"/>
    <mergeCell ref="A1383:M1383"/>
    <mergeCell ref="A1054:C1054"/>
    <mergeCell ref="G1054:H1054"/>
    <mergeCell ref="A1055:C1055"/>
    <mergeCell ref="G1055:H1055"/>
    <mergeCell ref="A1056:C1056"/>
    <mergeCell ref="G1056:H1056"/>
    <mergeCell ref="A1057:C1057"/>
    <mergeCell ref="G1057:H1057"/>
    <mergeCell ref="A1059:H1059"/>
    <mergeCell ref="A2327:D2327"/>
    <mergeCell ref="A2304:D2304"/>
    <mergeCell ref="A2305:D2305"/>
    <mergeCell ref="A2306:D2306"/>
    <mergeCell ref="A2307:D2307"/>
    <mergeCell ref="A2324:D2324"/>
    <mergeCell ref="A1705:D1705"/>
    <mergeCell ref="E1705:G1705"/>
    <mergeCell ref="A1706:M1706"/>
    <mergeCell ref="A1707:M1707"/>
    <mergeCell ref="A1738:M1738"/>
    <mergeCell ref="A1739:M1739"/>
    <mergeCell ref="A1740:M1740"/>
    <mergeCell ref="A1742:M1742"/>
    <mergeCell ref="A1745:M1745"/>
    <mergeCell ref="A7024:F7024"/>
    <mergeCell ref="A1204:M1204"/>
    <mergeCell ref="A1205:M1205"/>
    <mergeCell ref="A1208:M1208"/>
    <mergeCell ref="A1233:M1233"/>
    <mergeCell ref="A1258:M1258"/>
    <mergeCell ref="A2325:D2325"/>
    <mergeCell ref="A1060:H1060"/>
    <mergeCell ref="A1062:H1062"/>
    <mergeCell ref="A1070:H1070"/>
    <mergeCell ref="A1063:H1063"/>
    <mergeCell ref="A1065:H1065"/>
    <mergeCell ref="A1066:H1066"/>
    <mergeCell ref="A1067:H1067"/>
    <mergeCell ref="A1069:H1069"/>
    <mergeCell ref="A1703:M1703"/>
    <mergeCell ref="A1533:M1533"/>
    <mergeCell ref="A1558:M1558"/>
    <mergeCell ref="A1583:M1583"/>
    <mergeCell ref="A1608:M1608"/>
    <mergeCell ref="A1633:M1633"/>
    <mergeCell ref="A1408:M1408"/>
    <mergeCell ref="A1433:M1433"/>
    <mergeCell ref="A2326:D2326"/>
    <mergeCell ref="O82:Q82"/>
    <mergeCell ref="O83:Q83"/>
    <mergeCell ref="O84:Q84"/>
    <mergeCell ref="O85:Q85"/>
    <mergeCell ref="O67:Q67"/>
    <mergeCell ref="O68:Q68"/>
    <mergeCell ref="O69:Q69"/>
    <mergeCell ref="O70:Q70"/>
    <mergeCell ref="O71:Q71"/>
    <mergeCell ref="O72:Q72"/>
    <mergeCell ref="O73:Q73"/>
    <mergeCell ref="O74:Q74"/>
    <mergeCell ref="O75:Q75"/>
    <mergeCell ref="O77:Q77"/>
    <mergeCell ref="O78:Q78"/>
    <mergeCell ref="O61:Q61"/>
    <mergeCell ref="O62:Q62"/>
    <mergeCell ref="O63:Q63"/>
    <mergeCell ref="O64:Q64"/>
    <mergeCell ref="O65:Q65"/>
    <mergeCell ref="O66:Q66"/>
    <mergeCell ref="O79:Q79"/>
    <mergeCell ref="O80:Q80"/>
    <mergeCell ref="O81:Q81"/>
    <mergeCell ref="U7:AH7"/>
    <mergeCell ref="U45:AH45"/>
    <mergeCell ref="L10:N10"/>
    <mergeCell ref="L9:N9"/>
    <mergeCell ref="A18:Q18"/>
    <mergeCell ref="A19:S19"/>
    <mergeCell ref="C20:D20"/>
    <mergeCell ref="E20:F20"/>
    <mergeCell ref="G20:H20"/>
    <mergeCell ref="I20:J20"/>
    <mergeCell ref="K20:L20"/>
    <mergeCell ref="M20:N20"/>
    <mergeCell ref="O20:P20"/>
    <mergeCell ref="Q20:R20"/>
    <mergeCell ref="C21:D21"/>
    <mergeCell ref="E21:F21"/>
    <mergeCell ref="G21:H21"/>
    <mergeCell ref="C23:D23"/>
    <mergeCell ref="A13:C13"/>
    <mergeCell ref="E23:F23"/>
    <mergeCell ref="G23:H23"/>
    <mergeCell ref="I23:J23"/>
    <mergeCell ref="K23:L23"/>
    <mergeCell ref="M23:N23"/>
    <mergeCell ref="A87:Q87"/>
    <mergeCell ref="X46:AA46"/>
    <mergeCell ref="H15:I15"/>
    <mergeCell ref="J15:K15"/>
    <mergeCell ref="L15:M15"/>
    <mergeCell ref="N15:O15"/>
    <mergeCell ref="P15:Q15"/>
    <mergeCell ref="R15:S15"/>
    <mergeCell ref="H16:I16"/>
    <mergeCell ref="J16:K16"/>
    <mergeCell ref="L16:M16"/>
    <mergeCell ref="N16:O16"/>
    <mergeCell ref="P16:Q16"/>
    <mergeCell ref="R16:S16"/>
    <mergeCell ref="H17:I17"/>
    <mergeCell ref="J17:K17"/>
    <mergeCell ref="L17:M17"/>
    <mergeCell ref="N17:O17"/>
    <mergeCell ref="P17:Q17"/>
    <mergeCell ref="R17:S17"/>
    <mergeCell ref="A24:S24"/>
    <mergeCell ref="O58:Q58"/>
    <mergeCell ref="O59:Q59"/>
    <mergeCell ref="O60:Q60"/>
  </mergeCells>
  <phoneticPr fontId="6" type="noConversion"/>
  <dataValidations count="9">
    <dataValidation type="list" allowBlank="1" showInputMessage="1" showErrorMessage="1" sqref="D16" xr:uid="{F58D3BCE-4B99-42D9-AA50-AA287C3BEEAA}">
      <formula1>UC_Sizes</formula1>
    </dataValidation>
    <dataValidation type="list" allowBlank="1" showInputMessage="1" showErrorMessage="1" sqref="D17" xr:uid="{361DCC1F-CE08-415A-BBA6-9E4843FC6277}">
      <formula1>UB_Sizes</formula1>
    </dataValidation>
    <dataValidation type="decimal" operator="greaterThan" allowBlank="1" showInputMessage="1" showErrorMessage="1" error="Enter a number greater than zero." sqref="L10 H10 D10 D12 E4 B4:B5" xr:uid="{B826DC49-A4BF-45A3-9D21-74FB3EFBC499}">
      <formula1>0</formula1>
    </dataValidation>
    <dataValidation type="list" allowBlank="1" showInputMessage="1" showErrorMessage="1" sqref="B3 C29:C43" xr:uid="{68C11E87-263A-4340-89C7-099089DBFAFC}">
      <formula1>"Simply Supported,Cantilever Supported"</formula1>
    </dataValidation>
    <dataValidation type="decimal" operator="greaterThanOrEqual" allowBlank="1" showInputMessage="1" showErrorMessage="1" error="Enter a number greater than or equal to zero." sqref="B7:B8" xr:uid="{C5288A46-D849-4B7A-951B-01899ABA1A41}">
      <formula1>0</formula1>
    </dataValidation>
    <dataValidation type="list" allowBlank="1" showInputMessage="1" showErrorMessage="1" sqref="H4" xr:uid="{8C57E356-54CD-43E3-8AE3-CD5CA7A5896E}">
      <formula1>"0,90"</formula1>
    </dataValidation>
    <dataValidation type="list" allowBlank="1" showInputMessage="1" showErrorMessage="1" sqref="X46" xr:uid="{911187EE-1BFC-4D06-94C2-6BC3862483EE}">
      <formula1>"SB1,SB2,CSB3"</formula1>
    </dataValidation>
    <dataValidation type="whole" operator="greaterThanOrEqual" allowBlank="1" showInputMessage="1" showErrorMessage="1" error="Enter a non-negative integer." promptTitle="Number of secondary beams" prompt="Any non-negative integer; 0 or 90 degree layout." sqref="B6" xr:uid="{F3DDC201-5511-4FAA-9CF4-B609CE916F5D}">
      <formula1>0</formula1>
    </dataValidation>
    <dataValidation type="whole" operator="greaterThanOrEqual" allowBlank="1" showInputMessage="1" showErrorMessage="1" error="Enter a non-negative integer." promptTitle="Number of secondary beams" prompt="Any non-negative integer; 0 or 90 degree layout." sqref="H6" xr:uid="{5359AD4F-673F-458C-9D22-B45BB48B6F38}">
      <formula1>0</formula1>
    </dataValidation>
  </dataValidations>
  <pageMargins left="0.7" right="0.7" top="0.75" bottom="0.75" header="0.3" footer="0.3"/>
  <pageSetup paperSize="9" scale="48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93916-9122-435F-8413-150629A8C552}">
  <sheetPr codeName="工作表4"/>
  <dimension ref="A1:R34"/>
  <sheetViews>
    <sheetView showGridLines="0" tabSelected="1" workbookViewId="0">
      <selection activeCell="A26" sqref="A26:L26"/>
    </sheetView>
  </sheetViews>
  <sheetFormatPr defaultRowHeight="13.8"/>
  <cols>
    <col min="1" max="1" width="18" customWidth="1"/>
    <col min="2" max="2" width="20" customWidth="1"/>
    <col min="3" max="3" width="14" customWidth="1"/>
    <col min="4" max="4" width="28" customWidth="1"/>
    <col min="5" max="5" width="20" customWidth="1"/>
    <col min="6" max="7" width="18" customWidth="1"/>
    <col min="8" max="8" width="22" customWidth="1"/>
    <col min="9" max="9" width="19" customWidth="1"/>
    <col min="10" max="10" width="26.76171875" customWidth="1"/>
    <col min="11" max="11" width="20.76171875" customWidth="1"/>
    <col min="12" max="12" width="26.76171875" customWidth="1"/>
    <col min="13" max="17" width="0" hidden="1" customWidth="1"/>
    <col min="18" max="18" width="20.6171875" customWidth="1"/>
  </cols>
  <sheetData>
    <row r="1" spans="1:18" ht="30" customHeight="1">
      <c r="A1" s="120" t="s">
        <v>556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</row>
    <row r="3" spans="1:18">
      <c r="A3" s="88" t="s">
        <v>555</v>
      </c>
      <c r="B3" s="108">
        <f>IF(COUNTIF(L16:L23,"Check Floor")&gt;0,"Check Floor",SUM(I16:I23))</f>
        <v>12</v>
      </c>
    </row>
    <row r="5" spans="1:18">
      <c r="A5" s="121" t="s">
        <v>672</v>
      </c>
      <c r="B5" s="121"/>
      <c r="C5" s="121"/>
      <c r="D5" s="121"/>
      <c r="E5" s="121"/>
      <c r="F5" s="121"/>
      <c r="G5" s="121"/>
      <c r="H5" s="121"/>
      <c r="I5" s="121"/>
      <c r="J5" s="121"/>
      <c r="K5" s="121"/>
      <c r="L5" s="121"/>
    </row>
    <row r="7" spans="1:18">
      <c r="A7" s="121" t="s">
        <v>669</v>
      </c>
      <c r="B7" s="122"/>
      <c r="C7" s="122"/>
      <c r="D7" s="122"/>
      <c r="E7" s="122"/>
      <c r="F7" s="122"/>
      <c r="G7" s="122"/>
      <c r="H7" s="122"/>
      <c r="I7" s="122"/>
      <c r="J7" s="122"/>
      <c r="K7" s="122"/>
      <c r="L7" s="122"/>
    </row>
    <row r="8" spans="1:18" ht="24" customHeight="1">
      <c r="A8" s="112" t="s">
        <v>674</v>
      </c>
      <c r="B8" s="113"/>
      <c r="C8" s="112" t="s">
        <v>675</v>
      </c>
      <c r="D8" s="113"/>
      <c r="E8" s="112" t="s">
        <v>676</v>
      </c>
      <c r="F8" s="119">
        <v>60</v>
      </c>
      <c r="G8" s="112" t="s">
        <v>677</v>
      </c>
      <c r="H8" s="119">
        <v>355</v>
      </c>
      <c r="I8" s="112"/>
      <c r="J8" s="112"/>
      <c r="K8" s="112"/>
      <c r="L8" s="112"/>
    </row>
    <row r="9" spans="1:18" ht="24" customHeight="1">
      <c r="A9" s="112" t="s">
        <v>682</v>
      </c>
      <c r="B9" s="123"/>
      <c r="C9" s="123"/>
      <c r="D9" s="123"/>
      <c r="E9" s="112"/>
      <c r="F9" s="112"/>
      <c r="G9" s="112"/>
      <c r="H9" s="112"/>
      <c r="I9" s="112"/>
      <c r="J9" s="112"/>
      <c r="K9" s="112"/>
      <c r="L9" s="112"/>
    </row>
    <row r="10" spans="1:18" ht="10" customHeight="1">
      <c r="A10" s="112"/>
      <c r="B10" s="112"/>
      <c r="C10" s="112"/>
      <c r="D10" s="112"/>
      <c r="E10" s="112"/>
      <c r="F10" s="112"/>
      <c r="G10" s="112"/>
      <c r="H10" s="112"/>
      <c r="I10" s="112"/>
      <c r="J10" s="112"/>
      <c r="K10" s="112"/>
      <c r="L10" s="112"/>
    </row>
    <row r="11" spans="1:18" ht="24" customHeight="1">
      <c r="A11" t="s">
        <v>558</v>
      </c>
      <c r="B11" s="3">
        <v>1.4</v>
      </c>
    </row>
    <row r="12" spans="1:18" ht="24" customHeight="1">
      <c r="A12" t="s">
        <v>559</v>
      </c>
      <c r="B12" s="3">
        <v>1.6</v>
      </c>
    </row>
    <row r="13" spans="1:18" ht="24" customHeight="1">
      <c r="A13" t="s">
        <v>671</v>
      </c>
      <c r="B13" s="111">
        <v>1.25</v>
      </c>
    </row>
    <row r="14" spans="1:18" ht="24" customHeight="1">
      <c r="A14" s="128" t="s">
        <v>560</v>
      </c>
      <c r="B14" s="128"/>
      <c r="C14" s="128"/>
      <c r="D14" s="128"/>
      <c r="E14" s="128"/>
      <c r="F14" s="128"/>
      <c r="G14" s="128"/>
      <c r="H14" s="128"/>
      <c r="I14" s="128"/>
      <c r="J14" s="128"/>
      <c r="K14" s="128"/>
      <c r="L14" s="128"/>
    </row>
    <row r="15" spans="1:18" ht="48" customHeight="1">
      <c r="A15" s="96" t="s">
        <v>561</v>
      </c>
      <c r="B15" s="96" t="s">
        <v>562</v>
      </c>
      <c r="C15" s="96" t="s">
        <v>563</v>
      </c>
      <c r="D15" s="96" t="s">
        <v>665</v>
      </c>
      <c r="E15" s="96" t="s">
        <v>564</v>
      </c>
      <c r="F15" s="96" t="s">
        <v>666</v>
      </c>
      <c r="G15" s="96" t="s">
        <v>667</v>
      </c>
      <c r="H15" s="96" t="s">
        <v>565</v>
      </c>
      <c r="I15" s="96" t="s">
        <v>566</v>
      </c>
      <c r="J15" s="96" t="s">
        <v>567</v>
      </c>
      <c r="K15" s="96" t="s">
        <v>568</v>
      </c>
      <c r="L15" s="96" t="s">
        <v>569</v>
      </c>
      <c r="R15" t="s">
        <v>714</v>
      </c>
    </row>
    <row r="16" spans="1:18" ht="28.35" customHeight="1">
      <c r="A16" s="110" t="s">
        <v>670</v>
      </c>
      <c r="B16" s="100" t="s">
        <v>655</v>
      </c>
      <c r="C16" s="101">
        <v>7</v>
      </c>
      <c r="D16" s="101">
        <v>0</v>
      </c>
      <c r="E16" s="103">
        <f>IF(AND(ISNUMBER(R16),R16&gt;=0),R16,IFERROR(IF(COUNT(INDEX('1 - Imposed Load'!$C$16:$C$51,MATCH(B16,'1 - Imposed Load'!$A$16:$A$51,0)))=1,INDEX('1 - Imposed Load'!$C$16:$C$51,MATCH(B16,'1 - Imposed Load'!$A$16:$A$51,0)),""),""))</f>
        <v>2</v>
      </c>
      <c r="F16" s="102"/>
      <c r="G16" s="102"/>
      <c r="H16" s="104" t="str">
        <f t="shared" ref="H16:H23" si="0">IF(OR(F16="",G16=""),"",F16*G16)</f>
        <v/>
      </c>
      <c r="I16" s="109">
        <f t="shared" ref="I16:I23" si="1">IF(M16="","",IF(OR(M16="R",M16="RF"),1,IF(COUNT(P16:Q16)=2,ABS(Q16-P16)+1,"")))</f>
        <v>1</v>
      </c>
      <c r="J16" s="105" t="str">
        <f t="shared" ref="J16:J23" si="2">IF(OR($C16="",$E16="",$H16="",$I16="",$B$13=""),"",($B$11*($C16+N($D16))+$B$12*$E16)*$H16*$I16*$B$13)</f>
        <v/>
      </c>
      <c r="K16" s="106" t="str">
        <f>IF($B16="","",IFERROR(INDEX('1 - Imposed Load'!$B$16:$B$51,MATCH($B16,'1 - Imposed Load'!$A$16:$A$51,0)),""))</f>
        <v>LL-2.0</v>
      </c>
      <c r="L16" s="106" t="str">
        <f t="shared" ref="L16:L23" si="3">IF(AND(A16="",B16="",F16="",G16=""),"",IF(I16="","Check Floor",IF(OR(F16="",G16=""),"Enter B and D",IF(OR(F16&lt;=0,G16&lt;=0),"B and D must be &gt; 0",IF(J16="","Complete load inputs","Ready")))))</f>
        <v>Enter B and D</v>
      </c>
      <c r="M16" t="str">
        <f t="shared" ref="M16:M23" si="4">UPPER(SUBSTITUTE(SUBSTITUTE(SUBSTITUTE(SUBSTITUTE(SUBSTITUTE(UPPER(TRIM(A16))," ",""),CHAR(160),""),"–","-"),"—","-"),"/F",""))</f>
        <v>R</v>
      </c>
      <c r="N16" t="str">
        <f t="shared" ref="N16:N23" si="5">IFERROR(LEFT(M16,FIND("-",M16)-1),M16)</f>
        <v>R</v>
      </c>
      <c r="O16" t="str">
        <f t="shared" ref="O16:O23" si="6">IFERROR(MID(M16,FIND("-",M16)+1,99),N16)</f>
        <v>R</v>
      </c>
      <c r="P16" t="str">
        <f t="shared" ref="P16:P23" si="7">IF(OR(N16="G",N16="GF"),0,IFERROR(IF(LEFT(N16,1)="B",IF(AND(VALUE(MID(N16,2,99))&gt;0,MOD(VALUE(MID(N16,2,99)),1)=0,TEXT(VALUE(MID(N16,2,99)),"0")=MID(N16,2,99)),-VALUE(MID(N16,2,99)),""),IF(AND(VALUE(N16)&gt;0,MOD(VALUE(N16),1)=0,TEXT(VALUE(N16),"0")=N16),VALUE(N16),"")),""))</f>
        <v/>
      </c>
      <c r="Q16" t="str">
        <f t="shared" ref="Q16:Q23" si="8">IF(OR(O16="G",O16="GF"),0,IFERROR(IF(LEFT(O16,1)="B",IF(AND(VALUE(MID(O16,2,99))&gt;0,MOD(VALUE(MID(O16,2,99)),1)=0,TEXT(VALUE(MID(O16,2,99)),"0")=MID(O16,2,99)),-VALUE(MID(O16,2,99)),""),IF(AND(VALUE(O16)&gt;0,MOD(VALUE(O16),1)=0,TEXT(VALUE(O16),"0")=O16),VALUE(O16),"")),""))</f>
        <v/>
      </c>
      <c r="R16" s="209"/>
    </row>
    <row r="17" spans="1:18" ht="28.35" customHeight="1">
      <c r="A17" s="110" t="s">
        <v>570</v>
      </c>
      <c r="B17" s="100" t="s">
        <v>571</v>
      </c>
      <c r="C17" s="101">
        <v>7</v>
      </c>
      <c r="D17" s="101">
        <v>0</v>
      </c>
      <c r="E17" s="103">
        <f>IF(AND(ISNUMBER(R17),R17&gt;=0),R17,IFERROR(IF(COUNT(INDEX('1 - Imposed Load'!$C$16:$C$51,MATCH(B17,'1 - Imposed Load'!$A$16:$A$51,0)))=1,INDEX('1 - Imposed Load'!$C$16:$C$51,MATCH(B17,'1 - Imposed Load'!$A$16:$A$51,0)),""),""))</f>
        <v>7.5</v>
      </c>
      <c r="F17" s="102"/>
      <c r="G17" s="102"/>
      <c r="H17" s="104" t="str">
        <f t="shared" si="0"/>
        <v/>
      </c>
      <c r="I17" s="109">
        <f t="shared" si="1"/>
        <v>1</v>
      </c>
      <c r="J17" s="105" t="str">
        <f t="shared" si="2"/>
        <v/>
      </c>
      <c r="K17" s="106" t="str">
        <f>IF($B17="","",IFERROR(INDEX('1 - Imposed Load'!$B$16:$B$51,MATCH($B17,'1 - Imposed Load'!$A$16:$A$51,0)),""))</f>
        <v>LL-7.5</v>
      </c>
      <c r="L17" s="106" t="str">
        <f t="shared" si="3"/>
        <v>Enter B and D</v>
      </c>
      <c r="M17" t="str">
        <f t="shared" si="4"/>
        <v>6</v>
      </c>
      <c r="N17" t="str">
        <f t="shared" si="5"/>
        <v>6</v>
      </c>
      <c r="O17" t="str">
        <f t="shared" si="6"/>
        <v>6</v>
      </c>
      <c r="P17">
        <f t="shared" si="7"/>
        <v>6</v>
      </c>
      <c r="Q17">
        <f t="shared" si="8"/>
        <v>6</v>
      </c>
      <c r="R17" s="209"/>
    </row>
    <row r="18" spans="1:18" ht="28.35" customHeight="1">
      <c r="A18" s="110" t="s">
        <v>572</v>
      </c>
      <c r="B18" s="100" t="s">
        <v>573</v>
      </c>
      <c r="C18" s="101">
        <v>7</v>
      </c>
      <c r="D18" s="101">
        <v>0</v>
      </c>
      <c r="E18" s="103">
        <f>IF(AND(ISNUMBER(R18),R18&gt;=0),R18,IFERROR(IF(COUNT(INDEX('1 - Imposed Load'!$C$16:$C$51,MATCH(B18,'1 - Imposed Load'!$A$16:$A$51,0)))=1,INDEX('1 - Imposed Load'!$C$16:$C$51,MATCH(B18,'1 - Imposed Load'!$A$16:$A$51,0)),""),""))</f>
        <v>3</v>
      </c>
      <c r="F18" s="102"/>
      <c r="G18" s="102"/>
      <c r="H18" s="104" t="str">
        <f t="shared" si="0"/>
        <v/>
      </c>
      <c r="I18" s="109">
        <f t="shared" si="1"/>
        <v>1</v>
      </c>
      <c r="J18" s="105" t="str">
        <f t="shared" si="2"/>
        <v/>
      </c>
      <c r="K18" s="106" t="str">
        <f>IF($B18="","",IFERROR(INDEX('1 - Imposed Load'!$B$16:$B$51,MATCH($B18,'1 - Imposed Load'!$A$16:$A$51,0)),""))</f>
        <v>LL-3.0</v>
      </c>
      <c r="L18" s="106" t="str">
        <f t="shared" si="3"/>
        <v>Enter B and D</v>
      </c>
      <c r="M18" t="str">
        <f t="shared" si="4"/>
        <v>5</v>
      </c>
      <c r="N18" t="str">
        <f t="shared" si="5"/>
        <v>5</v>
      </c>
      <c r="O18" t="str">
        <f t="shared" si="6"/>
        <v>5</v>
      </c>
      <c r="P18">
        <f t="shared" si="7"/>
        <v>5</v>
      </c>
      <c r="Q18">
        <f t="shared" si="8"/>
        <v>5</v>
      </c>
      <c r="R18" s="209"/>
    </row>
    <row r="19" spans="1:18" ht="28.35" customHeight="1">
      <c r="A19" s="110" t="s">
        <v>668</v>
      </c>
      <c r="B19" s="100" t="s">
        <v>574</v>
      </c>
      <c r="C19" s="101">
        <v>7</v>
      </c>
      <c r="D19" s="101">
        <v>0</v>
      </c>
      <c r="E19" s="103">
        <f>IF(AND(ISNUMBER(R19),R19&gt;=0),R19,IFERROR(IF(COUNT(INDEX('1 - Imposed Load'!$C$16:$C$51,MATCH(B19,'1 - Imposed Load'!$A$16:$A$51,0)))=1,INDEX('1 - Imposed Load'!$C$16:$C$51,MATCH(B19,'1 - Imposed Load'!$A$16:$A$51,0)),""),""))</f>
        <v>5</v>
      </c>
      <c r="F19" s="102"/>
      <c r="G19" s="102"/>
      <c r="H19" s="104" t="str">
        <f t="shared" si="0"/>
        <v/>
      </c>
      <c r="I19" s="109">
        <f t="shared" si="1"/>
        <v>6</v>
      </c>
      <c r="J19" s="105" t="str">
        <f t="shared" si="2"/>
        <v/>
      </c>
      <c r="K19" s="106" t="str">
        <f>IF($B19="","",IFERROR(INDEX('1 - Imposed Load'!$B$16:$B$51,MATCH($B19,'1 - Imposed Load'!$A$16:$A$51,0)),""))</f>
        <v>LL-5.0</v>
      </c>
      <c r="L19" s="106" t="str">
        <f t="shared" si="3"/>
        <v>Enter B and D</v>
      </c>
      <c r="M19" t="str">
        <f t="shared" si="4"/>
        <v>1-6</v>
      </c>
      <c r="N19" t="str">
        <f t="shared" si="5"/>
        <v>1</v>
      </c>
      <c r="O19" t="str">
        <f t="shared" si="6"/>
        <v>6</v>
      </c>
      <c r="P19">
        <f t="shared" si="7"/>
        <v>1</v>
      </c>
      <c r="Q19">
        <f t="shared" si="8"/>
        <v>6</v>
      </c>
      <c r="R19" s="209"/>
    </row>
    <row r="20" spans="1:18" ht="28.35" customHeight="1">
      <c r="A20" s="110" t="s">
        <v>575</v>
      </c>
      <c r="B20" s="100" t="s">
        <v>574</v>
      </c>
      <c r="C20" s="101">
        <v>7</v>
      </c>
      <c r="D20" s="101">
        <v>0</v>
      </c>
      <c r="E20" s="103">
        <f>IF(AND(ISNUMBER(R20),R20&gt;=0),R20,IFERROR(IF(COUNT(INDEX('1 - Imposed Load'!$C$16:$C$51,MATCH(B20,'1 - Imposed Load'!$A$16:$A$51,0)))=1,INDEX('1 - Imposed Load'!$C$16:$C$51,MATCH(B20,'1 - Imposed Load'!$A$16:$A$51,0)),""),""))</f>
        <v>5</v>
      </c>
      <c r="F20" s="102"/>
      <c r="G20" s="102"/>
      <c r="H20" s="104" t="str">
        <f t="shared" si="0"/>
        <v/>
      </c>
      <c r="I20" s="109">
        <f t="shared" si="1"/>
        <v>1</v>
      </c>
      <c r="J20" s="105" t="str">
        <f t="shared" si="2"/>
        <v/>
      </c>
      <c r="K20" s="106" t="str">
        <f>IF($B20="","",IFERROR(INDEX('1 - Imposed Load'!$B$16:$B$51,MATCH($B20,'1 - Imposed Load'!$A$16:$A$51,0)),""))</f>
        <v>LL-5.0</v>
      </c>
      <c r="L20" s="106" t="str">
        <f t="shared" si="3"/>
        <v>Enter B and D</v>
      </c>
      <c r="M20" t="str">
        <f t="shared" si="4"/>
        <v>G</v>
      </c>
      <c r="N20" t="str">
        <f t="shared" si="5"/>
        <v>G</v>
      </c>
      <c r="O20" t="str">
        <f t="shared" si="6"/>
        <v>G</v>
      </c>
      <c r="P20">
        <f t="shared" si="7"/>
        <v>0</v>
      </c>
      <c r="Q20">
        <f t="shared" si="8"/>
        <v>0</v>
      </c>
      <c r="R20" s="209"/>
    </row>
    <row r="21" spans="1:18" ht="28.35" customHeight="1">
      <c r="A21" s="110" t="s">
        <v>576</v>
      </c>
      <c r="B21" s="100" t="s">
        <v>577</v>
      </c>
      <c r="C21" s="101">
        <v>7</v>
      </c>
      <c r="D21" s="101">
        <v>0</v>
      </c>
      <c r="E21" s="103">
        <f>IF(AND(ISNUMBER(R21),R21&gt;=0),R21,IFERROR(IF(COUNT(INDEX('1 - Imposed Load'!$C$16:$C$51,MATCH(B21,'1 - Imposed Load'!$A$16:$A$51,0)))=1,INDEX('1 - Imposed Load'!$C$16:$C$51,MATCH(B21,'1 - Imposed Load'!$A$16:$A$51,0)),""),""))</f>
        <v>3</v>
      </c>
      <c r="F21" s="102"/>
      <c r="G21" s="102"/>
      <c r="H21" s="104" t="str">
        <f t="shared" si="0"/>
        <v/>
      </c>
      <c r="I21" s="109">
        <f t="shared" si="1"/>
        <v>2</v>
      </c>
      <c r="J21" s="105" t="str">
        <f t="shared" si="2"/>
        <v/>
      </c>
      <c r="K21" s="106" t="str">
        <f>IF($B21="","",IFERROR(INDEX('1 - Imposed Load'!$B$16:$B$51,MATCH($B21,'1 - Imposed Load'!$A$16:$A$51,0)),""))</f>
        <v>LL-3.0</v>
      </c>
      <c r="L21" s="106" t="str">
        <f t="shared" si="3"/>
        <v>Enter B and D</v>
      </c>
      <c r="M21" t="str">
        <f t="shared" si="4"/>
        <v>B1-B2</v>
      </c>
      <c r="N21" t="str">
        <f t="shared" si="5"/>
        <v>B1</v>
      </c>
      <c r="O21" t="str">
        <f t="shared" si="6"/>
        <v>B2</v>
      </c>
      <c r="P21">
        <f t="shared" si="7"/>
        <v>-1</v>
      </c>
      <c r="Q21">
        <f t="shared" si="8"/>
        <v>-2</v>
      </c>
      <c r="R21" s="209"/>
    </row>
    <row r="22" spans="1:18" ht="28.35" customHeight="1">
      <c r="A22" s="110"/>
      <c r="B22" s="100"/>
      <c r="C22" s="101">
        <v>7</v>
      </c>
      <c r="D22" s="101">
        <v>0</v>
      </c>
      <c r="E22" s="103" t="str">
        <f>IF(AND(ISNUMBER(R22),R22&gt;=0),R22,IFERROR(IF(COUNT(INDEX('1 - Imposed Load'!$C$16:$C$51,MATCH(B22,'1 - Imposed Load'!$A$16:$A$51,0)))=1,INDEX('1 - Imposed Load'!$C$16:$C$51,MATCH(B22,'1 - Imposed Load'!$A$16:$A$51,0)),""),""))</f>
        <v/>
      </c>
      <c r="F22" s="102"/>
      <c r="G22" s="102"/>
      <c r="H22" s="104" t="str">
        <f t="shared" si="0"/>
        <v/>
      </c>
      <c r="I22" s="109" t="str">
        <f t="shared" si="1"/>
        <v/>
      </c>
      <c r="J22" s="105" t="str">
        <f t="shared" si="2"/>
        <v/>
      </c>
      <c r="K22" s="106" t="str">
        <f>IF($B22="","",IFERROR(INDEX('1 - Imposed Load'!$B$16:$B$51,MATCH($B22,'1 - Imposed Load'!$A$16:$A$51,0)),""))</f>
        <v/>
      </c>
      <c r="L22" s="106" t="str">
        <f t="shared" si="3"/>
        <v/>
      </c>
      <c r="M22" t="str">
        <f t="shared" si="4"/>
        <v/>
      </c>
      <c r="N22" t="str">
        <f t="shared" si="5"/>
        <v/>
      </c>
      <c r="O22" t="str">
        <f t="shared" si="6"/>
        <v/>
      </c>
      <c r="P22" t="str">
        <f t="shared" si="7"/>
        <v/>
      </c>
      <c r="Q22" t="str">
        <f t="shared" si="8"/>
        <v/>
      </c>
      <c r="R22" s="209"/>
    </row>
    <row r="23" spans="1:18" ht="28.35" customHeight="1">
      <c r="A23" s="110"/>
      <c r="B23" s="100"/>
      <c r="C23" s="101">
        <v>7</v>
      </c>
      <c r="D23" s="101">
        <v>0</v>
      </c>
      <c r="E23" s="103" t="str">
        <f>IF(AND(ISNUMBER(R23),R23&gt;=0),R23,IFERROR(IF(COUNT(INDEX('1 - Imposed Load'!$C$16:$C$51,MATCH(B23,'1 - Imposed Load'!$A$16:$A$51,0)))=1,INDEX('1 - Imposed Load'!$C$16:$C$51,MATCH(B23,'1 - Imposed Load'!$A$16:$A$51,0)),""),""))</f>
        <v/>
      </c>
      <c r="F23" s="102"/>
      <c r="G23" s="102"/>
      <c r="H23" s="104" t="str">
        <f t="shared" si="0"/>
        <v/>
      </c>
      <c r="I23" s="109" t="str">
        <f t="shared" si="1"/>
        <v/>
      </c>
      <c r="J23" s="105" t="str">
        <f t="shared" si="2"/>
        <v/>
      </c>
      <c r="K23" s="106" t="str">
        <f>IF($B23="","",IFERROR(INDEX('1 - Imposed Load'!$B$16:$B$51,MATCH($B23,'1 - Imposed Load'!$A$16:$A$51,0)),""))</f>
        <v/>
      </c>
      <c r="L23" s="106" t="str">
        <f t="shared" si="3"/>
        <v/>
      </c>
      <c r="M23" t="str">
        <f t="shared" si="4"/>
        <v/>
      </c>
      <c r="N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s="209"/>
    </row>
    <row r="24" spans="1:18" ht="24" customHeight="1">
      <c r="A24" s="97" t="s">
        <v>578</v>
      </c>
      <c r="B24" s="97"/>
      <c r="C24" s="97"/>
      <c r="D24" s="97"/>
      <c r="E24" s="98"/>
      <c r="F24" s="98"/>
      <c r="G24" s="98"/>
      <c r="H24" s="98"/>
      <c r="I24" s="99"/>
      <c r="J24" s="97" t="str">
        <f>IF(OR(COUNT(J16:J23)=0,COUNTIF(L16:L23,"?*")&lt;&gt;COUNTIF(L16:L23,"Ready")),"",SUM(J16:J23))</f>
        <v/>
      </c>
      <c r="K24" s="97" t="str">
        <f>""</f>
        <v/>
      </c>
      <c r="L24" s="107" t="str">
        <f>""</f>
        <v/>
      </c>
    </row>
    <row r="25" spans="1:18" ht="10" customHeight="1"/>
    <row r="26" spans="1:18" ht="24" customHeight="1">
      <c r="A26" s="124" t="s">
        <v>673</v>
      </c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</row>
    <row r="27" spans="1:18" ht="24" customHeight="1">
      <c r="A27" s="115" t="s">
        <v>678</v>
      </c>
      <c r="B27" s="129" t="str">
        <f>IF(B9="","",IFERROR(INDEX('Section Data'!$AC$5:$AC$35,MATCH(B9,'Section Data'!$B$5:$B$35,0))*100,""))</f>
        <v/>
      </c>
      <c r="C27" s="129"/>
      <c r="D27" s="112"/>
      <c r="E27" s="112"/>
      <c r="F27" s="112"/>
      <c r="G27" s="112"/>
      <c r="H27" s="112"/>
      <c r="I27" s="112"/>
      <c r="J27" s="112"/>
      <c r="K27" s="112"/>
      <c r="L27" s="112"/>
    </row>
    <row r="28" spans="1:18" ht="24" customHeight="1">
      <c r="A28" s="115" t="s">
        <v>679</v>
      </c>
      <c r="B28" s="129" t="str">
        <f>IF(OR(B8="",D8="",B27=""),"",IF(OR(B8&lt;=0,D8&lt;=0,B8*D8&lt;=B27),"",B8*D8-B27))</f>
        <v/>
      </c>
      <c r="C28" s="129"/>
      <c r="D28" s="112"/>
      <c r="E28" s="112"/>
      <c r="F28" s="112"/>
      <c r="G28" s="112"/>
      <c r="H28" s="112"/>
      <c r="I28" s="112"/>
      <c r="J28" s="112"/>
      <c r="K28" s="112"/>
      <c r="L28" s="112"/>
    </row>
    <row r="29" spans="1:18" ht="24" customHeight="1">
      <c r="A29" s="116" t="s">
        <v>680</v>
      </c>
      <c r="B29" s="130" t="str">
        <f>IF(OR(B28="",F8="",H8=""),"",IF(OR(F8&lt;=0,H8&lt;=0),"",(B27*H8+0.45*B28*F8)/1000))</f>
        <v/>
      </c>
      <c r="C29" s="130"/>
      <c r="D29" s="118" t="str">
        <f>IF(OR(B29="",J24=""),"Pending",IF(B29&gt;J24,"OK","Not OK"))</f>
        <v>Pending</v>
      </c>
      <c r="E29" s="131" t="s">
        <v>685</v>
      </c>
      <c r="F29" s="131"/>
      <c r="G29" s="131"/>
      <c r="H29" s="131"/>
      <c r="I29" s="112"/>
      <c r="J29" s="112"/>
      <c r="K29" s="112"/>
      <c r="L29" s="112"/>
    </row>
    <row r="30" spans="1:18" ht="10" customHeight="1">
      <c r="A30" s="112"/>
      <c r="B30" s="112"/>
      <c r="C30" s="112"/>
      <c r="D30" s="112"/>
      <c r="E30" s="112"/>
      <c r="F30" s="112"/>
      <c r="G30" s="112"/>
      <c r="H30" s="112"/>
      <c r="I30" s="112"/>
      <c r="J30" s="112"/>
      <c r="K30" s="112"/>
      <c r="L30" s="112"/>
    </row>
    <row r="31" spans="1:18" ht="40" customHeight="1">
      <c r="A31" s="114" t="s">
        <v>683</v>
      </c>
      <c r="B31" s="125" t="str">
        <f>IF(OR(B29="",B29&lt;=0),"",B27*H8/(B29*1000))</f>
        <v/>
      </c>
      <c r="C31" s="125"/>
      <c r="D31" s="117" t="str">
        <f>IF(B31="","",IF(AND(B31&gt;=0.2,B31&lt;=0.9),"OK","Not OK"))</f>
        <v/>
      </c>
      <c r="E31" s="126" t="s">
        <v>684</v>
      </c>
      <c r="F31" s="126"/>
      <c r="G31" s="126"/>
      <c r="H31" s="126"/>
      <c r="I31" s="112"/>
      <c r="J31" s="112"/>
      <c r="K31" s="112"/>
      <c r="L31" s="112"/>
    </row>
    <row r="32" spans="1:18" ht="28" customHeight="1">
      <c r="A32" s="118" t="s">
        <v>686</v>
      </c>
      <c r="B32" s="132" t="str">
        <f>IF(OR(B29="",B31="",J24="",COUNTIF(L16:L23,"Enter B and D")+COUNTIF(L16:L23,"Check Floor")+COUNTIF(L16:L23,"B and D must be &gt; 0")+COUNTIF(L16:L23,"Complete load inputs")&gt;0),"Column design pending",IF(AND(B29&gt;J24,B31&gt;=0.2,B31&lt;=0.9),"Column design OK","Column design Not OK"))</f>
        <v>Column design pending</v>
      </c>
      <c r="C32" s="132"/>
      <c r="D32" s="132"/>
      <c r="E32" s="132"/>
      <c r="F32" s="112"/>
      <c r="G32" s="112"/>
      <c r="H32" s="112"/>
      <c r="I32" s="112"/>
      <c r="J32" s="112"/>
      <c r="K32" s="112"/>
      <c r="L32" s="112"/>
    </row>
    <row r="33" spans="1:12" ht="24" customHeight="1">
      <c r="A33" s="127" t="s">
        <v>681</v>
      </c>
      <c r="B33" s="127"/>
      <c r="C33" s="127"/>
      <c r="D33" s="127"/>
      <c r="E33" s="127"/>
      <c r="F33" s="127"/>
      <c r="G33" s="127"/>
      <c r="H33" s="127"/>
      <c r="I33" s="127"/>
      <c r="J33" s="127"/>
      <c r="K33" s="127"/>
      <c r="L33" s="127"/>
    </row>
    <row r="34" spans="1:12" ht="24" customHeight="1">
      <c r="A34" s="127" t="str">
        <f>IF(OR(B8="",D8="",F8="",H8="",B9=""),"Enter B, D, fcu, py and UC section",IF(B27="","Select a valid UC section",IF(OR(B8&lt;=0,D8&lt;=0,F8&lt;=0,H8&lt;=0),"Inputs must be &gt; 0",IF(B8*D8&lt;=B27,"B x D must exceed steel area","Ready"))))</f>
        <v>Enter B, D, fcu, py and UC section</v>
      </c>
      <c r="B34" s="127"/>
      <c r="C34" s="127"/>
      <c r="D34" s="127"/>
      <c r="E34" s="127"/>
      <c r="F34" s="127"/>
      <c r="G34" s="127"/>
      <c r="H34" s="127"/>
      <c r="I34" s="127"/>
      <c r="J34" s="127"/>
      <c r="K34" s="127"/>
      <c r="L34" s="127"/>
    </row>
  </sheetData>
  <mergeCells count="15">
    <mergeCell ref="B31:C31"/>
    <mergeCell ref="E31:H31"/>
    <mergeCell ref="A33:L33"/>
    <mergeCell ref="A34:L34"/>
    <mergeCell ref="A14:L14"/>
    <mergeCell ref="B27:C27"/>
    <mergeCell ref="B28:C28"/>
    <mergeCell ref="B29:C29"/>
    <mergeCell ref="E29:H29"/>
    <mergeCell ref="B32:E32"/>
    <mergeCell ref="A1:L1"/>
    <mergeCell ref="A5:L5"/>
    <mergeCell ref="A7:L7"/>
    <mergeCell ref="B9:D9"/>
    <mergeCell ref="A26:L26"/>
  </mergeCells>
  <phoneticPr fontId="6" type="noConversion"/>
  <dataValidations count="5">
    <dataValidation type="list" allowBlank="1" showInputMessage="1" showErrorMessage="1" sqref="B16:B23" xr:uid="{98D0FAA2-7489-423E-A03A-A2FB7A9517B6}">
      <formula1>ColumnUsageOptions</formula1>
    </dataValidation>
    <dataValidation type="decimal" operator="greaterThan" allowBlank="1" showInputMessage="1" showErrorMessage="1" sqref="F16:G23 B8 D8 F8 H8" xr:uid="{ECB7685A-EF1B-4A31-8984-1A15D0D5B760}">
      <formula1>0</formula1>
    </dataValidation>
    <dataValidation type="decimal" operator="greaterThanOrEqual" allowBlank="1" showInputMessage="1" showErrorMessage="1" sqref="C16:D23 R16:R23" xr:uid="{431B4957-5090-4FA5-99B2-750B608424EC}">
      <formula1>0</formula1>
    </dataValidation>
    <dataValidation type="decimal" operator="greaterThan" showInputMessage="1" showErrorMessage="1" sqref="B13" xr:uid="{039CE1E4-5BD4-4BE6-925A-65D432D4F172}">
      <formula1>0</formula1>
    </dataValidation>
    <dataValidation type="list" allowBlank="1" showInputMessage="1" showErrorMessage="1" sqref="B9" xr:uid="{A497CF51-0A2D-4B30-A5AB-80A984E82F28}">
      <formula1>ColumnUCOptions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4EC71-FB89-40FA-A02A-9EC68BAD3E8F}">
  <sheetPr codeName="Sheet1">
    <pageSetUpPr fitToPage="1"/>
  </sheetPr>
  <dimension ref="A1:P1848"/>
  <sheetViews>
    <sheetView showGridLines="0" topLeftCell="A110" workbookViewId="0">
      <selection activeCell="A130" sqref="A130:L130"/>
    </sheetView>
  </sheetViews>
  <sheetFormatPr defaultRowHeight="13.8"/>
  <cols>
    <col min="1" max="12" width="8.6171875" customWidth="1"/>
    <col min="14" max="16" width="0" hidden="1" customWidth="1"/>
  </cols>
  <sheetData>
    <row r="1" spans="1:14" ht="19" customHeight="1">
      <c r="A1" s="210" t="s">
        <v>687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</row>
    <row r="2" spans="1:14" ht="19" customHeight="1">
      <c r="A2" s="211"/>
      <c r="B2" s="211"/>
      <c r="C2" s="211"/>
      <c r="D2" s="211"/>
      <c r="E2" s="211"/>
      <c r="F2" s="211"/>
      <c r="G2" s="211"/>
      <c r="H2" s="211"/>
      <c r="I2" s="211"/>
      <c r="J2" s="211"/>
      <c r="K2" s="211"/>
      <c r="L2" s="211"/>
      <c r="N2" t="str">
        <f>IF('Steel Beam Design'!C26="Cantilever Supported","┃",IF('Steel Beam Design'!C26="Fixed-Fixed","┃","△"))</f>
        <v>△</v>
      </c>
    </row>
    <row r="3" spans="1:14" ht="19" customHeight="1">
      <c r="A3" s="212" t="s">
        <v>688</v>
      </c>
      <c r="B3" s="212"/>
      <c r="C3" s="212"/>
      <c r="D3" s="212"/>
      <c r="E3" s="212"/>
      <c r="F3" s="212"/>
      <c r="G3" s="212"/>
      <c r="H3" s="212"/>
      <c r="I3" s="212"/>
      <c r="J3" s="212"/>
      <c r="K3" s="212"/>
      <c r="L3" s="212"/>
      <c r="N3" t="str">
        <f>IF('Steel Beam Design'!C26="Cantilever Supported","",IF('Steel Beam Design'!C26="Fixed-Fixed","┃","△"))</f>
        <v>△</v>
      </c>
    </row>
    <row r="4" spans="1:14" ht="19" customHeight="1">
      <c r="A4" s="212" t="s">
        <v>689</v>
      </c>
      <c r="B4" s="212"/>
      <c r="C4" s="212"/>
      <c r="D4" s="213">
        <f>'Steel Beam Design'!B7</f>
        <v>7</v>
      </c>
      <c r="E4" s="213"/>
      <c r="F4" s="211" t="s">
        <v>690</v>
      </c>
      <c r="G4" s="211"/>
      <c r="H4" s="211"/>
      <c r="I4" s="211"/>
      <c r="J4" s="211"/>
      <c r="K4" s="211"/>
      <c r="L4" s="211"/>
    </row>
    <row r="5" spans="1:14" ht="19" customHeight="1">
      <c r="A5" s="212" t="s">
        <v>691</v>
      </c>
      <c r="B5" s="212"/>
      <c r="C5" s="212"/>
      <c r="D5" s="213">
        <f>'Steel Beam Design'!B8</f>
        <v>5</v>
      </c>
      <c r="E5" s="213"/>
      <c r="F5" s="211" t="s">
        <v>690</v>
      </c>
      <c r="G5" s="211"/>
      <c r="H5" s="211"/>
      <c r="I5" s="211"/>
      <c r="J5" s="211"/>
      <c r="K5" s="211"/>
      <c r="L5" s="211"/>
    </row>
    <row r="6" spans="1:14" ht="19" customHeight="1">
      <c r="A6" s="212" t="s">
        <v>692</v>
      </c>
      <c r="B6" s="212"/>
      <c r="C6" s="212"/>
      <c r="D6" s="213">
        <f>IFERROR('Steel Beam Design'!N26/(1.4*'Steel Beam Design'!B7+1.6*'Steel Beam Design'!B8),"")</f>
        <v>5</v>
      </c>
      <c r="E6" s="212"/>
      <c r="F6" s="211" t="s">
        <v>437</v>
      </c>
      <c r="G6" s="211"/>
      <c r="H6" s="211"/>
      <c r="I6" s="211"/>
      <c r="J6" s="211"/>
      <c r="K6" s="211"/>
      <c r="L6" s="211"/>
    </row>
    <row r="7" spans="1:14" ht="19" customHeight="1">
      <c r="A7" s="211"/>
      <c r="B7" s="211"/>
      <c r="C7" s="211"/>
      <c r="D7" s="211"/>
      <c r="E7" s="211"/>
      <c r="F7" s="211"/>
      <c r="G7" s="211"/>
      <c r="H7" s="211"/>
      <c r="I7" s="211"/>
      <c r="J7" s="211"/>
      <c r="K7" s="211"/>
      <c r="L7" s="211"/>
    </row>
    <row r="8" spans="1:14" ht="19" customHeight="1">
      <c r="A8" s="211"/>
      <c r="B8" s="211"/>
      <c r="C8" s="211"/>
      <c r="D8" s="211"/>
      <c r="E8" s="211"/>
      <c r="F8" s="211"/>
      <c r="G8" s="211"/>
      <c r="H8" s="211"/>
      <c r="I8" s="211"/>
      <c r="J8" s="211"/>
      <c r="K8" s="211"/>
      <c r="L8" s="211"/>
    </row>
    <row r="9" spans="1:14" ht="19" customHeight="1">
      <c r="A9" s="211"/>
      <c r="B9" s="211"/>
      <c r="C9" s="211"/>
      <c r="D9" s="211"/>
      <c r="E9" s="211"/>
      <c r="F9" s="211"/>
      <c r="G9" s="211"/>
      <c r="H9" s="211"/>
      <c r="I9" s="211"/>
      <c r="J9" s="211"/>
      <c r="K9" s="211"/>
      <c r="L9" s="211"/>
    </row>
    <row r="10" spans="1:14" ht="19" customHeight="1">
      <c r="A10" s="214" t="str">
        <f>"L = "&amp;TEXT('Steel Beam Design'!B26,"0.00")&amp;" m"</f>
        <v>L = 2.50 m</v>
      </c>
      <c r="B10" s="214"/>
      <c r="C10" s="214"/>
      <c r="D10" s="214"/>
      <c r="E10" s="214"/>
      <c r="F10" s="214"/>
      <c r="G10" s="214"/>
      <c r="H10" s="214"/>
      <c r="I10" s="214"/>
      <c r="J10" s="214"/>
      <c r="K10" s="214"/>
      <c r="L10" s="214"/>
    </row>
    <row r="11" spans="1:14" ht="19" customHeight="1">
      <c r="A11" s="215" t="str">
        <f>'Steel Beam Design'!C26</f>
        <v>Simply Supported</v>
      </c>
      <c r="B11" s="215"/>
      <c r="C11" s="215"/>
      <c r="D11" s="215"/>
      <c r="E11" s="215"/>
      <c r="F11" s="215"/>
      <c r="G11" s="215"/>
      <c r="H11" s="215"/>
      <c r="I11" s="215"/>
      <c r="J11" s="215"/>
      <c r="K11" s="215"/>
      <c r="L11" s="215"/>
    </row>
    <row r="12" spans="1:14" ht="19" customHeight="1">
      <c r="A12" s="211"/>
      <c r="B12" s="211"/>
      <c r="C12" s="211"/>
      <c r="D12" s="211"/>
      <c r="E12" s="211"/>
      <c r="F12" s="211"/>
      <c r="G12" s="211"/>
      <c r="H12" s="211"/>
      <c r="I12" s="211"/>
      <c r="J12" s="211"/>
      <c r="K12" s="211"/>
      <c r="L12" s="211"/>
    </row>
    <row r="13" spans="1:14" ht="19" customHeight="1">
      <c r="A13" s="212" t="s">
        <v>693</v>
      </c>
      <c r="B13" s="212"/>
      <c r="C13" s="212"/>
      <c r="D13" s="212"/>
      <c r="E13" s="212"/>
      <c r="F13" s="212"/>
      <c r="G13" s="212"/>
      <c r="H13" s="212"/>
      <c r="I13" s="212"/>
      <c r="J13" s="212" t="str">
        <f>IF(ISNUMBER('Steel Beam Design'!N26),TEXT('Steel Beam Design'!N26,"#,##0.00")&amp;" kN/m","")</f>
        <v>89.00 kN/m</v>
      </c>
      <c r="K13" s="212"/>
      <c r="L13" s="212"/>
    </row>
    <row r="14" spans="1:14" ht="19" customHeight="1">
      <c r="A14" s="211"/>
      <c r="B14" s="211"/>
      <c r="C14" s="211"/>
      <c r="D14" s="211"/>
      <c r="E14" s="211"/>
      <c r="F14" s="211"/>
      <c r="G14" s="211"/>
      <c r="H14" s="211"/>
      <c r="I14" s="211"/>
      <c r="J14" s="211"/>
      <c r="K14" s="211"/>
      <c r="L14" s="211"/>
    </row>
    <row r="15" spans="1:14" ht="19" customHeight="1">
      <c r="A15" s="211"/>
      <c r="B15" s="211"/>
      <c r="C15" s="211"/>
      <c r="D15" s="211"/>
      <c r="E15" s="211"/>
      <c r="F15" s="211"/>
      <c r="G15" s="211"/>
      <c r="H15" s="211"/>
      <c r="I15" s="211"/>
      <c r="J15" s="211"/>
      <c r="K15" s="211"/>
      <c r="L15" s="211"/>
    </row>
    <row r="16" spans="1:14" ht="19" customHeight="1">
      <c r="A16" s="212" t="str">
        <f>"For deflection ≤ L / "&amp;TEXT('Steel Beam Design'!D10,"0")</f>
        <v>For deflection ≤ L / 360</v>
      </c>
      <c r="B16" s="212"/>
      <c r="C16" s="212"/>
      <c r="D16" s="212"/>
      <c r="E16" s="212"/>
      <c r="F16" s="212"/>
      <c r="G16" s="212"/>
      <c r="H16" s="212"/>
      <c r="I16" s="212"/>
      <c r="J16" s="212"/>
      <c r="K16" s="212"/>
      <c r="L16" s="212"/>
    </row>
    <row r="17" spans="1:12" ht="19" customHeight="1">
      <c r="A17" s="211"/>
      <c r="B17" s="211"/>
      <c r="C17" s="211"/>
      <c r="D17" s="211"/>
      <c r="E17" s="211"/>
      <c r="F17" s="211"/>
      <c r="G17" s="211"/>
      <c r="H17" s="211"/>
      <c r="I17" s="211"/>
      <c r="J17" s="211"/>
      <c r="K17" s="211"/>
      <c r="L17" s="211"/>
    </row>
    <row r="18" spans="1:12" ht="19" customHeight="1">
      <c r="A18" s="216" t="str">
        <f>SUBSTITUTE('Steel Beam Design'!A7020,"Short form","Imin short form")</f>
        <v>Imin short form (Simply Supported): Imin ≈ 2.29wL³</v>
      </c>
      <c r="B18" s="216"/>
      <c r="C18" s="216"/>
      <c r="D18" s="216"/>
      <c r="E18" s="216"/>
      <c r="F18" s="216"/>
      <c r="G18" s="216"/>
      <c r="H18" s="216"/>
      <c r="I18" s="216"/>
      <c r="J18" s="216"/>
      <c r="K18" s="216"/>
      <c r="L18" s="216"/>
    </row>
    <row r="19" spans="1:12" ht="19" customHeight="1">
      <c r="A19" s="212" t="str">
        <f>"Imin = "&amp;TEXT('Steel Beam Design'!D7021,"#,##0")&amp;" cm⁴"</f>
        <v>Imin = 893 cm⁴</v>
      </c>
      <c r="B19" s="212"/>
      <c r="C19" s="212"/>
      <c r="D19" s="212"/>
      <c r="E19" s="212"/>
      <c r="F19" s="212"/>
      <c r="G19" s="212"/>
      <c r="H19" s="212"/>
      <c r="I19" s="212"/>
      <c r="J19" s="212"/>
      <c r="K19" s="212"/>
      <c r="L19" s="212"/>
    </row>
    <row r="20" spans="1:12" ht="19" customHeight="1">
      <c r="A20" s="211"/>
      <c r="B20" s="211"/>
      <c r="C20" s="211"/>
      <c r="D20" s="211"/>
      <c r="E20" s="211"/>
      <c r="F20" s="211"/>
      <c r="G20" s="211"/>
      <c r="H20" s="211"/>
      <c r="I20" s="211"/>
      <c r="J20" s="211"/>
      <c r="K20" s="211"/>
      <c r="L20" s="211"/>
    </row>
    <row r="21" spans="1:12" ht="19" customHeight="1">
      <c r="A21" s="211"/>
      <c r="B21" s="211"/>
      <c r="C21" s="211"/>
      <c r="D21" s="211"/>
      <c r="E21" s="211"/>
      <c r="F21" s="211"/>
      <c r="G21" s="211"/>
      <c r="H21" s="211"/>
      <c r="I21" s="211"/>
      <c r="J21" s="211"/>
      <c r="K21" s="211"/>
      <c r="L21" s="211"/>
    </row>
    <row r="22" spans="1:12" ht="19" customHeight="1">
      <c r="A22" s="212" t="s">
        <v>694</v>
      </c>
      <c r="B22" s="212"/>
      <c r="C22" s="212"/>
      <c r="D22" s="212"/>
      <c r="E22" s="212"/>
      <c r="F22" s="212"/>
      <c r="G22" s="212"/>
      <c r="H22" s="212"/>
      <c r="I22" s="212"/>
      <c r="J22" s="212"/>
      <c r="K22" s="212"/>
      <c r="L22" s="212"/>
    </row>
    <row r="23" spans="1:12" ht="19" customHeight="1">
      <c r="A23" s="212" t="s">
        <v>695</v>
      </c>
      <c r="B23" s="212"/>
      <c r="C23" s="212"/>
      <c r="D23" s="212"/>
      <c r="E23" s="212"/>
      <c r="F23" s="212"/>
      <c r="G23" s="212"/>
      <c r="H23" s="212"/>
      <c r="I23" s="212"/>
      <c r="J23" s="212" t="str">
        <f>IF(ISNUMBER('Steel Beam Design'!D7027),TEXT('Steel Beam Design'!D7027,"#,##0")&amp;" cm⁴","")</f>
        <v>319 cm⁴</v>
      </c>
      <c r="K23" s="212"/>
      <c r="L23" s="212"/>
    </row>
    <row r="24" spans="1:12" ht="19" customHeight="1">
      <c r="A24" s="211"/>
      <c r="B24" s="211"/>
      <c r="C24" s="211"/>
      <c r="D24" s="211"/>
      <c r="E24" s="211"/>
      <c r="F24" s="211"/>
      <c r="G24" s="211"/>
      <c r="H24" s="211"/>
      <c r="I24" s="211"/>
      <c r="J24" s="211"/>
      <c r="K24" s="211"/>
      <c r="L24" s="211"/>
    </row>
    <row r="25" spans="1:12" ht="19" customHeight="1">
      <c r="A25" s="211"/>
      <c r="B25" s="211"/>
      <c r="C25" s="211"/>
      <c r="D25" s="211"/>
      <c r="E25" s="211"/>
      <c r="F25" s="211"/>
      <c r="G25" s="211"/>
      <c r="H25" s="211"/>
      <c r="I25" s="211"/>
      <c r="J25" s="211"/>
      <c r="K25" s="211"/>
      <c r="L25" s="211"/>
    </row>
    <row r="26" spans="1:12" ht="19" customHeight="1">
      <c r="A26" s="212" t="str">
        <f>IF('Steel Beam Design'!C26="Simply Supported","Mmax = W L² / 8",IF('Steel Beam Design'!C26="Cantilever Supported","Mmax = W L² / 2",IF('Steel Beam Design'!C26="Fixed-Fixed","Mmax = W L² / 12","Mmax = check support condition")))</f>
        <v>Mmax = W L² / 8</v>
      </c>
      <c r="B26" s="212"/>
      <c r="C26" s="212"/>
      <c r="D26" s="212"/>
      <c r="E26" s="212"/>
      <c r="F26" s="212"/>
      <c r="G26" s="212"/>
      <c r="H26" s="212"/>
      <c r="I26" s="212"/>
      <c r="J26" s="212" t="str">
        <f>IF(ISNUMBER('Steel Beam Design'!O26),TEXT('Steel Beam Design'!O26,"#,##0")&amp;" kNm","")</f>
        <v>70 kNm</v>
      </c>
      <c r="K26" s="212"/>
      <c r="L26" s="212"/>
    </row>
    <row r="27" spans="1:12" ht="19" customHeight="1">
      <c r="A27" s="211"/>
      <c r="B27" s="211"/>
      <c r="C27" s="211"/>
      <c r="D27" s="211"/>
      <c r="E27" s="211"/>
      <c r="F27" s="211"/>
      <c r="G27" s="211"/>
      <c r="H27" s="211"/>
      <c r="I27" s="211"/>
      <c r="J27" s="211"/>
      <c r="K27" s="211"/>
      <c r="L27" s="211"/>
    </row>
    <row r="28" spans="1:12" ht="19" customHeight="1">
      <c r="A28" s="211"/>
      <c r="B28" s="211"/>
      <c r="C28" s="211"/>
      <c r="D28" s="211"/>
      <c r="E28" s="211"/>
      <c r="F28" s="211"/>
      <c r="G28" s="211"/>
      <c r="H28" s="211"/>
      <c r="I28" s="211"/>
      <c r="J28" s="211"/>
      <c r="K28" s="211"/>
      <c r="L28" s="211"/>
    </row>
    <row r="29" spans="1:12" ht="19" customHeight="1">
      <c r="A29" s="212" t="s">
        <v>694</v>
      </c>
      <c r="B29" s="212"/>
      <c r="C29" s="212"/>
      <c r="D29" s="212"/>
      <c r="E29" s="212"/>
      <c r="F29" s="212"/>
      <c r="G29" s="212"/>
      <c r="H29" s="212"/>
      <c r="I29" s="212"/>
      <c r="J29" s="212"/>
      <c r="K29" s="212"/>
      <c r="L29" s="212"/>
    </row>
    <row r="30" spans="1:12" ht="19" customHeight="1">
      <c r="A30" s="212" t="s">
        <v>696</v>
      </c>
      <c r="B30" s="212"/>
      <c r="C30" s="212"/>
      <c r="D30" s="212"/>
      <c r="E30" s="212"/>
      <c r="F30" s="212"/>
      <c r="G30" s="212"/>
      <c r="H30" s="212"/>
      <c r="I30" s="212"/>
      <c r="J30" s="212" t="str">
        <f>IF(ISNUMBER('Steel Beam Design'!D7003),TEXT('Steel Beam Design'!D7003,"#,##0")&amp;" kNm","")</f>
        <v>43 kNm</v>
      </c>
      <c r="K30" s="212"/>
      <c r="L30" s="212"/>
    </row>
    <row r="31" spans="1:12" ht="19" customHeight="1">
      <c r="A31" s="211"/>
      <c r="B31" s="211"/>
      <c r="C31" s="211"/>
      <c r="D31" s="211"/>
      <c r="E31" s="211"/>
      <c r="F31" s="211"/>
      <c r="G31" s="211"/>
      <c r="H31" s="211"/>
      <c r="I31" s="211"/>
      <c r="J31" s="211"/>
      <c r="K31" s="211"/>
      <c r="L31" s="211"/>
    </row>
    <row r="32" spans="1:12" ht="19" customHeight="1">
      <c r="A32" s="211"/>
      <c r="B32" s="211"/>
      <c r="C32" s="211"/>
      <c r="D32" s="211"/>
      <c r="E32" s="211"/>
      <c r="F32" s="211"/>
      <c r="G32" s="211"/>
      <c r="H32" s="211"/>
      <c r="I32" s="211"/>
      <c r="J32" s="211"/>
      <c r="K32" s="211"/>
      <c r="L32" s="211"/>
    </row>
    <row r="33" spans="1:12" ht="19" customHeight="1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1"/>
    </row>
    <row r="34" spans="1:12" ht="19" customHeight="1">
      <c r="A34" s="212" t="str">
        <f>IF('Steel Beam Design'!S21="OK","∴ Adopt "&amp;'Steel Beam Design'!B21&amp;" "&amp;'Steel Beam Design'!C21,"∴ Adopt: "&amp;'Steel Beam Design'!S21)</f>
        <v>∴ Adopt UC 152x152x23</v>
      </c>
      <c r="B34" s="212"/>
      <c r="C34" s="212"/>
      <c r="D34" s="212"/>
      <c r="E34" s="212"/>
      <c r="F34" s="212"/>
      <c r="G34" s="212"/>
      <c r="H34" s="212"/>
      <c r="I34" s="212"/>
      <c r="J34" s="212"/>
      <c r="K34" s="212"/>
      <c r="L34" s="212"/>
    </row>
    <row r="35" spans="1:12" ht="19" customHeight="1">
      <c r="A35" s="211"/>
      <c r="B35" s="211"/>
      <c r="C35" s="211"/>
      <c r="D35" s="211"/>
      <c r="E35" s="211"/>
      <c r="F35" s="211"/>
      <c r="G35" s="211"/>
      <c r="H35" s="211"/>
      <c r="I35" s="211"/>
      <c r="J35" s="211"/>
      <c r="K35" s="211"/>
      <c r="L35" s="211"/>
    </row>
    <row r="36" spans="1:12" ht="19" customHeight="1">
      <c r="A36" s="211"/>
      <c r="B36" s="211"/>
      <c r="C36" s="211"/>
      <c r="D36" s="212" t="str">
        <f>IF('Steel Beam Design'!S21="OK","Iprov = "&amp;TEXT('Steel Beam Design'!M21,"#,##0")&amp;" cm⁴  ≥  Ireq","")</f>
        <v>Iprov = 1,250 cm⁴  ≥  Ireq</v>
      </c>
      <c r="E36" s="212"/>
      <c r="F36" s="212"/>
      <c r="G36" s="212"/>
      <c r="H36" s="212"/>
      <c r="I36" s="212"/>
      <c r="J36" s="212"/>
      <c r="K36" s="212"/>
      <c r="L36" s="212"/>
    </row>
    <row r="37" spans="1:12" ht="19" customHeight="1">
      <c r="A37" s="211"/>
      <c r="B37" s="211"/>
      <c r="C37" s="211"/>
      <c r="D37" s="212" t="str">
        <f>IF('Steel Beam Design'!S21="OK","Mprov = "&amp;TEXT('Steel Beam Design'!I21,"#,##0")&amp;" kNm  ≥  Mreq","")</f>
        <v>Mprov = 58 kNm  ≥  Mreq</v>
      </c>
      <c r="E37" s="212"/>
      <c r="F37" s="212"/>
      <c r="G37" s="212"/>
      <c r="H37" s="212"/>
      <c r="I37" s="212"/>
      <c r="J37" s="212"/>
      <c r="K37" s="212"/>
      <c r="L37" s="212"/>
    </row>
    <row r="38" spans="1:12" ht="19" customHeight="1">
      <c r="A38" s="211"/>
      <c r="B38" s="211"/>
      <c r="C38" s="211"/>
      <c r="D38" s="211"/>
      <c r="E38" s="211"/>
      <c r="F38" s="211"/>
      <c r="G38" s="211"/>
      <c r="H38" s="211"/>
      <c r="I38" s="211"/>
      <c r="J38" s="211"/>
      <c r="K38" s="211"/>
      <c r="L38" s="211"/>
    </row>
    <row r="39" spans="1:12" ht="19" customHeight="1">
      <c r="A39" s="211"/>
      <c r="B39" s="211"/>
      <c r="C39" s="211"/>
      <c r="D39" s="211"/>
      <c r="E39" s="211"/>
      <c r="F39" s="211"/>
      <c r="G39" s="211"/>
      <c r="H39" s="211"/>
      <c r="I39" s="211"/>
      <c r="J39" s="211"/>
      <c r="K39" s="211"/>
      <c r="L39" s="211"/>
    </row>
    <row r="40" spans="1:12" ht="19" customHeight="1">
      <c r="A40" s="211"/>
      <c r="B40" s="211"/>
      <c r="C40" s="211"/>
      <c r="D40" s="211"/>
      <c r="E40" s="211"/>
      <c r="F40" s="211"/>
      <c r="G40" s="211"/>
      <c r="H40" s="211"/>
      <c r="I40" s="211"/>
      <c r="J40" s="217" t="str">
        <f>IF('Steel Beam Design'!S21="OK","∴ OK",'Steel Beam Design'!S21)</f>
        <v>∴ OK</v>
      </c>
      <c r="K40" s="217"/>
      <c r="L40" s="217"/>
    </row>
    <row r="41" spans="1:12" ht="19" customHeight="1">
      <c r="A41" s="211"/>
      <c r="B41" s="211"/>
      <c r="C41" s="211"/>
      <c r="D41" s="211"/>
      <c r="E41" s="211"/>
      <c r="F41" s="211"/>
      <c r="G41" s="211"/>
      <c r="H41" s="211"/>
      <c r="I41" s="211"/>
      <c r="J41" s="211"/>
      <c r="K41" s="211"/>
      <c r="L41" s="211"/>
    </row>
    <row r="42" spans="1:12" ht="19" customHeight="1">
      <c r="A42" s="211"/>
      <c r="B42" s="211"/>
      <c r="C42" s="211"/>
      <c r="D42" s="211"/>
      <c r="E42" s="211"/>
      <c r="F42" s="211"/>
      <c r="G42" s="211"/>
      <c r="H42" s="211"/>
      <c r="I42" s="211"/>
      <c r="J42" s="211"/>
      <c r="K42" s="211"/>
      <c r="L42" s="211"/>
    </row>
    <row r="43" spans="1:12">
      <c r="A43" s="218"/>
      <c r="B43" s="218"/>
      <c r="C43" s="218"/>
      <c r="D43" s="218"/>
      <c r="E43" s="218"/>
      <c r="F43" s="218"/>
      <c r="G43" s="218"/>
      <c r="H43" s="218"/>
      <c r="I43" s="218"/>
      <c r="J43" s="218"/>
      <c r="K43" s="218"/>
      <c r="L43" s="218"/>
    </row>
    <row r="44" spans="1:12" ht="19" customHeight="1">
      <c r="A44" s="217" t="s">
        <v>697</v>
      </c>
      <c r="B44" s="217"/>
      <c r="C44" s="217"/>
      <c r="D44" s="217"/>
      <c r="E44" s="217"/>
      <c r="F44" s="217"/>
      <c r="G44" s="217"/>
      <c r="H44" s="217"/>
      <c r="I44" s="217"/>
      <c r="J44" s="217"/>
      <c r="K44" s="217"/>
      <c r="L44" s="217"/>
    </row>
    <row r="45" spans="1:12" ht="19" customHeight="1">
      <c r="A45" s="211"/>
      <c r="B45" s="211"/>
      <c r="C45" s="211"/>
      <c r="D45" s="211"/>
      <c r="E45" s="211"/>
      <c r="F45" s="211"/>
      <c r="G45" s="211"/>
      <c r="H45" s="211"/>
      <c r="I45" s="211"/>
      <c r="J45" s="211"/>
      <c r="K45" s="211"/>
      <c r="L45" s="211"/>
    </row>
    <row r="46" spans="1:12" ht="19" customHeight="1">
      <c r="A46" s="212" t="str">
        <f>"Loading assumption: DL = "&amp;TEXT('Steel Beam Design'!B7,"0.00")&amp;" kPa; LL = "&amp;TEXT('Steel Beam Design'!B8,"0.00")&amp;" kPa"</f>
        <v>Loading assumption: DL = 7.00 kPa; LL = 5.00 kPa</v>
      </c>
      <c r="B46" s="212"/>
      <c r="C46" s="212"/>
      <c r="D46" s="212"/>
      <c r="E46" s="212"/>
      <c r="F46" s="212"/>
      <c r="G46" s="212"/>
      <c r="H46" s="212"/>
      <c r="I46" s="212"/>
      <c r="J46" s="212"/>
      <c r="K46" s="212"/>
      <c r="L46" s="212"/>
    </row>
    <row r="47" spans="1:12" ht="19" customHeight="1">
      <c r="A47" s="212" t="str">
        <f>IF(TRUE,"W = "&amp;TEXT(N('Steel Beam Design'!N27),"0.00")&amp;" kN/m;  wlive = "&amp;TEXT(N('Steel Beam Design'!P27),"0.00")&amp;" kN/m","Not active for current framing")</f>
        <v>W = 0.00 kN/m;  wlive = 0.00 kN/m</v>
      </c>
      <c r="B47" s="212"/>
      <c r="C47" s="212"/>
      <c r="D47" s="212"/>
      <c r="E47" s="212"/>
      <c r="F47" s="212"/>
      <c r="G47" s="212"/>
      <c r="H47" s="212"/>
      <c r="I47" s="212"/>
      <c r="J47" s="212"/>
      <c r="K47" s="212"/>
      <c r="L47" s="212"/>
    </row>
    <row r="48" spans="1:12" ht="19" customHeight="1">
      <c r="A48" s="211"/>
      <c r="B48" s="211"/>
      <c r="C48" s="211"/>
      <c r="D48" s="211"/>
      <c r="E48" s="211"/>
      <c r="F48" s="211"/>
      <c r="G48" s="211"/>
      <c r="H48" s="211"/>
      <c r="I48" s="211"/>
      <c r="J48" s="211"/>
      <c r="K48" s="211"/>
      <c r="L48" s="211"/>
    </row>
    <row r="49" spans="1:12" ht="19" customHeight="1">
      <c r="A49" s="211"/>
      <c r="B49" s="211"/>
      <c r="C49" s="211"/>
      <c r="D49" s="211"/>
      <c r="E49" s="211"/>
      <c r="F49" s="211"/>
      <c r="G49" s="211"/>
      <c r="H49" s="211"/>
      <c r="I49" s="211"/>
      <c r="J49" s="211"/>
      <c r="K49" s="211"/>
      <c r="L49" s="211"/>
    </row>
    <row r="50" spans="1:12" ht="19" customHeight="1">
      <c r="A50" s="211"/>
      <c r="B50" s="211"/>
      <c r="C50" s="211"/>
      <c r="D50" s="211"/>
      <c r="E50" s="211"/>
      <c r="F50" s="211"/>
      <c r="G50" s="211"/>
      <c r="H50" s="211"/>
      <c r="I50" s="211"/>
      <c r="J50" s="211"/>
      <c r="K50" s="211"/>
      <c r="L50" s="211"/>
    </row>
    <row r="51" spans="1:12" ht="19" customHeight="1">
      <c r="A51" s="211"/>
      <c r="B51" s="211"/>
      <c r="C51" s="211"/>
      <c r="D51" s="211"/>
      <c r="E51" s="211"/>
      <c r="F51" s="211"/>
      <c r="G51" s="211"/>
      <c r="H51" s="211"/>
      <c r="I51" s="211"/>
      <c r="J51" s="211"/>
      <c r="K51" s="211"/>
      <c r="L51" s="211"/>
    </row>
    <row r="52" spans="1:12" ht="19" customHeight="1">
      <c r="A52" s="211"/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</row>
    <row r="53" spans="1:12" ht="19" customHeight="1">
      <c r="A53" s="211"/>
      <c r="B53" s="211"/>
      <c r="C53" s="211"/>
      <c r="D53" s="211"/>
      <c r="E53" s="211"/>
      <c r="F53" s="211"/>
      <c r="G53" s="211"/>
      <c r="H53" s="211"/>
      <c r="I53" s="211"/>
      <c r="J53" s="211"/>
      <c r="K53" s="211"/>
      <c r="L53" s="211"/>
    </row>
    <row r="54" spans="1:12" ht="19" customHeight="1">
      <c r="A54" s="211"/>
      <c r="B54" s="211"/>
      <c r="C54" s="211"/>
      <c r="D54" s="211"/>
      <c r="E54" s="211"/>
      <c r="F54" s="211"/>
      <c r="G54" s="211"/>
      <c r="H54" s="211"/>
      <c r="I54" s="211"/>
      <c r="J54" s="211"/>
      <c r="K54" s="211"/>
      <c r="L54" s="211"/>
    </row>
    <row r="55" spans="1:12" ht="19" customHeight="1">
      <c r="A55" s="211"/>
      <c r="B55" s="211"/>
      <c r="C55" s="211"/>
      <c r="D55" s="211"/>
      <c r="E55" s="211"/>
      <c r="F55" s="211"/>
      <c r="G55" s="211"/>
      <c r="H55" s="211"/>
      <c r="I55" s="211"/>
      <c r="J55" s="211"/>
      <c r="K55" s="211"/>
      <c r="L55" s="211"/>
    </row>
    <row r="56" spans="1:12" ht="19" customHeight="1">
      <c r="A56" s="214" t="str">
        <f>IF(TRUE,"L = "&amp;TEXT('Steel Beam Design'!B27,"0.00")&amp;" m","")</f>
        <v>L = 10.00 m</v>
      </c>
      <c r="B56" s="214"/>
      <c r="C56" s="214"/>
      <c r="D56" s="214"/>
      <c r="E56" s="214"/>
      <c r="F56" s="214"/>
      <c r="G56" s="214"/>
      <c r="H56" s="214"/>
      <c r="I56" s="214"/>
      <c r="J56" s="214"/>
      <c r="K56" s="214"/>
      <c r="L56" s="214"/>
    </row>
    <row r="57" spans="1:12" ht="19" customHeight="1">
      <c r="A57" s="214" t="str">
        <f>IF(TRUE,'Steel Beam Design'!C27,"")</f>
        <v>Simply Supported</v>
      </c>
      <c r="B57" s="214"/>
      <c r="C57" s="214"/>
      <c r="D57" s="214"/>
      <c r="E57" s="214"/>
      <c r="F57" s="214"/>
      <c r="G57" s="214"/>
      <c r="H57" s="214"/>
      <c r="I57" s="214"/>
      <c r="J57" s="214"/>
      <c r="K57" s="214"/>
      <c r="L57" s="214"/>
    </row>
    <row r="58" spans="1:12" ht="19" customHeight="1">
      <c r="A58" s="219" t="str">
        <f>IF('Steel Beam Design'!B6&gt;5,"n = "&amp;TEXT('Steel Beam Design'!B6,"0")&amp;" equal point loads; all included",IF(AND(TRUE,N('Steel Beam Design'!D27)&lt;&gt;0),"P1 = "&amp;TEXT('Steel Beam Design'!D27,"0.00")&amp;" kN;  a1 = "&amp;TEXT('Steel Beam Design'!E27,"0.00")&amp;" m from left;  Plive = "&amp;TEXT(N('Steel Beam Design'!Q27),"0.00")&amp;" kN",""))</f>
        <v>P1 = 111.25 kN;  a1 = 5.00 m from left;  Plive = 31.25 kN</v>
      </c>
      <c r="B58" s="219"/>
      <c r="C58" s="219"/>
      <c r="D58" s="219"/>
      <c r="E58" s="219"/>
      <c r="F58" s="219"/>
      <c r="G58" s="219"/>
      <c r="H58" s="219"/>
      <c r="I58" s="219"/>
      <c r="J58" s="219"/>
      <c r="K58" s="219"/>
      <c r="L58" s="219"/>
    </row>
    <row r="59" spans="1:12" ht="19" customHeight="1">
      <c r="A59" s="219" t="str">
        <f>IF('Steel Beam Design'!B6&gt;5,"Pi = "&amp;TEXT('Steel Beam Design'!D27,"0.00")&amp;" kN; Plive = "&amp;TEXT('Steel Beam Design'!Q27,"0.00")&amp;" kN (each)",IF(AND(TRUE,N('Steel Beam Design'!F27)&lt;&gt;0),"P2 = "&amp;TEXT('Steel Beam Design'!F27,"0.00")&amp;" kN;  a2 = "&amp;TEXT('Steel Beam Design'!G27,"0.00")&amp;" m from left;  Plive = "&amp;TEXT(N('Steel Beam Design'!Q27),"0.00")&amp;" kN",""))</f>
        <v/>
      </c>
      <c r="B59" s="219"/>
      <c r="C59" s="219"/>
      <c r="D59" s="219"/>
      <c r="E59" s="219"/>
      <c r="F59" s="219"/>
      <c r="G59" s="219"/>
      <c r="H59" s="219"/>
      <c r="I59" s="219"/>
      <c r="J59" s="219"/>
      <c r="K59" s="219"/>
      <c r="L59" s="219"/>
    </row>
    <row r="60" spans="1:12" ht="19" customHeight="1">
      <c r="A60" s="219" t="str">
        <f>IF('Steel Beam Design'!B6&gt;5,"ai = i L / (n + 1), i = 1 ... n; spacing = "&amp;TEXT('Steel Beam Design'!B27/('Steel Beam Design'!B6+1),"0.000")&amp;" m",IF(AND(TRUE,N('Steel Beam Design'!H27)&lt;&gt;0),"P3 = "&amp;TEXT('Steel Beam Design'!H27,"0.00")&amp;" kN;  a3 = "&amp;TEXT('Steel Beam Design'!I27,"0.00")&amp;" m from left;  Plive = "&amp;TEXT(N('Steel Beam Design'!Q27),"0.00")&amp;" kN",""))</f>
        <v/>
      </c>
      <c r="B60" s="219"/>
      <c r="C60" s="219"/>
      <c r="D60" s="219"/>
      <c r="E60" s="219"/>
      <c r="F60" s="219"/>
      <c r="G60" s="219"/>
      <c r="H60" s="219"/>
      <c r="I60" s="219"/>
      <c r="J60" s="219"/>
      <c r="K60" s="219"/>
      <c r="L60" s="219"/>
    </row>
    <row r="61" spans="1:12" ht="19" customHeight="1">
      <c r="A61" s="219" t="str">
        <f>IF('Steel Beam Design'!B6&gt;5,"Diagram is schematic; count and formulas include every reaction.",IF(AND(TRUE,N('Steel Beam Design'!J27)&lt;&gt;0),"P4 = "&amp;TEXT('Steel Beam Design'!J27,"0.00")&amp;" kN;  a4 = "&amp;TEXT('Steel Beam Design'!K27,"0.00")&amp;" m from left;  Plive = "&amp;TEXT(N('Steel Beam Design'!Q27),"0.00")&amp;" kN",""))</f>
        <v/>
      </c>
      <c r="B61" s="219"/>
      <c r="C61" s="219"/>
      <c r="D61" s="219"/>
      <c r="E61" s="219"/>
      <c r="F61" s="219"/>
      <c r="G61" s="219"/>
      <c r="H61" s="219"/>
      <c r="I61" s="219"/>
      <c r="J61" s="219"/>
      <c r="K61" s="219"/>
      <c r="L61" s="219"/>
    </row>
    <row r="62" spans="1:12" ht="19" customHeight="1">
      <c r="A62" s="219" t="str">
        <f>IF('Steel Beam Design'!B6&gt;5,"",IF(AND(TRUE,N('Steel Beam Design'!L27)&lt;&gt;0),"P5 = "&amp;TEXT('Steel Beam Design'!L27,"0.00")&amp;" kN;  a5 = "&amp;TEXT('Steel Beam Design'!M27,"0.00")&amp;" m from left;  Plive = "&amp;TEXT(N('Steel Beam Design'!Q27),"0.00")&amp;" kN",""))</f>
        <v/>
      </c>
      <c r="B62" s="219"/>
      <c r="C62" s="219"/>
      <c r="D62" s="219"/>
      <c r="E62" s="219"/>
      <c r="F62" s="219"/>
      <c r="G62" s="219"/>
      <c r="H62" s="219"/>
      <c r="I62" s="219"/>
      <c r="J62" s="219"/>
      <c r="K62" s="219"/>
      <c r="L62" s="219"/>
    </row>
    <row r="63" spans="1:12" ht="19" customHeight="1">
      <c r="A63" s="219" t="str">
        <f>IF(AND(TRUE,N('Steel Beam Design'!R27)&lt;&gt;0),"Pend = "&amp;TEXT('Steel Beam Design'!R27,"0.00")&amp;" kN at L;  Pend,live = "&amp;TEXT(N('Steel Beam Design'!S27),"0.00")&amp;" kN","")</f>
        <v/>
      </c>
      <c r="B63" s="219"/>
      <c r="C63" s="219"/>
      <c r="D63" s="219"/>
      <c r="E63" s="219"/>
      <c r="F63" s="219"/>
      <c r="G63" s="219"/>
      <c r="H63" s="219"/>
      <c r="I63" s="219"/>
      <c r="J63" s="219"/>
      <c r="K63" s="219"/>
      <c r="L63" s="219"/>
    </row>
    <row r="64" spans="1:12" ht="19" customHeight="1">
      <c r="A64" s="211"/>
      <c r="B64" s="211"/>
      <c r="C64" s="211"/>
      <c r="D64" s="211"/>
      <c r="E64" s="211"/>
      <c r="F64" s="211"/>
      <c r="G64" s="211"/>
      <c r="H64" s="211"/>
      <c r="I64" s="211"/>
      <c r="J64" s="211"/>
      <c r="K64" s="211"/>
      <c r="L64" s="211"/>
    </row>
    <row r="65" spans="1:12" ht="19" customHeight="1">
      <c r="A65" s="212" t="str">
        <f>"For deflection ≤ L / "&amp;TEXT('Steel Beam Design'!H10,"0")</f>
        <v>For deflection ≤ L / 360</v>
      </c>
      <c r="B65" s="212"/>
      <c r="C65" s="212"/>
      <c r="D65" s="212"/>
      <c r="E65" s="212"/>
      <c r="F65" s="212"/>
      <c r="G65" s="212"/>
      <c r="H65" s="212"/>
      <c r="I65" s="212"/>
      <c r="J65" s="212"/>
      <c r="K65" s="212"/>
      <c r="L65" s="212"/>
    </row>
    <row r="66" spans="1:12" ht="19" customHeight="1">
      <c r="A66" s="211"/>
      <c r="B66" s="211"/>
      <c r="C66" s="211"/>
      <c r="D66" s="211"/>
      <c r="E66" s="211"/>
      <c r="F66" s="211"/>
      <c r="G66" s="211"/>
      <c r="H66" s="211"/>
      <c r="I66" s="211"/>
      <c r="J66" s="211"/>
      <c r="K66" s="211"/>
      <c r="L66" s="211"/>
    </row>
    <row r="67" spans="1:12" ht="19" customHeight="1">
      <c r="A67" s="220" t="str">
        <f>'Steel Beam Design'!A7060</f>
        <v>SB2 live-load short form: 3.66 P_live L²; P_live = each point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</row>
    <row r="68" spans="1:12" ht="19" customHeight="1">
      <c r="A68" s="212" t="str">
        <f>IF(AND(TRUE,ISNUMBER('Steel Beam Design'!D7061)),"Imin = "&amp;TEXT('Steel Beam Design'!D7061,"#,##0")&amp;" cm⁴","")</f>
        <v>Imin = 11,433 cm⁴</v>
      </c>
      <c r="B68" s="212"/>
      <c r="C68" s="212"/>
      <c r="D68" s="212"/>
      <c r="E68" s="212"/>
      <c r="F68" s="212"/>
      <c r="G68" s="212"/>
      <c r="H68" s="212"/>
      <c r="I68" s="212"/>
      <c r="J68" s="212"/>
      <c r="K68" s="212"/>
      <c r="L68" s="212"/>
    </row>
    <row r="69" spans="1:12" ht="19" customHeight="1">
      <c r="A69" s="211"/>
      <c r="B69" s="211"/>
      <c r="C69" s="211"/>
      <c r="D69" s="211"/>
      <c r="E69" s="211"/>
      <c r="F69" s="211"/>
      <c r="G69" s="211"/>
      <c r="H69" s="211"/>
      <c r="I69" s="211"/>
      <c r="J69" s="211"/>
      <c r="K69" s="211"/>
      <c r="L69" s="211"/>
    </row>
    <row r="70" spans="1:12" ht="19" customHeight="1">
      <c r="A70" s="212" t="s">
        <v>694</v>
      </c>
      <c r="B70" s="212"/>
      <c r="C70" s="212"/>
      <c r="D70" s="212"/>
      <c r="E70" s="212"/>
      <c r="F70" s="212"/>
      <c r="G70" s="212"/>
      <c r="H70" s="212"/>
      <c r="I70" s="212"/>
      <c r="J70" s="212"/>
      <c r="K70" s="212"/>
      <c r="L70" s="212"/>
    </row>
    <row r="71" spans="1:12" ht="19" customHeight="1">
      <c r="A71" s="212" t="s">
        <v>695</v>
      </c>
      <c r="B71" s="212"/>
      <c r="C71" s="212"/>
      <c r="D71" s="212"/>
      <c r="E71" s="212"/>
      <c r="F71" s="212"/>
      <c r="G71" s="212"/>
      <c r="H71" s="212"/>
      <c r="I71" s="212"/>
      <c r="J71" s="212" t="str">
        <f>IF(AND(TRUE,ISNUMBER('Steel Beam Design'!D7067)),TEXT('Steel Beam Design'!D7067,"#,##0")&amp;" cm⁴","")</f>
        <v>4,083 cm⁴</v>
      </c>
      <c r="K71" s="212"/>
      <c r="L71" s="212"/>
    </row>
    <row r="72" spans="1:12" ht="19" customHeight="1">
      <c r="A72" s="211"/>
      <c r="B72" s="211"/>
      <c r="C72" s="211"/>
      <c r="D72" s="211"/>
      <c r="E72" s="211"/>
      <c r="F72" s="211"/>
      <c r="G72" s="211"/>
      <c r="H72" s="211"/>
      <c r="I72" s="211"/>
      <c r="J72" s="211"/>
      <c r="K72" s="211"/>
      <c r="L72" s="211"/>
    </row>
    <row r="73" spans="1:12" ht="19" customHeight="1">
      <c r="A73" s="212" t="str">
        <f>"Mmax = P L floor((n+1)^2/4) / [2(n+1)]; n = "&amp;TEXT('Steel Beam Design'!B6,"0")</f>
        <v>Mmax = P L floor((n+1)^2/4) / [2(n+1)]; n = 1</v>
      </c>
      <c r="B73" s="212"/>
      <c r="C73" s="212"/>
      <c r="D73" s="212"/>
      <c r="E73" s="212"/>
      <c r="F73" s="212"/>
      <c r="G73" s="212"/>
      <c r="H73" s="212"/>
      <c r="I73" s="212"/>
      <c r="J73" s="212"/>
      <c r="K73" s="212"/>
      <c r="L73" s="212"/>
    </row>
    <row r="74" spans="1:12" ht="19" customHeight="1">
      <c r="A74" s="220" t="str">
        <f>IF(OR(NOT(TRUE),'Steel Beam Design'!C27="Cantilever Supported"),"",IF('Steel Beam Design'!C27="Simply Supported","M(x) = RA x − W x²/2 − Σ[Pi(x−ai)] for ai ≤ x","M(x) = MA + RA x − W x²/2 − Σ[Pi(x−ai)] for ai ≤ x"))</f>
        <v>M(x) = RA x − W x²/2 − Σ[Pi(x−ai)] for ai ≤ x</v>
      </c>
      <c r="B74" s="220"/>
      <c r="C74" s="220"/>
      <c r="D74" s="220"/>
      <c r="E74" s="220"/>
      <c r="F74" s="220"/>
      <c r="G74" s="220"/>
      <c r="H74" s="220"/>
      <c r="I74" s="220"/>
      <c r="J74" s="220"/>
      <c r="K74" s="220"/>
      <c r="L74" s="220"/>
    </row>
    <row r="75" spans="1:12" ht="19" customHeight="1">
      <c r="A75" s="211"/>
      <c r="B75" s="211"/>
      <c r="C75" s="211"/>
      <c r="D75" s="211"/>
      <c r="E75" s="211"/>
      <c r="F75" s="211"/>
      <c r="G75" s="211"/>
      <c r="H75" s="211"/>
      <c r="I75" s="211"/>
      <c r="J75" s="212" t="str">
        <f>IF(AND(TRUE,ISNUMBER('Steel Beam Design'!O27)),TEXT('Steel Beam Design'!O27,"#,##0")&amp;" kNm","")</f>
        <v>278 kNm</v>
      </c>
      <c r="K75" s="212"/>
      <c r="L75" s="212"/>
    </row>
    <row r="76" spans="1:12" ht="19" customHeight="1">
      <c r="A76" s="211"/>
      <c r="B76" s="211"/>
      <c r="C76" s="211"/>
      <c r="D76" s="211"/>
      <c r="E76" s="211"/>
      <c r="F76" s="211"/>
      <c r="G76" s="211"/>
      <c r="H76" s="211"/>
      <c r="I76" s="211"/>
      <c r="J76" s="211"/>
      <c r="K76" s="211"/>
      <c r="L76" s="211"/>
    </row>
    <row r="77" spans="1:12" ht="19" customHeight="1">
      <c r="A77" s="212" t="s">
        <v>694</v>
      </c>
      <c r="B77" s="212"/>
      <c r="C77" s="212"/>
      <c r="D77" s="212"/>
      <c r="E77" s="212"/>
      <c r="F77" s="212"/>
      <c r="G77" s="212"/>
      <c r="H77" s="212"/>
      <c r="I77" s="212"/>
      <c r="J77" s="212"/>
      <c r="K77" s="212"/>
      <c r="L77" s="212"/>
    </row>
    <row r="78" spans="1:12" ht="19" customHeight="1">
      <c r="A78" s="212" t="s">
        <v>696</v>
      </c>
      <c r="B78" s="212"/>
      <c r="C78" s="212"/>
      <c r="D78" s="212"/>
      <c r="E78" s="212"/>
      <c r="F78" s="212"/>
      <c r="G78" s="212"/>
      <c r="H78" s="212"/>
      <c r="I78" s="212"/>
      <c r="J78" s="212" t="str">
        <f>IF(AND(TRUE,ISNUMBER('Steel Beam Design'!O27)),TEXT('Steel Beam Design'!O27/1.6,"#,##0")&amp;" kNm","")</f>
        <v>174 kNm</v>
      </c>
      <c r="K78" s="212"/>
      <c r="L78" s="212"/>
    </row>
    <row r="79" spans="1:12" ht="19" customHeight="1">
      <c r="A79" s="211"/>
      <c r="B79" s="211"/>
      <c r="C79" s="211"/>
      <c r="D79" s="211"/>
      <c r="E79" s="211"/>
      <c r="F79" s="211"/>
      <c r="G79" s="211"/>
      <c r="H79" s="211"/>
      <c r="I79" s="211"/>
      <c r="J79" s="211"/>
      <c r="K79" s="211"/>
      <c r="L79" s="211"/>
    </row>
    <row r="80" spans="1:12" ht="19" customHeight="1">
      <c r="A80" s="212" t="str">
        <f>IF('Steel Beam Design'!S22="OK","∴ Adopt "&amp;'Steel Beam Design'!B22&amp;" "&amp;'Steel Beam Design'!C22,"∴ Adopt: "&amp;'Steel Beam Design'!S22)</f>
        <v>∴ Adopt UC 203x203x60</v>
      </c>
      <c r="B80" s="212"/>
      <c r="C80" s="212"/>
      <c r="D80" s="212"/>
      <c r="E80" s="212"/>
      <c r="F80" s="212"/>
      <c r="G80" s="212"/>
      <c r="H80" s="212"/>
      <c r="I80" s="212"/>
      <c r="J80" s="212"/>
      <c r="K80" s="212"/>
      <c r="L80" s="212"/>
    </row>
    <row r="81" spans="1:12" ht="19" customHeight="1">
      <c r="A81" s="211"/>
      <c r="B81" s="211"/>
      <c r="C81" s="211"/>
      <c r="D81" s="211"/>
      <c r="E81" s="211"/>
      <c r="F81" s="211"/>
      <c r="G81" s="211"/>
      <c r="H81" s="211"/>
      <c r="I81" s="211"/>
      <c r="J81" s="211"/>
      <c r="K81" s="211"/>
      <c r="L81" s="211"/>
    </row>
    <row r="82" spans="1:12" ht="19" customHeight="1">
      <c r="A82" s="211"/>
      <c r="B82" s="211"/>
      <c r="C82" s="211"/>
      <c r="D82" s="212" t="str">
        <f>IF('Steel Beam Design'!S22="OK","Iprov = "&amp;TEXT('Steel Beam Design'!M22,"#,##0")&amp;" cm⁴ ≥ Ireq","")</f>
        <v>Iprov = 6,125 cm⁴ ≥ Ireq</v>
      </c>
      <c r="E82" s="212"/>
      <c r="F82" s="212"/>
      <c r="G82" s="212"/>
      <c r="H82" s="212"/>
      <c r="I82" s="212"/>
      <c r="J82" s="212"/>
      <c r="K82" s="212"/>
      <c r="L82" s="212"/>
    </row>
    <row r="83" spans="1:12" ht="19" customHeight="1">
      <c r="A83" s="211"/>
      <c r="B83" s="211"/>
      <c r="C83" s="211"/>
      <c r="D83" s="212" t="str">
        <f>IF('Steel Beam Design'!S22="OK","Mprov = "&amp;TEXT('Steel Beam Design'!I22,"#,##0")&amp;" kNm ≥ Mreq","")</f>
        <v>Mprov = 233 kNm ≥ Mreq</v>
      </c>
      <c r="E83" s="212"/>
      <c r="F83" s="212"/>
      <c r="G83" s="212"/>
      <c r="H83" s="212"/>
      <c r="I83" s="212"/>
      <c r="J83" s="212"/>
      <c r="K83" s="212"/>
      <c r="L83" s="212"/>
    </row>
    <row r="84" spans="1:12" ht="19" customHeight="1">
      <c r="A84" s="211"/>
      <c r="B84" s="211"/>
      <c r="C84" s="211"/>
      <c r="D84" s="211"/>
      <c r="E84" s="211"/>
      <c r="F84" s="211"/>
      <c r="G84" s="211"/>
      <c r="H84" s="211"/>
      <c r="I84" s="211"/>
      <c r="J84" s="211"/>
      <c r="K84" s="211"/>
      <c r="L84" s="211"/>
    </row>
    <row r="85" spans="1:12" ht="19" customHeight="1">
      <c r="A85" s="211"/>
      <c r="B85" s="211"/>
      <c r="C85" s="211"/>
      <c r="D85" s="211"/>
      <c r="E85" s="211"/>
      <c r="F85" s="211"/>
      <c r="G85" s="211"/>
      <c r="H85" s="211"/>
      <c r="I85" s="211"/>
      <c r="J85" s="212" t="str">
        <f>IF('Steel Beam Design'!S22="OK","∴ OK",'Steel Beam Design'!S22)</f>
        <v>∴ OK</v>
      </c>
      <c r="K85" s="212"/>
      <c r="L85" s="212"/>
    </row>
    <row r="86" spans="1:12" ht="19" customHeight="1">
      <c r="A86" s="211"/>
      <c r="B86" s="211"/>
      <c r="C86" s="211"/>
      <c r="D86" s="211"/>
      <c r="E86" s="211"/>
      <c r="F86" s="211"/>
      <c r="G86" s="211"/>
      <c r="H86" s="211"/>
      <c r="I86" s="211"/>
      <c r="J86" s="211"/>
      <c r="K86" s="211"/>
      <c r="L86" s="211"/>
    </row>
    <row r="87" spans="1:12" ht="19" customHeight="1">
      <c r="A87" s="217" t="s">
        <v>698</v>
      </c>
      <c r="B87" s="217"/>
      <c r="C87" s="217"/>
      <c r="D87" s="217"/>
      <c r="E87" s="217"/>
      <c r="F87" s="217"/>
      <c r="G87" s="217"/>
      <c r="H87" s="217"/>
      <c r="I87" s="217"/>
      <c r="J87" s="217"/>
      <c r="K87" s="217"/>
      <c r="L87" s="217"/>
    </row>
    <row r="88" spans="1:12" ht="19" customHeight="1">
      <c r="A88" s="211"/>
      <c r="B88" s="211"/>
      <c r="C88" s="211"/>
      <c r="D88" s="211"/>
      <c r="E88" s="211"/>
      <c r="F88" s="211"/>
      <c r="G88" s="211"/>
      <c r="H88" s="211"/>
      <c r="I88" s="211"/>
      <c r="J88" s="211"/>
      <c r="K88" s="211"/>
      <c r="L88" s="211"/>
    </row>
    <row r="89" spans="1:12" ht="19" customHeight="1">
      <c r="A89" s="212" t="str">
        <f>"Loading assumption: DL = "&amp;TEXT('Steel Beam Design'!B7,"0.00")&amp;" kPa; LL = "&amp;TEXT('Steel Beam Design'!B8,"0.00")&amp;" kPa"</f>
        <v>Loading assumption: DL = 7.00 kPa; LL = 5.00 kPa</v>
      </c>
      <c r="B89" s="212"/>
      <c r="C89" s="212"/>
      <c r="D89" s="212"/>
      <c r="E89" s="212"/>
      <c r="F89" s="212"/>
      <c r="G89" s="212"/>
      <c r="H89" s="212"/>
      <c r="I89" s="212"/>
      <c r="J89" s="212"/>
      <c r="K89" s="212"/>
      <c r="L89" s="212"/>
    </row>
    <row r="90" spans="1:12" ht="19" customHeight="1">
      <c r="A90" s="212" t="str">
        <f>IF('Steel Beam Design'!B3="Cantilever Supported","W = "&amp;TEXT(N('Steel Beam Design'!N28),"0.00")&amp;" kN/m;  wlive = "&amp;TEXT(N('Steel Beam Design'!P28),"0.00")&amp;" kN/m","Not active for current framing")</f>
        <v>Not active for current framing</v>
      </c>
      <c r="B90" s="212"/>
      <c r="C90" s="212"/>
      <c r="D90" s="212"/>
      <c r="E90" s="212"/>
      <c r="F90" s="212"/>
      <c r="G90" s="212"/>
      <c r="H90" s="212"/>
      <c r="I90" s="212"/>
      <c r="J90" s="212"/>
      <c r="K90" s="212"/>
      <c r="L90" s="212"/>
    </row>
    <row r="91" spans="1:12" ht="19" customHeight="1">
      <c r="A91" s="211"/>
      <c r="B91" s="211"/>
      <c r="C91" s="211"/>
      <c r="D91" s="211"/>
      <c r="E91" s="211"/>
      <c r="F91" s="211"/>
      <c r="G91" s="211"/>
      <c r="H91" s="211"/>
      <c r="I91" s="211"/>
      <c r="J91" s="211"/>
      <c r="K91" s="211"/>
      <c r="L91" s="211"/>
    </row>
    <row r="92" spans="1:12" ht="19" customHeight="1">
      <c r="A92" s="211"/>
      <c r="B92" s="211"/>
      <c r="C92" s="211"/>
      <c r="D92" s="211"/>
      <c r="E92" s="211"/>
      <c r="F92" s="211"/>
      <c r="G92" s="211"/>
      <c r="H92" s="211"/>
      <c r="I92" s="211"/>
      <c r="J92" s="211"/>
      <c r="K92" s="211"/>
      <c r="L92" s="211"/>
    </row>
    <row r="93" spans="1:12" ht="19" customHeight="1">
      <c r="A93" s="211"/>
      <c r="B93" s="211"/>
      <c r="C93" s="211"/>
      <c r="D93" s="211"/>
      <c r="E93" s="211"/>
      <c r="F93" s="211"/>
      <c r="G93" s="211"/>
      <c r="H93" s="211"/>
      <c r="I93" s="211"/>
      <c r="J93" s="211"/>
      <c r="K93" s="211"/>
      <c r="L93" s="211"/>
    </row>
    <row r="94" spans="1:12" ht="19" customHeight="1">
      <c r="A94" s="211"/>
      <c r="B94" s="211"/>
      <c r="C94" s="211"/>
      <c r="D94" s="211"/>
      <c r="E94" s="211"/>
      <c r="F94" s="211"/>
      <c r="G94" s="211"/>
      <c r="H94" s="211"/>
      <c r="I94" s="211"/>
      <c r="J94" s="211"/>
      <c r="K94" s="211"/>
      <c r="L94" s="211"/>
    </row>
    <row r="95" spans="1:12" ht="19" customHeight="1">
      <c r="A95" s="211"/>
      <c r="B95" s="211"/>
      <c r="C95" s="211"/>
      <c r="D95" s="211"/>
      <c r="E95" s="211"/>
      <c r="F95" s="211"/>
      <c r="G95" s="211"/>
      <c r="H95" s="211"/>
      <c r="I95" s="211"/>
      <c r="J95" s="211"/>
      <c r="K95" s="211"/>
      <c r="L95" s="211"/>
    </row>
    <row r="96" spans="1:12" ht="19" customHeight="1">
      <c r="A96" s="211"/>
      <c r="B96" s="211"/>
      <c r="C96" s="211"/>
      <c r="D96" s="211"/>
      <c r="E96" s="211"/>
      <c r="F96" s="211"/>
      <c r="G96" s="211"/>
      <c r="H96" s="211"/>
      <c r="I96" s="211"/>
      <c r="J96" s="211"/>
      <c r="K96" s="211"/>
      <c r="L96" s="211"/>
    </row>
    <row r="97" spans="1:12" ht="19" customHeight="1">
      <c r="A97" s="211"/>
      <c r="B97" s="211"/>
      <c r="C97" s="211"/>
      <c r="D97" s="211"/>
      <c r="E97" s="211"/>
      <c r="F97" s="211"/>
      <c r="G97" s="211"/>
      <c r="H97" s="211"/>
      <c r="I97" s="211"/>
      <c r="J97" s="211"/>
      <c r="K97" s="211"/>
      <c r="L97" s="211"/>
    </row>
    <row r="98" spans="1:12" ht="19" customHeight="1">
      <c r="A98" s="211"/>
      <c r="B98" s="211"/>
      <c r="C98" s="211"/>
      <c r="D98" s="211"/>
      <c r="E98" s="211"/>
      <c r="F98" s="211"/>
      <c r="G98" s="211"/>
      <c r="H98" s="211"/>
      <c r="I98" s="211"/>
      <c r="J98" s="211"/>
      <c r="K98" s="211"/>
      <c r="L98" s="211"/>
    </row>
    <row r="99" spans="1:12" ht="19" customHeight="1">
      <c r="A99" s="214" t="str">
        <f>IF('Steel Beam Design'!B3="Cantilever Supported","L = "&amp;TEXT('Steel Beam Design'!B28,"0.00")&amp;" m","")</f>
        <v/>
      </c>
      <c r="B99" s="214"/>
      <c r="C99" s="214"/>
      <c r="D99" s="214"/>
      <c r="E99" s="214"/>
      <c r="F99" s="214"/>
      <c r="G99" s="214"/>
      <c r="H99" s="214"/>
      <c r="I99" s="214"/>
      <c r="J99" s="214"/>
      <c r="K99" s="214"/>
      <c r="L99" s="214"/>
    </row>
    <row r="100" spans="1:12" ht="19" customHeight="1">
      <c r="A100" s="214" t="str">
        <f>IF('Steel Beam Design'!B3="Cantilever Supported",'Steel Beam Design'!C28,"")</f>
        <v/>
      </c>
      <c r="B100" s="214"/>
      <c r="C100" s="214"/>
      <c r="D100" s="214"/>
      <c r="E100" s="214"/>
      <c r="F100" s="214"/>
      <c r="G100" s="214"/>
      <c r="H100" s="214"/>
      <c r="I100" s="214"/>
      <c r="J100" s="214"/>
      <c r="K100" s="214"/>
      <c r="L100" s="214"/>
    </row>
    <row r="101" spans="1:12" ht="19" customHeight="1">
      <c r="A101" s="219" t="str">
        <f>IF(AND('Steel Beam Design'!B3="Cantilever Supported",'Steel Beam Design'!H4=90,'Steel Beam Design'!H6&gt;5),"n = "&amp;TEXT('Steel Beam Design'!H6,"0")&amp;" equal point loads; all included",IF(AND('Steel Beam Design'!B3="Cantilever Supported",N('Steel Beam Design'!D28)&lt;&gt;0),"P1 = "&amp;TEXT('Steel Beam Design'!D28,"0.00")&amp;" kN;  a1 = "&amp;TEXT('Steel Beam Design'!E28,"0.00")&amp;" m from left;  Plive = "&amp;TEXT(N('Steel Beam Design'!Q28),"0.00")&amp;" kN",""))</f>
        <v/>
      </c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</row>
    <row r="102" spans="1:12" ht="19" customHeight="1">
      <c r="A102" s="219" t="str">
        <f>IF(AND('Steel Beam Design'!B3="Cantilever Supported",'Steel Beam Design'!H4=90,'Steel Beam Design'!H6&gt;5),"Pi = "&amp;TEXT('Steel Beam Design'!D28,"0.00")&amp;" kN; Plive = "&amp;TEXT('Steel Beam Design'!Q28,"0.00")&amp;" kN (each)",IF(AND('Steel Beam Design'!B3="Cantilever Supported",N('Steel Beam Design'!F28)&lt;&gt;0),"P2 = "&amp;TEXT('Steel Beam Design'!F28,"0.00")&amp;" kN;  a2 = "&amp;TEXT('Steel Beam Design'!G28,"0.00")&amp;" m from left;  Plive = "&amp;TEXT(N('Steel Beam Design'!Q28),"0.00")&amp;" kN",""))</f>
        <v/>
      </c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</row>
    <row r="103" spans="1:12" ht="19" customHeight="1">
      <c r="A103" s="219" t="str">
        <f>IF(AND('Steel Beam Design'!B3="Cantilever Supported",'Steel Beam Design'!H4=90,'Steel Beam Design'!H6&gt;5),"ai = i L / (n + 1), i = 1 ... n; spacing = "&amp;TEXT('Steel Beam Design'!B28/('Steel Beam Design'!H6+1),"0.000")&amp;" m",IF(AND('Steel Beam Design'!B3="Cantilever Supported",N('Steel Beam Design'!H28)&lt;&gt;0),"P3 = "&amp;TEXT('Steel Beam Design'!H28,"0.00")&amp;" kN;  a3 = "&amp;TEXT('Steel Beam Design'!I28,"0.00")&amp;" m from left;  Plive = "&amp;TEXT(N('Steel Beam Design'!Q28),"0.00")&amp;" kN",""))</f>
        <v/>
      </c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</row>
    <row r="104" spans="1:12" ht="19" customHeight="1">
      <c r="A104" s="219" t="str">
        <f>IF(AND('Steel Beam Design'!B3="Cantilever Supported",'Steel Beam Design'!H4=90,'Steel Beam Design'!H6&gt;5),"Diagram is schematic; count and formulas include every reaction.",IF(AND('Steel Beam Design'!B3="Cantilever Supported",N('Steel Beam Design'!J28)&lt;&gt;0),"P4 = "&amp;TEXT('Steel Beam Design'!J28,"0.00")&amp;" kN;  a4 = "&amp;TEXT('Steel Beam Design'!K28,"0.00")&amp;" m from left;  Plive = "&amp;TEXT(N('Steel Beam Design'!Q28),"0.00")&amp;" kN",""))</f>
        <v/>
      </c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</row>
    <row r="105" spans="1:12" ht="19" customHeight="1">
      <c r="A105" s="219" t="str">
        <f>IF(AND('Steel Beam Design'!B3="Cantilever Supported",'Steel Beam Design'!H4=90,'Steel Beam Design'!H6&gt;5),"",IF(AND('Steel Beam Design'!B3="Cantilever Supported",N('Steel Beam Design'!L28)&lt;&gt;0),"P5 = "&amp;TEXT('Steel Beam Design'!L28,"0.00")&amp;" kN;  a5 = "&amp;TEXT('Steel Beam Design'!M28,"0.00")&amp;" m from left;  Plive = "&amp;TEXT(N('Steel Beam Design'!Q28),"0.00")&amp;" kN",""))</f>
        <v/>
      </c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</row>
    <row r="106" spans="1:12" ht="19" customHeight="1">
      <c r="A106" s="219" t="str">
        <f>IF(AND('Steel Beam Design'!B3="Cantilever Supported",N('Steel Beam Design'!R28)&lt;&gt;0),"Pend = "&amp;TEXT('Steel Beam Design'!R28,"0.00")&amp;" kN at L;  Pend,live = "&amp;TEXT(N('Steel Beam Design'!S28),"0.00")&amp;" kN","")</f>
        <v/>
      </c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</row>
    <row r="107" spans="1:12" ht="19" customHeight="1">
      <c r="A107" s="211"/>
      <c r="B107" s="211"/>
      <c r="C107" s="211"/>
      <c r="D107" s="211"/>
      <c r="E107" s="211"/>
      <c r="F107" s="211"/>
      <c r="G107" s="211"/>
      <c r="H107" s="211"/>
      <c r="I107" s="211"/>
      <c r="J107" s="211"/>
      <c r="K107" s="211"/>
      <c r="L107" s="211"/>
    </row>
    <row r="108" spans="1:12" ht="19" customHeight="1">
      <c r="A108" s="212" t="str">
        <f>"For deflection ≤ L / "&amp;TEXT('Steel Beam Design'!L10,"0")</f>
        <v>For deflection ≤ L / 180</v>
      </c>
      <c r="B108" s="212"/>
      <c r="C108" s="212"/>
      <c r="D108" s="212"/>
      <c r="E108" s="212"/>
      <c r="F108" s="212"/>
      <c r="G108" s="212"/>
      <c r="H108" s="212"/>
      <c r="I108" s="212"/>
      <c r="J108" s="212"/>
      <c r="K108" s="212"/>
      <c r="L108" s="212"/>
    </row>
    <row r="109" spans="1:12" ht="19" customHeight="1">
      <c r="A109" s="211"/>
      <c r="B109" s="211"/>
      <c r="C109" s="211"/>
      <c r="D109" s="211"/>
      <c r="E109" s="211"/>
      <c r="F109" s="211"/>
      <c r="G109" s="211"/>
      <c r="H109" s="211"/>
      <c r="I109" s="211"/>
      <c r="J109" s="211"/>
      <c r="K109" s="211"/>
      <c r="L109" s="211"/>
    </row>
    <row r="110" spans="1:12" ht="19" customHeight="1">
      <c r="A110" s="220" t="s">
        <v>699</v>
      </c>
      <c r="B110" s="220"/>
      <c r="C110" s="220"/>
      <c r="D110" s="220"/>
      <c r="E110" s="220"/>
      <c r="F110" s="220"/>
      <c r="G110" s="220"/>
      <c r="H110" s="220"/>
      <c r="I110" s="220"/>
      <c r="J110" s="220"/>
      <c r="K110" s="220"/>
      <c r="L110" s="220"/>
    </row>
    <row r="111" spans="1:12" ht="19" customHeight="1">
      <c r="A111" s="212" t="str">
        <f>IF(AND('Steel Beam Design'!B3="Cantilever Supported",ISNUMBER('Steel Beam Design'!O74)),"Imin = "&amp;TEXT('Steel Beam Design'!O74,"#,##0")&amp;" cm⁴","")</f>
        <v/>
      </c>
      <c r="B111" s="212"/>
      <c r="C111" s="212"/>
      <c r="D111" s="212"/>
      <c r="E111" s="212"/>
      <c r="F111" s="212"/>
      <c r="G111" s="212"/>
      <c r="H111" s="212"/>
      <c r="I111" s="212"/>
      <c r="J111" s="212"/>
      <c r="K111" s="212"/>
      <c r="L111" s="212"/>
    </row>
    <row r="112" spans="1:12" ht="19" customHeight="1">
      <c r="A112" s="211"/>
      <c r="B112" s="211"/>
      <c r="C112" s="211"/>
      <c r="D112" s="211"/>
      <c r="E112" s="211"/>
      <c r="F112" s="211"/>
      <c r="G112" s="211"/>
      <c r="H112" s="211"/>
      <c r="I112" s="211"/>
      <c r="J112" s="211"/>
      <c r="K112" s="211"/>
      <c r="L112" s="211"/>
    </row>
    <row r="113" spans="1:12" ht="19" customHeight="1">
      <c r="A113" s="212" t="s">
        <v>694</v>
      </c>
      <c r="B113" s="212"/>
      <c r="C113" s="212"/>
      <c r="D113" s="212"/>
      <c r="E113" s="212"/>
      <c r="F113" s="212"/>
      <c r="G113" s="212"/>
      <c r="H113" s="212"/>
      <c r="I113" s="212"/>
      <c r="J113" s="212"/>
      <c r="K113" s="212"/>
      <c r="L113" s="212"/>
    </row>
    <row r="114" spans="1:12" ht="19" customHeight="1">
      <c r="A114" s="212" t="s">
        <v>695</v>
      </c>
      <c r="B114" s="212"/>
      <c r="C114" s="212"/>
      <c r="D114" s="212"/>
      <c r="E114" s="212"/>
      <c r="F114" s="212"/>
      <c r="G114" s="212"/>
      <c r="H114" s="212"/>
      <c r="I114" s="212"/>
      <c r="J114" s="212" t="str">
        <f>IF(AND('Steel Beam Design'!B3="Cantilever Supported",ISNUMBER('Steel Beam Design'!O80)),TEXT('Steel Beam Design'!O80,"#,##0")&amp;" cm⁴","")</f>
        <v/>
      </c>
      <c r="K114" s="212"/>
      <c r="L114" s="212"/>
    </row>
    <row r="115" spans="1:12" ht="19" customHeight="1">
      <c r="A115" s="211"/>
      <c r="B115" s="211"/>
      <c r="C115" s="211"/>
      <c r="D115" s="211"/>
      <c r="E115" s="211"/>
      <c r="F115" s="211"/>
      <c r="G115" s="211"/>
      <c r="H115" s="211"/>
      <c r="I115" s="211"/>
      <c r="J115" s="211"/>
      <c r="K115" s="211"/>
      <c r="L115" s="211"/>
    </row>
    <row r="116" spans="1:12" ht="19" customHeight="1">
      <c r="A116" s="212" t="str">
        <f>IF(NOT('Steel Beam Design'!B3="Cantilever Supported"),"",IF('Steel Beam Design'!C28="Cantilever Supported","Mmax = W L² / 2 + Σ(Pi ai) + Pend L",IF(AND('Steel Beam Design'!C28="Simply Supported",N('Steel Beam Design'!D28)&gt;0,ABS(N('Steel Beam Design'!E28)-'Steel Beam Design'!B28/2)&lt;0.000001,SUM('Steel Beam Design'!F28,'Steel Beam Design'!H28,'Steel Beam Design'!J28,'Steel Beam Design'!L28,'Steel Beam Design'!R28)=0),"Mmax = W L² / 8 + P1 L / 4","Mmax = max |M(x)| along the beam")))</f>
        <v/>
      </c>
      <c r="B116" s="212"/>
      <c r="C116" s="212"/>
      <c r="D116" s="212"/>
      <c r="E116" s="212"/>
      <c r="F116" s="212"/>
      <c r="G116" s="212"/>
      <c r="H116" s="212"/>
      <c r="I116" s="212"/>
      <c r="J116" s="212"/>
      <c r="K116" s="212"/>
      <c r="L116" s="212"/>
    </row>
    <row r="117" spans="1:12" ht="19" customHeight="1">
      <c r="A117" s="220" t="str">
        <f>IF(OR(NOT('Steel Beam Design'!B3="Cantilever Supported"),'Steel Beam Design'!C28="Cantilever Supported"),"",IF('Steel Beam Design'!C28="Simply Supported","M(x) = RA x − W x²/2 − Σ[Pi(x−ai)] for ai ≤ x","M(x) = MA + RA x − W x²/2 − Σ[Pi(x−ai)] for ai ≤ x"))</f>
        <v/>
      </c>
      <c r="B117" s="220"/>
      <c r="C117" s="220"/>
      <c r="D117" s="220"/>
      <c r="E117" s="220"/>
      <c r="F117" s="220"/>
      <c r="G117" s="220"/>
      <c r="H117" s="220"/>
      <c r="I117" s="220"/>
      <c r="J117" s="220"/>
      <c r="K117" s="220"/>
      <c r="L117" s="220"/>
    </row>
    <row r="118" spans="1:12" ht="19" customHeight="1">
      <c r="A118" s="211"/>
      <c r="B118" s="211"/>
      <c r="C118" s="211"/>
      <c r="D118" s="211"/>
      <c r="E118" s="211"/>
      <c r="F118" s="211"/>
      <c r="G118" s="211"/>
      <c r="H118" s="211"/>
      <c r="I118" s="211"/>
      <c r="J118" s="212" t="str">
        <f>IF(AND('Steel Beam Design'!B3="Cantilever Supported",ISNUMBER('Steel Beam Design'!O28)),TEXT('Steel Beam Design'!O28,"#,##0")&amp;" kNm","")</f>
        <v/>
      </c>
      <c r="K118" s="212"/>
      <c r="L118" s="212"/>
    </row>
    <row r="119" spans="1:12" ht="19" customHeight="1">
      <c r="A119" s="211"/>
      <c r="B119" s="211"/>
      <c r="C119" s="211"/>
      <c r="D119" s="211"/>
      <c r="E119" s="211"/>
      <c r="F119" s="211"/>
      <c r="G119" s="211"/>
      <c r="H119" s="211"/>
      <c r="I119" s="211"/>
      <c r="J119" s="211"/>
      <c r="K119" s="211"/>
      <c r="L119" s="211"/>
    </row>
    <row r="120" spans="1:12" ht="19" customHeight="1">
      <c r="A120" s="212" t="s">
        <v>694</v>
      </c>
      <c r="B120" s="212"/>
      <c r="C120" s="212"/>
      <c r="D120" s="212"/>
      <c r="E120" s="212"/>
      <c r="F120" s="212"/>
      <c r="G120" s="212"/>
      <c r="H120" s="212"/>
      <c r="I120" s="212"/>
      <c r="J120" s="212"/>
      <c r="K120" s="212"/>
      <c r="L120" s="212"/>
    </row>
    <row r="121" spans="1:12" ht="19" customHeight="1">
      <c r="A121" s="212" t="s">
        <v>696</v>
      </c>
      <c r="B121" s="212"/>
      <c r="C121" s="212"/>
      <c r="D121" s="212"/>
      <c r="E121" s="212"/>
      <c r="F121" s="212"/>
      <c r="G121" s="212"/>
      <c r="H121" s="212"/>
      <c r="I121" s="212"/>
      <c r="J121" s="212" t="str">
        <f>IF(AND('Steel Beam Design'!B3="Cantilever Supported",ISNUMBER('Steel Beam Design'!O28)),TEXT('Steel Beam Design'!O28/1.6,"#,##0")&amp;" kNm","")</f>
        <v/>
      </c>
      <c r="K121" s="212"/>
      <c r="L121" s="212"/>
    </row>
    <row r="122" spans="1:12" ht="19" customHeight="1">
      <c r="A122" s="211"/>
      <c r="B122" s="211"/>
      <c r="C122" s="211"/>
      <c r="D122" s="211"/>
      <c r="E122" s="211"/>
      <c r="F122" s="211"/>
      <c r="G122" s="211"/>
      <c r="H122" s="211"/>
      <c r="I122" s="211"/>
      <c r="J122" s="211"/>
      <c r="K122" s="211"/>
      <c r="L122" s="211"/>
    </row>
    <row r="123" spans="1:12" ht="19" customHeight="1">
      <c r="A123" s="212" t="str">
        <f>IF('Steel Beam Design'!S23="OK","∴ Adopt "&amp;'Steel Beam Design'!B23&amp;" "&amp;'Steel Beam Design'!C23,"∴ Adopt: "&amp;'Steel Beam Design'!S23)</f>
        <v>∴ Adopt: Not active</v>
      </c>
      <c r="B123" s="212"/>
      <c r="C123" s="212"/>
      <c r="D123" s="212"/>
      <c r="E123" s="212"/>
      <c r="F123" s="212"/>
      <c r="G123" s="212"/>
      <c r="H123" s="212"/>
      <c r="I123" s="212"/>
      <c r="J123" s="212"/>
      <c r="K123" s="212"/>
      <c r="L123" s="212"/>
    </row>
    <row r="124" spans="1:12" ht="19" customHeight="1">
      <c r="A124" s="211"/>
      <c r="B124" s="211"/>
      <c r="C124" s="211"/>
      <c r="D124" s="211"/>
      <c r="E124" s="211"/>
      <c r="F124" s="211"/>
      <c r="G124" s="211"/>
      <c r="H124" s="211"/>
      <c r="I124" s="211"/>
      <c r="J124" s="211"/>
      <c r="K124" s="211"/>
      <c r="L124" s="211"/>
    </row>
    <row r="125" spans="1:12" ht="19" customHeight="1">
      <c r="A125" s="211"/>
      <c r="B125" s="211"/>
      <c r="C125" s="211"/>
      <c r="D125" s="212" t="str">
        <f>IF('Steel Beam Design'!S23="OK","Iprov = "&amp;TEXT('Steel Beam Design'!M23,"#,##0")&amp;" cm⁴ ≥ Ireq","")</f>
        <v/>
      </c>
      <c r="E125" s="212"/>
      <c r="F125" s="212"/>
      <c r="G125" s="212"/>
      <c r="H125" s="212"/>
      <c r="I125" s="212"/>
      <c r="J125" s="212"/>
      <c r="K125" s="212"/>
      <c r="L125" s="212"/>
    </row>
    <row r="126" spans="1:12" ht="19" customHeight="1">
      <c r="A126" s="211"/>
      <c r="B126" s="211"/>
      <c r="C126" s="211"/>
      <c r="D126" s="212" t="str">
        <f>IF('Steel Beam Design'!S23="OK","Mprov = "&amp;TEXT('Steel Beam Design'!I23,"#,##0")&amp;" kNm ≥ Mreq","")</f>
        <v/>
      </c>
      <c r="E126" s="212"/>
      <c r="F126" s="212"/>
      <c r="G126" s="212"/>
      <c r="H126" s="212"/>
      <c r="I126" s="212"/>
      <c r="J126" s="212"/>
      <c r="K126" s="212"/>
      <c r="L126" s="212"/>
    </row>
    <row r="127" spans="1:12" ht="19" customHeight="1">
      <c r="A127" s="211"/>
      <c r="B127" s="211"/>
      <c r="C127" s="211"/>
      <c r="D127" s="211"/>
      <c r="E127" s="211"/>
      <c r="F127" s="211"/>
      <c r="G127" s="211"/>
      <c r="H127" s="211"/>
      <c r="I127" s="211"/>
      <c r="J127" s="211"/>
      <c r="K127" s="211"/>
      <c r="L127" s="211"/>
    </row>
    <row r="128" spans="1:12" ht="19" customHeight="1">
      <c r="A128" s="211"/>
      <c r="B128" s="211"/>
      <c r="C128" s="211"/>
      <c r="D128" s="211"/>
      <c r="E128" s="211"/>
      <c r="F128" s="211"/>
      <c r="G128" s="211"/>
      <c r="H128" s="211"/>
      <c r="I128" s="211"/>
      <c r="J128" s="212" t="str">
        <f>IF('Steel Beam Design'!S23="OK","∴ OK",'Steel Beam Design'!S23)</f>
        <v>Not active</v>
      </c>
      <c r="K128" s="212"/>
      <c r="L128" s="212"/>
    </row>
    <row r="129" spans="1:12" ht="19" customHeight="1">
      <c r="A129" s="211"/>
      <c r="B129" s="211"/>
      <c r="C129" s="211"/>
      <c r="D129" s="211"/>
      <c r="E129" s="211"/>
      <c r="F129" s="211"/>
      <c r="G129" s="211"/>
      <c r="H129" s="211"/>
      <c r="I129" s="211"/>
      <c r="J129" s="211"/>
      <c r="K129" s="211"/>
      <c r="L129" s="211"/>
    </row>
    <row r="130" spans="1:12" ht="19" customHeight="1">
      <c r="A130" s="217" t="s">
        <v>700</v>
      </c>
      <c r="B130" s="217"/>
      <c r="C130" s="217"/>
      <c r="D130" s="217"/>
      <c r="E130" s="217"/>
      <c r="F130" s="217"/>
      <c r="G130" s="217"/>
      <c r="H130" s="217"/>
      <c r="I130" s="217"/>
      <c r="J130" s="217"/>
      <c r="K130" s="217"/>
      <c r="L130" s="217"/>
    </row>
    <row r="131" spans="1:12" ht="19" customHeight="1">
      <c r="A131" s="211"/>
      <c r="B131" s="211"/>
      <c r="C131" s="211"/>
      <c r="D131" s="211"/>
      <c r="E131" s="211"/>
      <c r="F131" s="211"/>
      <c r="G131" s="211"/>
      <c r="H131" s="211"/>
      <c r="I131" s="211"/>
      <c r="J131" s="211"/>
      <c r="K131" s="211"/>
      <c r="L131" s="211"/>
    </row>
    <row r="132" spans="1:12" ht="19" customHeight="1">
      <c r="A132" s="212" t="str">
        <f>"Column "&amp;TEXT('column design'!B8,"0")&amp;" × "&amp;TEXT('column design'!D8,"0")&amp;" mm + UC "&amp;'column design'!B9&amp;"; fcu = "&amp;TEXT('column design'!F8,"0")&amp;" N/mm²"</f>
        <v>Column 0 × 0 mm + UC ; fcu = 60 N/mm²</v>
      </c>
      <c r="B132" s="212"/>
      <c r="C132" s="212"/>
      <c r="D132" s="212"/>
      <c r="E132" s="212"/>
      <c r="F132" s="212"/>
      <c r="G132" s="212"/>
      <c r="H132" s="212"/>
      <c r="I132" s="212"/>
      <c r="J132" s="212"/>
      <c r="K132" s="212"/>
      <c r="L132" s="212"/>
    </row>
    <row r="133" spans="1:12" ht="19" customHeight="1">
      <c r="A133" s="212" t="str">
        <f>"py = "&amp;TEXT('column design'!H8,"0")&amp;" N/mm²; Stories = "&amp;'column design'!B3</f>
        <v>py = 355 N/mm²; Stories = 12</v>
      </c>
      <c r="B133" s="212"/>
      <c r="C133" s="212"/>
      <c r="D133" s="212"/>
      <c r="E133" s="212"/>
      <c r="F133" s="212"/>
      <c r="G133" s="212"/>
      <c r="H133" s="212"/>
      <c r="I133" s="212"/>
      <c r="J133" s="212"/>
      <c r="K133" s="212"/>
      <c r="L133" s="212"/>
    </row>
    <row r="134" spans="1:12" ht="19" customHeight="1">
      <c r="A134" s="211"/>
      <c r="B134" s="211"/>
      <c r="C134" s="211"/>
      <c r="D134" s="211"/>
      <c r="E134" s="211"/>
      <c r="F134" s="211"/>
      <c r="G134" s="211"/>
      <c r="H134" s="211"/>
      <c r="I134" s="211"/>
      <c r="J134" s="211"/>
      <c r="K134" s="211"/>
      <c r="L134" s="211"/>
    </row>
    <row r="135" spans="1:12" ht="27" customHeight="1">
      <c r="A135" s="221" t="s">
        <v>561</v>
      </c>
      <c r="B135" s="221"/>
      <c r="C135" s="221" t="s">
        <v>562</v>
      </c>
      <c r="D135" s="221"/>
      <c r="E135" s="222" t="s">
        <v>701</v>
      </c>
      <c r="F135" s="222" t="s">
        <v>702</v>
      </c>
      <c r="G135" s="222" t="s">
        <v>703</v>
      </c>
      <c r="H135" s="221" t="s">
        <v>704</v>
      </c>
      <c r="I135" s="221"/>
      <c r="J135" s="222" t="s">
        <v>705</v>
      </c>
      <c r="K135" s="221" t="s">
        <v>706</v>
      </c>
      <c r="L135" s="221"/>
    </row>
    <row r="136" spans="1:12" ht="24" customHeight="1">
      <c r="A136" s="223" t="str">
        <f>IF('column design'!A16="","",'column design'!A16)</f>
        <v>R/F</v>
      </c>
      <c r="B136" s="223"/>
      <c r="C136" s="223" t="str">
        <f>IF('column design'!A16="","",'column design'!B16)</f>
        <v>Roof</v>
      </c>
      <c r="D136" s="223"/>
      <c r="E136" s="224">
        <f>IF('column design'!A16="","",'column design'!C16)</f>
        <v>7</v>
      </c>
      <c r="F136" s="224">
        <f>IF('column design'!A16="","",'column design'!D16)</f>
        <v>0</v>
      </c>
      <c r="G136" s="224">
        <f>IF('column design'!A16="","",'column design'!E16)</f>
        <v>2</v>
      </c>
      <c r="H136" s="225" t="str">
        <f>IF('column design'!A16="","",'column design'!H16)</f>
        <v/>
      </c>
      <c r="I136" s="225"/>
      <c r="J136" s="226">
        <f>IF('column design'!A16="","",'column design'!I16)</f>
        <v>1</v>
      </c>
      <c r="K136" s="227" t="str">
        <f>IF(OR('column design'!J16="",'column design'!B13&lt;=0),"",'column design'!J16/'column design'!B13)</f>
        <v/>
      </c>
      <c r="L136" s="227"/>
    </row>
    <row r="137" spans="1:12" ht="24" customHeight="1">
      <c r="A137" s="223" t="str">
        <f>IF('column design'!A17="","",'column design'!A17)</f>
        <v>6/F</v>
      </c>
      <c r="B137" s="223"/>
      <c r="C137" s="223" t="str">
        <f>IF('column design'!A17="","",'column design'!B17)</f>
        <v>E&amp;M</v>
      </c>
      <c r="D137" s="223"/>
      <c r="E137" s="224">
        <f>IF('column design'!A17="","",'column design'!C17)</f>
        <v>7</v>
      </c>
      <c r="F137" s="224">
        <f>IF('column design'!A17="","",'column design'!D17)</f>
        <v>0</v>
      </c>
      <c r="G137" s="224">
        <f>IF('column design'!A17="","",'column design'!E17)</f>
        <v>7.5</v>
      </c>
      <c r="H137" s="225" t="str">
        <f>IF('column design'!A17="","",'column design'!H17)</f>
        <v/>
      </c>
      <c r="I137" s="225"/>
      <c r="J137" s="226">
        <f>IF('column design'!A17="","",'column design'!I17)</f>
        <v>1</v>
      </c>
      <c r="K137" s="227" t="str">
        <f>IF(OR('column design'!J17="",'column design'!B13&lt;=0),"",'column design'!J17/'column design'!B13)</f>
        <v/>
      </c>
      <c r="L137" s="227"/>
    </row>
    <row r="138" spans="1:12" ht="24" customHeight="1">
      <c r="A138" s="223" t="str">
        <f>IF('column design'!A18="","",'column design'!A18)</f>
        <v>5/F</v>
      </c>
      <c r="B138" s="223"/>
      <c r="C138" s="223" t="str">
        <f>IF('column design'!A18="","",'column design'!B18)</f>
        <v>Office</v>
      </c>
      <c r="D138" s="223"/>
      <c r="E138" s="224">
        <f>IF('column design'!A18="","",'column design'!C18)</f>
        <v>7</v>
      </c>
      <c r="F138" s="224">
        <f>IF('column design'!A18="","",'column design'!D18)</f>
        <v>0</v>
      </c>
      <c r="G138" s="224">
        <f>IF('column design'!A18="","",'column design'!E18)</f>
        <v>3</v>
      </c>
      <c r="H138" s="225" t="str">
        <f>IF('column design'!A18="","",'column design'!H18)</f>
        <v/>
      </c>
      <c r="I138" s="225"/>
      <c r="J138" s="226">
        <f>IF('column design'!A18="","",'column design'!I18)</f>
        <v>1</v>
      </c>
      <c r="K138" s="227" t="str">
        <f>IF(OR('column design'!J18="",'column design'!B13&lt;=0),"",'column design'!J18/'column design'!B13)</f>
        <v/>
      </c>
      <c r="L138" s="227"/>
    </row>
    <row r="139" spans="1:12" ht="24" customHeight="1">
      <c r="A139" s="223" t="str">
        <f>IF('column design'!A19="","",'column design'!A19)</f>
        <v>1/F–6/F</v>
      </c>
      <c r="B139" s="223"/>
      <c r="C139" s="223" t="str">
        <f>IF('column design'!A19="","",'column design'!B19)</f>
        <v>Shop</v>
      </c>
      <c r="D139" s="223"/>
      <c r="E139" s="224">
        <f>IF('column design'!A19="","",'column design'!C19)</f>
        <v>7</v>
      </c>
      <c r="F139" s="224">
        <f>IF('column design'!A19="","",'column design'!D19)</f>
        <v>0</v>
      </c>
      <c r="G139" s="224">
        <f>IF('column design'!A19="","",'column design'!E19)</f>
        <v>5</v>
      </c>
      <c r="H139" s="225" t="str">
        <f>IF('column design'!A19="","",'column design'!H19)</f>
        <v/>
      </c>
      <c r="I139" s="225"/>
      <c r="J139" s="226">
        <f>IF('column design'!A19="","",'column design'!I19)</f>
        <v>6</v>
      </c>
      <c r="K139" s="227" t="str">
        <f>IF(OR('column design'!J19="",'column design'!B13&lt;=0),"",'column design'!J19/'column design'!B13)</f>
        <v/>
      </c>
      <c r="L139" s="227"/>
    </row>
    <row r="140" spans="1:12" ht="24" customHeight="1">
      <c r="A140" s="223" t="str">
        <f>IF('column design'!A20="","",'column design'!A20)</f>
        <v>G/F</v>
      </c>
      <c r="B140" s="223"/>
      <c r="C140" s="223" t="str">
        <f>IF('column design'!A20="","",'column design'!B20)</f>
        <v>Shop</v>
      </c>
      <c r="D140" s="223"/>
      <c r="E140" s="224">
        <f>IF('column design'!A20="","",'column design'!C20)</f>
        <v>7</v>
      </c>
      <c r="F140" s="224">
        <f>IF('column design'!A20="","",'column design'!D20)</f>
        <v>0</v>
      </c>
      <c r="G140" s="224">
        <f>IF('column design'!A20="","",'column design'!E20)</f>
        <v>5</v>
      </c>
      <c r="H140" s="225" t="str">
        <f>IF('column design'!A20="","",'column design'!H20)</f>
        <v/>
      </c>
      <c r="I140" s="225"/>
      <c r="J140" s="226">
        <f>IF('column design'!A20="","",'column design'!I20)</f>
        <v>1</v>
      </c>
      <c r="K140" s="227" t="str">
        <f>IF(OR('column design'!J20="",'column design'!B13&lt;=0),"",'column design'!J20/'column design'!B13)</f>
        <v/>
      </c>
      <c r="L140" s="227"/>
    </row>
    <row r="141" spans="1:12" ht="24" customHeight="1">
      <c r="A141" s="223" t="str">
        <f>IF('column design'!A21="","",'column design'!A21)</f>
        <v>B1/F–B2/F</v>
      </c>
      <c r="B141" s="223"/>
      <c r="C141" s="223" t="str">
        <f>IF('column design'!A21="","",'column design'!B21)</f>
        <v>Car Park</v>
      </c>
      <c r="D141" s="223"/>
      <c r="E141" s="224">
        <f>IF('column design'!A21="","",'column design'!C21)</f>
        <v>7</v>
      </c>
      <c r="F141" s="224">
        <f>IF('column design'!A21="","",'column design'!D21)</f>
        <v>0</v>
      </c>
      <c r="G141" s="224">
        <f>IF('column design'!A21="","",'column design'!E21)</f>
        <v>3</v>
      </c>
      <c r="H141" s="225" t="str">
        <f>IF('column design'!A21="","",'column design'!H21)</f>
        <v/>
      </c>
      <c r="I141" s="225"/>
      <c r="J141" s="226">
        <f>IF('column design'!A21="","",'column design'!I21)</f>
        <v>2</v>
      </c>
      <c r="K141" s="227" t="str">
        <f>IF(OR('column design'!J21="",'column design'!B13&lt;=0),"",'column design'!J21/'column design'!B13)</f>
        <v/>
      </c>
      <c r="L141" s="227"/>
    </row>
    <row r="142" spans="1:12" ht="24" customHeight="1">
      <c r="A142" s="223" t="str">
        <f>IF('column design'!A22="","",'column design'!A22)</f>
        <v/>
      </c>
      <c r="B142" s="223"/>
      <c r="C142" s="223" t="str">
        <f>IF('column design'!A22="","",'column design'!B22)</f>
        <v/>
      </c>
      <c r="D142" s="223"/>
      <c r="E142" s="224" t="str">
        <f>IF('column design'!A22="","",'column design'!C22)</f>
        <v/>
      </c>
      <c r="F142" s="224" t="str">
        <f>IF('column design'!A22="","",'column design'!D22)</f>
        <v/>
      </c>
      <c r="G142" s="224" t="str">
        <f>IF('column design'!A22="","",'column design'!E22)</f>
        <v/>
      </c>
      <c r="H142" s="225" t="str">
        <f>IF('column design'!A22="","",'column design'!H22)</f>
        <v/>
      </c>
      <c r="I142" s="225"/>
      <c r="J142" s="226" t="str">
        <f>IF('column design'!A22="","",'column design'!I22)</f>
        <v/>
      </c>
      <c r="K142" s="227" t="str">
        <f>IF(OR('column design'!J22="",'column design'!B13&lt;=0),"",'column design'!J22/'column design'!B13)</f>
        <v/>
      </c>
      <c r="L142" s="227"/>
    </row>
    <row r="143" spans="1:12" ht="24" customHeight="1">
      <c r="A143" s="223" t="str">
        <f>IF('column design'!A23="","",'column design'!A23)</f>
        <v/>
      </c>
      <c r="B143" s="223"/>
      <c r="C143" s="223" t="str">
        <f>IF('column design'!A23="","",'column design'!B23)</f>
        <v/>
      </c>
      <c r="D143" s="223"/>
      <c r="E143" s="224" t="str">
        <f>IF('column design'!A23="","",'column design'!C23)</f>
        <v/>
      </c>
      <c r="F143" s="224" t="str">
        <f>IF('column design'!A23="","",'column design'!D23)</f>
        <v/>
      </c>
      <c r="G143" s="224" t="str">
        <f>IF('column design'!A23="","",'column design'!E23)</f>
        <v/>
      </c>
      <c r="H143" s="225" t="str">
        <f>IF('column design'!A23="","",'column design'!H23)</f>
        <v/>
      </c>
      <c r="I143" s="225"/>
      <c r="J143" s="226" t="str">
        <f>IF('column design'!A23="","",'column design'!I23)</f>
        <v/>
      </c>
      <c r="K143" s="227" t="str">
        <f>IF(OR('column design'!J23="",'column design'!B13&lt;=0),"",'column design'!J23/'column design'!B13)</f>
        <v/>
      </c>
      <c r="L143" s="227"/>
    </row>
    <row r="144" spans="1:12" ht="19" customHeight="1">
      <c r="A144" s="212"/>
      <c r="B144" s="212"/>
      <c r="C144" s="212"/>
      <c r="D144" s="212"/>
      <c r="E144" s="211"/>
      <c r="F144" s="211"/>
      <c r="G144" s="211"/>
      <c r="H144" s="212" t="s">
        <v>578</v>
      </c>
      <c r="I144" s="212"/>
      <c r="J144" s="228"/>
      <c r="K144" s="229" t="str">
        <f>IF(COUNT(K136:K143)=0,"",SUM(K136:K143))</f>
        <v/>
      </c>
      <c r="L144" s="229"/>
    </row>
    <row r="145" spans="1:12" ht="19" customHeight="1">
      <c r="A145" s="230" t="s">
        <v>707</v>
      </c>
      <c r="B145" s="230"/>
      <c r="C145" s="230"/>
      <c r="D145" s="230"/>
      <c r="E145" s="230"/>
      <c r="F145" s="230"/>
      <c r="G145" s="230"/>
      <c r="H145" s="230"/>
      <c r="I145" s="230"/>
      <c r="J145" s="230"/>
      <c r="K145" s="230"/>
      <c r="L145" s="230"/>
    </row>
    <row r="146" spans="1:12" ht="19" customHeight="1">
      <c r="A146" s="211"/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</row>
    <row r="147" spans="1:12" ht="19" customHeight="1">
      <c r="A147" s="212" t="s">
        <v>708</v>
      </c>
      <c r="B147" s="212"/>
      <c r="C147" s="212"/>
      <c r="D147" s="212"/>
      <c r="E147" s="212"/>
      <c r="F147" s="212"/>
      <c r="G147" s="212"/>
      <c r="H147" s="212"/>
      <c r="I147" s="212"/>
      <c r="J147" s="212"/>
      <c r="K147" s="212"/>
      <c r="L147" s="212"/>
    </row>
    <row r="148" spans="1:12" ht="19" customHeight="1">
      <c r="A148" s="211"/>
      <c r="B148" s="211"/>
      <c r="C148" s="211"/>
      <c r="D148" s="212" t="str">
        <f>IF(OR(K144="",'column design'!J24=""),"", "= "&amp;TEXT(K144,"#,##0")&amp;" × "&amp;TEXT('column design'!B13,"0.00"))</f>
        <v/>
      </c>
      <c r="E148" s="212"/>
      <c r="F148" s="212"/>
      <c r="G148" s="212"/>
      <c r="H148" s="212"/>
      <c r="I148" s="212"/>
      <c r="J148" s="212"/>
      <c r="K148" s="212"/>
      <c r="L148" s="212"/>
    </row>
    <row r="149" spans="1:12" ht="19" customHeight="1">
      <c r="A149" s="211"/>
      <c r="B149" s="211"/>
      <c r="C149" s="211"/>
      <c r="D149" s="212" t="str">
        <f>IF('column design'!J24="","","= "&amp;TEXT('column design'!J24,"#,##0")&amp;" kN")</f>
        <v/>
      </c>
      <c r="E149" s="212"/>
      <c r="F149" s="212"/>
      <c r="G149" s="212"/>
      <c r="H149" s="212"/>
      <c r="I149" s="212"/>
      <c r="J149" s="212"/>
      <c r="K149" s="212"/>
      <c r="L149" s="212"/>
    </row>
    <row r="150" spans="1:12" ht="19" customHeight="1">
      <c r="A150" s="211"/>
      <c r="B150" s="211"/>
      <c r="C150" s="211"/>
      <c r="D150" s="211"/>
      <c r="E150" s="211"/>
      <c r="F150" s="211"/>
      <c r="G150" s="211"/>
      <c r="H150" s="211"/>
      <c r="I150" s="211"/>
      <c r="J150" s="211"/>
      <c r="K150" s="211"/>
      <c r="L150" s="211"/>
    </row>
    <row r="151" spans="1:12" ht="19" customHeight="1">
      <c r="A151" s="212" t="s">
        <v>709</v>
      </c>
      <c r="B151" s="212"/>
      <c r="C151" s="212"/>
      <c r="D151" s="212"/>
      <c r="E151" s="212"/>
      <c r="F151" s="212"/>
      <c r="G151" s="212"/>
      <c r="H151" s="212" t="str">
        <f>IF('column design'!B27="","",TEXT('column design'!B27,"#,##0")&amp;" mm²")</f>
        <v/>
      </c>
      <c r="I151" s="212"/>
      <c r="J151" s="212"/>
      <c r="K151" s="212"/>
      <c r="L151" s="212"/>
    </row>
    <row r="152" spans="1:12" ht="19" customHeight="1">
      <c r="A152" s="212" t="s">
        <v>710</v>
      </c>
      <c r="B152" s="212"/>
      <c r="C152" s="212"/>
      <c r="D152" s="212"/>
      <c r="E152" s="212"/>
      <c r="F152" s="212"/>
      <c r="G152" s="212"/>
      <c r="H152" s="212" t="str">
        <f>IF('column design'!B28="","",TEXT('column design'!B28,"#,##0")&amp;" mm²")</f>
        <v/>
      </c>
      <c r="I152" s="212"/>
      <c r="J152" s="212"/>
      <c r="K152" s="212"/>
      <c r="L152" s="212"/>
    </row>
    <row r="153" spans="1:12" ht="19" customHeight="1">
      <c r="A153" s="211"/>
      <c r="B153" s="211"/>
      <c r="C153" s="211"/>
      <c r="D153" s="211"/>
      <c r="E153" s="211"/>
      <c r="F153" s="211"/>
      <c r="G153" s="211"/>
      <c r="H153" s="211"/>
      <c r="I153" s="211"/>
      <c r="J153" s="211"/>
      <c r="K153" s="211"/>
      <c r="L153" s="211"/>
    </row>
    <row r="154" spans="1:12" ht="19" customHeight="1">
      <c r="A154" s="212" t="s">
        <v>673</v>
      </c>
      <c r="B154" s="212"/>
      <c r="C154" s="212"/>
      <c r="D154" s="212"/>
      <c r="E154" s="212"/>
      <c r="F154" s="212"/>
      <c r="G154" s="212"/>
      <c r="H154" s="212"/>
      <c r="I154" s="212"/>
      <c r="J154" s="212"/>
      <c r="K154" s="212"/>
      <c r="L154" s="212"/>
    </row>
    <row r="155" spans="1:12" ht="19" customHeight="1">
      <c r="A155" s="212" t="s">
        <v>711</v>
      </c>
      <c r="B155" s="212"/>
      <c r="C155" s="212"/>
      <c r="D155" s="212"/>
      <c r="E155" s="212"/>
      <c r="F155" s="212"/>
      <c r="G155" s="212"/>
      <c r="H155" s="212"/>
      <c r="I155" s="212"/>
      <c r="J155" s="212"/>
      <c r="K155" s="212"/>
      <c r="L155" s="212"/>
    </row>
    <row r="156" spans="1:12" ht="19" customHeight="1">
      <c r="A156" s="219" t="str">
        <f>IF('column design'!B29="","","= ("&amp;TEXT('column design'!B27,"#,##0")&amp;" × "&amp;TEXT('column design'!H8,"0")&amp;" + 0.45 × "&amp;TEXT('column design'!B28,"#,##0")&amp;" × "&amp;TEXT('column design'!F8,"0")&amp;") / 1000")</f>
        <v/>
      </c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</row>
    <row r="157" spans="1:12" ht="19" customHeight="1">
      <c r="A157" s="211"/>
      <c r="B157" s="211"/>
      <c r="C157" s="211"/>
      <c r="D157" s="211"/>
      <c r="E157" s="211"/>
      <c r="F157" s="211"/>
      <c r="G157" s="211"/>
      <c r="H157" s="212" t="str">
        <f>IF('column design'!B29="","","= "&amp;TEXT('column design'!B29,"#,##0")&amp;" kN")</f>
        <v/>
      </c>
      <c r="I157" s="212"/>
      <c r="J157" s="212"/>
      <c r="K157" s="212"/>
      <c r="L157" s="212"/>
    </row>
    <row r="158" spans="1:12" ht="19" customHeight="1">
      <c r="A158" s="211"/>
      <c r="B158" s="211"/>
      <c r="C158" s="211"/>
      <c r="D158" s="211"/>
      <c r="E158" s="211"/>
      <c r="F158" s="211"/>
      <c r="G158" s="211"/>
      <c r="H158" s="211"/>
      <c r="I158" s="211"/>
      <c r="J158" s="211"/>
      <c r="K158" s="211"/>
      <c r="L158" s="211"/>
    </row>
    <row r="159" spans="1:12" ht="19" customHeight="1">
      <c r="A159" s="212" t="s">
        <v>712</v>
      </c>
      <c r="B159" s="212"/>
      <c r="C159" s="212"/>
      <c r="D159" s="212"/>
      <c r="E159" s="212"/>
      <c r="F159" s="212"/>
      <c r="G159" s="212"/>
      <c r="H159" s="212" t="str">
        <f>'column design'!D29</f>
        <v>Pending</v>
      </c>
      <c r="I159" s="212"/>
      <c r="J159" s="212"/>
      <c r="K159" s="212"/>
      <c r="L159" s="212"/>
    </row>
    <row r="160" spans="1:12" ht="19" customHeight="1">
      <c r="A160" s="211"/>
      <c r="B160" s="211"/>
      <c r="C160" s="211"/>
      <c r="D160" s="211"/>
      <c r="E160" s="211"/>
      <c r="F160" s="211"/>
      <c r="G160" s="211"/>
      <c r="H160" s="211"/>
      <c r="I160" s="211"/>
      <c r="J160" s="211"/>
      <c r="K160" s="211"/>
      <c r="L160" s="211"/>
    </row>
    <row r="161" spans="1:12" ht="19" customHeight="1">
      <c r="A161" s="212" t="s">
        <v>713</v>
      </c>
      <c r="B161" s="212"/>
      <c r="C161" s="212"/>
      <c r="D161" s="212"/>
      <c r="E161" s="212"/>
      <c r="F161" s="212"/>
      <c r="G161" s="212"/>
      <c r="H161" s="212"/>
      <c r="I161" s="212"/>
      <c r="J161" s="212"/>
      <c r="K161" s="212"/>
      <c r="L161" s="212"/>
    </row>
    <row r="162" spans="1:12" ht="19" customHeight="1">
      <c r="A162" s="211"/>
      <c r="B162" s="211"/>
      <c r="C162" s="211"/>
      <c r="D162" s="219" t="str">
        <f>IF('column design'!B31="","","= "&amp;TEXT('column design'!B27,"#,##0")&amp;" × "&amp;TEXT('column design'!H8,"0")&amp;" / ("&amp;TEXT('column design'!B29,"#,##0.00")&amp;" × 1000)")</f>
        <v/>
      </c>
      <c r="E162" s="219"/>
      <c r="F162" s="219"/>
      <c r="G162" s="219"/>
      <c r="H162" s="219"/>
      <c r="I162" s="219"/>
      <c r="J162" s="219"/>
      <c r="K162" s="219"/>
      <c r="L162" s="219"/>
    </row>
    <row r="163" spans="1:12" ht="19" customHeight="1">
      <c r="A163" s="211"/>
      <c r="B163" s="211"/>
      <c r="C163" s="211"/>
      <c r="D163" s="212" t="str">
        <f>IF('column design'!B31="","","δis = "&amp;TEXT('column design'!B31,"0.00")&amp;";  0.2 ≤ δis ≤ 0.9: "&amp;'column design'!D31)</f>
        <v/>
      </c>
      <c r="E163" s="212"/>
      <c r="F163" s="212"/>
      <c r="G163" s="212"/>
      <c r="H163" s="212"/>
      <c r="I163" s="212"/>
      <c r="J163" s="212"/>
      <c r="K163" s="212"/>
      <c r="L163" s="212"/>
    </row>
    <row r="164" spans="1:12" ht="19" customHeight="1">
      <c r="A164" s="211"/>
      <c r="B164" s="211"/>
      <c r="C164" s="211"/>
      <c r="D164" s="211"/>
      <c r="E164" s="211"/>
      <c r="F164" s="211"/>
      <c r="G164" s="211"/>
      <c r="H164" s="211"/>
      <c r="I164" s="211"/>
      <c r="J164" s="211"/>
      <c r="K164" s="211"/>
      <c r="L164" s="211"/>
    </row>
    <row r="165" spans="1:12" ht="19" customHeight="1">
      <c r="A165" s="211"/>
      <c r="B165" s="211"/>
      <c r="C165" s="211"/>
      <c r="D165" s="211"/>
      <c r="E165" s="211"/>
      <c r="F165" s="211"/>
      <c r="G165" s="211"/>
      <c r="H165" s="211"/>
      <c r="I165" s="211"/>
      <c r="J165" s="211"/>
      <c r="K165" s="211"/>
      <c r="L165" s="211"/>
    </row>
    <row r="166" spans="1:12" ht="19" customHeight="1">
      <c r="A166" s="211"/>
      <c r="B166" s="211"/>
      <c r="C166" s="211"/>
      <c r="D166" s="217" t="str">
        <f>"∴ "&amp;'column design'!B32</f>
        <v>∴ Column design pending</v>
      </c>
      <c r="E166" s="217"/>
      <c r="F166" s="217"/>
      <c r="G166" s="217"/>
      <c r="H166" s="217"/>
      <c r="I166" s="217"/>
      <c r="J166" s="217"/>
      <c r="K166" s="217"/>
      <c r="L166" s="217"/>
    </row>
    <row r="167" spans="1:12" ht="19" customHeight="1">
      <c r="A167" s="211"/>
      <c r="B167" s="211"/>
      <c r="C167" s="211"/>
      <c r="D167" s="211"/>
      <c r="E167" s="211"/>
      <c r="F167" s="211"/>
      <c r="G167" s="211"/>
      <c r="H167" s="211"/>
      <c r="I167" s="211"/>
      <c r="J167" s="211"/>
      <c r="K167" s="211"/>
      <c r="L167" s="211"/>
    </row>
    <row r="168" spans="1:12" ht="19" customHeight="1">
      <c r="A168" s="211"/>
      <c r="B168" s="211"/>
      <c r="C168" s="211"/>
      <c r="D168" s="211"/>
      <c r="E168" s="211"/>
      <c r="F168" s="211"/>
      <c r="G168" s="211"/>
      <c r="H168" s="211"/>
      <c r="I168" s="211"/>
      <c r="J168" s="211"/>
      <c r="K168" s="211"/>
      <c r="L168" s="211"/>
    </row>
    <row r="169" spans="1:12" ht="19" customHeight="1">
      <c r="A169" s="211"/>
      <c r="B169" s="211"/>
      <c r="C169" s="211"/>
      <c r="D169" s="211"/>
      <c r="E169" s="211"/>
      <c r="F169" s="211"/>
      <c r="G169" s="211"/>
      <c r="H169" s="211"/>
      <c r="I169" s="211"/>
      <c r="J169" s="211"/>
      <c r="K169" s="211"/>
      <c r="L169" s="211"/>
    </row>
    <row r="170" spans="1:12" ht="19" customHeight="1">
      <c r="A170" s="211"/>
      <c r="B170" s="211"/>
      <c r="C170" s="211"/>
      <c r="D170" s="211"/>
      <c r="E170" s="211"/>
      <c r="F170" s="211"/>
      <c r="G170" s="211"/>
      <c r="H170" s="211"/>
      <c r="I170" s="211"/>
      <c r="J170" s="211"/>
      <c r="K170" s="211"/>
      <c r="L170" s="211"/>
    </row>
    <row r="171" spans="1:12" ht="19" customHeight="1">
      <c r="A171" s="211"/>
      <c r="B171" s="211"/>
      <c r="C171" s="211"/>
      <c r="D171" s="211"/>
      <c r="E171" s="211"/>
      <c r="F171" s="211"/>
      <c r="G171" s="211"/>
      <c r="H171" s="211"/>
      <c r="I171" s="211"/>
      <c r="J171" s="211"/>
      <c r="K171" s="211"/>
      <c r="L171" s="211"/>
    </row>
    <row r="172" spans="1:12" ht="19" customHeight="1">
      <c r="A172" s="231"/>
      <c r="B172" s="231"/>
      <c r="C172" s="231"/>
      <c r="D172" s="231"/>
      <c r="E172" s="231"/>
      <c r="F172" s="231"/>
      <c r="G172" s="231"/>
      <c r="H172" s="231"/>
      <c r="I172" s="231"/>
      <c r="J172" s="231"/>
      <c r="K172" s="231"/>
      <c r="L172" s="231"/>
    </row>
    <row r="880" spans="15:16">
      <c r="O880">
        <f>IF(AND(TRUE,TRUE,N('Steel Beam Design'!B27)&gt;0),0,NA())</f>
        <v>0</v>
      </c>
      <c r="P880">
        <f>IF(AND(TRUE,TRUE,N('Steel Beam Design'!B27)&gt;0),1,NA())</f>
        <v>1</v>
      </c>
    </row>
    <row r="881" spans="15:16">
      <c r="O881">
        <f>IF(AND(TRUE,TRUE,N('Steel Beam Design'!B27)&gt;0),1,NA())</f>
        <v>1</v>
      </c>
      <c r="P881">
        <f>IF(AND(TRUE,TRUE,N('Steel Beam Design'!B27)&gt;0),1,NA())</f>
        <v>1</v>
      </c>
    </row>
    <row r="882" spans="15:16">
      <c r="O882">
        <f>IF(AND(TRUE,N('Steel Beam Design'!D27)&lt;&gt;0,N('Steel Beam Design'!B27)&gt;0),IFERROR('Steel Beam Design'!E27/'Steel Beam Design'!B27,0),NA())</f>
        <v>0.5</v>
      </c>
      <c r="P882">
        <f>IF(AND(TRUE,N('Steel Beam Design'!D27)&lt;&gt;0,N('Steel Beam Design'!B27)&gt;0),1.9,NA())</f>
        <v>1.9</v>
      </c>
    </row>
    <row r="883" spans="15:16">
      <c r="O883">
        <f>IF(AND(TRUE,N('Steel Beam Design'!D27)&lt;&gt;0,N('Steel Beam Design'!B27)&gt;0),IFERROR('Steel Beam Design'!E27/'Steel Beam Design'!B27,0),NA())</f>
        <v>0.5</v>
      </c>
      <c r="P883">
        <f>IF(AND(TRUE,N('Steel Beam Design'!D27)&lt;&gt;0,N('Steel Beam Design'!B27)&gt;0),1,NA())</f>
        <v>1</v>
      </c>
    </row>
    <row r="884" spans="15:16">
      <c r="O884">
        <f>IF(AND(TRUE,N('Steel Beam Design'!D27)&lt;&gt;0,N('Steel Beam Design'!B27)&gt;0),(IFERROR('Steel Beam Design'!E27/'Steel Beam Design'!B27,0))-0.012,NA())</f>
        <v>0.48799999999999999</v>
      </c>
      <c r="P884">
        <f>IF(AND(TRUE,N('Steel Beam Design'!D27)&lt;&gt;0,N('Steel Beam Design'!B27)&gt;0),1.12,NA())</f>
        <v>1.1200000000000001</v>
      </c>
    </row>
    <row r="885" spans="15:16">
      <c r="O885">
        <f>IF(AND(TRUE,N('Steel Beam Design'!D27)&lt;&gt;0,N('Steel Beam Design'!B27)&gt;0),IFERROR('Steel Beam Design'!E27/'Steel Beam Design'!B27,0),NA())</f>
        <v>0.5</v>
      </c>
      <c r="P885">
        <f>IF(AND(TRUE,N('Steel Beam Design'!D27)&lt;&gt;0,N('Steel Beam Design'!B27)&gt;0),1,NA())</f>
        <v>1</v>
      </c>
    </row>
    <row r="886" spans="15:16">
      <c r="O886">
        <f>IF(AND(TRUE,N('Steel Beam Design'!D27)&lt;&gt;0,N('Steel Beam Design'!B27)&gt;0),(IFERROR('Steel Beam Design'!E27/'Steel Beam Design'!B27,0))+0.012,NA())</f>
        <v>0.51200000000000001</v>
      </c>
      <c r="P886">
        <f>IF(AND(TRUE,N('Steel Beam Design'!D27)&lt;&gt;0,N('Steel Beam Design'!B27)&gt;0),1.12,NA())</f>
        <v>1.1200000000000001</v>
      </c>
    </row>
    <row r="887" spans="15:16">
      <c r="O887" t="e">
        <f>IF(AND(TRUE,N('Steel Beam Design'!F27)&lt;&gt;0,N('Steel Beam Design'!B27)&gt;0),IFERROR('Steel Beam Design'!G27/'Steel Beam Design'!B27,0),NA())</f>
        <v>#N/A</v>
      </c>
      <c r="P887" t="e">
        <f>IF(AND(TRUE,N('Steel Beam Design'!F27)&lt;&gt;0,N('Steel Beam Design'!B27)&gt;0),1.9,NA())</f>
        <v>#N/A</v>
      </c>
    </row>
    <row r="888" spans="15:16">
      <c r="O888" t="e">
        <f>IF(AND(TRUE,N('Steel Beam Design'!F27)&lt;&gt;0,N('Steel Beam Design'!B27)&gt;0),IFERROR('Steel Beam Design'!G27/'Steel Beam Design'!B27,0),NA())</f>
        <v>#N/A</v>
      </c>
      <c r="P888" t="e">
        <f>IF(AND(TRUE,N('Steel Beam Design'!F27)&lt;&gt;0,N('Steel Beam Design'!B27)&gt;0),1,NA())</f>
        <v>#N/A</v>
      </c>
    </row>
    <row r="889" spans="15:16">
      <c r="O889" t="e">
        <f>IF(AND(TRUE,N('Steel Beam Design'!F27)&lt;&gt;0,N('Steel Beam Design'!B27)&gt;0),(IFERROR('Steel Beam Design'!G27/'Steel Beam Design'!B27,0))-0.012,NA())</f>
        <v>#N/A</v>
      </c>
      <c r="P889" t="e">
        <f>IF(AND(TRUE,N('Steel Beam Design'!F27)&lt;&gt;0,N('Steel Beam Design'!B27)&gt;0),1.12,NA())</f>
        <v>#N/A</v>
      </c>
    </row>
    <row r="890" spans="15:16">
      <c r="O890" t="e">
        <f>IF(AND(TRUE,N('Steel Beam Design'!F27)&lt;&gt;0,N('Steel Beam Design'!B27)&gt;0),IFERROR('Steel Beam Design'!G27/'Steel Beam Design'!B27,0),NA())</f>
        <v>#N/A</v>
      </c>
      <c r="P890" t="e">
        <f>IF(AND(TRUE,N('Steel Beam Design'!F27)&lt;&gt;0,N('Steel Beam Design'!B27)&gt;0),1,NA())</f>
        <v>#N/A</v>
      </c>
    </row>
    <row r="891" spans="15:16">
      <c r="O891" t="e">
        <f>IF(AND(TRUE,N('Steel Beam Design'!F27)&lt;&gt;0,N('Steel Beam Design'!B27)&gt;0),(IFERROR('Steel Beam Design'!G27/'Steel Beam Design'!B27,0))+0.012,NA())</f>
        <v>#N/A</v>
      </c>
      <c r="P891" t="e">
        <f>IF(AND(TRUE,N('Steel Beam Design'!F27)&lt;&gt;0,N('Steel Beam Design'!B27)&gt;0),1.12,NA())</f>
        <v>#N/A</v>
      </c>
    </row>
    <row r="892" spans="15:16">
      <c r="O892" t="e">
        <f>IF(AND(TRUE,N('Steel Beam Design'!H27)&lt;&gt;0,N('Steel Beam Design'!B27)&gt;0),IFERROR('Steel Beam Design'!I27/'Steel Beam Design'!B27,0),NA())</f>
        <v>#N/A</v>
      </c>
      <c r="P892" t="e">
        <f>IF(AND(TRUE,N('Steel Beam Design'!H27)&lt;&gt;0,N('Steel Beam Design'!B27)&gt;0),1.9,NA())</f>
        <v>#N/A</v>
      </c>
    </row>
    <row r="893" spans="15:16">
      <c r="O893" t="e">
        <f>IF(AND(TRUE,N('Steel Beam Design'!H27)&lt;&gt;0,N('Steel Beam Design'!B27)&gt;0),IFERROR('Steel Beam Design'!I27/'Steel Beam Design'!B27,0),NA())</f>
        <v>#N/A</v>
      </c>
      <c r="P893" t="e">
        <f>IF(AND(TRUE,N('Steel Beam Design'!H27)&lt;&gt;0,N('Steel Beam Design'!B27)&gt;0),1,NA())</f>
        <v>#N/A</v>
      </c>
    </row>
    <row r="894" spans="15:16">
      <c r="O894" t="e">
        <f>IF(AND(TRUE,N('Steel Beam Design'!H27)&lt;&gt;0,N('Steel Beam Design'!B27)&gt;0),(IFERROR('Steel Beam Design'!I27/'Steel Beam Design'!B27,0))-0.012,NA())</f>
        <v>#N/A</v>
      </c>
      <c r="P894" t="e">
        <f>IF(AND(TRUE,N('Steel Beam Design'!H27)&lt;&gt;0,N('Steel Beam Design'!B27)&gt;0),1.12,NA())</f>
        <v>#N/A</v>
      </c>
    </row>
    <row r="895" spans="15:16">
      <c r="O895" t="e">
        <f>IF(AND(TRUE,N('Steel Beam Design'!H27)&lt;&gt;0,N('Steel Beam Design'!B27)&gt;0),IFERROR('Steel Beam Design'!I27/'Steel Beam Design'!B27,0),NA())</f>
        <v>#N/A</v>
      </c>
      <c r="P895" t="e">
        <f>IF(AND(TRUE,N('Steel Beam Design'!H27)&lt;&gt;0,N('Steel Beam Design'!B27)&gt;0),1,NA())</f>
        <v>#N/A</v>
      </c>
    </row>
    <row r="896" spans="15:16">
      <c r="O896" t="e">
        <f>IF(AND(TRUE,N('Steel Beam Design'!H27)&lt;&gt;0,N('Steel Beam Design'!B27)&gt;0),(IFERROR('Steel Beam Design'!I27/'Steel Beam Design'!B27,0))+0.012,NA())</f>
        <v>#N/A</v>
      </c>
      <c r="P896" t="e">
        <f>IF(AND(TRUE,N('Steel Beam Design'!H27)&lt;&gt;0,N('Steel Beam Design'!B27)&gt;0),1.12,NA())</f>
        <v>#N/A</v>
      </c>
    </row>
    <row r="897" spans="15:16">
      <c r="O897" t="e">
        <f>IF(AND(TRUE,N('Steel Beam Design'!J27)&lt;&gt;0,N('Steel Beam Design'!B27)&gt;0),IFERROR('Steel Beam Design'!K27/'Steel Beam Design'!B27,0),NA())</f>
        <v>#N/A</v>
      </c>
      <c r="P897" t="e">
        <f>IF(AND(TRUE,N('Steel Beam Design'!J27)&lt;&gt;0,N('Steel Beam Design'!B27)&gt;0),1.9,NA())</f>
        <v>#N/A</v>
      </c>
    </row>
    <row r="898" spans="15:16">
      <c r="O898" t="e">
        <f>IF(AND(TRUE,N('Steel Beam Design'!J27)&lt;&gt;0,N('Steel Beam Design'!B27)&gt;0),IFERROR('Steel Beam Design'!K27/'Steel Beam Design'!B27,0),NA())</f>
        <v>#N/A</v>
      </c>
      <c r="P898" t="e">
        <f>IF(AND(TRUE,N('Steel Beam Design'!J27)&lt;&gt;0,N('Steel Beam Design'!B27)&gt;0),1,NA())</f>
        <v>#N/A</v>
      </c>
    </row>
    <row r="899" spans="15:16">
      <c r="O899" t="e">
        <f>IF(AND(TRUE,N('Steel Beam Design'!J27)&lt;&gt;0,N('Steel Beam Design'!B27)&gt;0),(IFERROR('Steel Beam Design'!K27/'Steel Beam Design'!B27,0))-0.012,NA())</f>
        <v>#N/A</v>
      </c>
      <c r="P899" t="e">
        <f>IF(AND(TRUE,N('Steel Beam Design'!J27)&lt;&gt;0,N('Steel Beam Design'!B27)&gt;0),1.12,NA())</f>
        <v>#N/A</v>
      </c>
    </row>
    <row r="900" spans="15:16">
      <c r="O900" t="e">
        <f>IF(AND(TRUE,N('Steel Beam Design'!J27)&lt;&gt;0,N('Steel Beam Design'!B27)&gt;0),IFERROR('Steel Beam Design'!K27/'Steel Beam Design'!B27,0),NA())</f>
        <v>#N/A</v>
      </c>
      <c r="P900" t="e">
        <f>IF(AND(TRUE,N('Steel Beam Design'!J27)&lt;&gt;0,N('Steel Beam Design'!B27)&gt;0),1,NA())</f>
        <v>#N/A</v>
      </c>
    </row>
    <row r="901" spans="15:16">
      <c r="O901" t="e">
        <f>IF(AND(TRUE,N('Steel Beam Design'!J27)&lt;&gt;0,N('Steel Beam Design'!B27)&gt;0),(IFERROR('Steel Beam Design'!K27/'Steel Beam Design'!B27,0))+0.012,NA())</f>
        <v>#N/A</v>
      </c>
      <c r="P901" t="e">
        <f>IF(AND(TRUE,N('Steel Beam Design'!J27)&lt;&gt;0,N('Steel Beam Design'!B27)&gt;0),1.12,NA())</f>
        <v>#N/A</v>
      </c>
    </row>
    <row r="902" spans="15:16">
      <c r="O902" t="e">
        <f>IF(AND(TRUE,N('Steel Beam Design'!L27)&lt;&gt;0,N('Steel Beam Design'!B27)&gt;0),IFERROR('Steel Beam Design'!M27/'Steel Beam Design'!B27,0),NA())</f>
        <v>#N/A</v>
      </c>
      <c r="P902" t="e">
        <f>IF(AND(TRUE,N('Steel Beam Design'!L27)&lt;&gt;0,N('Steel Beam Design'!B27)&gt;0),1.9,NA())</f>
        <v>#N/A</v>
      </c>
    </row>
    <row r="903" spans="15:16">
      <c r="O903" t="e">
        <f>IF(AND(TRUE,N('Steel Beam Design'!L27)&lt;&gt;0,N('Steel Beam Design'!B27)&gt;0),IFERROR('Steel Beam Design'!M27/'Steel Beam Design'!B27,0),NA())</f>
        <v>#N/A</v>
      </c>
      <c r="P903" t="e">
        <f>IF(AND(TRUE,N('Steel Beam Design'!L27)&lt;&gt;0,N('Steel Beam Design'!B27)&gt;0),1,NA())</f>
        <v>#N/A</v>
      </c>
    </row>
    <row r="904" spans="15:16">
      <c r="O904" t="e">
        <f>IF(AND(TRUE,N('Steel Beam Design'!L27)&lt;&gt;0,N('Steel Beam Design'!B27)&gt;0),(IFERROR('Steel Beam Design'!M27/'Steel Beam Design'!B27,0))-0.012,NA())</f>
        <v>#N/A</v>
      </c>
      <c r="P904" t="e">
        <f>IF(AND(TRUE,N('Steel Beam Design'!L27)&lt;&gt;0,N('Steel Beam Design'!B27)&gt;0),1.12,NA())</f>
        <v>#N/A</v>
      </c>
    </row>
    <row r="905" spans="15:16">
      <c r="O905" t="e">
        <f>IF(AND(TRUE,N('Steel Beam Design'!L27)&lt;&gt;0,N('Steel Beam Design'!B27)&gt;0),IFERROR('Steel Beam Design'!M27/'Steel Beam Design'!B27,0),NA())</f>
        <v>#N/A</v>
      </c>
      <c r="P905" t="e">
        <f>IF(AND(TRUE,N('Steel Beam Design'!L27)&lt;&gt;0,N('Steel Beam Design'!B27)&gt;0),1,NA())</f>
        <v>#N/A</v>
      </c>
    </row>
    <row r="906" spans="15:16">
      <c r="O906" t="e">
        <f>IF(AND(TRUE,N('Steel Beam Design'!L27)&lt;&gt;0,N('Steel Beam Design'!B27)&gt;0),(IFERROR('Steel Beam Design'!M27/'Steel Beam Design'!B27,0))+0.012,NA())</f>
        <v>#N/A</v>
      </c>
      <c r="P906" t="e">
        <f>IF(AND(TRUE,N('Steel Beam Design'!L27)&lt;&gt;0,N('Steel Beam Design'!B27)&gt;0),1.12,NA())</f>
        <v>#N/A</v>
      </c>
    </row>
    <row r="907" spans="15:16">
      <c r="O907" t="e">
        <f>IF(AND(TRUE,N('Steel Beam Design'!R27)&lt;&gt;0,N('Steel Beam Design'!B27)&gt;0),1,NA())</f>
        <v>#N/A</v>
      </c>
      <c r="P907" t="e">
        <f>IF(AND(TRUE,N('Steel Beam Design'!R27)&lt;&gt;0,N('Steel Beam Design'!B27)&gt;0),1.9,NA())</f>
        <v>#N/A</v>
      </c>
    </row>
    <row r="908" spans="15:16">
      <c r="O908" t="e">
        <f>IF(AND(TRUE,N('Steel Beam Design'!R27)&lt;&gt;0,N('Steel Beam Design'!B27)&gt;0),1,NA())</f>
        <v>#N/A</v>
      </c>
      <c r="P908" t="e">
        <f>IF(AND(TRUE,N('Steel Beam Design'!R27)&lt;&gt;0,N('Steel Beam Design'!B27)&gt;0),1,NA())</f>
        <v>#N/A</v>
      </c>
    </row>
    <row r="909" spans="15:16">
      <c r="O909" t="e">
        <f>IF(AND(TRUE,N('Steel Beam Design'!R27)&lt;&gt;0,N('Steel Beam Design'!B27)&gt;0),(1)-0.012,NA())</f>
        <v>#N/A</v>
      </c>
      <c r="P909" t="e">
        <f>IF(AND(TRUE,N('Steel Beam Design'!R27)&lt;&gt;0,N('Steel Beam Design'!B27)&gt;0),1.12,NA())</f>
        <v>#N/A</v>
      </c>
    </row>
    <row r="910" spans="15:16">
      <c r="O910" t="e">
        <f>IF(AND(TRUE,N('Steel Beam Design'!R27)&lt;&gt;0,N('Steel Beam Design'!B27)&gt;0),1,NA())</f>
        <v>#N/A</v>
      </c>
      <c r="P910" t="e">
        <f>IF(AND(TRUE,N('Steel Beam Design'!R27)&lt;&gt;0,N('Steel Beam Design'!B27)&gt;0),1,NA())</f>
        <v>#N/A</v>
      </c>
    </row>
    <row r="911" spans="15:16">
      <c r="O911" t="e">
        <f>IF(AND(TRUE,N('Steel Beam Design'!R27)&lt;&gt;0,N('Steel Beam Design'!B27)&gt;0),(1)+0.012,NA())</f>
        <v>#N/A</v>
      </c>
      <c r="P911" t="e">
        <f>IF(AND(TRUE,N('Steel Beam Design'!R27)&lt;&gt;0,N('Steel Beam Design'!B27)&gt;0),1.12,NA())</f>
        <v>#N/A</v>
      </c>
    </row>
    <row r="912" spans="15:16">
      <c r="O912" t="e">
        <f>IF(AND(TRUE,N('Steel Beam Design'!N27)&lt;&gt;0,N('Steel Beam Design'!B27)&gt;0),0,NA())</f>
        <v>#N/A</v>
      </c>
      <c r="P912" t="e">
        <f>IF(AND(TRUE,N('Steel Beam Design'!N27)&lt;&gt;0,N('Steel Beam Design'!B27)&gt;0),1.5,NA())</f>
        <v>#N/A</v>
      </c>
    </row>
    <row r="913" spans="15:16">
      <c r="O913" t="e">
        <f>IF(AND(TRUE,N('Steel Beam Design'!N27)&lt;&gt;0,N('Steel Beam Design'!B27)&gt;0),0,NA())</f>
        <v>#N/A</v>
      </c>
      <c r="P913" t="e">
        <f>IF(AND(TRUE,N('Steel Beam Design'!N27)&lt;&gt;0,N('Steel Beam Design'!B27)&gt;0),1,NA())</f>
        <v>#N/A</v>
      </c>
    </row>
    <row r="914" spans="15:16">
      <c r="O914" t="e">
        <f>IF(AND(TRUE,N('Steel Beam Design'!N27)&lt;&gt;0,N('Steel Beam Design'!B27)&gt;0),-0.008,NA())</f>
        <v>#N/A</v>
      </c>
      <c r="P914" t="e">
        <f>IF(AND(TRUE,N('Steel Beam Design'!N27)&lt;&gt;0,N('Steel Beam Design'!B27)&gt;0),1.08,NA())</f>
        <v>#N/A</v>
      </c>
    </row>
    <row r="915" spans="15:16">
      <c r="O915" t="e">
        <f>IF(AND(TRUE,N('Steel Beam Design'!N27)&lt;&gt;0,N('Steel Beam Design'!B27)&gt;0),0,NA())</f>
        <v>#N/A</v>
      </c>
      <c r="P915" t="e">
        <f>IF(AND(TRUE,N('Steel Beam Design'!N27)&lt;&gt;0,N('Steel Beam Design'!B27)&gt;0),1,NA())</f>
        <v>#N/A</v>
      </c>
    </row>
    <row r="916" spans="15:16">
      <c r="O916" t="e">
        <f>IF(AND(TRUE,N('Steel Beam Design'!N27)&lt;&gt;0,N('Steel Beam Design'!B27)&gt;0),0.008,NA())</f>
        <v>#N/A</v>
      </c>
      <c r="P916" t="e">
        <f>IF(AND(TRUE,N('Steel Beam Design'!N27)&lt;&gt;0,N('Steel Beam Design'!B27)&gt;0),1.08,NA())</f>
        <v>#N/A</v>
      </c>
    </row>
    <row r="917" spans="15:16">
      <c r="O917" t="e">
        <f>IF(AND(TRUE,N('Steel Beam Design'!N27)&lt;&gt;0,N('Steel Beam Design'!B27)&gt;0),0.1,NA())</f>
        <v>#N/A</v>
      </c>
      <c r="P917" t="e">
        <f>IF(AND(TRUE,N('Steel Beam Design'!N27)&lt;&gt;0,N('Steel Beam Design'!B27)&gt;0),1.5,NA())</f>
        <v>#N/A</v>
      </c>
    </row>
    <row r="918" spans="15:16">
      <c r="O918" t="e">
        <f>IF(AND(TRUE,N('Steel Beam Design'!N27)&lt;&gt;0,N('Steel Beam Design'!B27)&gt;0),0.1,NA())</f>
        <v>#N/A</v>
      </c>
      <c r="P918" t="e">
        <f>IF(AND(TRUE,N('Steel Beam Design'!N27)&lt;&gt;0,N('Steel Beam Design'!B27)&gt;0),1,NA())</f>
        <v>#N/A</v>
      </c>
    </row>
    <row r="919" spans="15:16">
      <c r="O919" t="e">
        <f>IF(AND(TRUE,N('Steel Beam Design'!N27)&lt;&gt;0,N('Steel Beam Design'!B27)&gt;0),0.092,NA())</f>
        <v>#N/A</v>
      </c>
      <c r="P919" t="e">
        <f>IF(AND(TRUE,N('Steel Beam Design'!N27)&lt;&gt;0,N('Steel Beam Design'!B27)&gt;0),1.08,NA())</f>
        <v>#N/A</v>
      </c>
    </row>
    <row r="920" spans="15:16">
      <c r="O920" t="e">
        <f>IF(AND(TRUE,N('Steel Beam Design'!N27)&lt;&gt;0,N('Steel Beam Design'!B27)&gt;0),0.1,NA())</f>
        <v>#N/A</v>
      </c>
      <c r="P920" t="e">
        <f>IF(AND(TRUE,N('Steel Beam Design'!N27)&lt;&gt;0,N('Steel Beam Design'!B27)&gt;0),1,NA())</f>
        <v>#N/A</v>
      </c>
    </row>
    <row r="921" spans="15:16">
      <c r="O921" t="e">
        <f>IF(AND(TRUE,N('Steel Beam Design'!N27)&lt;&gt;0,N('Steel Beam Design'!B27)&gt;0),0.108,NA())</f>
        <v>#N/A</v>
      </c>
      <c r="P921" t="e">
        <f>IF(AND(TRUE,N('Steel Beam Design'!N27)&lt;&gt;0,N('Steel Beam Design'!B27)&gt;0),1.08,NA())</f>
        <v>#N/A</v>
      </c>
    </row>
    <row r="922" spans="15:16">
      <c r="O922" t="e">
        <f>IF(AND(TRUE,N('Steel Beam Design'!N27)&lt;&gt;0,N('Steel Beam Design'!B27)&gt;0),0.2,NA())</f>
        <v>#N/A</v>
      </c>
      <c r="P922" t="e">
        <f>IF(AND(TRUE,N('Steel Beam Design'!N27)&lt;&gt;0,N('Steel Beam Design'!B27)&gt;0),1.5,NA())</f>
        <v>#N/A</v>
      </c>
    </row>
    <row r="923" spans="15:16">
      <c r="O923" t="e">
        <f>IF(AND(TRUE,N('Steel Beam Design'!N27)&lt;&gt;0,N('Steel Beam Design'!B27)&gt;0),0.2,NA())</f>
        <v>#N/A</v>
      </c>
      <c r="P923" t="e">
        <f>IF(AND(TRUE,N('Steel Beam Design'!N27)&lt;&gt;0,N('Steel Beam Design'!B27)&gt;0),1,NA())</f>
        <v>#N/A</v>
      </c>
    </row>
    <row r="924" spans="15:16">
      <c r="O924" t="e">
        <f>IF(AND(TRUE,N('Steel Beam Design'!N27)&lt;&gt;0,N('Steel Beam Design'!B27)&gt;0),0.192,NA())</f>
        <v>#N/A</v>
      </c>
      <c r="P924" t="e">
        <f>IF(AND(TRUE,N('Steel Beam Design'!N27)&lt;&gt;0,N('Steel Beam Design'!B27)&gt;0),1.08,NA())</f>
        <v>#N/A</v>
      </c>
    </row>
    <row r="925" spans="15:16">
      <c r="O925" t="e">
        <f>IF(AND(TRUE,N('Steel Beam Design'!N27)&lt;&gt;0,N('Steel Beam Design'!B27)&gt;0),0.2,NA())</f>
        <v>#N/A</v>
      </c>
      <c r="P925" t="e">
        <f>IF(AND(TRUE,N('Steel Beam Design'!N27)&lt;&gt;0,N('Steel Beam Design'!B27)&gt;0),1,NA())</f>
        <v>#N/A</v>
      </c>
    </row>
    <row r="926" spans="15:16">
      <c r="O926" t="e">
        <f>IF(AND(TRUE,N('Steel Beam Design'!N27)&lt;&gt;0,N('Steel Beam Design'!B27)&gt;0),0.208,NA())</f>
        <v>#N/A</v>
      </c>
      <c r="P926" t="e">
        <f>IF(AND(TRUE,N('Steel Beam Design'!N27)&lt;&gt;0,N('Steel Beam Design'!B27)&gt;0),1.08,NA())</f>
        <v>#N/A</v>
      </c>
    </row>
    <row r="927" spans="15:16">
      <c r="O927" t="e">
        <f>IF(AND(TRUE,N('Steel Beam Design'!N27)&lt;&gt;0,N('Steel Beam Design'!B27)&gt;0),0.3,NA())</f>
        <v>#N/A</v>
      </c>
      <c r="P927" t="e">
        <f>IF(AND(TRUE,N('Steel Beam Design'!N27)&lt;&gt;0,N('Steel Beam Design'!B27)&gt;0),1.5,NA())</f>
        <v>#N/A</v>
      </c>
    </row>
    <row r="928" spans="15:16">
      <c r="O928" t="e">
        <f>IF(AND(TRUE,N('Steel Beam Design'!N27)&lt;&gt;0,N('Steel Beam Design'!B27)&gt;0),0.3,NA())</f>
        <v>#N/A</v>
      </c>
      <c r="P928" t="e">
        <f>IF(AND(TRUE,N('Steel Beam Design'!N27)&lt;&gt;0,N('Steel Beam Design'!B27)&gt;0),1,NA())</f>
        <v>#N/A</v>
      </c>
    </row>
    <row r="929" spans="15:16">
      <c r="O929" t="e">
        <f>IF(AND(TRUE,N('Steel Beam Design'!N27)&lt;&gt;0,N('Steel Beam Design'!B27)&gt;0),0.292,NA())</f>
        <v>#N/A</v>
      </c>
      <c r="P929" t="e">
        <f>IF(AND(TRUE,N('Steel Beam Design'!N27)&lt;&gt;0,N('Steel Beam Design'!B27)&gt;0),1.08,NA())</f>
        <v>#N/A</v>
      </c>
    </row>
    <row r="930" spans="15:16">
      <c r="O930" t="e">
        <f>IF(AND(TRUE,N('Steel Beam Design'!N27)&lt;&gt;0,N('Steel Beam Design'!B27)&gt;0),0.3,NA())</f>
        <v>#N/A</v>
      </c>
      <c r="P930" t="e">
        <f>IF(AND(TRUE,N('Steel Beam Design'!N27)&lt;&gt;0,N('Steel Beam Design'!B27)&gt;0),1,NA())</f>
        <v>#N/A</v>
      </c>
    </row>
    <row r="931" spans="15:16">
      <c r="O931" t="e">
        <f>IF(AND(TRUE,N('Steel Beam Design'!N27)&lt;&gt;0,N('Steel Beam Design'!B27)&gt;0),0.308,NA())</f>
        <v>#N/A</v>
      </c>
      <c r="P931" t="e">
        <f>IF(AND(TRUE,N('Steel Beam Design'!N27)&lt;&gt;0,N('Steel Beam Design'!B27)&gt;0),1.08,NA())</f>
        <v>#N/A</v>
      </c>
    </row>
    <row r="932" spans="15:16">
      <c r="O932" t="e">
        <f>IF(AND(TRUE,N('Steel Beam Design'!N27)&lt;&gt;0,N('Steel Beam Design'!B27)&gt;0),0.4,NA())</f>
        <v>#N/A</v>
      </c>
      <c r="P932" t="e">
        <f>IF(AND(TRUE,N('Steel Beam Design'!N27)&lt;&gt;0,N('Steel Beam Design'!B27)&gt;0),1.5,NA())</f>
        <v>#N/A</v>
      </c>
    </row>
    <row r="933" spans="15:16">
      <c r="O933" t="e">
        <f>IF(AND(TRUE,N('Steel Beam Design'!N27)&lt;&gt;0,N('Steel Beam Design'!B27)&gt;0),0.4,NA())</f>
        <v>#N/A</v>
      </c>
      <c r="P933" t="e">
        <f>IF(AND(TRUE,N('Steel Beam Design'!N27)&lt;&gt;0,N('Steel Beam Design'!B27)&gt;0),1,NA())</f>
        <v>#N/A</v>
      </c>
    </row>
    <row r="934" spans="15:16">
      <c r="O934" t="e">
        <f>IF(AND(TRUE,N('Steel Beam Design'!N27)&lt;&gt;0,N('Steel Beam Design'!B27)&gt;0),0.392,NA())</f>
        <v>#N/A</v>
      </c>
      <c r="P934" t="e">
        <f>IF(AND(TRUE,N('Steel Beam Design'!N27)&lt;&gt;0,N('Steel Beam Design'!B27)&gt;0),1.08,NA())</f>
        <v>#N/A</v>
      </c>
    </row>
    <row r="935" spans="15:16">
      <c r="O935" t="e">
        <f>IF(AND(TRUE,N('Steel Beam Design'!N27)&lt;&gt;0,N('Steel Beam Design'!B27)&gt;0),0.4,NA())</f>
        <v>#N/A</v>
      </c>
      <c r="P935" t="e">
        <f>IF(AND(TRUE,N('Steel Beam Design'!N27)&lt;&gt;0,N('Steel Beam Design'!B27)&gt;0),1,NA())</f>
        <v>#N/A</v>
      </c>
    </row>
    <row r="936" spans="15:16">
      <c r="O936" t="e">
        <f>IF(AND(TRUE,N('Steel Beam Design'!N27)&lt;&gt;0,N('Steel Beam Design'!B27)&gt;0),0.408,NA())</f>
        <v>#N/A</v>
      </c>
      <c r="P936" t="e">
        <f>IF(AND(TRUE,N('Steel Beam Design'!N27)&lt;&gt;0,N('Steel Beam Design'!B27)&gt;0),1.08,NA())</f>
        <v>#N/A</v>
      </c>
    </row>
    <row r="937" spans="15:16">
      <c r="O937" t="e">
        <f>IF(AND(TRUE,N('Steel Beam Design'!N27)&lt;&gt;0,N('Steel Beam Design'!B27)&gt;0),0.5,NA())</f>
        <v>#N/A</v>
      </c>
      <c r="P937" t="e">
        <f>IF(AND(TRUE,N('Steel Beam Design'!N27)&lt;&gt;0,N('Steel Beam Design'!B27)&gt;0),1.5,NA())</f>
        <v>#N/A</v>
      </c>
    </row>
    <row r="938" spans="15:16">
      <c r="O938" t="e">
        <f>IF(AND(TRUE,N('Steel Beam Design'!N27)&lt;&gt;0,N('Steel Beam Design'!B27)&gt;0),0.5,NA())</f>
        <v>#N/A</v>
      </c>
      <c r="P938" t="e">
        <f>IF(AND(TRUE,N('Steel Beam Design'!N27)&lt;&gt;0,N('Steel Beam Design'!B27)&gt;0),1,NA())</f>
        <v>#N/A</v>
      </c>
    </row>
    <row r="939" spans="15:16">
      <c r="O939" t="e">
        <f>IF(AND(TRUE,N('Steel Beam Design'!N27)&lt;&gt;0,N('Steel Beam Design'!B27)&gt;0),0.492,NA())</f>
        <v>#N/A</v>
      </c>
      <c r="P939" t="e">
        <f>IF(AND(TRUE,N('Steel Beam Design'!N27)&lt;&gt;0,N('Steel Beam Design'!B27)&gt;0),1.08,NA())</f>
        <v>#N/A</v>
      </c>
    </row>
    <row r="940" spans="15:16">
      <c r="O940" t="e">
        <f>IF(AND(TRUE,N('Steel Beam Design'!N27)&lt;&gt;0,N('Steel Beam Design'!B27)&gt;0),0.5,NA())</f>
        <v>#N/A</v>
      </c>
      <c r="P940" t="e">
        <f>IF(AND(TRUE,N('Steel Beam Design'!N27)&lt;&gt;0,N('Steel Beam Design'!B27)&gt;0),1,NA())</f>
        <v>#N/A</v>
      </c>
    </row>
    <row r="941" spans="15:16">
      <c r="O941" t="e">
        <f>IF(AND(TRUE,N('Steel Beam Design'!N27)&lt;&gt;0,N('Steel Beam Design'!B27)&gt;0),0.508,NA())</f>
        <v>#N/A</v>
      </c>
      <c r="P941" t="e">
        <f>IF(AND(TRUE,N('Steel Beam Design'!N27)&lt;&gt;0,N('Steel Beam Design'!B27)&gt;0),1.08,NA())</f>
        <v>#N/A</v>
      </c>
    </row>
    <row r="942" spans="15:16">
      <c r="O942" t="e">
        <f>IF(AND(TRUE,N('Steel Beam Design'!N27)&lt;&gt;0,N('Steel Beam Design'!B27)&gt;0),0.6,NA())</f>
        <v>#N/A</v>
      </c>
      <c r="P942" t="e">
        <f>IF(AND(TRUE,N('Steel Beam Design'!N27)&lt;&gt;0,N('Steel Beam Design'!B27)&gt;0),1.5,NA())</f>
        <v>#N/A</v>
      </c>
    </row>
    <row r="943" spans="15:16">
      <c r="O943" t="e">
        <f>IF(AND(TRUE,N('Steel Beam Design'!N27)&lt;&gt;0,N('Steel Beam Design'!B27)&gt;0),0.6,NA())</f>
        <v>#N/A</v>
      </c>
      <c r="P943" t="e">
        <f>IF(AND(TRUE,N('Steel Beam Design'!N27)&lt;&gt;0,N('Steel Beam Design'!B27)&gt;0),1,NA())</f>
        <v>#N/A</v>
      </c>
    </row>
    <row r="944" spans="15:16">
      <c r="O944" t="e">
        <f>IF(AND(TRUE,N('Steel Beam Design'!N27)&lt;&gt;0,N('Steel Beam Design'!B27)&gt;0),0.592,NA())</f>
        <v>#N/A</v>
      </c>
      <c r="P944" t="e">
        <f>IF(AND(TRUE,N('Steel Beam Design'!N27)&lt;&gt;0,N('Steel Beam Design'!B27)&gt;0),1.08,NA())</f>
        <v>#N/A</v>
      </c>
    </row>
    <row r="945" spans="15:16">
      <c r="O945" t="e">
        <f>IF(AND(TRUE,N('Steel Beam Design'!N27)&lt;&gt;0,N('Steel Beam Design'!B27)&gt;0),0.6,NA())</f>
        <v>#N/A</v>
      </c>
      <c r="P945" t="e">
        <f>IF(AND(TRUE,N('Steel Beam Design'!N27)&lt;&gt;0,N('Steel Beam Design'!B27)&gt;0),1,NA())</f>
        <v>#N/A</v>
      </c>
    </row>
    <row r="946" spans="15:16">
      <c r="O946" t="e">
        <f>IF(AND(TRUE,N('Steel Beam Design'!N27)&lt;&gt;0,N('Steel Beam Design'!B27)&gt;0),0.608,NA())</f>
        <v>#N/A</v>
      </c>
      <c r="P946" t="e">
        <f>IF(AND(TRUE,N('Steel Beam Design'!N27)&lt;&gt;0,N('Steel Beam Design'!B27)&gt;0),1.08,NA())</f>
        <v>#N/A</v>
      </c>
    </row>
    <row r="947" spans="15:16">
      <c r="O947" t="e">
        <f>IF(AND(TRUE,N('Steel Beam Design'!N27)&lt;&gt;0,N('Steel Beam Design'!B27)&gt;0),0.7,NA())</f>
        <v>#N/A</v>
      </c>
      <c r="P947" t="e">
        <f>IF(AND(TRUE,N('Steel Beam Design'!N27)&lt;&gt;0,N('Steel Beam Design'!B27)&gt;0),1.5,NA())</f>
        <v>#N/A</v>
      </c>
    </row>
    <row r="948" spans="15:16">
      <c r="O948" t="e">
        <f>IF(AND(TRUE,N('Steel Beam Design'!N27)&lt;&gt;0,N('Steel Beam Design'!B27)&gt;0),0.7,NA())</f>
        <v>#N/A</v>
      </c>
      <c r="P948" t="e">
        <f>IF(AND(TRUE,N('Steel Beam Design'!N27)&lt;&gt;0,N('Steel Beam Design'!B27)&gt;0),1,NA())</f>
        <v>#N/A</v>
      </c>
    </row>
    <row r="949" spans="15:16">
      <c r="O949" t="e">
        <f>IF(AND(TRUE,N('Steel Beam Design'!N27)&lt;&gt;0,N('Steel Beam Design'!B27)&gt;0),0.692,NA())</f>
        <v>#N/A</v>
      </c>
      <c r="P949" t="e">
        <f>IF(AND(TRUE,N('Steel Beam Design'!N27)&lt;&gt;0,N('Steel Beam Design'!B27)&gt;0),1.08,NA())</f>
        <v>#N/A</v>
      </c>
    </row>
    <row r="950" spans="15:16">
      <c r="O950" t="e">
        <f>IF(AND(TRUE,N('Steel Beam Design'!N27)&lt;&gt;0,N('Steel Beam Design'!B27)&gt;0),0.7,NA())</f>
        <v>#N/A</v>
      </c>
      <c r="P950" t="e">
        <f>IF(AND(TRUE,N('Steel Beam Design'!N27)&lt;&gt;0,N('Steel Beam Design'!B27)&gt;0),1,NA())</f>
        <v>#N/A</v>
      </c>
    </row>
    <row r="951" spans="15:16">
      <c r="O951" t="e">
        <f>IF(AND(TRUE,N('Steel Beam Design'!N27)&lt;&gt;0,N('Steel Beam Design'!B27)&gt;0),0.708,NA())</f>
        <v>#N/A</v>
      </c>
      <c r="P951" t="e">
        <f>IF(AND(TRUE,N('Steel Beam Design'!N27)&lt;&gt;0,N('Steel Beam Design'!B27)&gt;0),1.08,NA())</f>
        <v>#N/A</v>
      </c>
    </row>
    <row r="952" spans="15:16">
      <c r="O952" t="e">
        <f>IF(AND(TRUE,N('Steel Beam Design'!N27)&lt;&gt;0,N('Steel Beam Design'!B27)&gt;0),0.8,NA())</f>
        <v>#N/A</v>
      </c>
      <c r="P952" t="e">
        <f>IF(AND(TRUE,N('Steel Beam Design'!N27)&lt;&gt;0,N('Steel Beam Design'!B27)&gt;0),1.5,NA())</f>
        <v>#N/A</v>
      </c>
    </row>
    <row r="953" spans="15:16">
      <c r="O953" t="e">
        <f>IF(AND(TRUE,N('Steel Beam Design'!N27)&lt;&gt;0,N('Steel Beam Design'!B27)&gt;0),0.8,NA())</f>
        <v>#N/A</v>
      </c>
      <c r="P953" t="e">
        <f>IF(AND(TRUE,N('Steel Beam Design'!N27)&lt;&gt;0,N('Steel Beam Design'!B27)&gt;0),1,NA())</f>
        <v>#N/A</v>
      </c>
    </row>
    <row r="954" spans="15:16">
      <c r="O954" t="e">
        <f>IF(AND(TRUE,N('Steel Beam Design'!N27)&lt;&gt;0,N('Steel Beam Design'!B27)&gt;0),0.792,NA())</f>
        <v>#N/A</v>
      </c>
      <c r="P954" t="e">
        <f>IF(AND(TRUE,N('Steel Beam Design'!N27)&lt;&gt;0,N('Steel Beam Design'!B27)&gt;0),1.08,NA())</f>
        <v>#N/A</v>
      </c>
    </row>
    <row r="955" spans="15:16">
      <c r="O955" t="e">
        <f>IF(AND(TRUE,N('Steel Beam Design'!N27)&lt;&gt;0,N('Steel Beam Design'!B27)&gt;0),0.8,NA())</f>
        <v>#N/A</v>
      </c>
      <c r="P955" t="e">
        <f>IF(AND(TRUE,N('Steel Beam Design'!N27)&lt;&gt;0,N('Steel Beam Design'!B27)&gt;0),1,NA())</f>
        <v>#N/A</v>
      </c>
    </row>
    <row r="956" spans="15:16">
      <c r="O956" t="e">
        <f>IF(AND(TRUE,N('Steel Beam Design'!N27)&lt;&gt;0,N('Steel Beam Design'!B27)&gt;0),0.808,NA())</f>
        <v>#N/A</v>
      </c>
      <c r="P956" t="e">
        <f>IF(AND(TRUE,N('Steel Beam Design'!N27)&lt;&gt;0,N('Steel Beam Design'!B27)&gt;0),1.08,NA())</f>
        <v>#N/A</v>
      </c>
    </row>
    <row r="957" spans="15:16">
      <c r="O957" t="e">
        <f>IF(AND(TRUE,N('Steel Beam Design'!N27)&lt;&gt;0,N('Steel Beam Design'!B27)&gt;0),0.9,NA())</f>
        <v>#N/A</v>
      </c>
      <c r="P957" t="e">
        <f>IF(AND(TRUE,N('Steel Beam Design'!N27)&lt;&gt;0,N('Steel Beam Design'!B27)&gt;0),1.5,NA())</f>
        <v>#N/A</v>
      </c>
    </row>
    <row r="958" spans="15:16">
      <c r="O958" t="e">
        <f>IF(AND(TRUE,N('Steel Beam Design'!N27)&lt;&gt;0,N('Steel Beam Design'!B27)&gt;0),0.9,NA())</f>
        <v>#N/A</v>
      </c>
      <c r="P958" t="e">
        <f>IF(AND(TRUE,N('Steel Beam Design'!N27)&lt;&gt;0,N('Steel Beam Design'!B27)&gt;0),1,NA())</f>
        <v>#N/A</v>
      </c>
    </row>
    <row r="959" spans="15:16">
      <c r="O959" t="e">
        <f>IF(AND(TRUE,N('Steel Beam Design'!N27)&lt;&gt;0,N('Steel Beam Design'!B27)&gt;0),0.892,NA())</f>
        <v>#N/A</v>
      </c>
      <c r="P959" t="e">
        <f>IF(AND(TRUE,N('Steel Beam Design'!N27)&lt;&gt;0,N('Steel Beam Design'!B27)&gt;0),1.08,NA())</f>
        <v>#N/A</v>
      </c>
    </row>
    <row r="960" spans="15:16">
      <c r="O960" t="e">
        <f>IF(AND(TRUE,N('Steel Beam Design'!N27)&lt;&gt;0,N('Steel Beam Design'!B27)&gt;0),0.9,NA())</f>
        <v>#N/A</v>
      </c>
      <c r="P960" t="e">
        <f>IF(AND(TRUE,N('Steel Beam Design'!N27)&lt;&gt;0,N('Steel Beam Design'!B27)&gt;0),1,NA())</f>
        <v>#N/A</v>
      </c>
    </row>
    <row r="961" spans="15:16">
      <c r="O961" t="e">
        <f>IF(AND(TRUE,N('Steel Beam Design'!N27)&lt;&gt;0,N('Steel Beam Design'!B27)&gt;0),0.908,NA())</f>
        <v>#N/A</v>
      </c>
      <c r="P961" t="e">
        <f>IF(AND(TRUE,N('Steel Beam Design'!N27)&lt;&gt;0,N('Steel Beam Design'!B27)&gt;0),1.08,NA())</f>
        <v>#N/A</v>
      </c>
    </row>
    <row r="962" spans="15:16">
      <c r="O962" t="e">
        <f>IF(AND(TRUE,N('Steel Beam Design'!N27)&lt;&gt;0,N('Steel Beam Design'!B27)&gt;0),1,NA())</f>
        <v>#N/A</v>
      </c>
      <c r="P962" t="e">
        <f>IF(AND(TRUE,N('Steel Beam Design'!N27)&lt;&gt;0,N('Steel Beam Design'!B27)&gt;0),1.5,NA())</f>
        <v>#N/A</v>
      </c>
    </row>
    <row r="963" spans="15:16">
      <c r="O963" t="e">
        <f>IF(AND(TRUE,N('Steel Beam Design'!N27)&lt;&gt;0,N('Steel Beam Design'!B27)&gt;0),1,NA())</f>
        <v>#N/A</v>
      </c>
      <c r="P963" t="e">
        <f>IF(AND(TRUE,N('Steel Beam Design'!N27)&lt;&gt;0,N('Steel Beam Design'!B27)&gt;0),1,NA())</f>
        <v>#N/A</v>
      </c>
    </row>
    <row r="964" spans="15:16">
      <c r="O964" t="e">
        <f>IF(AND(TRUE,N('Steel Beam Design'!N27)&lt;&gt;0,N('Steel Beam Design'!B27)&gt;0),0.992,NA())</f>
        <v>#N/A</v>
      </c>
      <c r="P964" t="e">
        <f>IF(AND(TRUE,N('Steel Beam Design'!N27)&lt;&gt;0,N('Steel Beam Design'!B27)&gt;0),1.08,NA())</f>
        <v>#N/A</v>
      </c>
    </row>
    <row r="965" spans="15:16">
      <c r="O965" t="e">
        <f>IF(AND(TRUE,N('Steel Beam Design'!N27)&lt;&gt;0,N('Steel Beam Design'!B27)&gt;0),1,NA())</f>
        <v>#N/A</v>
      </c>
      <c r="P965" t="e">
        <f>IF(AND(TRUE,N('Steel Beam Design'!N27)&lt;&gt;0,N('Steel Beam Design'!B27)&gt;0),1,NA())</f>
        <v>#N/A</v>
      </c>
    </row>
    <row r="966" spans="15:16">
      <c r="O966" t="e">
        <f>IF(AND(TRUE,N('Steel Beam Design'!N27)&lt;&gt;0,N('Steel Beam Design'!B27)&gt;0),1.008,NA())</f>
        <v>#N/A</v>
      </c>
      <c r="P966" t="e">
        <f>IF(AND(TRUE,N('Steel Beam Design'!N27)&lt;&gt;0,N('Steel Beam Design'!B27)&gt;0),1.08,NA())</f>
        <v>#N/A</v>
      </c>
    </row>
    <row r="967" spans="15:16">
      <c r="O967" t="e">
        <f>IF(AND(TRUE,N('Steel Beam Design'!N27)&lt;&gt;0,N('Steel Beam Design'!B27)&gt;0),0,NA())</f>
        <v>#N/A</v>
      </c>
      <c r="P967" t="e">
        <f>IF(AND(TRUE,N('Steel Beam Design'!N27)&lt;&gt;0,N('Steel Beam Design'!B27)&gt;0),1.5,NA())</f>
        <v>#N/A</v>
      </c>
    </row>
    <row r="968" spans="15:16">
      <c r="O968" t="e">
        <f>IF(AND(TRUE,N('Steel Beam Design'!N27)&lt;&gt;0,N('Steel Beam Design'!B27)&gt;0),1,NA())</f>
        <v>#N/A</v>
      </c>
      <c r="P968" t="e">
        <f>IF(AND(TRUE,N('Steel Beam Design'!N27)&lt;&gt;0,N('Steel Beam Design'!B27)&gt;0),1.5,NA())</f>
        <v>#N/A</v>
      </c>
    </row>
    <row r="969" spans="15:16">
      <c r="O969">
        <f>IF(AND(TRUE,'Steel Beam Design'!C27="Simply Supported",N('Steel Beam Design'!B27)&gt;0),0,NA())</f>
        <v>0</v>
      </c>
      <c r="P969">
        <f>IF(AND(TRUE,'Steel Beam Design'!C27="Simply Supported",N('Steel Beam Design'!B27)&gt;0),1,NA())</f>
        <v>1</v>
      </c>
    </row>
    <row r="970" spans="15:16">
      <c r="O970">
        <f>IF(AND(TRUE,'Steel Beam Design'!C27="Simply Supported",N('Steel Beam Design'!B27)&gt;0),-0.02,NA())</f>
        <v>-0.02</v>
      </c>
      <c r="P970">
        <f>IF(AND(TRUE,'Steel Beam Design'!C27="Simply Supported",N('Steel Beam Design'!B27)&gt;0),0.85,NA())</f>
        <v>0.85</v>
      </c>
    </row>
    <row r="971" spans="15:16">
      <c r="O971">
        <f>IF(AND(TRUE,'Steel Beam Design'!C27="Simply Supported",N('Steel Beam Design'!B27)&gt;0),0.02,NA())</f>
        <v>0.02</v>
      </c>
      <c r="P971">
        <f>IF(AND(TRUE,'Steel Beam Design'!C27="Simply Supported",N('Steel Beam Design'!B27)&gt;0),0.85,NA())</f>
        <v>0.85</v>
      </c>
    </row>
    <row r="972" spans="15:16">
      <c r="O972">
        <f>IF(AND(TRUE,'Steel Beam Design'!C27="Simply Supported",N('Steel Beam Design'!B27)&gt;0),0,NA())</f>
        <v>0</v>
      </c>
      <c r="P972">
        <f>IF(AND(TRUE,'Steel Beam Design'!C27="Simply Supported",N('Steel Beam Design'!B27)&gt;0),1,NA())</f>
        <v>1</v>
      </c>
    </row>
    <row r="973" spans="15:16">
      <c r="O973">
        <f>IF(AND(TRUE,'Steel Beam Design'!C27="Simply Supported",N('Steel Beam Design'!B27)&gt;0),1,NA())</f>
        <v>1</v>
      </c>
      <c r="P973">
        <f>IF(AND(TRUE,'Steel Beam Design'!C27="Simply Supported",N('Steel Beam Design'!B27)&gt;0),1,NA())</f>
        <v>1</v>
      </c>
    </row>
    <row r="974" spans="15:16">
      <c r="O974">
        <f>IF(AND(TRUE,'Steel Beam Design'!C27="Simply Supported",N('Steel Beam Design'!B27)&gt;0),0.98,NA())</f>
        <v>0.98</v>
      </c>
      <c r="P974">
        <f>IF(AND(TRUE,'Steel Beam Design'!C27="Simply Supported",N('Steel Beam Design'!B27)&gt;0),0.85,NA())</f>
        <v>0.85</v>
      </c>
    </row>
    <row r="975" spans="15:16">
      <c r="O975">
        <f>IF(AND(TRUE,'Steel Beam Design'!C27="Simply Supported",N('Steel Beam Design'!B27)&gt;0),1.02,NA())</f>
        <v>1.02</v>
      </c>
      <c r="P975">
        <f>IF(AND(TRUE,'Steel Beam Design'!C27="Simply Supported",N('Steel Beam Design'!B27)&gt;0),0.85,NA())</f>
        <v>0.85</v>
      </c>
    </row>
    <row r="976" spans="15:16">
      <c r="O976">
        <f>IF(AND(TRUE,'Steel Beam Design'!C27="Simply Supported",N('Steel Beam Design'!B27)&gt;0),1,NA())</f>
        <v>1</v>
      </c>
      <c r="P976">
        <f>IF(AND(TRUE,'Steel Beam Design'!C27="Simply Supported",N('Steel Beam Design'!B27)&gt;0),1,NA())</f>
        <v>1</v>
      </c>
    </row>
    <row r="977" spans="15:16">
      <c r="O977" t="e">
        <f>IF(AND(TRUE,'Steel Beam Design'!C27&lt;&gt;"Simply Supported",N('Steel Beam Design'!B27)&gt;0),0,NA())</f>
        <v>#N/A</v>
      </c>
      <c r="P977" t="e">
        <f>IF(AND(TRUE,'Steel Beam Design'!C27&lt;&gt;"Simply Supported",N('Steel Beam Design'!B27)&gt;0),0.8,NA())</f>
        <v>#N/A</v>
      </c>
    </row>
    <row r="978" spans="15:16">
      <c r="O978" t="e">
        <f>IF(AND(TRUE,'Steel Beam Design'!C27&lt;&gt;"Simply Supported",N('Steel Beam Design'!B27)&gt;0),0,NA())</f>
        <v>#N/A</v>
      </c>
      <c r="P978" t="e">
        <f>IF(AND(TRUE,'Steel Beam Design'!C27&lt;&gt;"Simply Supported",N('Steel Beam Design'!B27)&gt;0),1.2,NA())</f>
        <v>#N/A</v>
      </c>
    </row>
    <row r="979" spans="15:16">
      <c r="O979" t="e">
        <f>IF(AND(TRUE,'Steel Beam Design'!C27&lt;&gt;"Simply Supported",N('Steel Beam Design'!B27)&gt;0),-0.025,NA())</f>
        <v>#N/A</v>
      </c>
      <c r="P979" t="e">
        <f>IF(AND(TRUE,'Steel Beam Design'!C27&lt;&gt;"Simply Supported",N('Steel Beam Design'!B27)&gt;0),0.8,NA())</f>
        <v>#N/A</v>
      </c>
    </row>
    <row r="980" spans="15:16">
      <c r="O980" t="e">
        <f>IF(AND(TRUE,'Steel Beam Design'!C27&lt;&gt;"Simply Supported",N('Steel Beam Design'!B27)&gt;0),0,NA())</f>
        <v>#N/A</v>
      </c>
      <c r="P980" t="e">
        <f>IF(AND(TRUE,'Steel Beam Design'!C27&lt;&gt;"Simply Supported",N('Steel Beam Design'!B27)&gt;0),0.86,NA())</f>
        <v>#N/A</v>
      </c>
    </row>
    <row r="981" spans="15:16">
      <c r="O981" t="e">
        <f>IF(AND(TRUE,'Steel Beam Design'!C27&lt;&gt;"Simply Supported",N('Steel Beam Design'!B27)&gt;0),-0.025,NA())</f>
        <v>#N/A</v>
      </c>
      <c r="P981" t="e">
        <f>IF(AND(TRUE,'Steel Beam Design'!C27&lt;&gt;"Simply Supported",N('Steel Beam Design'!B27)&gt;0),0.88,NA())</f>
        <v>#N/A</v>
      </c>
    </row>
    <row r="982" spans="15:16">
      <c r="O982" t="e">
        <f>IF(AND(TRUE,'Steel Beam Design'!C27&lt;&gt;"Simply Supported",N('Steel Beam Design'!B27)&gt;0),0,NA())</f>
        <v>#N/A</v>
      </c>
      <c r="P982" t="e">
        <f>IF(AND(TRUE,'Steel Beam Design'!C27&lt;&gt;"Simply Supported",N('Steel Beam Design'!B27)&gt;0),0.94,NA())</f>
        <v>#N/A</v>
      </c>
    </row>
    <row r="983" spans="15:16">
      <c r="O983" t="e">
        <f>IF(AND(TRUE,'Steel Beam Design'!C27&lt;&gt;"Simply Supported",N('Steel Beam Design'!B27)&gt;0),-0.025,NA())</f>
        <v>#N/A</v>
      </c>
      <c r="P983" t="e">
        <f>IF(AND(TRUE,'Steel Beam Design'!C27&lt;&gt;"Simply Supported",N('Steel Beam Design'!B27)&gt;0),0.96,NA())</f>
        <v>#N/A</v>
      </c>
    </row>
    <row r="984" spans="15:16">
      <c r="O984" t="e">
        <f>IF(AND(TRUE,'Steel Beam Design'!C27&lt;&gt;"Simply Supported",N('Steel Beam Design'!B27)&gt;0),0,NA())</f>
        <v>#N/A</v>
      </c>
      <c r="P984" t="e">
        <f>IF(AND(TRUE,'Steel Beam Design'!C27&lt;&gt;"Simply Supported",N('Steel Beam Design'!B27)&gt;0),1.02,NA())</f>
        <v>#N/A</v>
      </c>
    </row>
    <row r="985" spans="15:16">
      <c r="O985" t="e">
        <f>IF(AND(TRUE,'Steel Beam Design'!C27&lt;&gt;"Simply Supported",N('Steel Beam Design'!B27)&gt;0),-0.025,NA())</f>
        <v>#N/A</v>
      </c>
      <c r="P985" t="e">
        <f>IF(AND(TRUE,'Steel Beam Design'!C27&lt;&gt;"Simply Supported",N('Steel Beam Design'!B27)&gt;0),1.04,NA())</f>
        <v>#N/A</v>
      </c>
    </row>
    <row r="986" spans="15:16">
      <c r="O986" t="e">
        <f>IF(AND(TRUE,'Steel Beam Design'!C27&lt;&gt;"Simply Supported",N('Steel Beam Design'!B27)&gt;0),0,NA())</f>
        <v>#N/A</v>
      </c>
      <c r="P986" t="e">
        <f>IF(AND(TRUE,'Steel Beam Design'!C27&lt;&gt;"Simply Supported",N('Steel Beam Design'!B27)&gt;0),1.1,NA())</f>
        <v>#N/A</v>
      </c>
    </row>
    <row r="987" spans="15:16">
      <c r="O987" t="e">
        <f>IF(AND(TRUE,'Steel Beam Design'!C27&lt;&gt;"Simply Supported",N('Steel Beam Design'!B27)&gt;0),-0.025,NA())</f>
        <v>#N/A</v>
      </c>
      <c r="P987" t="e">
        <f>IF(AND(TRUE,'Steel Beam Design'!C27&lt;&gt;"Simply Supported",N('Steel Beam Design'!B27)&gt;0),1.12,NA())</f>
        <v>#N/A</v>
      </c>
    </row>
    <row r="988" spans="15:16">
      <c r="O988" t="e">
        <f>IF(AND(TRUE,'Steel Beam Design'!C27&lt;&gt;"Simply Supported",N('Steel Beam Design'!B27)&gt;0),0,NA())</f>
        <v>#N/A</v>
      </c>
      <c r="P988" t="e">
        <f>IF(AND(TRUE,'Steel Beam Design'!C27&lt;&gt;"Simply Supported",N('Steel Beam Design'!B27)&gt;0),1.18,NA())</f>
        <v>#N/A</v>
      </c>
    </row>
    <row r="1740" spans="15:16">
      <c r="O1740" t="e">
        <f>IF(AND('Steel Beam Design'!B3="Cantilever Supported",TRUE,N('Steel Beam Design'!B28)&gt;0),0,NA())</f>
        <v>#N/A</v>
      </c>
      <c r="P1740" t="e">
        <f>IF(AND('Steel Beam Design'!B3="Cantilever Supported",TRUE,N('Steel Beam Design'!B28)&gt;0),1,NA())</f>
        <v>#N/A</v>
      </c>
    </row>
    <row r="1741" spans="15:16">
      <c r="O1741" t="e">
        <f>IF(AND('Steel Beam Design'!B3="Cantilever Supported",TRUE,N('Steel Beam Design'!B28)&gt;0),1,NA())</f>
        <v>#N/A</v>
      </c>
      <c r="P1741" t="e">
        <f>IF(AND('Steel Beam Design'!B3="Cantilever Supported",TRUE,N('Steel Beam Design'!B28)&gt;0),1,NA())</f>
        <v>#N/A</v>
      </c>
    </row>
    <row r="1742" spans="15:16">
      <c r="O1742" t="e">
        <f>IF(AND('Steel Beam Design'!B3="Cantilever Supported",N('Steel Beam Design'!D28)&lt;&gt;0,N('Steel Beam Design'!B28)&gt;0),IFERROR('Steel Beam Design'!E28/'Steel Beam Design'!B28,0),NA())</f>
        <v>#N/A</v>
      </c>
      <c r="P1742" t="e">
        <f>IF(AND('Steel Beam Design'!B3="Cantilever Supported",N('Steel Beam Design'!D28)&lt;&gt;0,N('Steel Beam Design'!B28)&gt;0),1.9,NA())</f>
        <v>#N/A</v>
      </c>
    </row>
    <row r="1743" spans="15:16">
      <c r="O1743" t="e">
        <f>IF(AND('Steel Beam Design'!B3="Cantilever Supported",N('Steel Beam Design'!D28)&lt;&gt;0,N('Steel Beam Design'!B28)&gt;0),IFERROR('Steel Beam Design'!E28/'Steel Beam Design'!B28,0),NA())</f>
        <v>#N/A</v>
      </c>
      <c r="P1743" t="e">
        <f>IF(AND('Steel Beam Design'!B3="Cantilever Supported",N('Steel Beam Design'!D28)&lt;&gt;0,N('Steel Beam Design'!B28)&gt;0),1,NA())</f>
        <v>#N/A</v>
      </c>
    </row>
    <row r="1744" spans="15:16">
      <c r="O1744" t="e">
        <f>IF(AND('Steel Beam Design'!B3="Cantilever Supported",N('Steel Beam Design'!D28)&lt;&gt;0,N('Steel Beam Design'!B28)&gt;0),(IFERROR('Steel Beam Design'!E28/'Steel Beam Design'!B28,0))-0.012,NA())</f>
        <v>#N/A</v>
      </c>
      <c r="P1744" t="e">
        <f>IF(AND('Steel Beam Design'!B3="Cantilever Supported",N('Steel Beam Design'!D28)&lt;&gt;0,N('Steel Beam Design'!B28)&gt;0),1.12,NA())</f>
        <v>#N/A</v>
      </c>
    </row>
    <row r="1745" spans="15:16">
      <c r="O1745" t="e">
        <f>IF(AND('Steel Beam Design'!B3="Cantilever Supported",N('Steel Beam Design'!D28)&lt;&gt;0,N('Steel Beam Design'!B28)&gt;0),IFERROR('Steel Beam Design'!E28/'Steel Beam Design'!B28,0),NA())</f>
        <v>#N/A</v>
      </c>
      <c r="P1745" t="e">
        <f>IF(AND('Steel Beam Design'!B3="Cantilever Supported",N('Steel Beam Design'!D28)&lt;&gt;0,N('Steel Beam Design'!B28)&gt;0),1,NA())</f>
        <v>#N/A</v>
      </c>
    </row>
    <row r="1746" spans="15:16">
      <c r="O1746" t="e">
        <f>IF(AND('Steel Beam Design'!B3="Cantilever Supported",N('Steel Beam Design'!D28)&lt;&gt;0,N('Steel Beam Design'!B28)&gt;0),(IFERROR('Steel Beam Design'!E28/'Steel Beam Design'!B28,0))+0.012,NA())</f>
        <v>#N/A</v>
      </c>
      <c r="P1746" t="e">
        <f>IF(AND('Steel Beam Design'!B3="Cantilever Supported",N('Steel Beam Design'!D28)&lt;&gt;0,N('Steel Beam Design'!B28)&gt;0),1.12,NA())</f>
        <v>#N/A</v>
      </c>
    </row>
    <row r="1747" spans="15:16">
      <c r="O1747" t="e">
        <f>IF(AND('Steel Beam Design'!B3="Cantilever Supported",N('Steel Beam Design'!F28)&lt;&gt;0,N('Steel Beam Design'!B28)&gt;0),IFERROR('Steel Beam Design'!G28/'Steel Beam Design'!B28,0),NA())</f>
        <v>#N/A</v>
      </c>
      <c r="P1747" t="e">
        <f>IF(AND('Steel Beam Design'!B3="Cantilever Supported",N('Steel Beam Design'!F28)&lt;&gt;0,N('Steel Beam Design'!B28)&gt;0),1.9,NA())</f>
        <v>#N/A</v>
      </c>
    </row>
    <row r="1748" spans="15:16">
      <c r="O1748" t="e">
        <f>IF(AND('Steel Beam Design'!B3="Cantilever Supported",N('Steel Beam Design'!F28)&lt;&gt;0,N('Steel Beam Design'!B28)&gt;0),IFERROR('Steel Beam Design'!G28/'Steel Beam Design'!B28,0),NA())</f>
        <v>#N/A</v>
      </c>
      <c r="P1748" t="e">
        <f>IF(AND('Steel Beam Design'!B3="Cantilever Supported",N('Steel Beam Design'!F28)&lt;&gt;0,N('Steel Beam Design'!B28)&gt;0),1,NA())</f>
        <v>#N/A</v>
      </c>
    </row>
    <row r="1749" spans="15:16">
      <c r="O1749" t="e">
        <f>IF(AND('Steel Beam Design'!B3="Cantilever Supported",N('Steel Beam Design'!F28)&lt;&gt;0,N('Steel Beam Design'!B28)&gt;0),(IFERROR('Steel Beam Design'!G28/'Steel Beam Design'!B28,0))-0.012,NA())</f>
        <v>#N/A</v>
      </c>
      <c r="P1749" t="e">
        <f>IF(AND('Steel Beam Design'!B3="Cantilever Supported",N('Steel Beam Design'!F28)&lt;&gt;0,N('Steel Beam Design'!B28)&gt;0),1.12,NA())</f>
        <v>#N/A</v>
      </c>
    </row>
    <row r="1750" spans="15:16">
      <c r="O1750" t="e">
        <f>IF(AND('Steel Beam Design'!B3="Cantilever Supported",N('Steel Beam Design'!F28)&lt;&gt;0,N('Steel Beam Design'!B28)&gt;0),IFERROR('Steel Beam Design'!G28/'Steel Beam Design'!B28,0),NA())</f>
        <v>#N/A</v>
      </c>
      <c r="P1750" t="e">
        <f>IF(AND('Steel Beam Design'!B3="Cantilever Supported",N('Steel Beam Design'!F28)&lt;&gt;0,N('Steel Beam Design'!B28)&gt;0),1,NA())</f>
        <v>#N/A</v>
      </c>
    </row>
    <row r="1751" spans="15:16">
      <c r="O1751" t="e">
        <f>IF(AND('Steel Beam Design'!B3="Cantilever Supported",N('Steel Beam Design'!F28)&lt;&gt;0,N('Steel Beam Design'!B28)&gt;0),(IFERROR('Steel Beam Design'!G28/'Steel Beam Design'!B28,0))+0.012,NA())</f>
        <v>#N/A</v>
      </c>
      <c r="P1751" t="e">
        <f>IF(AND('Steel Beam Design'!B3="Cantilever Supported",N('Steel Beam Design'!F28)&lt;&gt;0,N('Steel Beam Design'!B28)&gt;0),1.12,NA())</f>
        <v>#N/A</v>
      </c>
    </row>
    <row r="1752" spans="15:16">
      <c r="O1752" t="e">
        <f>IF(AND('Steel Beam Design'!B3="Cantilever Supported",N('Steel Beam Design'!H28)&lt;&gt;0,N('Steel Beam Design'!B28)&gt;0),IFERROR('Steel Beam Design'!I28/'Steel Beam Design'!B28,0),NA())</f>
        <v>#N/A</v>
      </c>
      <c r="P1752" t="e">
        <f>IF(AND('Steel Beam Design'!B3="Cantilever Supported",N('Steel Beam Design'!H28)&lt;&gt;0,N('Steel Beam Design'!B28)&gt;0),1.9,NA())</f>
        <v>#N/A</v>
      </c>
    </row>
    <row r="1753" spans="15:16">
      <c r="O1753" t="e">
        <f>IF(AND('Steel Beam Design'!B3="Cantilever Supported",N('Steel Beam Design'!H28)&lt;&gt;0,N('Steel Beam Design'!B28)&gt;0),IFERROR('Steel Beam Design'!I28/'Steel Beam Design'!B28,0),NA())</f>
        <v>#N/A</v>
      </c>
      <c r="P1753" t="e">
        <f>IF(AND('Steel Beam Design'!B3="Cantilever Supported",N('Steel Beam Design'!H28)&lt;&gt;0,N('Steel Beam Design'!B28)&gt;0),1,NA())</f>
        <v>#N/A</v>
      </c>
    </row>
    <row r="1754" spans="15:16">
      <c r="O1754" t="e">
        <f>IF(AND('Steel Beam Design'!B3="Cantilever Supported",N('Steel Beam Design'!H28)&lt;&gt;0,N('Steel Beam Design'!B28)&gt;0),(IFERROR('Steel Beam Design'!I28/'Steel Beam Design'!B28,0))-0.012,NA())</f>
        <v>#N/A</v>
      </c>
      <c r="P1754" t="e">
        <f>IF(AND('Steel Beam Design'!B3="Cantilever Supported",N('Steel Beam Design'!H28)&lt;&gt;0,N('Steel Beam Design'!B28)&gt;0),1.12,NA())</f>
        <v>#N/A</v>
      </c>
    </row>
    <row r="1755" spans="15:16">
      <c r="O1755" t="e">
        <f>IF(AND('Steel Beam Design'!B3="Cantilever Supported",N('Steel Beam Design'!H28)&lt;&gt;0,N('Steel Beam Design'!B28)&gt;0),IFERROR('Steel Beam Design'!I28/'Steel Beam Design'!B28,0),NA())</f>
        <v>#N/A</v>
      </c>
      <c r="P1755" t="e">
        <f>IF(AND('Steel Beam Design'!B3="Cantilever Supported",N('Steel Beam Design'!H28)&lt;&gt;0,N('Steel Beam Design'!B28)&gt;0),1,NA())</f>
        <v>#N/A</v>
      </c>
    </row>
    <row r="1756" spans="15:16">
      <c r="O1756" t="e">
        <f>IF(AND('Steel Beam Design'!B3="Cantilever Supported",N('Steel Beam Design'!H28)&lt;&gt;0,N('Steel Beam Design'!B28)&gt;0),(IFERROR('Steel Beam Design'!I28/'Steel Beam Design'!B28,0))+0.012,NA())</f>
        <v>#N/A</v>
      </c>
      <c r="P1756" t="e">
        <f>IF(AND('Steel Beam Design'!B3="Cantilever Supported",N('Steel Beam Design'!H28)&lt;&gt;0,N('Steel Beam Design'!B28)&gt;0),1.12,NA())</f>
        <v>#N/A</v>
      </c>
    </row>
    <row r="1757" spans="15:16">
      <c r="O1757" t="e">
        <f>IF(AND('Steel Beam Design'!B3="Cantilever Supported",N('Steel Beam Design'!J28)&lt;&gt;0,N('Steel Beam Design'!B28)&gt;0),IFERROR('Steel Beam Design'!K28/'Steel Beam Design'!B28,0),NA())</f>
        <v>#N/A</v>
      </c>
      <c r="P1757" t="e">
        <f>IF(AND('Steel Beam Design'!B3="Cantilever Supported",N('Steel Beam Design'!J28)&lt;&gt;0,N('Steel Beam Design'!B28)&gt;0),1.9,NA())</f>
        <v>#N/A</v>
      </c>
    </row>
    <row r="1758" spans="15:16">
      <c r="O1758" t="e">
        <f>IF(AND('Steel Beam Design'!B3="Cantilever Supported",N('Steel Beam Design'!J28)&lt;&gt;0,N('Steel Beam Design'!B28)&gt;0),IFERROR('Steel Beam Design'!K28/'Steel Beam Design'!B28,0),NA())</f>
        <v>#N/A</v>
      </c>
      <c r="P1758" t="e">
        <f>IF(AND('Steel Beam Design'!B3="Cantilever Supported",N('Steel Beam Design'!J28)&lt;&gt;0,N('Steel Beam Design'!B28)&gt;0),1,NA())</f>
        <v>#N/A</v>
      </c>
    </row>
    <row r="1759" spans="15:16">
      <c r="O1759" t="e">
        <f>IF(AND('Steel Beam Design'!B3="Cantilever Supported",N('Steel Beam Design'!J28)&lt;&gt;0,N('Steel Beam Design'!B28)&gt;0),(IFERROR('Steel Beam Design'!K28/'Steel Beam Design'!B28,0))-0.012,NA())</f>
        <v>#N/A</v>
      </c>
      <c r="P1759" t="e">
        <f>IF(AND('Steel Beam Design'!B3="Cantilever Supported",N('Steel Beam Design'!J28)&lt;&gt;0,N('Steel Beam Design'!B28)&gt;0),1.12,NA())</f>
        <v>#N/A</v>
      </c>
    </row>
    <row r="1760" spans="15:16">
      <c r="O1760" t="e">
        <f>IF(AND('Steel Beam Design'!B3="Cantilever Supported",N('Steel Beam Design'!J28)&lt;&gt;0,N('Steel Beam Design'!B28)&gt;0),IFERROR('Steel Beam Design'!K28/'Steel Beam Design'!B28,0),NA())</f>
        <v>#N/A</v>
      </c>
      <c r="P1760" t="e">
        <f>IF(AND('Steel Beam Design'!B3="Cantilever Supported",N('Steel Beam Design'!J28)&lt;&gt;0,N('Steel Beam Design'!B28)&gt;0),1,NA())</f>
        <v>#N/A</v>
      </c>
    </row>
    <row r="1761" spans="15:16">
      <c r="O1761" t="e">
        <f>IF(AND('Steel Beam Design'!B3="Cantilever Supported",N('Steel Beam Design'!J28)&lt;&gt;0,N('Steel Beam Design'!B28)&gt;0),(IFERROR('Steel Beam Design'!K28/'Steel Beam Design'!B28,0))+0.012,NA())</f>
        <v>#N/A</v>
      </c>
      <c r="P1761" t="e">
        <f>IF(AND('Steel Beam Design'!B3="Cantilever Supported",N('Steel Beam Design'!J28)&lt;&gt;0,N('Steel Beam Design'!B28)&gt;0),1.12,NA())</f>
        <v>#N/A</v>
      </c>
    </row>
    <row r="1762" spans="15:16">
      <c r="O1762" t="e">
        <f>IF(AND('Steel Beam Design'!B3="Cantilever Supported",N('Steel Beam Design'!L28)&lt;&gt;0,N('Steel Beam Design'!B28)&gt;0),IFERROR('Steel Beam Design'!M28/'Steel Beam Design'!B28,0),NA())</f>
        <v>#N/A</v>
      </c>
      <c r="P1762" t="e">
        <f>IF(AND('Steel Beam Design'!B3="Cantilever Supported",N('Steel Beam Design'!L28)&lt;&gt;0,N('Steel Beam Design'!B28)&gt;0),1.9,NA())</f>
        <v>#N/A</v>
      </c>
    </row>
    <row r="1763" spans="15:16">
      <c r="O1763" t="e">
        <f>IF(AND('Steel Beam Design'!B3="Cantilever Supported",N('Steel Beam Design'!L28)&lt;&gt;0,N('Steel Beam Design'!B28)&gt;0),IFERROR('Steel Beam Design'!M28/'Steel Beam Design'!B28,0),NA())</f>
        <v>#N/A</v>
      </c>
      <c r="P1763" t="e">
        <f>IF(AND('Steel Beam Design'!B3="Cantilever Supported",N('Steel Beam Design'!L28)&lt;&gt;0,N('Steel Beam Design'!B28)&gt;0),1,NA())</f>
        <v>#N/A</v>
      </c>
    </row>
    <row r="1764" spans="15:16">
      <c r="O1764" t="e">
        <f>IF(AND('Steel Beam Design'!B3="Cantilever Supported",N('Steel Beam Design'!L28)&lt;&gt;0,N('Steel Beam Design'!B28)&gt;0),(IFERROR('Steel Beam Design'!M28/'Steel Beam Design'!B28,0))-0.012,NA())</f>
        <v>#N/A</v>
      </c>
      <c r="P1764" t="e">
        <f>IF(AND('Steel Beam Design'!B3="Cantilever Supported",N('Steel Beam Design'!L28)&lt;&gt;0,N('Steel Beam Design'!B28)&gt;0),1.12,NA())</f>
        <v>#N/A</v>
      </c>
    </row>
    <row r="1765" spans="15:16">
      <c r="O1765" t="e">
        <f>IF(AND('Steel Beam Design'!B3="Cantilever Supported",N('Steel Beam Design'!L28)&lt;&gt;0,N('Steel Beam Design'!B28)&gt;0),IFERROR('Steel Beam Design'!M28/'Steel Beam Design'!B28,0),NA())</f>
        <v>#N/A</v>
      </c>
      <c r="P1765" t="e">
        <f>IF(AND('Steel Beam Design'!B3="Cantilever Supported",N('Steel Beam Design'!L28)&lt;&gt;0,N('Steel Beam Design'!B28)&gt;0),1,NA())</f>
        <v>#N/A</v>
      </c>
    </row>
    <row r="1766" spans="15:16">
      <c r="O1766" t="e">
        <f>IF(AND('Steel Beam Design'!B3="Cantilever Supported",N('Steel Beam Design'!L28)&lt;&gt;0,N('Steel Beam Design'!B28)&gt;0),(IFERROR('Steel Beam Design'!M28/'Steel Beam Design'!B28,0))+0.012,NA())</f>
        <v>#N/A</v>
      </c>
      <c r="P1766" t="e">
        <f>IF(AND('Steel Beam Design'!B3="Cantilever Supported",N('Steel Beam Design'!L28)&lt;&gt;0,N('Steel Beam Design'!B28)&gt;0),1.12,NA())</f>
        <v>#N/A</v>
      </c>
    </row>
    <row r="1767" spans="15:16">
      <c r="O1767" t="e">
        <f>IF(AND('Steel Beam Design'!B3="Cantilever Supported",N('Steel Beam Design'!R28)&lt;&gt;0,N('Steel Beam Design'!B28)&gt;0),1,NA())</f>
        <v>#N/A</v>
      </c>
      <c r="P1767" t="e">
        <f>IF(AND('Steel Beam Design'!B3="Cantilever Supported",N('Steel Beam Design'!R28)&lt;&gt;0,N('Steel Beam Design'!B28)&gt;0),1.9,NA())</f>
        <v>#N/A</v>
      </c>
    </row>
    <row r="1768" spans="15:16">
      <c r="O1768" t="e">
        <f>IF(AND('Steel Beam Design'!B3="Cantilever Supported",N('Steel Beam Design'!R28)&lt;&gt;0,N('Steel Beam Design'!B28)&gt;0),1,NA())</f>
        <v>#N/A</v>
      </c>
      <c r="P1768" t="e">
        <f>IF(AND('Steel Beam Design'!B3="Cantilever Supported",N('Steel Beam Design'!R28)&lt;&gt;0,N('Steel Beam Design'!B28)&gt;0),1,NA())</f>
        <v>#N/A</v>
      </c>
    </row>
    <row r="1769" spans="15:16">
      <c r="O1769" t="e">
        <f>IF(AND('Steel Beam Design'!B3="Cantilever Supported",N('Steel Beam Design'!R28)&lt;&gt;0,N('Steel Beam Design'!B28)&gt;0),(1)-0.012,NA())</f>
        <v>#N/A</v>
      </c>
      <c r="P1769" t="e">
        <f>IF(AND('Steel Beam Design'!B3="Cantilever Supported",N('Steel Beam Design'!R28)&lt;&gt;0,N('Steel Beam Design'!B28)&gt;0),1.12,NA())</f>
        <v>#N/A</v>
      </c>
    </row>
    <row r="1770" spans="15:16">
      <c r="O1770" t="e">
        <f>IF(AND('Steel Beam Design'!B3="Cantilever Supported",N('Steel Beam Design'!R28)&lt;&gt;0,N('Steel Beam Design'!B28)&gt;0),1,NA())</f>
        <v>#N/A</v>
      </c>
      <c r="P1770" t="e">
        <f>IF(AND('Steel Beam Design'!B3="Cantilever Supported",N('Steel Beam Design'!R28)&lt;&gt;0,N('Steel Beam Design'!B28)&gt;0),1,NA())</f>
        <v>#N/A</v>
      </c>
    </row>
    <row r="1771" spans="15:16">
      <c r="O1771" t="e">
        <f>IF(AND('Steel Beam Design'!B3="Cantilever Supported",N('Steel Beam Design'!R28)&lt;&gt;0,N('Steel Beam Design'!B28)&gt;0),(1)+0.012,NA())</f>
        <v>#N/A</v>
      </c>
      <c r="P1771" t="e">
        <f>IF(AND('Steel Beam Design'!B3="Cantilever Supported",N('Steel Beam Design'!R28)&lt;&gt;0,N('Steel Beam Design'!B28)&gt;0),1.12,NA())</f>
        <v>#N/A</v>
      </c>
    </row>
    <row r="1772" spans="15:16">
      <c r="O1772" t="e">
        <f>IF(AND('Steel Beam Design'!B3="Cantilever Supported",N('Steel Beam Design'!N28)&lt;&gt;0,N('Steel Beam Design'!B28)&gt;0),0,NA())</f>
        <v>#N/A</v>
      </c>
      <c r="P1772" t="e">
        <f>IF(AND('Steel Beam Design'!B3="Cantilever Supported",N('Steel Beam Design'!N28)&lt;&gt;0,N('Steel Beam Design'!B28)&gt;0),1.5,NA())</f>
        <v>#N/A</v>
      </c>
    </row>
    <row r="1773" spans="15:16">
      <c r="O1773" t="e">
        <f>IF(AND('Steel Beam Design'!B3="Cantilever Supported",N('Steel Beam Design'!N28)&lt;&gt;0,N('Steel Beam Design'!B28)&gt;0),0,NA())</f>
        <v>#N/A</v>
      </c>
      <c r="P1773" t="e">
        <f>IF(AND('Steel Beam Design'!B3="Cantilever Supported",N('Steel Beam Design'!N28)&lt;&gt;0,N('Steel Beam Design'!B28)&gt;0),1,NA())</f>
        <v>#N/A</v>
      </c>
    </row>
    <row r="1774" spans="15:16">
      <c r="O1774" t="e">
        <f>IF(AND('Steel Beam Design'!B3="Cantilever Supported",N('Steel Beam Design'!N28)&lt;&gt;0,N('Steel Beam Design'!B28)&gt;0),-0.008,NA())</f>
        <v>#N/A</v>
      </c>
      <c r="P1774" t="e">
        <f>IF(AND('Steel Beam Design'!B3="Cantilever Supported",N('Steel Beam Design'!N28)&lt;&gt;0,N('Steel Beam Design'!B28)&gt;0),1.08,NA())</f>
        <v>#N/A</v>
      </c>
    </row>
    <row r="1775" spans="15:16">
      <c r="O1775" t="e">
        <f>IF(AND('Steel Beam Design'!B3="Cantilever Supported",N('Steel Beam Design'!N28)&lt;&gt;0,N('Steel Beam Design'!B28)&gt;0),0,NA())</f>
        <v>#N/A</v>
      </c>
      <c r="P1775" t="e">
        <f>IF(AND('Steel Beam Design'!B3="Cantilever Supported",N('Steel Beam Design'!N28)&lt;&gt;0,N('Steel Beam Design'!B28)&gt;0),1,NA())</f>
        <v>#N/A</v>
      </c>
    </row>
    <row r="1776" spans="15:16">
      <c r="O1776" t="e">
        <f>IF(AND('Steel Beam Design'!B3="Cantilever Supported",N('Steel Beam Design'!N28)&lt;&gt;0,N('Steel Beam Design'!B28)&gt;0),0.008,NA())</f>
        <v>#N/A</v>
      </c>
      <c r="P1776" t="e">
        <f>IF(AND('Steel Beam Design'!B3="Cantilever Supported",N('Steel Beam Design'!N28)&lt;&gt;0,N('Steel Beam Design'!B28)&gt;0),1.08,NA())</f>
        <v>#N/A</v>
      </c>
    </row>
    <row r="1777" spans="15:16">
      <c r="O1777" t="e">
        <f>IF(AND('Steel Beam Design'!B3="Cantilever Supported",N('Steel Beam Design'!N28)&lt;&gt;0,N('Steel Beam Design'!B28)&gt;0),0.1,NA())</f>
        <v>#N/A</v>
      </c>
      <c r="P1777" t="e">
        <f>IF(AND('Steel Beam Design'!B3="Cantilever Supported",N('Steel Beam Design'!N28)&lt;&gt;0,N('Steel Beam Design'!B28)&gt;0),1.5,NA())</f>
        <v>#N/A</v>
      </c>
    </row>
    <row r="1778" spans="15:16">
      <c r="O1778" t="e">
        <f>IF(AND('Steel Beam Design'!B3="Cantilever Supported",N('Steel Beam Design'!N28)&lt;&gt;0,N('Steel Beam Design'!B28)&gt;0),0.1,NA())</f>
        <v>#N/A</v>
      </c>
      <c r="P1778" t="e">
        <f>IF(AND('Steel Beam Design'!B3="Cantilever Supported",N('Steel Beam Design'!N28)&lt;&gt;0,N('Steel Beam Design'!B28)&gt;0),1,NA())</f>
        <v>#N/A</v>
      </c>
    </row>
    <row r="1779" spans="15:16">
      <c r="O1779" t="e">
        <f>IF(AND('Steel Beam Design'!B3="Cantilever Supported",N('Steel Beam Design'!N28)&lt;&gt;0,N('Steel Beam Design'!B28)&gt;0),0.092,NA())</f>
        <v>#N/A</v>
      </c>
      <c r="P1779" t="e">
        <f>IF(AND('Steel Beam Design'!B3="Cantilever Supported",N('Steel Beam Design'!N28)&lt;&gt;0,N('Steel Beam Design'!B28)&gt;0),1.08,NA())</f>
        <v>#N/A</v>
      </c>
    </row>
    <row r="1780" spans="15:16">
      <c r="O1780" t="e">
        <f>IF(AND('Steel Beam Design'!B3="Cantilever Supported",N('Steel Beam Design'!N28)&lt;&gt;0,N('Steel Beam Design'!B28)&gt;0),0.1,NA())</f>
        <v>#N/A</v>
      </c>
      <c r="P1780" t="e">
        <f>IF(AND('Steel Beam Design'!B3="Cantilever Supported",N('Steel Beam Design'!N28)&lt;&gt;0,N('Steel Beam Design'!B28)&gt;0),1,NA())</f>
        <v>#N/A</v>
      </c>
    </row>
    <row r="1781" spans="15:16">
      <c r="O1781" t="e">
        <f>IF(AND('Steel Beam Design'!B3="Cantilever Supported",N('Steel Beam Design'!N28)&lt;&gt;0,N('Steel Beam Design'!B28)&gt;0),0.108,NA())</f>
        <v>#N/A</v>
      </c>
      <c r="P1781" t="e">
        <f>IF(AND('Steel Beam Design'!B3="Cantilever Supported",N('Steel Beam Design'!N28)&lt;&gt;0,N('Steel Beam Design'!B28)&gt;0),1.08,NA())</f>
        <v>#N/A</v>
      </c>
    </row>
    <row r="1782" spans="15:16">
      <c r="O1782" t="e">
        <f>IF(AND('Steel Beam Design'!B3="Cantilever Supported",N('Steel Beam Design'!N28)&lt;&gt;0,N('Steel Beam Design'!B28)&gt;0),0.2,NA())</f>
        <v>#N/A</v>
      </c>
      <c r="P1782" t="e">
        <f>IF(AND('Steel Beam Design'!B3="Cantilever Supported",N('Steel Beam Design'!N28)&lt;&gt;0,N('Steel Beam Design'!B28)&gt;0),1.5,NA())</f>
        <v>#N/A</v>
      </c>
    </row>
    <row r="1783" spans="15:16">
      <c r="O1783" t="e">
        <f>IF(AND('Steel Beam Design'!B3="Cantilever Supported",N('Steel Beam Design'!N28)&lt;&gt;0,N('Steel Beam Design'!B28)&gt;0),0.2,NA())</f>
        <v>#N/A</v>
      </c>
      <c r="P1783" t="e">
        <f>IF(AND('Steel Beam Design'!B3="Cantilever Supported",N('Steel Beam Design'!N28)&lt;&gt;0,N('Steel Beam Design'!B28)&gt;0),1,NA())</f>
        <v>#N/A</v>
      </c>
    </row>
    <row r="1784" spans="15:16">
      <c r="O1784" t="e">
        <f>IF(AND('Steel Beam Design'!B3="Cantilever Supported",N('Steel Beam Design'!N28)&lt;&gt;0,N('Steel Beam Design'!B28)&gt;0),0.192,NA())</f>
        <v>#N/A</v>
      </c>
      <c r="P1784" t="e">
        <f>IF(AND('Steel Beam Design'!B3="Cantilever Supported",N('Steel Beam Design'!N28)&lt;&gt;0,N('Steel Beam Design'!B28)&gt;0),1.08,NA())</f>
        <v>#N/A</v>
      </c>
    </row>
    <row r="1785" spans="15:16">
      <c r="O1785" t="e">
        <f>IF(AND('Steel Beam Design'!B3="Cantilever Supported",N('Steel Beam Design'!N28)&lt;&gt;0,N('Steel Beam Design'!B28)&gt;0),0.2,NA())</f>
        <v>#N/A</v>
      </c>
      <c r="P1785" t="e">
        <f>IF(AND('Steel Beam Design'!B3="Cantilever Supported",N('Steel Beam Design'!N28)&lt;&gt;0,N('Steel Beam Design'!B28)&gt;0),1,NA())</f>
        <v>#N/A</v>
      </c>
    </row>
    <row r="1786" spans="15:16">
      <c r="O1786" t="e">
        <f>IF(AND('Steel Beam Design'!B3="Cantilever Supported",N('Steel Beam Design'!N28)&lt;&gt;0,N('Steel Beam Design'!B28)&gt;0),0.208,NA())</f>
        <v>#N/A</v>
      </c>
      <c r="P1786" t="e">
        <f>IF(AND('Steel Beam Design'!B3="Cantilever Supported",N('Steel Beam Design'!N28)&lt;&gt;0,N('Steel Beam Design'!B28)&gt;0),1.08,NA())</f>
        <v>#N/A</v>
      </c>
    </row>
    <row r="1787" spans="15:16">
      <c r="O1787" t="e">
        <f>IF(AND('Steel Beam Design'!B3="Cantilever Supported",N('Steel Beam Design'!N28)&lt;&gt;0,N('Steel Beam Design'!B28)&gt;0),0.3,NA())</f>
        <v>#N/A</v>
      </c>
      <c r="P1787" t="e">
        <f>IF(AND('Steel Beam Design'!B3="Cantilever Supported",N('Steel Beam Design'!N28)&lt;&gt;0,N('Steel Beam Design'!B28)&gt;0),1.5,NA())</f>
        <v>#N/A</v>
      </c>
    </row>
    <row r="1788" spans="15:16">
      <c r="O1788" t="e">
        <f>IF(AND('Steel Beam Design'!B3="Cantilever Supported",N('Steel Beam Design'!N28)&lt;&gt;0,N('Steel Beam Design'!B28)&gt;0),0.3,NA())</f>
        <v>#N/A</v>
      </c>
      <c r="P1788" t="e">
        <f>IF(AND('Steel Beam Design'!B3="Cantilever Supported",N('Steel Beam Design'!N28)&lt;&gt;0,N('Steel Beam Design'!B28)&gt;0),1,NA())</f>
        <v>#N/A</v>
      </c>
    </row>
    <row r="1789" spans="15:16">
      <c r="O1789" t="e">
        <f>IF(AND('Steel Beam Design'!B3="Cantilever Supported",N('Steel Beam Design'!N28)&lt;&gt;0,N('Steel Beam Design'!B28)&gt;0),0.292,NA())</f>
        <v>#N/A</v>
      </c>
      <c r="P1789" t="e">
        <f>IF(AND('Steel Beam Design'!B3="Cantilever Supported",N('Steel Beam Design'!N28)&lt;&gt;0,N('Steel Beam Design'!B28)&gt;0),1.08,NA())</f>
        <v>#N/A</v>
      </c>
    </row>
    <row r="1790" spans="15:16">
      <c r="O1790" t="e">
        <f>IF(AND('Steel Beam Design'!B3="Cantilever Supported",N('Steel Beam Design'!N28)&lt;&gt;0,N('Steel Beam Design'!B28)&gt;0),0.3,NA())</f>
        <v>#N/A</v>
      </c>
      <c r="P1790" t="e">
        <f>IF(AND('Steel Beam Design'!B3="Cantilever Supported",N('Steel Beam Design'!N28)&lt;&gt;0,N('Steel Beam Design'!B28)&gt;0),1,NA())</f>
        <v>#N/A</v>
      </c>
    </row>
    <row r="1791" spans="15:16">
      <c r="O1791" t="e">
        <f>IF(AND('Steel Beam Design'!B3="Cantilever Supported",N('Steel Beam Design'!N28)&lt;&gt;0,N('Steel Beam Design'!B28)&gt;0),0.308,NA())</f>
        <v>#N/A</v>
      </c>
      <c r="P1791" t="e">
        <f>IF(AND('Steel Beam Design'!B3="Cantilever Supported",N('Steel Beam Design'!N28)&lt;&gt;0,N('Steel Beam Design'!B28)&gt;0),1.08,NA())</f>
        <v>#N/A</v>
      </c>
    </row>
    <row r="1792" spans="15:16">
      <c r="O1792" t="e">
        <f>IF(AND('Steel Beam Design'!B3="Cantilever Supported",N('Steel Beam Design'!N28)&lt;&gt;0,N('Steel Beam Design'!B28)&gt;0),0.4,NA())</f>
        <v>#N/A</v>
      </c>
      <c r="P1792" t="e">
        <f>IF(AND('Steel Beam Design'!B3="Cantilever Supported",N('Steel Beam Design'!N28)&lt;&gt;0,N('Steel Beam Design'!B28)&gt;0),1.5,NA())</f>
        <v>#N/A</v>
      </c>
    </row>
    <row r="1793" spans="15:16">
      <c r="O1793" t="e">
        <f>IF(AND('Steel Beam Design'!B3="Cantilever Supported",N('Steel Beam Design'!N28)&lt;&gt;0,N('Steel Beam Design'!B28)&gt;0),0.4,NA())</f>
        <v>#N/A</v>
      </c>
      <c r="P1793" t="e">
        <f>IF(AND('Steel Beam Design'!B3="Cantilever Supported",N('Steel Beam Design'!N28)&lt;&gt;0,N('Steel Beam Design'!B28)&gt;0),1,NA())</f>
        <v>#N/A</v>
      </c>
    </row>
    <row r="1794" spans="15:16">
      <c r="O1794" t="e">
        <f>IF(AND('Steel Beam Design'!B3="Cantilever Supported",N('Steel Beam Design'!N28)&lt;&gt;0,N('Steel Beam Design'!B28)&gt;0),0.392,NA())</f>
        <v>#N/A</v>
      </c>
      <c r="P1794" t="e">
        <f>IF(AND('Steel Beam Design'!B3="Cantilever Supported",N('Steel Beam Design'!N28)&lt;&gt;0,N('Steel Beam Design'!B28)&gt;0),1.08,NA())</f>
        <v>#N/A</v>
      </c>
    </row>
    <row r="1795" spans="15:16">
      <c r="O1795" t="e">
        <f>IF(AND('Steel Beam Design'!B3="Cantilever Supported",N('Steel Beam Design'!N28)&lt;&gt;0,N('Steel Beam Design'!B28)&gt;0),0.4,NA())</f>
        <v>#N/A</v>
      </c>
      <c r="P1795" t="e">
        <f>IF(AND('Steel Beam Design'!B3="Cantilever Supported",N('Steel Beam Design'!N28)&lt;&gt;0,N('Steel Beam Design'!B28)&gt;0),1,NA())</f>
        <v>#N/A</v>
      </c>
    </row>
    <row r="1796" spans="15:16">
      <c r="O1796" t="e">
        <f>IF(AND('Steel Beam Design'!B3="Cantilever Supported",N('Steel Beam Design'!N28)&lt;&gt;0,N('Steel Beam Design'!B28)&gt;0),0.408,NA())</f>
        <v>#N/A</v>
      </c>
      <c r="P1796" t="e">
        <f>IF(AND('Steel Beam Design'!B3="Cantilever Supported",N('Steel Beam Design'!N28)&lt;&gt;0,N('Steel Beam Design'!B28)&gt;0),1.08,NA())</f>
        <v>#N/A</v>
      </c>
    </row>
    <row r="1797" spans="15:16">
      <c r="O1797" t="e">
        <f>IF(AND('Steel Beam Design'!B3="Cantilever Supported",N('Steel Beam Design'!N28)&lt;&gt;0,N('Steel Beam Design'!B28)&gt;0),0.5,NA())</f>
        <v>#N/A</v>
      </c>
      <c r="P1797" t="e">
        <f>IF(AND('Steel Beam Design'!B3="Cantilever Supported",N('Steel Beam Design'!N28)&lt;&gt;0,N('Steel Beam Design'!B28)&gt;0),1.5,NA())</f>
        <v>#N/A</v>
      </c>
    </row>
    <row r="1798" spans="15:16">
      <c r="O1798" t="e">
        <f>IF(AND('Steel Beam Design'!B3="Cantilever Supported",N('Steel Beam Design'!N28)&lt;&gt;0,N('Steel Beam Design'!B28)&gt;0),0.5,NA())</f>
        <v>#N/A</v>
      </c>
      <c r="P1798" t="e">
        <f>IF(AND('Steel Beam Design'!B3="Cantilever Supported",N('Steel Beam Design'!N28)&lt;&gt;0,N('Steel Beam Design'!B28)&gt;0),1,NA())</f>
        <v>#N/A</v>
      </c>
    </row>
    <row r="1799" spans="15:16">
      <c r="O1799" t="e">
        <f>IF(AND('Steel Beam Design'!B3="Cantilever Supported",N('Steel Beam Design'!N28)&lt;&gt;0,N('Steel Beam Design'!B28)&gt;0),0.492,NA())</f>
        <v>#N/A</v>
      </c>
      <c r="P1799" t="e">
        <f>IF(AND('Steel Beam Design'!B3="Cantilever Supported",N('Steel Beam Design'!N28)&lt;&gt;0,N('Steel Beam Design'!B28)&gt;0),1.08,NA())</f>
        <v>#N/A</v>
      </c>
    </row>
    <row r="1800" spans="15:16">
      <c r="O1800" t="e">
        <f>IF(AND('Steel Beam Design'!B3="Cantilever Supported",N('Steel Beam Design'!N28)&lt;&gt;0,N('Steel Beam Design'!B28)&gt;0),0.5,NA())</f>
        <v>#N/A</v>
      </c>
      <c r="P1800" t="e">
        <f>IF(AND('Steel Beam Design'!B3="Cantilever Supported",N('Steel Beam Design'!N28)&lt;&gt;0,N('Steel Beam Design'!B28)&gt;0),1,NA())</f>
        <v>#N/A</v>
      </c>
    </row>
    <row r="1801" spans="15:16">
      <c r="O1801" t="e">
        <f>IF(AND('Steel Beam Design'!B3="Cantilever Supported",N('Steel Beam Design'!N28)&lt;&gt;0,N('Steel Beam Design'!B28)&gt;0),0.508,NA())</f>
        <v>#N/A</v>
      </c>
      <c r="P1801" t="e">
        <f>IF(AND('Steel Beam Design'!B3="Cantilever Supported",N('Steel Beam Design'!N28)&lt;&gt;0,N('Steel Beam Design'!B28)&gt;0),1.08,NA())</f>
        <v>#N/A</v>
      </c>
    </row>
    <row r="1802" spans="15:16">
      <c r="O1802" t="e">
        <f>IF(AND('Steel Beam Design'!B3="Cantilever Supported",N('Steel Beam Design'!N28)&lt;&gt;0,N('Steel Beam Design'!B28)&gt;0),0.6,NA())</f>
        <v>#N/A</v>
      </c>
      <c r="P1802" t="e">
        <f>IF(AND('Steel Beam Design'!B3="Cantilever Supported",N('Steel Beam Design'!N28)&lt;&gt;0,N('Steel Beam Design'!B28)&gt;0),1.5,NA())</f>
        <v>#N/A</v>
      </c>
    </row>
    <row r="1803" spans="15:16">
      <c r="O1803" t="e">
        <f>IF(AND('Steel Beam Design'!B3="Cantilever Supported",N('Steel Beam Design'!N28)&lt;&gt;0,N('Steel Beam Design'!B28)&gt;0),0.6,NA())</f>
        <v>#N/A</v>
      </c>
      <c r="P1803" t="e">
        <f>IF(AND('Steel Beam Design'!B3="Cantilever Supported",N('Steel Beam Design'!N28)&lt;&gt;0,N('Steel Beam Design'!B28)&gt;0),1,NA())</f>
        <v>#N/A</v>
      </c>
    </row>
    <row r="1804" spans="15:16">
      <c r="O1804" t="e">
        <f>IF(AND('Steel Beam Design'!B3="Cantilever Supported",N('Steel Beam Design'!N28)&lt;&gt;0,N('Steel Beam Design'!B28)&gt;0),0.592,NA())</f>
        <v>#N/A</v>
      </c>
      <c r="P1804" t="e">
        <f>IF(AND('Steel Beam Design'!B3="Cantilever Supported",N('Steel Beam Design'!N28)&lt;&gt;0,N('Steel Beam Design'!B28)&gt;0),1.08,NA())</f>
        <v>#N/A</v>
      </c>
    </row>
    <row r="1805" spans="15:16">
      <c r="O1805" t="e">
        <f>IF(AND('Steel Beam Design'!B3="Cantilever Supported",N('Steel Beam Design'!N28)&lt;&gt;0,N('Steel Beam Design'!B28)&gt;0),0.6,NA())</f>
        <v>#N/A</v>
      </c>
      <c r="P1805" t="e">
        <f>IF(AND('Steel Beam Design'!B3="Cantilever Supported",N('Steel Beam Design'!N28)&lt;&gt;0,N('Steel Beam Design'!B28)&gt;0),1,NA())</f>
        <v>#N/A</v>
      </c>
    </row>
    <row r="1806" spans="15:16">
      <c r="O1806" t="e">
        <f>IF(AND('Steel Beam Design'!B3="Cantilever Supported",N('Steel Beam Design'!N28)&lt;&gt;0,N('Steel Beam Design'!B28)&gt;0),0.608,NA())</f>
        <v>#N/A</v>
      </c>
      <c r="P1806" t="e">
        <f>IF(AND('Steel Beam Design'!B3="Cantilever Supported",N('Steel Beam Design'!N28)&lt;&gt;0,N('Steel Beam Design'!B28)&gt;0),1.08,NA())</f>
        <v>#N/A</v>
      </c>
    </row>
    <row r="1807" spans="15:16">
      <c r="O1807" t="e">
        <f>IF(AND('Steel Beam Design'!B3="Cantilever Supported",N('Steel Beam Design'!N28)&lt;&gt;0,N('Steel Beam Design'!B28)&gt;0),0.7,NA())</f>
        <v>#N/A</v>
      </c>
      <c r="P1807" t="e">
        <f>IF(AND('Steel Beam Design'!B3="Cantilever Supported",N('Steel Beam Design'!N28)&lt;&gt;0,N('Steel Beam Design'!B28)&gt;0),1.5,NA())</f>
        <v>#N/A</v>
      </c>
    </row>
    <row r="1808" spans="15:16">
      <c r="O1808" t="e">
        <f>IF(AND('Steel Beam Design'!B3="Cantilever Supported",N('Steel Beam Design'!N28)&lt;&gt;0,N('Steel Beam Design'!B28)&gt;0),0.7,NA())</f>
        <v>#N/A</v>
      </c>
      <c r="P1808" t="e">
        <f>IF(AND('Steel Beam Design'!B3="Cantilever Supported",N('Steel Beam Design'!N28)&lt;&gt;0,N('Steel Beam Design'!B28)&gt;0),1,NA())</f>
        <v>#N/A</v>
      </c>
    </row>
    <row r="1809" spans="15:16">
      <c r="O1809" t="e">
        <f>IF(AND('Steel Beam Design'!B3="Cantilever Supported",N('Steel Beam Design'!N28)&lt;&gt;0,N('Steel Beam Design'!B28)&gt;0),0.692,NA())</f>
        <v>#N/A</v>
      </c>
      <c r="P1809" t="e">
        <f>IF(AND('Steel Beam Design'!B3="Cantilever Supported",N('Steel Beam Design'!N28)&lt;&gt;0,N('Steel Beam Design'!B28)&gt;0),1.08,NA())</f>
        <v>#N/A</v>
      </c>
    </row>
    <row r="1810" spans="15:16">
      <c r="O1810" t="e">
        <f>IF(AND('Steel Beam Design'!B3="Cantilever Supported",N('Steel Beam Design'!N28)&lt;&gt;0,N('Steel Beam Design'!B28)&gt;0),0.7,NA())</f>
        <v>#N/A</v>
      </c>
      <c r="P1810" t="e">
        <f>IF(AND('Steel Beam Design'!B3="Cantilever Supported",N('Steel Beam Design'!N28)&lt;&gt;0,N('Steel Beam Design'!B28)&gt;0),1,NA())</f>
        <v>#N/A</v>
      </c>
    </row>
    <row r="1811" spans="15:16">
      <c r="O1811" t="e">
        <f>IF(AND('Steel Beam Design'!B3="Cantilever Supported",N('Steel Beam Design'!N28)&lt;&gt;0,N('Steel Beam Design'!B28)&gt;0),0.708,NA())</f>
        <v>#N/A</v>
      </c>
      <c r="P1811" t="e">
        <f>IF(AND('Steel Beam Design'!B3="Cantilever Supported",N('Steel Beam Design'!N28)&lt;&gt;0,N('Steel Beam Design'!B28)&gt;0),1.08,NA())</f>
        <v>#N/A</v>
      </c>
    </row>
    <row r="1812" spans="15:16">
      <c r="O1812" t="e">
        <f>IF(AND('Steel Beam Design'!B3="Cantilever Supported",N('Steel Beam Design'!N28)&lt;&gt;0,N('Steel Beam Design'!B28)&gt;0),0.8,NA())</f>
        <v>#N/A</v>
      </c>
      <c r="P1812" t="e">
        <f>IF(AND('Steel Beam Design'!B3="Cantilever Supported",N('Steel Beam Design'!N28)&lt;&gt;0,N('Steel Beam Design'!B28)&gt;0),1.5,NA())</f>
        <v>#N/A</v>
      </c>
    </row>
    <row r="1813" spans="15:16">
      <c r="O1813" t="e">
        <f>IF(AND('Steel Beam Design'!B3="Cantilever Supported",N('Steel Beam Design'!N28)&lt;&gt;0,N('Steel Beam Design'!B28)&gt;0),0.8,NA())</f>
        <v>#N/A</v>
      </c>
      <c r="P1813" t="e">
        <f>IF(AND('Steel Beam Design'!B3="Cantilever Supported",N('Steel Beam Design'!N28)&lt;&gt;0,N('Steel Beam Design'!B28)&gt;0),1,NA())</f>
        <v>#N/A</v>
      </c>
    </row>
    <row r="1814" spans="15:16">
      <c r="O1814" t="e">
        <f>IF(AND('Steel Beam Design'!B3="Cantilever Supported",N('Steel Beam Design'!N28)&lt;&gt;0,N('Steel Beam Design'!B28)&gt;0),0.792,NA())</f>
        <v>#N/A</v>
      </c>
      <c r="P1814" t="e">
        <f>IF(AND('Steel Beam Design'!B3="Cantilever Supported",N('Steel Beam Design'!N28)&lt;&gt;0,N('Steel Beam Design'!B28)&gt;0),1.08,NA())</f>
        <v>#N/A</v>
      </c>
    </row>
    <row r="1815" spans="15:16">
      <c r="O1815" t="e">
        <f>IF(AND('Steel Beam Design'!B3="Cantilever Supported",N('Steel Beam Design'!N28)&lt;&gt;0,N('Steel Beam Design'!B28)&gt;0),0.8,NA())</f>
        <v>#N/A</v>
      </c>
      <c r="P1815" t="e">
        <f>IF(AND('Steel Beam Design'!B3="Cantilever Supported",N('Steel Beam Design'!N28)&lt;&gt;0,N('Steel Beam Design'!B28)&gt;0),1,NA())</f>
        <v>#N/A</v>
      </c>
    </row>
    <row r="1816" spans="15:16">
      <c r="O1816" t="e">
        <f>IF(AND('Steel Beam Design'!B3="Cantilever Supported",N('Steel Beam Design'!N28)&lt;&gt;0,N('Steel Beam Design'!B28)&gt;0),0.808,NA())</f>
        <v>#N/A</v>
      </c>
      <c r="P1816" t="e">
        <f>IF(AND('Steel Beam Design'!B3="Cantilever Supported",N('Steel Beam Design'!N28)&lt;&gt;0,N('Steel Beam Design'!B28)&gt;0),1.08,NA())</f>
        <v>#N/A</v>
      </c>
    </row>
    <row r="1817" spans="15:16">
      <c r="O1817" t="e">
        <f>IF(AND('Steel Beam Design'!B3="Cantilever Supported",N('Steel Beam Design'!N28)&lt;&gt;0,N('Steel Beam Design'!B28)&gt;0),0.9,NA())</f>
        <v>#N/A</v>
      </c>
      <c r="P1817" t="e">
        <f>IF(AND('Steel Beam Design'!B3="Cantilever Supported",N('Steel Beam Design'!N28)&lt;&gt;0,N('Steel Beam Design'!B28)&gt;0),1.5,NA())</f>
        <v>#N/A</v>
      </c>
    </row>
    <row r="1818" spans="15:16">
      <c r="O1818" t="e">
        <f>IF(AND('Steel Beam Design'!B3="Cantilever Supported",N('Steel Beam Design'!N28)&lt;&gt;0,N('Steel Beam Design'!B28)&gt;0),0.9,NA())</f>
        <v>#N/A</v>
      </c>
      <c r="P1818" t="e">
        <f>IF(AND('Steel Beam Design'!B3="Cantilever Supported",N('Steel Beam Design'!N28)&lt;&gt;0,N('Steel Beam Design'!B28)&gt;0),1,NA())</f>
        <v>#N/A</v>
      </c>
    </row>
    <row r="1819" spans="15:16">
      <c r="O1819" t="e">
        <f>IF(AND('Steel Beam Design'!B3="Cantilever Supported",N('Steel Beam Design'!N28)&lt;&gt;0,N('Steel Beam Design'!B28)&gt;0),0.892,NA())</f>
        <v>#N/A</v>
      </c>
      <c r="P1819" t="e">
        <f>IF(AND('Steel Beam Design'!B3="Cantilever Supported",N('Steel Beam Design'!N28)&lt;&gt;0,N('Steel Beam Design'!B28)&gt;0),1.08,NA())</f>
        <v>#N/A</v>
      </c>
    </row>
    <row r="1820" spans="15:16">
      <c r="O1820" t="e">
        <f>IF(AND('Steel Beam Design'!B3="Cantilever Supported",N('Steel Beam Design'!N28)&lt;&gt;0,N('Steel Beam Design'!B28)&gt;0),0.9,NA())</f>
        <v>#N/A</v>
      </c>
      <c r="P1820" t="e">
        <f>IF(AND('Steel Beam Design'!B3="Cantilever Supported",N('Steel Beam Design'!N28)&lt;&gt;0,N('Steel Beam Design'!B28)&gt;0),1,NA())</f>
        <v>#N/A</v>
      </c>
    </row>
    <row r="1821" spans="15:16">
      <c r="O1821" t="e">
        <f>IF(AND('Steel Beam Design'!B3="Cantilever Supported",N('Steel Beam Design'!N28)&lt;&gt;0,N('Steel Beam Design'!B28)&gt;0),0.908,NA())</f>
        <v>#N/A</v>
      </c>
      <c r="P1821" t="e">
        <f>IF(AND('Steel Beam Design'!B3="Cantilever Supported",N('Steel Beam Design'!N28)&lt;&gt;0,N('Steel Beam Design'!B28)&gt;0),1.08,NA())</f>
        <v>#N/A</v>
      </c>
    </row>
    <row r="1822" spans="15:16">
      <c r="O1822" t="e">
        <f>IF(AND('Steel Beam Design'!B3="Cantilever Supported",N('Steel Beam Design'!N28)&lt;&gt;0,N('Steel Beam Design'!B28)&gt;0),1,NA())</f>
        <v>#N/A</v>
      </c>
      <c r="P1822" t="e">
        <f>IF(AND('Steel Beam Design'!B3="Cantilever Supported",N('Steel Beam Design'!N28)&lt;&gt;0,N('Steel Beam Design'!B28)&gt;0),1.5,NA())</f>
        <v>#N/A</v>
      </c>
    </row>
    <row r="1823" spans="15:16">
      <c r="O1823" t="e">
        <f>IF(AND('Steel Beam Design'!B3="Cantilever Supported",N('Steel Beam Design'!N28)&lt;&gt;0,N('Steel Beam Design'!B28)&gt;0),1,NA())</f>
        <v>#N/A</v>
      </c>
      <c r="P1823" t="e">
        <f>IF(AND('Steel Beam Design'!B3="Cantilever Supported",N('Steel Beam Design'!N28)&lt;&gt;0,N('Steel Beam Design'!B28)&gt;0),1,NA())</f>
        <v>#N/A</v>
      </c>
    </row>
    <row r="1824" spans="15:16">
      <c r="O1824" t="e">
        <f>IF(AND('Steel Beam Design'!B3="Cantilever Supported",N('Steel Beam Design'!N28)&lt;&gt;0,N('Steel Beam Design'!B28)&gt;0),0.992,NA())</f>
        <v>#N/A</v>
      </c>
      <c r="P1824" t="e">
        <f>IF(AND('Steel Beam Design'!B3="Cantilever Supported",N('Steel Beam Design'!N28)&lt;&gt;0,N('Steel Beam Design'!B28)&gt;0),1.08,NA())</f>
        <v>#N/A</v>
      </c>
    </row>
    <row r="1825" spans="15:16">
      <c r="O1825" t="e">
        <f>IF(AND('Steel Beam Design'!B3="Cantilever Supported",N('Steel Beam Design'!N28)&lt;&gt;0,N('Steel Beam Design'!B28)&gt;0),1,NA())</f>
        <v>#N/A</v>
      </c>
      <c r="P1825" t="e">
        <f>IF(AND('Steel Beam Design'!B3="Cantilever Supported",N('Steel Beam Design'!N28)&lt;&gt;0,N('Steel Beam Design'!B28)&gt;0),1,NA())</f>
        <v>#N/A</v>
      </c>
    </row>
    <row r="1826" spans="15:16">
      <c r="O1826" t="e">
        <f>IF(AND('Steel Beam Design'!B3="Cantilever Supported",N('Steel Beam Design'!N28)&lt;&gt;0,N('Steel Beam Design'!B28)&gt;0),1.008,NA())</f>
        <v>#N/A</v>
      </c>
      <c r="P1826" t="e">
        <f>IF(AND('Steel Beam Design'!B3="Cantilever Supported",N('Steel Beam Design'!N28)&lt;&gt;0,N('Steel Beam Design'!B28)&gt;0),1.08,NA())</f>
        <v>#N/A</v>
      </c>
    </row>
    <row r="1827" spans="15:16">
      <c r="O1827" t="e">
        <f>IF(AND('Steel Beam Design'!B3="Cantilever Supported",N('Steel Beam Design'!N28)&lt;&gt;0,N('Steel Beam Design'!B28)&gt;0),0,NA())</f>
        <v>#N/A</v>
      </c>
      <c r="P1827" t="e">
        <f>IF(AND('Steel Beam Design'!B3="Cantilever Supported",N('Steel Beam Design'!N28)&lt;&gt;0,N('Steel Beam Design'!B28)&gt;0),1.5,NA())</f>
        <v>#N/A</v>
      </c>
    </row>
    <row r="1828" spans="15:16">
      <c r="O1828" t="e">
        <f>IF(AND('Steel Beam Design'!B3="Cantilever Supported",N('Steel Beam Design'!N28)&lt;&gt;0,N('Steel Beam Design'!B28)&gt;0),1,NA())</f>
        <v>#N/A</v>
      </c>
      <c r="P1828" t="e">
        <f>IF(AND('Steel Beam Design'!B3="Cantilever Supported",N('Steel Beam Design'!N28)&lt;&gt;0,N('Steel Beam Design'!B28)&gt;0),1.5,NA())</f>
        <v>#N/A</v>
      </c>
    </row>
    <row r="1829" spans="15:16">
      <c r="O1829" t="e">
        <f>IF(AND('Steel Beam Design'!B3="Cantilever Supported",'Steel Beam Design'!C28="Simply Supported",N('Steel Beam Design'!B28)&gt;0),0,NA())</f>
        <v>#N/A</v>
      </c>
      <c r="P1829" t="e">
        <f>IF(AND('Steel Beam Design'!B3="Cantilever Supported",'Steel Beam Design'!C28="Simply Supported",N('Steel Beam Design'!B28)&gt;0),1,NA())</f>
        <v>#N/A</v>
      </c>
    </row>
    <row r="1830" spans="15:16">
      <c r="O1830" t="e">
        <f>IF(AND('Steel Beam Design'!B3="Cantilever Supported",'Steel Beam Design'!C28="Simply Supported",N('Steel Beam Design'!B28)&gt;0),-0.02,NA())</f>
        <v>#N/A</v>
      </c>
      <c r="P1830" t="e">
        <f>IF(AND('Steel Beam Design'!B3="Cantilever Supported",'Steel Beam Design'!C28="Simply Supported",N('Steel Beam Design'!B28)&gt;0),0.85,NA())</f>
        <v>#N/A</v>
      </c>
    </row>
    <row r="1831" spans="15:16">
      <c r="O1831" t="e">
        <f>IF(AND('Steel Beam Design'!B3="Cantilever Supported",'Steel Beam Design'!C28="Simply Supported",N('Steel Beam Design'!B28)&gt;0),0.02,NA())</f>
        <v>#N/A</v>
      </c>
      <c r="P1831" t="e">
        <f>IF(AND('Steel Beam Design'!B3="Cantilever Supported",'Steel Beam Design'!C28="Simply Supported",N('Steel Beam Design'!B28)&gt;0),0.85,NA())</f>
        <v>#N/A</v>
      </c>
    </row>
    <row r="1832" spans="15:16">
      <c r="O1832" t="e">
        <f>IF(AND('Steel Beam Design'!B3="Cantilever Supported",'Steel Beam Design'!C28="Simply Supported",N('Steel Beam Design'!B28)&gt;0),0,NA())</f>
        <v>#N/A</v>
      </c>
      <c r="P1832" t="e">
        <f>IF(AND('Steel Beam Design'!B3="Cantilever Supported",'Steel Beam Design'!C28="Simply Supported",N('Steel Beam Design'!B28)&gt;0),1,NA())</f>
        <v>#N/A</v>
      </c>
    </row>
    <row r="1833" spans="15:16">
      <c r="O1833" t="e">
        <f>IF(AND('Steel Beam Design'!B3="Cantilever Supported",'Steel Beam Design'!C28="Simply Supported",N('Steel Beam Design'!B28)&gt;0),1,NA())</f>
        <v>#N/A</v>
      </c>
      <c r="P1833" t="e">
        <f>IF(AND('Steel Beam Design'!B3="Cantilever Supported",'Steel Beam Design'!C28="Simply Supported",N('Steel Beam Design'!B28)&gt;0),1,NA())</f>
        <v>#N/A</v>
      </c>
    </row>
    <row r="1834" spans="15:16">
      <c r="O1834" t="e">
        <f>IF(AND('Steel Beam Design'!B3="Cantilever Supported",'Steel Beam Design'!C28="Simply Supported",N('Steel Beam Design'!B28)&gt;0),0.98,NA())</f>
        <v>#N/A</v>
      </c>
      <c r="P1834" t="e">
        <f>IF(AND('Steel Beam Design'!B3="Cantilever Supported",'Steel Beam Design'!C28="Simply Supported",N('Steel Beam Design'!B28)&gt;0),0.85,NA())</f>
        <v>#N/A</v>
      </c>
    </row>
    <row r="1835" spans="15:16">
      <c r="O1835" t="e">
        <f>IF(AND('Steel Beam Design'!B3="Cantilever Supported",'Steel Beam Design'!C28="Simply Supported",N('Steel Beam Design'!B28)&gt;0),1.02,NA())</f>
        <v>#N/A</v>
      </c>
      <c r="P1835" t="e">
        <f>IF(AND('Steel Beam Design'!B3="Cantilever Supported",'Steel Beam Design'!C28="Simply Supported",N('Steel Beam Design'!B28)&gt;0),0.85,NA())</f>
        <v>#N/A</v>
      </c>
    </row>
    <row r="1836" spans="15:16">
      <c r="O1836" t="e">
        <f>IF(AND('Steel Beam Design'!B3="Cantilever Supported",'Steel Beam Design'!C28="Simply Supported",N('Steel Beam Design'!B28)&gt;0),1,NA())</f>
        <v>#N/A</v>
      </c>
      <c r="P1836" t="e">
        <f>IF(AND('Steel Beam Design'!B3="Cantilever Supported",'Steel Beam Design'!C28="Simply Supported",N('Steel Beam Design'!B28)&gt;0),1,NA())</f>
        <v>#N/A</v>
      </c>
    </row>
    <row r="1837" spans="15:16">
      <c r="O1837" t="e">
        <f>IF(AND('Steel Beam Design'!B3="Cantilever Supported",'Steel Beam Design'!C28&lt;&gt;"Simply Supported",N('Steel Beam Design'!B28)&gt;0),0,NA())</f>
        <v>#N/A</v>
      </c>
      <c r="P1837" t="e">
        <f>IF(AND('Steel Beam Design'!B3="Cantilever Supported",'Steel Beam Design'!C28&lt;&gt;"Simply Supported",N('Steel Beam Design'!B28)&gt;0),0.8,NA())</f>
        <v>#N/A</v>
      </c>
    </row>
    <row r="1838" spans="15:16">
      <c r="O1838" t="e">
        <f>IF(AND('Steel Beam Design'!B3="Cantilever Supported",'Steel Beam Design'!C28&lt;&gt;"Simply Supported",N('Steel Beam Design'!B28)&gt;0),0,NA())</f>
        <v>#N/A</v>
      </c>
      <c r="P1838" t="e">
        <f>IF(AND('Steel Beam Design'!B3="Cantilever Supported",'Steel Beam Design'!C28&lt;&gt;"Simply Supported",N('Steel Beam Design'!B28)&gt;0),1.2,NA())</f>
        <v>#N/A</v>
      </c>
    </row>
    <row r="1839" spans="15:16">
      <c r="O1839" t="e">
        <f>IF(AND('Steel Beam Design'!B3="Cantilever Supported",'Steel Beam Design'!C28&lt;&gt;"Simply Supported",N('Steel Beam Design'!B28)&gt;0),-0.025,NA())</f>
        <v>#N/A</v>
      </c>
      <c r="P1839" t="e">
        <f>IF(AND('Steel Beam Design'!B3="Cantilever Supported",'Steel Beam Design'!C28&lt;&gt;"Simply Supported",N('Steel Beam Design'!B28)&gt;0),0.8,NA())</f>
        <v>#N/A</v>
      </c>
    </row>
    <row r="1840" spans="15:16">
      <c r="O1840" t="e">
        <f>IF(AND('Steel Beam Design'!B3="Cantilever Supported",'Steel Beam Design'!C28&lt;&gt;"Simply Supported",N('Steel Beam Design'!B28)&gt;0),0,NA())</f>
        <v>#N/A</v>
      </c>
      <c r="P1840" t="e">
        <f>IF(AND('Steel Beam Design'!B3="Cantilever Supported",'Steel Beam Design'!C28&lt;&gt;"Simply Supported",N('Steel Beam Design'!B28)&gt;0),0.86,NA())</f>
        <v>#N/A</v>
      </c>
    </row>
    <row r="1841" spans="15:16">
      <c r="O1841" t="e">
        <f>IF(AND('Steel Beam Design'!B3="Cantilever Supported",'Steel Beam Design'!C28&lt;&gt;"Simply Supported",N('Steel Beam Design'!B28)&gt;0),-0.025,NA())</f>
        <v>#N/A</v>
      </c>
      <c r="P1841" t="e">
        <f>IF(AND('Steel Beam Design'!B3="Cantilever Supported",'Steel Beam Design'!C28&lt;&gt;"Simply Supported",N('Steel Beam Design'!B28)&gt;0),0.88,NA())</f>
        <v>#N/A</v>
      </c>
    </row>
    <row r="1842" spans="15:16">
      <c r="O1842" t="e">
        <f>IF(AND('Steel Beam Design'!B3="Cantilever Supported",'Steel Beam Design'!C28&lt;&gt;"Simply Supported",N('Steel Beam Design'!B28)&gt;0),0,NA())</f>
        <v>#N/A</v>
      </c>
      <c r="P1842" t="e">
        <f>IF(AND('Steel Beam Design'!B3="Cantilever Supported",'Steel Beam Design'!C28&lt;&gt;"Simply Supported",N('Steel Beam Design'!B28)&gt;0),0.94,NA())</f>
        <v>#N/A</v>
      </c>
    </row>
    <row r="1843" spans="15:16">
      <c r="O1843" t="e">
        <f>IF(AND('Steel Beam Design'!B3="Cantilever Supported",'Steel Beam Design'!C28&lt;&gt;"Simply Supported",N('Steel Beam Design'!B28)&gt;0),-0.025,NA())</f>
        <v>#N/A</v>
      </c>
      <c r="P1843" t="e">
        <f>IF(AND('Steel Beam Design'!B3="Cantilever Supported",'Steel Beam Design'!C28&lt;&gt;"Simply Supported",N('Steel Beam Design'!B28)&gt;0),0.96,NA())</f>
        <v>#N/A</v>
      </c>
    </row>
    <row r="1844" spans="15:16">
      <c r="O1844" t="e">
        <f>IF(AND('Steel Beam Design'!B3="Cantilever Supported",'Steel Beam Design'!C28&lt;&gt;"Simply Supported",N('Steel Beam Design'!B28)&gt;0),0,NA())</f>
        <v>#N/A</v>
      </c>
      <c r="P1844" t="e">
        <f>IF(AND('Steel Beam Design'!B3="Cantilever Supported",'Steel Beam Design'!C28&lt;&gt;"Simply Supported",N('Steel Beam Design'!B28)&gt;0),1.02,NA())</f>
        <v>#N/A</v>
      </c>
    </row>
    <row r="1845" spans="15:16">
      <c r="O1845" t="e">
        <f>IF(AND('Steel Beam Design'!B3="Cantilever Supported",'Steel Beam Design'!C28&lt;&gt;"Simply Supported",N('Steel Beam Design'!B28)&gt;0),-0.025,NA())</f>
        <v>#N/A</v>
      </c>
      <c r="P1845" t="e">
        <f>IF(AND('Steel Beam Design'!B3="Cantilever Supported",'Steel Beam Design'!C28&lt;&gt;"Simply Supported",N('Steel Beam Design'!B28)&gt;0),1.04,NA())</f>
        <v>#N/A</v>
      </c>
    </row>
    <row r="1846" spans="15:16">
      <c r="O1846" t="e">
        <f>IF(AND('Steel Beam Design'!B3="Cantilever Supported",'Steel Beam Design'!C28&lt;&gt;"Simply Supported",N('Steel Beam Design'!B28)&gt;0),0,NA())</f>
        <v>#N/A</v>
      </c>
      <c r="P1846" t="e">
        <f>IF(AND('Steel Beam Design'!B3="Cantilever Supported",'Steel Beam Design'!C28&lt;&gt;"Simply Supported",N('Steel Beam Design'!B28)&gt;0),1.1,NA())</f>
        <v>#N/A</v>
      </c>
    </row>
    <row r="1847" spans="15:16">
      <c r="O1847" t="e">
        <f>IF(AND('Steel Beam Design'!B3="Cantilever Supported",'Steel Beam Design'!C28&lt;&gt;"Simply Supported",N('Steel Beam Design'!B28)&gt;0),-0.025,NA())</f>
        <v>#N/A</v>
      </c>
      <c r="P1847" t="e">
        <f>IF(AND('Steel Beam Design'!B3="Cantilever Supported",'Steel Beam Design'!C28&lt;&gt;"Simply Supported",N('Steel Beam Design'!B28)&gt;0),1.12,NA())</f>
        <v>#N/A</v>
      </c>
    </row>
    <row r="1848" spans="15:16">
      <c r="O1848" t="e">
        <f>IF(AND('Steel Beam Design'!B3="Cantilever Supported",'Steel Beam Design'!C28&lt;&gt;"Simply Supported",N('Steel Beam Design'!B28)&gt;0),0,NA())</f>
        <v>#N/A</v>
      </c>
      <c r="P1848" t="e">
        <f>IF(AND('Steel Beam Design'!B3="Cantilever Supported",'Steel Beam Design'!C28&lt;&gt;"Simply Supported",N('Steel Beam Design'!B28)&gt;0),1.18,NA())</f>
        <v>#N/A</v>
      </c>
    </row>
  </sheetData>
  <mergeCells count="142">
    <mergeCell ref="A144:B144"/>
    <mergeCell ref="C144:D144"/>
    <mergeCell ref="H144:I144"/>
    <mergeCell ref="K144:L144"/>
    <mergeCell ref="A141:B141"/>
    <mergeCell ref="C141:D141"/>
    <mergeCell ref="H141:I141"/>
    <mergeCell ref="K141:L141"/>
    <mergeCell ref="A142:B142"/>
    <mergeCell ref="C142:D142"/>
    <mergeCell ref="H142:I142"/>
    <mergeCell ref="K142:L142"/>
    <mergeCell ref="H140:I140"/>
    <mergeCell ref="K140:L140"/>
    <mergeCell ref="K137:L137"/>
    <mergeCell ref="A138:B138"/>
    <mergeCell ref="C138:D138"/>
    <mergeCell ref="H138:I138"/>
    <mergeCell ref="K138:L138"/>
    <mergeCell ref="A143:B143"/>
    <mergeCell ref="C143:D143"/>
    <mergeCell ref="H143:I143"/>
    <mergeCell ref="K143:L143"/>
    <mergeCell ref="D162:L162"/>
    <mergeCell ref="D163:L163"/>
    <mergeCell ref="D166:L166"/>
    <mergeCell ref="A151:G151"/>
    <mergeCell ref="H151:L151"/>
    <mergeCell ref="A152:G152"/>
    <mergeCell ref="H152:L152"/>
    <mergeCell ref="A159:G159"/>
    <mergeCell ref="H159:L159"/>
    <mergeCell ref="H157:L157"/>
    <mergeCell ref="A154:L154"/>
    <mergeCell ref="A155:L155"/>
    <mergeCell ref="A156:L156"/>
    <mergeCell ref="A161:L161"/>
    <mergeCell ref="D148:L148"/>
    <mergeCell ref="D149:L149"/>
    <mergeCell ref="A130:L130"/>
    <mergeCell ref="A132:L132"/>
    <mergeCell ref="A133:L133"/>
    <mergeCell ref="A145:L145"/>
    <mergeCell ref="A147:L147"/>
    <mergeCell ref="A135:B135"/>
    <mergeCell ref="C135:D135"/>
    <mergeCell ref="H135:I135"/>
    <mergeCell ref="K135:L135"/>
    <mergeCell ref="A136:B136"/>
    <mergeCell ref="C136:D136"/>
    <mergeCell ref="H136:I136"/>
    <mergeCell ref="K136:L136"/>
    <mergeCell ref="A137:B137"/>
    <mergeCell ref="C137:D137"/>
    <mergeCell ref="H137:I137"/>
    <mergeCell ref="A139:B139"/>
    <mergeCell ref="C139:D139"/>
    <mergeCell ref="H139:I139"/>
    <mergeCell ref="K139:L139"/>
    <mergeCell ref="A140:B140"/>
    <mergeCell ref="C140:D140"/>
    <mergeCell ref="D36:L36"/>
    <mergeCell ref="D37:L37"/>
    <mergeCell ref="J40:L40"/>
    <mergeCell ref="A30:I30"/>
    <mergeCell ref="J30:L30"/>
    <mergeCell ref="A19:L19"/>
    <mergeCell ref="A22:L22"/>
    <mergeCell ref="A29:L29"/>
    <mergeCell ref="A34:L34"/>
    <mergeCell ref="A13:I13"/>
    <mergeCell ref="J13:L13"/>
    <mergeCell ref="A23:I23"/>
    <mergeCell ref="J23:L23"/>
    <mergeCell ref="A26:I26"/>
    <mergeCell ref="J26:L26"/>
    <mergeCell ref="A18:L18"/>
    <mergeCell ref="A1:L1"/>
    <mergeCell ref="A3:L3"/>
    <mergeCell ref="A10:L10"/>
    <mergeCell ref="A11:L11"/>
    <mergeCell ref="A16:L16"/>
    <mergeCell ref="A4:C4"/>
    <mergeCell ref="D4:E4"/>
    <mergeCell ref="A5:C5"/>
    <mergeCell ref="D5:E5"/>
    <mergeCell ref="A6:C6"/>
    <mergeCell ref="D6:E6"/>
    <mergeCell ref="A44:L44"/>
    <mergeCell ref="A46:L46"/>
    <mergeCell ref="A47:L47"/>
    <mergeCell ref="A56:L56"/>
    <mergeCell ref="A57:L57"/>
    <mergeCell ref="A58:L58"/>
    <mergeCell ref="A59:L59"/>
    <mergeCell ref="A60:L60"/>
    <mergeCell ref="A61:L61"/>
    <mergeCell ref="A62:L62"/>
    <mergeCell ref="A63:L63"/>
    <mergeCell ref="A65:L65"/>
    <mergeCell ref="A67:L67"/>
    <mergeCell ref="A68:L68"/>
    <mergeCell ref="A70:L70"/>
    <mergeCell ref="A73:L73"/>
    <mergeCell ref="A74:L74"/>
    <mergeCell ref="A77:L77"/>
    <mergeCell ref="A80:L80"/>
    <mergeCell ref="A71:I71"/>
    <mergeCell ref="J71:L71"/>
    <mergeCell ref="A78:I78"/>
    <mergeCell ref="J78:L78"/>
    <mergeCell ref="J75:L75"/>
    <mergeCell ref="J85:L85"/>
    <mergeCell ref="D82:L82"/>
    <mergeCell ref="D83:L83"/>
    <mergeCell ref="A87:L87"/>
    <mergeCell ref="A89:L89"/>
    <mergeCell ref="A90:L90"/>
    <mergeCell ref="A99:L99"/>
    <mergeCell ref="A100:L100"/>
    <mergeCell ref="A101:L101"/>
    <mergeCell ref="A102:L102"/>
    <mergeCell ref="A103:L103"/>
    <mergeCell ref="A104:L104"/>
    <mergeCell ref="A121:I121"/>
    <mergeCell ref="J121:L121"/>
    <mergeCell ref="J118:L118"/>
    <mergeCell ref="J128:L128"/>
    <mergeCell ref="D125:L125"/>
    <mergeCell ref="D126:L126"/>
    <mergeCell ref="A120:L120"/>
    <mergeCell ref="A123:L123"/>
    <mergeCell ref="A105:L105"/>
    <mergeCell ref="A106:L106"/>
    <mergeCell ref="A108:L108"/>
    <mergeCell ref="A110:L110"/>
    <mergeCell ref="A111:L111"/>
    <mergeCell ref="A113:L113"/>
    <mergeCell ref="A116:L116"/>
    <mergeCell ref="A117:L117"/>
    <mergeCell ref="A114:I114"/>
    <mergeCell ref="J114:L114"/>
  </mergeCells>
  <phoneticPr fontId="6" type="noConversion"/>
  <pageMargins left="0.59055118110236215" right="0.59055118110236215" top="0.75" bottom="0.75" header="0.3" footer="0.3"/>
  <pageSetup paperSize="9" scale="80" fitToHeight="0" orientation="portrait" r:id="rId1"/>
  <rowBreaks count="3" manualBreakCount="3">
    <brk id="43" max="16383" man="1"/>
    <brk id="86" max="16383" man="1"/>
    <brk id="129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76039-FCC4-4C04-B988-FCC316C3F63B}">
  <sheetPr codeName="Sheet2"/>
  <dimension ref="A1:G51"/>
  <sheetViews>
    <sheetView workbookViewId="0">
      <selection sqref="A1:G1"/>
    </sheetView>
  </sheetViews>
  <sheetFormatPr defaultRowHeight="13.8"/>
  <cols>
    <col min="1" max="1" width="14" customWidth="1"/>
    <col min="2" max="2" width="38" customWidth="1"/>
    <col min="3" max="3" width="11" customWidth="1"/>
    <col min="4" max="4" width="32" customWidth="1"/>
    <col min="5" max="5" width="46" customWidth="1"/>
    <col min="6" max="6" width="28" customWidth="1"/>
    <col min="7" max="7" width="52" customWidth="1"/>
  </cols>
  <sheetData>
    <row r="1" spans="1:7" ht="21" customHeight="1">
      <c r="A1" s="204" t="s">
        <v>579</v>
      </c>
      <c r="B1" s="204"/>
      <c r="C1" s="204"/>
      <c r="D1" s="204"/>
      <c r="E1" s="204"/>
      <c r="F1" s="204"/>
      <c r="G1" s="204"/>
    </row>
    <row r="2" spans="1:7" ht="21" customHeight="1">
      <c r="A2" s="205" t="s">
        <v>580</v>
      </c>
      <c r="B2" s="205"/>
      <c r="C2" s="205"/>
      <c r="D2" s="205"/>
      <c r="E2" s="205"/>
      <c r="F2" s="205"/>
      <c r="G2" s="205"/>
    </row>
    <row r="3" spans="1:7" ht="21" customHeight="1">
      <c r="A3" s="205" t="s">
        <v>581</v>
      </c>
      <c r="B3" s="205"/>
      <c r="C3" s="205"/>
      <c r="D3" s="205"/>
      <c r="E3" s="205"/>
      <c r="F3" s="205"/>
      <c r="G3" s="205"/>
    </row>
    <row r="4" spans="1:7" ht="21" customHeight="1">
      <c r="A4" s="205" t="s">
        <v>582</v>
      </c>
      <c r="B4" s="205"/>
      <c r="C4" s="205"/>
      <c r="D4" s="205"/>
      <c r="E4" s="205"/>
      <c r="F4" s="205"/>
      <c r="G4" s="205"/>
    </row>
    <row r="5" spans="1:7" ht="34.35" customHeight="1">
      <c r="A5" s="89" t="s">
        <v>583</v>
      </c>
      <c r="B5" s="89" t="s">
        <v>584</v>
      </c>
      <c r="C5" s="89" t="s">
        <v>585</v>
      </c>
      <c r="D5" s="89" t="s">
        <v>586</v>
      </c>
      <c r="E5" s="89" t="s">
        <v>587</v>
      </c>
      <c r="F5" s="89" t="s">
        <v>588</v>
      </c>
      <c r="G5" s="89" t="s">
        <v>589</v>
      </c>
    </row>
    <row r="6" spans="1:7" ht="48" customHeight="1">
      <c r="A6" s="90" t="s">
        <v>590</v>
      </c>
      <c r="B6" s="91" t="s">
        <v>591</v>
      </c>
      <c r="C6" s="92">
        <v>2</v>
      </c>
      <c r="D6" s="91" t="s">
        <v>592</v>
      </c>
      <c r="E6" s="91" t="s">
        <v>593</v>
      </c>
      <c r="F6" s="91" t="s">
        <v>594</v>
      </c>
      <c r="G6" s="91" t="s">
        <v>595</v>
      </c>
    </row>
    <row r="7" spans="1:7" ht="24" customHeight="1">
      <c r="A7" s="90" t="s">
        <v>596</v>
      </c>
      <c r="B7" s="91" t="s">
        <v>597</v>
      </c>
      <c r="C7" s="92">
        <v>2.5</v>
      </c>
      <c r="D7" s="91" t="s">
        <v>598</v>
      </c>
      <c r="E7" s="91" t="s">
        <v>599</v>
      </c>
      <c r="F7" s="91" t="s">
        <v>600</v>
      </c>
      <c r="G7" s="91" t="s">
        <v>595</v>
      </c>
    </row>
    <row r="8" spans="1:7" ht="72" customHeight="1">
      <c r="A8" s="90" t="s">
        <v>601</v>
      </c>
      <c r="B8" s="91" t="s">
        <v>602</v>
      </c>
      <c r="C8" s="92">
        <v>3</v>
      </c>
      <c r="D8" s="91" t="s">
        <v>603</v>
      </c>
      <c r="E8" s="91" t="s">
        <v>604</v>
      </c>
      <c r="F8" s="91" t="s">
        <v>605</v>
      </c>
      <c r="G8" s="91" t="s">
        <v>595</v>
      </c>
    </row>
    <row r="9" spans="1:7" ht="24" customHeight="1">
      <c r="A9" s="90" t="s">
        <v>606</v>
      </c>
      <c r="B9" s="91" t="s">
        <v>607</v>
      </c>
      <c r="C9" s="92">
        <v>4</v>
      </c>
      <c r="D9" s="91" t="s">
        <v>608</v>
      </c>
      <c r="E9" s="91" t="s">
        <v>609</v>
      </c>
      <c r="F9" s="91" t="s">
        <v>610</v>
      </c>
      <c r="G9" s="91" t="s">
        <v>595</v>
      </c>
    </row>
    <row r="10" spans="1:7" ht="96" customHeight="1">
      <c r="A10" s="90" t="s">
        <v>611</v>
      </c>
      <c r="B10" s="91" t="s">
        <v>612</v>
      </c>
      <c r="C10" s="92">
        <v>5</v>
      </c>
      <c r="D10" s="91" t="s">
        <v>613</v>
      </c>
      <c r="E10" s="91" t="s">
        <v>614</v>
      </c>
      <c r="F10" s="91" t="s">
        <v>615</v>
      </c>
      <c r="G10" s="91" t="s">
        <v>595</v>
      </c>
    </row>
    <row r="11" spans="1:7" ht="36" customHeight="1">
      <c r="A11" s="90" t="s">
        <v>616</v>
      </c>
      <c r="B11" s="91" t="s">
        <v>617</v>
      </c>
      <c r="C11" s="92">
        <v>7.5</v>
      </c>
      <c r="D11" s="91" t="s">
        <v>618</v>
      </c>
      <c r="E11" s="91" t="s">
        <v>619</v>
      </c>
      <c r="F11" s="91" t="s">
        <v>620</v>
      </c>
      <c r="G11" s="91" t="s">
        <v>595</v>
      </c>
    </row>
    <row r="12" spans="1:7" ht="132" customHeight="1">
      <c r="A12" s="90" t="s">
        <v>621</v>
      </c>
      <c r="B12" s="91" t="s">
        <v>622</v>
      </c>
      <c r="C12" s="92"/>
      <c r="D12" s="91" t="s">
        <v>623</v>
      </c>
      <c r="E12" s="91" t="s">
        <v>624</v>
      </c>
      <c r="F12" s="91" t="s">
        <v>625</v>
      </c>
      <c r="G12" s="91" t="s">
        <v>595</v>
      </c>
    </row>
    <row r="13" spans="1:7" ht="14.25" customHeight="1"/>
    <row r="14" spans="1:7" ht="24" customHeight="1">
      <c r="A14" s="206" t="s">
        <v>626</v>
      </c>
      <c r="B14" s="206"/>
      <c r="C14" s="206"/>
    </row>
    <row r="15" spans="1:7" ht="24" customHeight="1">
      <c r="A15" s="93" t="s">
        <v>627</v>
      </c>
      <c r="B15" s="93" t="s">
        <v>583</v>
      </c>
      <c r="C15" s="93" t="s">
        <v>585</v>
      </c>
    </row>
    <row r="16" spans="1:7" ht="15" customHeight="1">
      <c r="A16" s="94" t="s">
        <v>628</v>
      </c>
      <c r="B16" s="94" t="s">
        <v>590</v>
      </c>
      <c r="C16" s="95">
        <f>IFERROR(IF(COUNT(INDEX($C$6:$C$12,MATCH($B16,$A$6:$A$12,0)))=1,INDEX($C$6:$C$12,MATCH($B16,$A$6:$A$12,0)),""),"")</f>
        <v>2</v>
      </c>
    </row>
    <row r="17" spans="1:4" ht="15" customHeight="1">
      <c r="A17" s="94" t="s">
        <v>629</v>
      </c>
      <c r="B17" s="94" t="s">
        <v>621</v>
      </c>
      <c r="C17" s="95" t="str">
        <f>IFERROR(IF(COUNT(INDEX($C$6:$C$12,MATCH($B17,$A$6:$A$12,0)))=1,INDEX($C$6:$C$12,MATCH($B17,$A$6:$A$12,0)),""),"")</f>
        <v/>
      </c>
    </row>
    <row r="18" spans="1:4" ht="15" customHeight="1">
      <c r="A18" s="94" t="s">
        <v>630</v>
      </c>
      <c r="B18" s="94" t="s">
        <v>601</v>
      </c>
      <c r="C18" s="95">
        <f>IFERROR(IF(COUNT(INDEX($C$6:$C$12,MATCH($B18,$A$6:$A$12,0)))=1,INDEX($C$6:$C$12,MATCH($B18,$A$6:$A$12,0)),""),"")</f>
        <v>3</v>
      </c>
    </row>
    <row r="19" spans="1:4" ht="15" customHeight="1">
      <c r="A19" s="94" t="s">
        <v>631</v>
      </c>
      <c r="B19" s="94" t="s">
        <v>606</v>
      </c>
      <c r="C19" s="95">
        <f>IFERROR(IF(COUNT(INDEX($C$6:$C$12,MATCH($B19,$A$6:$A$12,0)))=1,INDEX($C$6:$C$12,MATCH($B19,$A$6:$A$12,0)),""),"")</f>
        <v>4</v>
      </c>
    </row>
    <row r="20" spans="1:4" ht="15" customHeight="1">
      <c r="A20" s="94" t="s">
        <v>632</v>
      </c>
      <c r="B20" s="94" t="s">
        <v>601</v>
      </c>
      <c r="C20" s="95">
        <f>IFERROR(IF(COUNT(INDEX($C$6:$C$12,MATCH($B20,$A$6:$A$12,0)))=1,INDEX($C$6:$C$12,MATCH($B20,$A$6:$A$12,0)),""),"")</f>
        <v>3</v>
      </c>
    </row>
    <row r="21" spans="1:4" ht="15" customHeight="1">
      <c r="A21" s="94" t="s">
        <v>633</v>
      </c>
      <c r="B21" s="94" t="s">
        <v>621</v>
      </c>
      <c r="C21" s="95"/>
      <c r="D21" t="s">
        <v>634</v>
      </c>
    </row>
    <row r="22" spans="1:4" ht="15" customHeight="1">
      <c r="A22" s="94" t="s">
        <v>635</v>
      </c>
      <c r="B22" s="94" t="s">
        <v>601</v>
      </c>
      <c r="C22" s="95">
        <f>IFERROR(IF(COUNT(INDEX($C$6:$C$12,MATCH($B22,$A$6:$A$12,0)))=1,INDEX($C$6:$C$12,MATCH($B22,$A$6:$A$12,0)),""),"")</f>
        <v>3</v>
      </c>
    </row>
    <row r="23" spans="1:4" ht="15" customHeight="1">
      <c r="A23" s="94" t="s">
        <v>636</v>
      </c>
      <c r="B23" s="94" t="s">
        <v>601</v>
      </c>
      <c r="C23" s="95">
        <f>IFERROR(IF(COUNT(INDEX($C$6:$C$12,MATCH($B23,$A$6:$A$12,0)))=1,INDEX($C$6:$C$12,MATCH($B23,$A$6:$A$12,0)),""),"")</f>
        <v>3</v>
      </c>
    </row>
    <row r="24" spans="1:4" ht="15" customHeight="1">
      <c r="A24" s="94" t="s">
        <v>637</v>
      </c>
      <c r="B24" s="94" t="s">
        <v>590</v>
      </c>
      <c r="C24" s="95">
        <f>IFERROR(IF(COUNT(INDEX($C$6:$C$12,MATCH($B24,$A$6:$A$12,0)))=1,INDEX($C$6:$C$12,MATCH($B24,$A$6:$A$12,0)),""),"")</f>
        <v>2</v>
      </c>
    </row>
    <row r="25" spans="1:4" ht="15" customHeight="1">
      <c r="A25" s="94" t="s">
        <v>638</v>
      </c>
      <c r="B25" s="94" t="s">
        <v>616</v>
      </c>
      <c r="C25" s="95">
        <f>IFERROR(IF(COUNT(INDEX($C$6:$C$12,MATCH($B25,$A$6:$A$12,0)))=1,INDEX($C$6:$C$12,MATCH($B25,$A$6:$A$12,0)),""),"")</f>
        <v>7.5</v>
      </c>
    </row>
    <row r="26" spans="1:4" ht="15" customHeight="1">
      <c r="A26" s="94" t="s">
        <v>639</v>
      </c>
      <c r="B26" s="94" t="s">
        <v>611</v>
      </c>
      <c r="C26" s="95">
        <f>IFERROR(IF(COUNT(INDEX($C$6:$C$12,MATCH($B26,$A$6:$A$12,0)))=1,INDEX($C$6:$C$12,MATCH($B26,$A$6:$A$12,0)),""),"")</f>
        <v>5</v>
      </c>
    </row>
    <row r="27" spans="1:4" ht="15" customHeight="1">
      <c r="A27" s="94" t="s">
        <v>640</v>
      </c>
      <c r="B27" s="94" t="s">
        <v>611</v>
      </c>
      <c r="C27" s="95">
        <f>IFERROR(IF(COUNT(INDEX($C$6:$C$12,MATCH($B27,$A$6:$A$12,0)))=1,INDEX($C$6:$C$12,MATCH($B27,$A$6:$A$12,0)),""),"")</f>
        <v>5</v>
      </c>
    </row>
    <row r="28" spans="1:4" ht="15" customHeight="1">
      <c r="A28" s="94" t="s">
        <v>641</v>
      </c>
      <c r="B28" s="94" t="s">
        <v>621</v>
      </c>
      <c r="C28" s="95">
        <v>46.6</v>
      </c>
    </row>
    <row r="29" spans="1:4" ht="15" customHeight="1">
      <c r="A29" s="94" t="s">
        <v>642</v>
      </c>
      <c r="B29" s="94" t="s">
        <v>590</v>
      </c>
      <c r="C29" s="95">
        <f>IFERROR(IF(COUNT(INDEX($C$6:$C$12,MATCH($B29,$A$6:$A$12,0)))=1,INDEX($C$6:$C$12,MATCH($B29,$A$6:$A$12,0)),""),"")</f>
        <v>2</v>
      </c>
    </row>
    <row r="30" spans="1:4" ht="15" customHeight="1">
      <c r="A30" s="94" t="s">
        <v>643</v>
      </c>
      <c r="B30" s="94" t="s">
        <v>621</v>
      </c>
      <c r="C30" s="95">
        <v>5</v>
      </c>
    </row>
    <row r="31" spans="1:4" ht="15" customHeight="1">
      <c r="A31" s="94" t="s">
        <v>644</v>
      </c>
      <c r="B31" s="94" t="s">
        <v>601</v>
      </c>
      <c r="C31" s="95">
        <f>IFERROR(IF(COUNT(INDEX($C$6:$C$12,MATCH($B31,$A$6:$A$12,0)))=1,INDEX($C$6:$C$12,MATCH($B31,$A$6:$A$12,0)),""),"")</f>
        <v>3</v>
      </c>
    </row>
    <row r="32" spans="1:4" ht="15" customHeight="1">
      <c r="A32" s="94" t="s">
        <v>645</v>
      </c>
      <c r="B32" s="94" t="s">
        <v>621</v>
      </c>
      <c r="C32" s="95" t="str">
        <f>IFERROR(IF(COUNT(INDEX($C$6:$C$12,MATCH($B32,$A$6:$A$12,0)))=1,INDEX($C$6:$C$12,MATCH($B32,$A$6:$A$12,0)),""),"")</f>
        <v/>
      </c>
    </row>
    <row r="33" spans="1:3" ht="24" customHeight="1">
      <c r="A33" s="94" t="s">
        <v>646</v>
      </c>
      <c r="B33" s="94" t="s">
        <v>611</v>
      </c>
      <c r="C33" s="95">
        <f>IFERROR(IF(COUNT(INDEX($C$6:$C$12,MATCH($B33,$A$6:$A$12,0)))=1,INDEX($C$6:$C$12,MATCH($B33,$A$6:$A$12,0)),""),"")</f>
        <v>5</v>
      </c>
    </row>
    <row r="34" spans="1:3" ht="15" customHeight="1">
      <c r="A34" s="94" t="s">
        <v>647</v>
      </c>
      <c r="B34" s="94" t="s">
        <v>611</v>
      </c>
      <c r="C34" s="95">
        <f>IFERROR(IF(COUNT(INDEX($C$6:$C$12,MATCH($B34,$A$6:$A$12,0)))=1,INDEX($C$6:$C$12,MATCH($B34,$A$6:$A$12,0)),""),"")</f>
        <v>5</v>
      </c>
    </row>
    <row r="35" spans="1:3" ht="15" customHeight="1">
      <c r="A35" s="94" t="s">
        <v>648</v>
      </c>
      <c r="B35" s="94" t="s">
        <v>596</v>
      </c>
      <c r="C35" s="95">
        <f>IFERROR(IF(COUNT(INDEX($C$6:$C$12,MATCH($B35,$A$6:$A$12,0)))=1,INDEX($C$6:$C$12,MATCH($B35,$A$6:$A$12,0)),""),"")</f>
        <v>2.5</v>
      </c>
    </row>
    <row r="36" spans="1:3" ht="15" customHeight="1">
      <c r="A36" s="94" t="s">
        <v>649</v>
      </c>
      <c r="B36" s="94" t="s">
        <v>616</v>
      </c>
      <c r="C36" s="95">
        <f>IFERROR(IF(COUNT(INDEX($C$6:$C$12,MATCH($B36,$A$6:$A$12,0)))=1,INDEX($C$6:$C$12,MATCH($B36,$A$6:$A$12,0)),""),"")</f>
        <v>7.5</v>
      </c>
    </row>
    <row r="37" spans="1:3" ht="15" customHeight="1">
      <c r="A37" s="94" t="s">
        <v>650</v>
      </c>
      <c r="B37" s="94" t="s">
        <v>601</v>
      </c>
      <c r="C37" s="95">
        <f>IFERROR(IF(COUNT(INDEX($C$6:$C$12,MATCH($B37,$A$6:$A$12,0)))=1,INDEX($C$6:$C$12,MATCH($B37,$A$6:$A$12,0)),""),"")</f>
        <v>3</v>
      </c>
    </row>
    <row r="38" spans="1:3" ht="15" customHeight="1">
      <c r="A38" s="94" t="s">
        <v>651</v>
      </c>
      <c r="B38" s="94" t="s">
        <v>616</v>
      </c>
      <c r="C38" s="95">
        <f>IFERROR(IF(COUNT(INDEX($C$6:$C$12,MATCH($B38,$A$6:$A$12,0)))=1,INDEX($C$6:$C$12,MATCH($B38,$A$6:$A$12,0)),""),"")</f>
        <v>7.5</v>
      </c>
    </row>
    <row r="39" spans="1:3" ht="15" customHeight="1">
      <c r="A39" s="94" t="s">
        <v>652</v>
      </c>
      <c r="B39" s="94" t="s">
        <v>611</v>
      </c>
      <c r="C39" s="95">
        <f>IFERROR(IF(COUNT(INDEX($C$6:$C$12,MATCH($B39,$A$6:$A$12,0)))=1,INDEX($C$6:$C$12,MATCH($B39,$A$6:$A$12,0)),""),"")</f>
        <v>5</v>
      </c>
    </row>
    <row r="40" spans="1:3" ht="15" customHeight="1">
      <c r="A40" s="94" t="s">
        <v>653</v>
      </c>
      <c r="B40" s="94" t="s">
        <v>590</v>
      </c>
      <c r="C40" s="95">
        <f>IFERROR(IF(COUNT(INDEX($C$6:$C$12,MATCH($B40,$A$6:$A$12,0)))=1,INDEX($C$6:$C$12,MATCH($B40,$A$6:$A$12,0)),""),"")</f>
        <v>2</v>
      </c>
    </row>
    <row r="41" spans="1:3" ht="24" customHeight="1">
      <c r="A41" s="94" t="s">
        <v>654</v>
      </c>
      <c r="B41" s="94" t="s">
        <v>611</v>
      </c>
      <c r="C41" s="95">
        <f>IFERROR(IF(COUNT(INDEX($C$6:$C$12,MATCH($B41,$A$6:$A$12,0)))=1,INDEX($C$6:$C$12,MATCH($B41,$A$6:$A$12,0)),""),"")</f>
        <v>5</v>
      </c>
    </row>
    <row r="42" spans="1:3" ht="24" customHeight="1">
      <c r="A42" s="94" t="s">
        <v>655</v>
      </c>
      <c r="B42" s="94" t="s">
        <v>590</v>
      </c>
      <c r="C42" s="95">
        <f>IFERROR(IF(COUNT(INDEX($C$6:$C$12,MATCH($B42,$A$6:$A$12,0)))=1,INDEX($C$6:$C$12,MATCH($B42,$A$6:$A$12,0)),""),"")</f>
        <v>2</v>
      </c>
    </row>
    <row r="43" spans="1:3" ht="15" customHeight="1">
      <c r="A43" s="94" t="s">
        <v>656</v>
      </c>
      <c r="B43" s="94" t="s">
        <v>611</v>
      </c>
      <c r="C43" s="95">
        <f>IFERROR(IF(COUNT(INDEX($C$6:$C$12,MATCH($B43,$A$6:$A$12,0)))=1,INDEX($C$6:$C$12,MATCH($B43,$A$6:$A$12,0)),""),"")</f>
        <v>5</v>
      </c>
    </row>
    <row r="44" spans="1:3" ht="15" customHeight="1">
      <c r="A44" s="94" t="s">
        <v>657</v>
      </c>
      <c r="B44" s="94" t="s">
        <v>611</v>
      </c>
      <c r="C44" s="95">
        <f>IFERROR(IF(COUNT(INDEX($C$6:$C$12,MATCH($B44,$A$6:$A$12,0)))=1,INDEX($C$6:$C$12,MATCH($B44,$A$6:$A$12,0)),""),"")</f>
        <v>5</v>
      </c>
    </row>
    <row r="45" spans="1:3" ht="15" customHeight="1">
      <c r="A45" s="94" t="s">
        <v>658</v>
      </c>
      <c r="B45" s="94" t="s">
        <v>611</v>
      </c>
      <c r="C45" s="95">
        <f>IFERROR(IF(COUNT(INDEX($C$6:$C$12,MATCH($B45,$A$6:$A$12,0)))=1,INDEX($C$6:$C$12,MATCH($B45,$A$6:$A$12,0)),""),"")</f>
        <v>5</v>
      </c>
    </row>
    <row r="46" spans="1:3" ht="15" customHeight="1">
      <c r="A46" s="94" t="s">
        <v>659</v>
      </c>
      <c r="B46" s="94" t="s">
        <v>616</v>
      </c>
      <c r="C46" s="95">
        <f>IFERROR(IF(COUNT(INDEX($C$6:$C$12,MATCH($B46,$A$6:$A$12,0)))=1,INDEX($C$6:$C$12,MATCH($B46,$A$6:$A$12,0)),""),"")</f>
        <v>7.5</v>
      </c>
    </row>
    <row r="47" spans="1:3" ht="15" customHeight="1">
      <c r="A47" s="94" t="s">
        <v>660</v>
      </c>
      <c r="B47" s="94" t="s">
        <v>621</v>
      </c>
      <c r="C47" s="95">
        <v>7.5</v>
      </c>
    </row>
    <row r="48" spans="1:3" ht="24" customHeight="1">
      <c r="A48" s="94" t="s">
        <v>661</v>
      </c>
      <c r="B48" s="94" t="s">
        <v>621</v>
      </c>
      <c r="C48" s="95">
        <v>7.5</v>
      </c>
    </row>
    <row r="49" spans="1:3" ht="15" customHeight="1">
      <c r="A49" s="94" t="s">
        <v>662</v>
      </c>
      <c r="B49" s="94" t="s">
        <v>621</v>
      </c>
      <c r="C49" s="95" t="str">
        <f>IFERROR(IF(COUNT(INDEX($C$6:$C$12,MATCH($B49,$A$6:$A$12,0)))=1,INDEX($C$6:$C$12,MATCH($B49,$A$6:$A$12,0)),""),"")</f>
        <v/>
      </c>
    </row>
    <row r="50" spans="1:3" ht="15" customHeight="1">
      <c r="A50" s="94" t="s">
        <v>663</v>
      </c>
      <c r="B50" s="94" t="s">
        <v>621</v>
      </c>
      <c r="C50" s="95">
        <v>3</v>
      </c>
    </row>
    <row r="51" spans="1:3" ht="14.25" customHeight="1">
      <c r="A51" s="94" t="s">
        <v>664</v>
      </c>
      <c r="B51" s="94" t="s">
        <v>621</v>
      </c>
      <c r="C51" s="95" t="str">
        <f>IFERROR(IF(COUNT(INDEX($C$6:$C$12,MATCH($B51,$A$6:$A$12,0)))=1,INDEX($C$6:$C$12,MATCH($B51,$A$6:$A$12,0)),""),"")</f>
        <v/>
      </c>
    </row>
  </sheetData>
  <mergeCells count="5">
    <mergeCell ref="A1:G1"/>
    <mergeCell ref="A2:G2"/>
    <mergeCell ref="A3:G3"/>
    <mergeCell ref="A4:G4"/>
    <mergeCell ref="A14:C14"/>
  </mergeCells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E14D0-F616-46DB-98B3-30562AAC5D0C}">
  <sheetPr codeName="工作表2"/>
  <dimension ref="A1:AN107"/>
  <sheetViews>
    <sheetView workbookViewId="0">
      <selection sqref="A1:AC1"/>
    </sheetView>
  </sheetViews>
  <sheetFormatPr defaultRowHeight="13.8"/>
  <cols>
    <col min="1" max="1" width="14" customWidth="1"/>
    <col min="2" max="2" width="22" customWidth="1"/>
    <col min="3" max="29" width="14" customWidth="1"/>
  </cols>
  <sheetData>
    <row r="1" spans="1:40" ht="22" customHeight="1">
      <c r="A1" s="207" t="s">
        <v>186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7"/>
      <c r="AC1" s="207"/>
    </row>
    <row r="2" spans="1:40" ht="16" customHeight="1">
      <c r="A2" s="208" t="s">
        <v>506</v>
      </c>
      <c r="B2" s="207"/>
      <c r="C2" s="207"/>
      <c r="D2" s="207"/>
      <c r="E2" s="207"/>
      <c r="F2" s="207"/>
      <c r="G2" s="207"/>
      <c r="H2" s="207"/>
      <c r="I2" s="207"/>
      <c r="J2" s="207"/>
      <c r="K2" s="207"/>
      <c r="L2" s="207"/>
      <c r="M2" s="207"/>
      <c r="N2" s="207"/>
      <c r="O2" s="207"/>
      <c r="P2" s="207"/>
      <c r="Q2" s="207"/>
      <c r="R2" s="207"/>
      <c r="S2" s="207"/>
      <c r="T2" s="207"/>
      <c r="U2" s="207"/>
      <c r="V2" s="207"/>
      <c r="W2" s="207"/>
      <c r="X2" s="207"/>
      <c r="Y2" s="207"/>
      <c r="Z2" s="207"/>
      <c r="AA2" s="207"/>
      <c r="AB2" s="207"/>
      <c r="AC2" s="207"/>
    </row>
    <row r="3" spans="1:40" ht="16" customHeight="1">
      <c r="A3" s="208" t="s">
        <v>507</v>
      </c>
      <c r="B3" s="207"/>
      <c r="C3" s="207"/>
      <c r="D3" s="207"/>
      <c r="E3" s="207"/>
      <c r="F3" s="207"/>
      <c r="G3" s="207"/>
      <c r="H3" s="207"/>
      <c r="I3" s="207"/>
      <c r="J3" s="207"/>
      <c r="K3" s="207"/>
      <c r="L3" s="207"/>
      <c r="M3" s="207"/>
      <c r="N3" s="207"/>
      <c r="O3" s="207"/>
      <c r="P3" s="207"/>
      <c r="Q3" s="207"/>
      <c r="R3" s="207"/>
      <c r="S3" s="207"/>
      <c r="T3" s="207"/>
      <c r="U3" s="207"/>
      <c r="V3" s="207"/>
      <c r="W3" s="207"/>
      <c r="X3" s="207"/>
      <c r="Y3" s="207"/>
      <c r="Z3" s="207"/>
      <c r="AA3" s="207"/>
      <c r="AB3" s="207"/>
      <c r="AC3" s="207"/>
    </row>
    <row r="4" spans="1:40" ht="32.1" customHeight="1">
      <c r="A4" s="2" t="s">
        <v>187</v>
      </c>
      <c r="B4" s="2" t="s">
        <v>188</v>
      </c>
      <c r="C4" s="2" t="s">
        <v>189</v>
      </c>
      <c r="D4" s="2" t="s">
        <v>190</v>
      </c>
      <c r="E4" s="2" t="s">
        <v>191</v>
      </c>
      <c r="F4" s="2" t="s">
        <v>192</v>
      </c>
      <c r="G4" s="2" t="s">
        <v>193</v>
      </c>
      <c r="H4" s="2" t="s">
        <v>194</v>
      </c>
      <c r="I4" s="2" t="s">
        <v>195</v>
      </c>
      <c r="J4" s="2" t="s">
        <v>196</v>
      </c>
      <c r="K4" s="2" t="s">
        <v>197</v>
      </c>
      <c r="L4" s="2" t="s">
        <v>198</v>
      </c>
      <c r="M4" s="2" t="s">
        <v>199</v>
      </c>
      <c r="N4" s="2" t="s">
        <v>200</v>
      </c>
      <c r="O4" s="2" t="s">
        <v>201</v>
      </c>
      <c r="P4" s="2" t="s">
        <v>202</v>
      </c>
      <c r="Q4" s="2" t="s">
        <v>203</v>
      </c>
      <c r="R4" s="2" t="s">
        <v>204</v>
      </c>
      <c r="S4" s="2" t="s">
        <v>205</v>
      </c>
      <c r="T4" s="2" t="s">
        <v>206</v>
      </c>
      <c r="U4" s="2" t="s">
        <v>207</v>
      </c>
      <c r="V4" s="2" t="s">
        <v>208</v>
      </c>
      <c r="W4" s="2" t="s">
        <v>209</v>
      </c>
      <c r="X4" s="2" t="s">
        <v>210</v>
      </c>
      <c r="Y4" s="2" t="s">
        <v>211</v>
      </c>
      <c r="Z4" s="2" t="s">
        <v>212</v>
      </c>
      <c r="AA4" s="2" t="s">
        <v>213</v>
      </c>
      <c r="AB4" s="2" t="s">
        <v>214</v>
      </c>
      <c r="AC4" s="2" t="s">
        <v>215</v>
      </c>
      <c r="AG4" t="s">
        <v>361</v>
      </c>
      <c r="AH4" t="s">
        <v>362</v>
      </c>
      <c r="AI4" t="s">
        <v>363</v>
      </c>
      <c r="AJ4" t="s">
        <v>364</v>
      </c>
      <c r="AK4" t="s">
        <v>365</v>
      </c>
      <c r="AM4" t="s">
        <v>389</v>
      </c>
      <c r="AN4" t="s">
        <v>390</v>
      </c>
    </row>
    <row r="5" spans="1:40" ht="22" customHeight="1">
      <c r="A5" s="1" t="s">
        <v>216</v>
      </c>
      <c r="B5" s="1" t="s">
        <v>217</v>
      </c>
      <c r="C5" s="1">
        <v>633.9</v>
      </c>
      <c r="D5" s="1">
        <v>474.6</v>
      </c>
      <c r="E5" s="1">
        <v>424</v>
      </c>
      <c r="F5" s="1">
        <v>47.6</v>
      </c>
      <c r="G5" s="1">
        <v>77</v>
      </c>
      <c r="H5" s="1">
        <v>15.2</v>
      </c>
      <c r="I5" s="1">
        <v>290.2</v>
      </c>
      <c r="J5" s="1">
        <v>2.75</v>
      </c>
      <c r="K5" s="1">
        <v>6.1</v>
      </c>
      <c r="L5" s="1">
        <v>26</v>
      </c>
      <c r="M5" s="1">
        <v>200</v>
      </c>
      <c r="N5" s="1">
        <v>94</v>
      </c>
      <c r="O5" s="1">
        <v>2.52</v>
      </c>
      <c r="P5" s="1">
        <v>3.98</v>
      </c>
      <c r="Q5" s="1">
        <v>274800</v>
      </c>
      <c r="R5" s="1">
        <v>98130</v>
      </c>
      <c r="S5" s="1">
        <v>18.399999999999999</v>
      </c>
      <c r="T5" s="1">
        <v>11</v>
      </c>
      <c r="U5" s="1">
        <v>11580</v>
      </c>
      <c r="V5" s="1">
        <v>4629</v>
      </c>
      <c r="W5" s="1">
        <v>14240</v>
      </c>
      <c r="X5" s="1">
        <v>7108</v>
      </c>
      <c r="Y5" s="1">
        <v>0.84299999999999997</v>
      </c>
      <c r="Z5" s="1">
        <v>5.46</v>
      </c>
      <c r="AA5" s="1">
        <v>38.799999999999997</v>
      </c>
      <c r="AB5" s="1">
        <v>13720</v>
      </c>
      <c r="AC5" s="1">
        <v>808</v>
      </c>
      <c r="AG5">
        <v>16</v>
      </c>
      <c r="AH5">
        <v>235</v>
      </c>
      <c r="AI5">
        <v>275</v>
      </c>
      <c r="AJ5">
        <v>355</v>
      </c>
      <c r="AK5">
        <v>460</v>
      </c>
      <c r="AM5" t="s">
        <v>391</v>
      </c>
      <c r="AN5" t="s">
        <v>391</v>
      </c>
    </row>
    <row r="6" spans="1:40" ht="22" customHeight="1">
      <c r="A6" s="1" t="s">
        <v>216</v>
      </c>
      <c r="B6" s="1" t="s">
        <v>218</v>
      </c>
      <c r="C6" s="1">
        <v>551</v>
      </c>
      <c r="D6" s="1">
        <v>455.6</v>
      </c>
      <c r="E6" s="1">
        <v>418.5</v>
      </c>
      <c r="F6" s="1">
        <v>42.1</v>
      </c>
      <c r="G6" s="1">
        <v>67.5</v>
      </c>
      <c r="H6" s="1">
        <v>15.2</v>
      </c>
      <c r="I6" s="1">
        <v>290.2</v>
      </c>
      <c r="J6" s="1">
        <v>3.1</v>
      </c>
      <c r="K6" s="1">
        <v>6.89</v>
      </c>
      <c r="L6" s="1">
        <v>23</v>
      </c>
      <c r="M6" s="1">
        <v>200</v>
      </c>
      <c r="N6" s="1">
        <v>84</v>
      </c>
      <c r="O6" s="1">
        <v>2.4700000000000002</v>
      </c>
      <c r="P6" s="1">
        <v>4.49</v>
      </c>
      <c r="Q6" s="1">
        <v>226900</v>
      </c>
      <c r="R6" s="1">
        <v>82670</v>
      </c>
      <c r="S6" s="1">
        <v>18</v>
      </c>
      <c r="T6" s="1">
        <v>10.9</v>
      </c>
      <c r="U6" s="1">
        <v>9962</v>
      </c>
      <c r="V6" s="1">
        <v>3951</v>
      </c>
      <c r="W6" s="1">
        <v>12080</v>
      </c>
      <c r="X6" s="1">
        <v>6058</v>
      </c>
      <c r="Y6" s="1">
        <v>0.84099999999999997</v>
      </c>
      <c r="Z6" s="1">
        <v>6.05</v>
      </c>
      <c r="AA6" s="1">
        <v>31.1</v>
      </c>
      <c r="AB6" s="1">
        <v>9240</v>
      </c>
      <c r="AC6" s="1">
        <v>702</v>
      </c>
      <c r="AG6">
        <v>40</v>
      </c>
      <c r="AH6">
        <v>225</v>
      </c>
      <c r="AI6">
        <v>265</v>
      </c>
      <c r="AJ6">
        <v>345</v>
      </c>
      <c r="AK6">
        <v>440</v>
      </c>
      <c r="AM6" t="s">
        <v>217</v>
      </c>
      <c r="AN6" t="s">
        <v>249</v>
      </c>
    </row>
    <row r="7" spans="1:40" ht="22" customHeight="1">
      <c r="A7" s="1" t="s">
        <v>216</v>
      </c>
      <c r="B7" s="1" t="s">
        <v>219</v>
      </c>
      <c r="C7" s="1">
        <v>467</v>
      </c>
      <c r="D7" s="1">
        <v>436.6</v>
      </c>
      <c r="E7" s="1">
        <v>412.2</v>
      </c>
      <c r="F7" s="1">
        <v>35.799999999999997</v>
      </c>
      <c r="G7" s="1">
        <v>58</v>
      </c>
      <c r="H7" s="1">
        <v>15.2</v>
      </c>
      <c r="I7" s="1">
        <v>290.2</v>
      </c>
      <c r="J7" s="1">
        <v>3.55</v>
      </c>
      <c r="K7" s="1">
        <v>8.11</v>
      </c>
      <c r="L7" s="1">
        <v>20</v>
      </c>
      <c r="M7" s="1">
        <v>200</v>
      </c>
      <c r="N7" s="1">
        <v>74</v>
      </c>
      <c r="O7" s="1">
        <v>2.42</v>
      </c>
      <c r="P7" s="1">
        <v>5.19</v>
      </c>
      <c r="Q7" s="1">
        <v>183000</v>
      </c>
      <c r="R7" s="1">
        <v>67830</v>
      </c>
      <c r="S7" s="1">
        <v>17.5</v>
      </c>
      <c r="T7" s="1">
        <v>10.7</v>
      </c>
      <c r="U7" s="1">
        <v>8383</v>
      </c>
      <c r="V7" s="1">
        <v>3291</v>
      </c>
      <c r="W7" s="1">
        <v>10000</v>
      </c>
      <c r="X7" s="1">
        <v>5034</v>
      </c>
      <c r="Y7" s="1">
        <v>0.83899999999999997</v>
      </c>
      <c r="Z7" s="1">
        <v>6.86</v>
      </c>
      <c r="AA7" s="1">
        <v>24.3</v>
      </c>
      <c r="AB7" s="1">
        <v>5809</v>
      </c>
      <c r="AC7" s="1">
        <v>595</v>
      </c>
      <c r="AG7">
        <v>63</v>
      </c>
      <c r="AH7">
        <v>215</v>
      </c>
      <c r="AI7">
        <v>255</v>
      </c>
      <c r="AJ7">
        <v>335</v>
      </c>
      <c r="AK7">
        <v>430</v>
      </c>
      <c r="AM7" t="s">
        <v>218</v>
      </c>
      <c r="AN7" t="s">
        <v>250</v>
      </c>
    </row>
    <row r="8" spans="1:40" ht="22" customHeight="1">
      <c r="A8" s="1" t="s">
        <v>216</v>
      </c>
      <c r="B8" s="1" t="s">
        <v>220</v>
      </c>
      <c r="C8" s="1">
        <v>393</v>
      </c>
      <c r="D8" s="1">
        <v>419</v>
      </c>
      <c r="E8" s="1">
        <v>407</v>
      </c>
      <c r="F8" s="1">
        <v>30.6</v>
      </c>
      <c r="G8" s="1">
        <v>49.2</v>
      </c>
      <c r="H8" s="1">
        <v>15.2</v>
      </c>
      <c r="I8" s="1">
        <v>290.2</v>
      </c>
      <c r="J8" s="1">
        <v>4.1399999999999997</v>
      </c>
      <c r="K8" s="1">
        <v>9.48</v>
      </c>
      <c r="L8" s="1">
        <v>17</v>
      </c>
      <c r="M8" s="1">
        <v>200</v>
      </c>
      <c r="N8" s="1">
        <v>66</v>
      </c>
      <c r="O8" s="1">
        <v>2.38</v>
      </c>
      <c r="P8" s="1">
        <v>6.05</v>
      </c>
      <c r="Q8" s="1">
        <v>146600</v>
      </c>
      <c r="R8" s="1">
        <v>55370</v>
      </c>
      <c r="S8" s="1">
        <v>17.100000000000001</v>
      </c>
      <c r="T8" s="1">
        <v>10.5</v>
      </c>
      <c r="U8" s="1">
        <v>6998</v>
      </c>
      <c r="V8" s="1">
        <v>2721</v>
      </c>
      <c r="W8" s="1">
        <v>8222</v>
      </c>
      <c r="X8" s="1">
        <v>4154</v>
      </c>
      <c r="Y8" s="1">
        <v>0.83699999999999997</v>
      </c>
      <c r="Z8" s="1">
        <v>7.86</v>
      </c>
      <c r="AA8" s="1">
        <v>18.899999999999999</v>
      </c>
      <c r="AB8" s="1">
        <v>3545</v>
      </c>
      <c r="AC8" s="1">
        <v>501</v>
      </c>
      <c r="AG8">
        <v>80</v>
      </c>
      <c r="AH8">
        <v>215</v>
      </c>
      <c r="AI8">
        <v>245</v>
      </c>
      <c r="AJ8">
        <v>325</v>
      </c>
      <c r="AK8">
        <v>410</v>
      </c>
      <c r="AM8" t="s">
        <v>219</v>
      </c>
      <c r="AN8" t="s">
        <v>251</v>
      </c>
    </row>
    <row r="9" spans="1:40" ht="22" customHeight="1">
      <c r="A9" s="1" t="s">
        <v>216</v>
      </c>
      <c r="B9" s="1" t="s">
        <v>221</v>
      </c>
      <c r="C9" s="1">
        <v>339.9</v>
      </c>
      <c r="D9" s="1">
        <v>406.4</v>
      </c>
      <c r="E9" s="1">
        <v>403</v>
      </c>
      <c r="F9" s="1">
        <v>26.6</v>
      </c>
      <c r="G9" s="1">
        <v>42.9</v>
      </c>
      <c r="H9" s="1">
        <v>15.2</v>
      </c>
      <c r="I9" s="1">
        <v>290.2</v>
      </c>
      <c r="J9" s="1">
        <v>4.7</v>
      </c>
      <c r="K9" s="1">
        <v>10.91</v>
      </c>
      <c r="L9" s="1">
        <v>15</v>
      </c>
      <c r="M9" s="1">
        <v>200</v>
      </c>
      <c r="N9" s="1">
        <v>60</v>
      </c>
      <c r="O9" s="1">
        <v>2.35</v>
      </c>
      <c r="P9" s="1">
        <v>6.9</v>
      </c>
      <c r="Q9" s="1">
        <v>122500</v>
      </c>
      <c r="R9" s="1">
        <v>46850</v>
      </c>
      <c r="S9" s="1">
        <v>16.8</v>
      </c>
      <c r="T9" s="1">
        <v>10.4</v>
      </c>
      <c r="U9" s="1">
        <v>6031</v>
      </c>
      <c r="V9" s="1">
        <v>2325</v>
      </c>
      <c r="W9" s="1">
        <v>6999</v>
      </c>
      <c r="X9" s="1">
        <v>3544</v>
      </c>
      <c r="Y9" s="1">
        <v>0.83599999999999997</v>
      </c>
      <c r="Z9" s="1">
        <v>8.85</v>
      </c>
      <c r="AA9" s="1">
        <v>15.5</v>
      </c>
      <c r="AB9" s="1">
        <v>2343</v>
      </c>
      <c r="AC9" s="1">
        <v>433</v>
      </c>
      <c r="AG9">
        <v>100</v>
      </c>
      <c r="AH9">
        <v>215</v>
      </c>
      <c r="AI9">
        <v>235</v>
      </c>
      <c r="AJ9">
        <v>315</v>
      </c>
      <c r="AK9">
        <v>400</v>
      </c>
      <c r="AM9" t="s">
        <v>220</v>
      </c>
      <c r="AN9" t="s">
        <v>252</v>
      </c>
    </row>
    <row r="10" spans="1:40" ht="22" customHeight="1">
      <c r="A10" s="1" t="s">
        <v>216</v>
      </c>
      <c r="B10" s="1" t="s">
        <v>222</v>
      </c>
      <c r="C10" s="1">
        <v>287.10000000000002</v>
      </c>
      <c r="D10" s="1">
        <v>393.6</v>
      </c>
      <c r="E10" s="1">
        <v>399</v>
      </c>
      <c r="F10" s="1">
        <v>22.6</v>
      </c>
      <c r="G10" s="1">
        <v>36.5</v>
      </c>
      <c r="H10" s="1">
        <v>15.2</v>
      </c>
      <c r="I10" s="1">
        <v>290.2</v>
      </c>
      <c r="J10" s="1">
        <v>5.47</v>
      </c>
      <c r="K10" s="1">
        <v>12.84</v>
      </c>
      <c r="L10" s="1">
        <v>13</v>
      </c>
      <c r="M10" s="1">
        <v>200</v>
      </c>
      <c r="N10" s="1">
        <v>52</v>
      </c>
      <c r="O10" s="1">
        <v>2.31</v>
      </c>
      <c r="P10" s="1">
        <v>8.0500000000000007</v>
      </c>
      <c r="Q10" s="1">
        <v>99880</v>
      </c>
      <c r="R10" s="1">
        <v>38680</v>
      </c>
      <c r="S10" s="1">
        <v>16.5</v>
      </c>
      <c r="T10" s="1">
        <v>10.3</v>
      </c>
      <c r="U10" s="1">
        <v>5075</v>
      </c>
      <c r="V10" s="1">
        <v>1939</v>
      </c>
      <c r="W10" s="1">
        <v>5812</v>
      </c>
      <c r="X10" s="1">
        <v>2949</v>
      </c>
      <c r="Y10" s="1">
        <v>0.83499999999999996</v>
      </c>
      <c r="Z10" s="1">
        <v>10.199999999999999</v>
      </c>
      <c r="AA10" s="1">
        <v>12.3</v>
      </c>
      <c r="AB10" s="1">
        <v>1441</v>
      </c>
      <c r="AC10" s="1">
        <v>366</v>
      </c>
      <c r="AG10">
        <v>150</v>
      </c>
      <c r="AH10">
        <v>205</v>
      </c>
      <c r="AI10">
        <v>225</v>
      </c>
      <c r="AJ10">
        <v>295</v>
      </c>
      <c r="AM10" t="s">
        <v>221</v>
      </c>
      <c r="AN10" t="s">
        <v>253</v>
      </c>
    </row>
    <row r="11" spans="1:40" ht="22" customHeight="1">
      <c r="A11" s="1" t="s">
        <v>216</v>
      </c>
      <c r="B11" s="1" t="s">
        <v>223</v>
      </c>
      <c r="C11" s="1">
        <v>235.1</v>
      </c>
      <c r="D11" s="1">
        <v>381</v>
      </c>
      <c r="E11" s="1">
        <v>394.8</v>
      </c>
      <c r="F11" s="1">
        <v>18.399999999999999</v>
      </c>
      <c r="G11" s="1">
        <v>30.2</v>
      </c>
      <c r="H11" s="1">
        <v>15.2</v>
      </c>
      <c r="I11" s="1">
        <v>290.2</v>
      </c>
      <c r="J11" s="1">
        <v>6.54</v>
      </c>
      <c r="K11" s="1">
        <v>15.77</v>
      </c>
      <c r="L11" s="1">
        <v>11</v>
      </c>
      <c r="M11" s="1">
        <v>200</v>
      </c>
      <c r="N11" s="1">
        <v>46</v>
      </c>
      <c r="O11" s="1">
        <v>2.2799999999999998</v>
      </c>
      <c r="P11" s="1">
        <v>9.69</v>
      </c>
      <c r="Q11" s="1">
        <v>79080</v>
      </c>
      <c r="R11" s="1">
        <v>30990</v>
      </c>
      <c r="S11" s="1">
        <v>16.3</v>
      </c>
      <c r="T11" s="1">
        <v>10.199999999999999</v>
      </c>
      <c r="U11" s="1">
        <v>4151</v>
      </c>
      <c r="V11" s="1">
        <v>1570</v>
      </c>
      <c r="W11" s="1">
        <v>4687</v>
      </c>
      <c r="X11" s="1">
        <v>2383</v>
      </c>
      <c r="Y11" s="1">
        <v>0.83399999999999996</v>
      </c>
      <c r="Z11" s="1">
        <v>12.1</v>
      </c>
      <c r="AA11" s="1">
        <v>9.5399999999999991</v>
      </c>
      <c r="AB11" s="1">
        <v>812</v>
      </c>
      <c r="AC11" s="1">
        <v>299</v>
      </c>
      <c r="AM11" t="s">
        <v>222</v>
      </c>
      <c r="AN11" t="s">
        <v>254</v>
      </c>
    </row>
    <row r="12" spans="1:40" ht="22" customHeight="1">
      <c r="A12" s="1" t="s">
        <v>216</v>
      </c>
      <c r="B12" s="1" t="s">
        <v>224</v>
      </c>
      <c r="C12" s="1">
        <v>201.9</v>
      </c>
      <c r="D12" s="1">
        <v>374.6</v>
      </c>
      <c r="E12" s="1">
        <v>374.7</v>
      </c>
      <c r="F12" s="1">
        <v>16.5</v>
      </c>
      <c r="G12" s="1">
        <v>27</v>
      </c>
      <c r="H12" s="1">
        <v>15.2</v>
      </c>
      <c r="I12" s="1">
        <v>290.2</v>
      </c>
      <c r="J12" s="1">
        <v>6.94</v>
      </c>
      <c r="K12" s="1">
        <v>17.59</v>
      </c>
      <c r="L12" s="1">
        <v>10</v>
      </c>
      <c r="M12" s="1">
        <v>190</v>
      </c>
      <c r="N12" s="1">
        <v>44</v>
      </c>
      <c r="O12" s="1">
        <v>2.19</v>
      </c>
      <c r="P12" s="1">
        <v>10.8</v>
      </c>
      <c r="Q12" s="1">
        <v>66250</v>
      </c>
      <c r="R12" s="1">
        <v>23690</v>
      </c>
      <c r="S12" s="1">
        <v>16.100000000000001</v>
      </c>
      <c r="T12" s="1">
        <v>9.6</v>
      </c>
      <c r="U12" s="1">
        <v>3538</v>
      </c>
      <c r="V12" s="1">
        <v>1264</v>
      </c>
      <c r="W12" s="1">
        <v>3972</v>
      </c>
      <c r="X12" s="1">
        <v>1920</v>
      </c>
      <c r="Y12" s="1">
        <v>0.84399999999999997</v>
      </c>
      <c r="Z12" s="1">
        <v>13.4</v>
      </c>
      <c r="AA12" s="1">
        <v>7.16</v>
      </c>
      <c r="AB12" s="1">
        <v>558</v>
      </c>
      <c r="AC12" s="1">
        <v>257</v>
      </c>
      <c r="AM12" t="s">
        <v>223</v>
      </c>
      <c r="AN12" t="s">
        <v>256</v>
      </c>
    </row>
    <row r="13" spans="1:40" ht="22" customHeight="1">
      <c r="A13" s="1" t="s">
        <v>216</v>
      </c>
      <c r="B13" s="1" t="s">
        <v>225</v>
      </c>
      <c r="C13" s="1">
        <v>177</v>
      </c>
      <c r="D13" s="1">
        <v>368.2</v>
      </c>
      <c r="E13" s="1">
        <v>372.6</v>
      </c>
      <c r="F13" s="1">
        <v>14.4</v>
      </c>
      <c r="G13" s="1">
        <v>23.8</v>
      </c>
      <c r="H13" s="1">
        <v>15.2</v>
      </c>
      <c r="I13" s="1">
        <v>290.2</v>
      </c>
      <c r="J13" s="1">
        <v>7.83</v>
      </c>
      <c r="K13" s="1">
        <v>20.149999999999999</v>
      </c>
      <c r="L13" s="1">
        <v>9</v>
      </c>
      <c r="M13" s="1">
        <v>190</v>
      </c>
      <c r="N13" s="1">
        <v>40</v>
      </c>
      <c r="O13" s="1">
        <v>2.17</v>
      </c>
      <c r="P13" s="1">
        <v>12.3</v>
      </c>
      <c r="Q13" s="1">
        <v>57120</v>
      </c>
      <c r="R13" s="1">
        <v>20530</v>
      </c>
      <c r="S13" s="1">
        <v>15.9</v>
      </c>
      <c r="T13" s="1">
        <v>9.5399999999999991</v>
      </c>
      <c r="U13" s="1">
        <v>3103</v>
      </c>
      <c r="V13" s="1">
        <v>1102</v>
      </c>
      <c r="W13" s="1">
        <v>3455</v>
      </c>
      <c r="X13" s="1">
        <v>1671</v>
      </c>
      <c r="Y13" s="1">
        <v>0.84399999999999997</v>
      </c>
      <c r="Z13" s="1">
        <v>15</v>
      </c>
      <c r="AA13" s="1">
        <v>6.09</v>
      </c>
      <c r="AB13" s="1">
        <v>381</v>
      </c>
      <c r="AC13" s="1">
        <v>226</v>
      </c>
      <c r="AM13" t="s">
        <v>224</v>
      </c>
      <c r="AN13" t="s">
        <v>257</v>
      </c>
    </row>
    <row r="14" spans="1:40" ht="22" customHeight="1">
      <c r="A14" s="1" t="s">
        <v>216</v>
      </c>
      <c r="B14" s="1" t="s">
        <v>226</v>
      </c>
      <c r="C14" s="1">
        <v>152.9</v>
      </c>
      <c r="D14" s="1">
        <v>362.5</v>
      </c>
      <c r="E14" s="1">
        <v>370.5</v>
      </c>
      <c r="F14" s="1">
        <v>12.3</v>
      </c>
      <c r="G14" s="1">
        <v>20.7</v>
      </c>
      <c r="H14" s="1">
        <v>15.2</v>
      </c>
      <c r="I14" s="1">
        <v>290.2</v>
      </c>
      <c r="J14" s="1">
        <v>8.9499999999999993</v>
      </c>
      <c r="K14" s="1">
        <v>23.59</v>
      </c>
      <c r="L14" s="1">
        <v>8</v>
      </c>
      <c r="M14" s="1">
        <v>190</v>
      </c>
      <c r="N14" s="1">
        <v>36</v>
      </c>
      <c r="O14" s="1">
        <v>2.16</v>
      </c>
      <c r="P14" s="1">
        <v>14.1</v>
      </c>
      <c r="Q14" s="1">
        <v>48590</v>
      </c>
      <c r="R14" s="1">
        <v>17550</v>
      </c>
      <c r="S14" s="1">
        <v>15.8</v>
      </c>
      <c r="T14" s="1">
        <v>9.49</v>
      </c>
      <c r="U14" s="1">
        <v>2684</v>
      </c>
      <c r="V14" s="1">
        <v>948</v>
      </c>
      <c r="W14" s="1">
        <v>2968</v>
      </c>
      <c r="X14" s="1">
        <v>1435</v>
      </c>
      <c r="Y14" s="1">
        <v>0.84399999999999997</v>
      </c>
      <c r="Z14" s="1">
        <v>17</v>
      </c>
      <c r="AA14" s="1">
        <v>5.1100000000000003</v>
      </c>
      <c r="AB14" s="1">
        <v>251</v>
      </c>
      <c r="AC14" s="1">
        <v>195</v>
      </c>
      <c r="AM14" t="s">
        <v>225</v>
      </c>
      <c r="AN14" t="s">
        <v>258</v>
      </c>
    </row>
    <row r="15" spans="1:40" ht="22" customHeight="1">
      <c r="A15" s="1" t="s">
        <v>216</v>
      </c>
      <c r="B15" s="1" t="s">
        <v>227</v>
      </c>
      <c r="C15" s="1">
        <v>129</v>
      </c>
      <c r="D15" s="1">
        <v>355.6</v>
      </c>
      <c r="E15" s="1">
        <v>368.6</v>
      </c>
      <c r="F15" s="1">
        <v>10.4</v>
      </c>
      <c r="G15" s="1">
        <v>17.5</v>
      </c>
      <c r="H15" s="1">
        <v>15.2</v>
      </c>
      <c r="I15" s="1">
        <v>290.2</v>
      </c>
      <c r="J15" s="1">
        <v>10.53</v>
      </c>
      <c r="K15" s="1">
        <v>27.9</v>
      </c>
      <c r="L15" s="1">
        <v>7</v>
      </c>
      <c r="M15" s="1">
        <v>190</v>
      </c>
      <c r="N15" s="1">
        <v>34</v>
      </c>
      <c r="O15" s="1">
        <v>2.14</v>
      </c>
      <c r="P15" s="1">
        <v>16.600000000000001</v>
      </c>
      <c r="Q15" s="1">
        <v>40250</v>
      </c>
      <c r="R15" s="1">
        <v>14610</v>
      </c>
      <c r="S15" s="1">
        <v>15.6</v>
      </c>
      <c r="T15" s="1">
        <v>9.43</v>
      </c>
      <c r="U15" s="1">
        <v>2264</v>
      </c>
      <c r="V15" s="1">
        <v>793</v>
      </c>
      <c r="W15" s="1">
        <v>2479</v>
      </c>
      <c r="X15" s="1">
        <v>1199</v>
      </c>
      <c r="Y15" s="1">
        <v>0.84399999999999997</v>
      </c>
      <c r="Z15" s="1">
        <v>19.899999999999999</v>
      </c>
      <c r="AA15" s="1">
        <v>4.18</v>
      </c>
      <c r="AB15" s="1">
        <v>153</v>
      </c>
      <c r="AC15" s="1">
        <v>164</v>
      </c>
      <c r="AM15" t="s">
        <v>226</v>
      </c>
      <c r="AN15" t="s">
        <v>259</v>
      </c>
    </row>
    <row r="16" spans="1:40" ht="22" customHeight="1">
      <c r="A16" s="1" t="s">
        <v>216</v>
      </c>
      <c r="B16" s="1" t="s">
        <v>228</v>
      </c>
      <c r="C16" s="1">
        <v>282.89999999999998</v>
      </c>
      <c r="D16" s="1">
        <v>365.3</v>
      </c>
      <c r="E16" s="1">
        <v>322.2</v>
      </c>
      <c r="F16" s="1">
        <v>26.8</v>
      </c>
      <c r="G16" s="1">
        <v>44.4</v>
      </c>
      <c r="H16" s="1">
        <v>15.2</v>
      </c>
      <c r="I16" s="1">
        <v>246.7</v>
      </c>
      <c r="J16" s="1">
        <v>3.63</v>
      </c>
      <c r="K16" s="1">
        <v>9.2100000000000009</v>
      </c>
      <c r="L16" s="1">
        <v>15</v>
      </c>
      <c r="M16" s="1">
        <v>158</v>
      </c>
      <c r="N16" s="1">
        <v>60</v>
      </c>
      <c r="O16" s="1">
        <v>1.94</v>
      </c>
      <c r="P16" s="1">
        <v>6.86</v>
      </c>
      <c r="Q16" s="1">
        <v>78870</v>
      </c>
      <c r="R16" s="1">
        <v>24630</v>
      </c>
      <c r="S16" s="1">
        <v>14.8</v>
      </c>
      <c r="T16" s="1">
        <v>8.27</v>
      </c>
      <c r="U16" s="1">
        <v>4318</v>
      </c>
      <c r="V16" s="1">
        <v>1529</v>
      </c>
      <c r="W16" s="1">
        <v>5105</v>
      </c>
      <c r="X16" s="1">
        <v>2342</v>
      </c>
      <c r="Y16" s="1">
        <v>0.85499999999999998</v>
      </c>
      <c r="Z16" s="1">
        <v>7.65</v>
      </c>
      <c r="AA16" s="1">
        <v>6.35</v>
      </c>
      <c r="AB16" s="1">
        <v>2034</v>
      </c>
      <c r="AC16" s="1">
        <v>360</v>
      </c>
      <c r="AM16" t="s">
        <v>227</v>
      </c>
      <c r="AN16" t="s">
        <v>260</v>
      </c>
    </row>
    <row r="17" spans="1:40" ht="22" customHeight="1">
      <c r="A17" s="1" t="s">
        <v>216</v>
      </c>
      <c r="B17" s="1" t="s">
        <v>229</v>
      </c>
      <c r="C17" s="1">
        <v>240</v>
      </c>
      <c r="D17" s="1">
        <v>352.5</v>
      </c>
      <c r="E17" s="1">
        <v>318.39999999999998</v>
      </c>
      <c r="F17" s="1">
        <v>23</v>
      </c>
      <c r="G17" s="1">
        <v>37.700000000000003</v>
      </c>
      <c r="H17" s="1">
        <v>15.2</v>
      </c>
      <c r="I17" s="1">
        <v>246.7</v>
      </c>
      <c r="J17" s="1">
        <v>4.22</v>
      </c>
      <c r="K17" s="1">
        <v>10.73</v>
      </c>
      <c r="L17" s="1">
        <v>14</v>
      </c>
      <c r="M17" s="1">
        <v>158</v>
      </c>
      <c r="N17" s="1">
        <v>54</v>
      </c>
      <c r="O17" s="1">
        <v>1.91</v>
      </c>
      <c r="P17" s="1">
        <v>7.94</v>
      </c>
      <c r="Q17" s="1">
        <v>64200</v>
      </c>
      <c r="R17" s="1">
        <v>20310</v>
      </c>
      <c r="S17" s="1">
        <v>14.5</v>
      </c>
      <c r="T17" s="1">
        <v>8.15</v>
      </c>
      <c r="U17" s="1">
        <v>3643</v>
      </c>
      <c r="V17" s="1">
        <v>1276</v>
      </c>
      <c r="W17" s="1">
        <v>4247</v>
      </c>
      <c r="X17" s="1">
        <v>1951</v>
      </c>
      <c r="Y17" s="1">
        <v>0.85399999999999998</v>
      </c>
      <c r="Z17" s="1">
        <v>8.74</v>
      </c>
      <c r="AA17" s="1">
        <v>5.03</v>
      </c>
      <c r="AB17" s="1">
        <v>1271</v>
      </c>
      <c r="AC17" s="1">
        <v>306</v>
      </c>
      <c r="AM17" t="s">
        <v>228</v>
      </c>
      <c r="AN17" t="s">
        <v>261</v>
      </c>
    </row>
    <row r="18" spans="1:40" ht="22" customHeight="1">
      <c r="A18" s="1" t="s">
        <v>216</v>
      </c>
      <c r="B18" s="1" t="s">
        <v>230</v>
      </c>
      <c r="C18" s="1">
        <v>198.1</v>
      </c>
      <c r="D18" s="1">
        <v>339.9</v>
      </c>
      <c r="E18" s="1">
        <v>314.5</v>
      </c>
      <c r="F18" s="1">
        <v>19.100000000000001</v>
      </c>
      <c r="G18" s="1">
        <v>31.4</v>
      </c>
      <c r="H18" s="1">
        <v>15.2</v>
      </c>
      <c r="I18" s="1">
        <v>246.7</v>
      </c>
      <c r="J18" s="1">
        <v>5.01</v>
      </c>
      <c r="K18" s="1">
        <v>12.92</v>
      </c>
      <c r="L18" s="1">
        <v>12</v>
      </c>
      <c r="M18" s="1">
        <v>158</v>
      </c>
      <c r="N18" s="1">
        <v>48</v>
      </c>
      <c r="O18" s="1">
        <v>1.87</v>
      </c>
      <c r="P18" s="1">
        <v>9.4600000000000009</v>
      </c>
      <c r="Q18" s="1">
        <v>50900</v>
      </c>
      <c r="R18" s="1">
        <v>16300</v>
      </c>
      <c r="S18" s="1">
        <v>14.2</v>
      </c>
      <c r="T18" s="1">
        <v>8.0399999999999991</v>
      </c>
      <c r="U18" s="1">
        <v>2995</v>
      </c>
      <c r="V18" s="1">
        <v>1037</v>
      </c>
      <c r="W18" s="1">
        <v>3440</v>
      </c>
      <c r="X18" s="1">
        <v>1581</v>
      </c>
      <c r="Y18" s="1">
        <v>0.85399999999999998</v>
      </c>
      <c r="Z18" s="1">
        <v>10.199999999999999</v>
      </c>
      <c r="AA18" s="1">
        <v>3.88</v>
      </c>
      <c r="AB18" s="1">
        <v>734</v>
      </c>
      <c r="AC18" s="1">
        <v>252</v>
      </c>
      <c r="AM18" t="s">
        <v>229</v>
      </c>
      <c r="AN18" t="s">
        <v>262</v>
      </c>
    </row>
    <row r="19" spans="1:40" ht="22" customHeight="1">
      <c r="A19" s="1" t="s">
        <v>216</v>
      </c>
      <c r="B19" s="1" t="s">
        <v>231</v>
      </c>
      <c r="C19" s="1">
        <v>158.1</v>
      </c>
      <c r="D19" s="1">
        <v>327.10000000000002</v>
      </c>
      <c r="E19" s="1">
        <v>311.2</v>
      </c>
      <c r="F19" s="1">
        <v>15.8</v>
      </c>
      <c r="G19" s="1">
        <v>25</v>
      </c>
      <c r="H19" s="1">
        <v>15.2</v>
      </c>
      <c r="I19" s="1">
        <v>246.7</v>
      </c>
      <c r="J19" s="1">
        <v>6.22</v>
      </c>
      <c r="K19" s="1">
        <v>15.61</v>
      </c>
      <c r="L19" s="1">
        <v>10</v>
      </c>
      <c r="M19" s="1">
        <v>158</v>
      </c>
      <c r="N19" s="1">
        <v>42</v>
      </c>
      <c r="O19" s="1">
        <v>1.84</v>
      </c>
      <c r="P19" s="1">
        <v>11.6</v>
      </c>
      <c r="Q19" s="1">
        <v>38750</v>
      </c>
      <c r="R19" s="1">
        <v>12570</v>
      </c>
      <c r="S19" s="1">
        <v>13.9</v>
      </c>
      <c r="T19" s="1">
        <v>7.9</v>
      </c>
      <c r="U19" s="1">
        <v>2369</v>
      </c>
      <c r="V19" s="1">
        <v>808</v>
      </c>
      <c r="W19" s="1">
        <v>2680</v>
      </c>
      <c r="X19" s="1">
        <v>1230</v>
      </c>
      <c r="Y19" s="1">
        <v>0.85099999999999998</v>
      </c>
      <c r="Z19" s="1">
        <v>12.5</v>
      </c>
      <c r="AA19" s="1">
        <v>2.87</v>
      </c>
      <c r="AB19" s="1">
        <v>378</v>
      </c>
      <c r="AC19" s="1">
        <v>201</v>
      </c>
      <c r="AM19" t="s">
        <v>230</v>
      </c>
      <c r="AN19" t="s">
        <v>263</v>
      </c>
    </row>
    <row r="20" spans="1:40" ht="22" customHeight="1">
      <c r="A20" s="1" t="s">
        <v>216</v>
      </c>
      <c r="B20" s="1" t="s">
        <v>232</v>
      </c>
      <c r="C20" s="1">
        <v>136.9</v>
      </c>
      <c r="D20" s="1">
        <v>320.5</v>
      </c>
      <c r="E20" s="1">
        <v>309.2</v>
      </c>
      <c r="F20" s="1">
        <v>13.8</v>
      </c>
      <c r="G20" s="1">
        <v>21.7</v>
      </c>
      <c r="H20" s="1">
        <v>15.2</v>
      </c>
      <c r="I20" s="1">
        <v>246.7</v>
      </c>
      <c r="J20" s="1">
        <v>7.12</v>
      </c>
      <c r="K20" s="1">
        <v>17.88</v>
      </c>
      <c r="L20" s="1">
        <v>9</v>
      </c>
      <c r="M20" s="1">
        <v>158</v>
      </c>
      <c r="N20" s="1">
        <v>38</v>
      </c>
      <c r="O20" s="1">
        <v>1.82</v>
      </c>
      <c r="P20" s="1">
        <v>13.3</v>
      </c>
      <c r="Q20" s="1">
        <v>32810</v>
      </c>
      <c r="R20" s="1">
        <v>10700</v>
      </c>
      <c r="S20" s="1">
        <v>13.7</v>
      </c>
      <c r="T20" s="1">
        <v>7.83</v>
      </c>
      <c r="U20" s="1">
        <v>2048</v>
      </c>
      <c r="V20" s="1">
        <v>692</v>
      </c>
      <c r="W20" s="1">
        <v>2297</v>
      </c>
      <c r="X20" s="1">
        <v>1053</v>
      </c>
      <c r="Y20" s="1">
        <v>0.85099999999999998</v>
      </c>
      <c r="Z20" s="1">
        <v>14.2</v>
      </c>
      <c r="AA20" s="1">
        <v>2.39</v>
      </c>
      <c r="AB20" s="1">
        <v>249</v>
      </c>
      <c r="AC20" s="1">
        <v>174</v>
      </c>
      <c r="AM20" t="s">
        <v>231</v>
      </c>
      <c r="AN20" t="s">
        <v>264</v>
      </c>
    </row>
    <row r="21" spans="1:40" ht="22" customHeight="1">
      <c r="A21" s="1" t="s">
        <v>216</v>
      </c>
      <c r="B21" s="1" t="s">
        <v>233</v>
      </c>
      <c r="C21" s="1">
        <v>117.9</v>
      </c>
      <c r="D21" s="1">
        <v>314.5</v>
      </c>
      <c r="E21" s="1">
        <v>307.39999999999998</v>
      </c>
      <c r="F21" s="1">
        <v>12</v>
      </c>
      <c r="G21" s="1">
        <v>18.7</v>
      </c>
      <c r="H21" s="1">
        <v>15.2</v>
      </c>
      <c r="I21" s="1">
        <v>246.7</v>
      </c>
      <c r="J21" s="1">
        <v>8.2200000000000006</v>
      </c>
      <c r="K21" s="1">
        <v>20.56</v>
      </c>
      <c r="L21" s="1">
        <v>8</v>
      </c>
      <c r="M21" s="1">
        <v>158</v>
      </c>
      <c r="N21" s="1">
        <v>34</v>
      </c>
      <c r="O21" s="1">
        <v>1.81</v>
      </c>
      <c r="P21" s="1">
        <v>15.3</v>
      </c>
      <c r="Q21" s="1">
        <v>27670</v>
      </c>
      <c r="R21" s="1">
        <v>9059</v>
      </c>
      <c r="S21" s="1">
        <v>13.6</v>
      </c>
      <c r="T21" s="1">
        <v>7.77</v>
      </c>
      <c r="U21" s="1">
        <v>1760</v>
      </c>
      <c r="V21" s="1">
        <v>589</v>
      </c>
      <c r="W21" s="1">
        <v>1958</v>
      </c>
      <c r="X21" s="1">
        <v>895</v>
      </c>
      <c r="Y21" s="1">
        <v>0.85</v>
      </c>
      <c r="Z21" s="1">
        <v>16.2</v>
      </c>
      <c r="AA21" s="1">
        <v>1.98</v>
      </c>
      <c r="AB21" s="1">
        <v>161</v>
      </c>
      <c r="AC21" s="1">
        <v>150</v>
      </c>
      <c r="AM21" t="s">
        <v>232</v>
      </c>
      <c r="AN21" t="s">
        <v>265</v>
      </c>
    </row>
    <row r="22" spans="1:40" ht="22" customHeight="1">
      <c r="A22" s="1" t="s">
        <v>216</v>
      </c>
      <c r="B22" s="1" t="s">
        <v>234</v>
      </c>
      <c r="C22" s="1">
        <v>96.9</v>
      </c>
      <c r="D22" s="1">
        <v>307.89999999999998</v>
      </c>
      <c r="E22" s="1">
        <v>305.3</v>
      </c>
      <c r="F22" s="1">
        <v>9.9</v>
      </c>
      <c r="G22" s="1">
        <v>15.4</v>
      </c>
      <c r="H22" s="1">
        <v>15.2</v>
      </c>
      <c r="I22" s="1">
        <v>246.7</v>
      </c>
      <c r="J22" s="1">
        <v>9.91</v>
      </c>
      <c r="K22" s="1">
        <v>24.92</v>
      </c>
      <c r="L22" s="1">
        <v>7</v>
      </c>
      <c r="M22" s="1">
        <v>158</v>
      </c>
      <c r="N22" s="1">
        <v>32</v>
      </c>
      <c r="O22" s="1">
        <v>1.79</v>
      </c>
      <c r="P22" s="1">
        <v>18.5</v>
      </c>
      <c r="Q22" s="1">
        <v>22250</v>
      </c>
      <c r="R22" s="1">
        <v>7308</v>
      </c>
      <c r="S22" s="1">
        <v>13.4</v>
      </c>
      <c r="T22" s="1">
        <v>7.69</v>
      </c>
      <c r="U22" s="1">
        <v>1445</v>
      </c>
      <c r="V22" s="1">
        <v>479</v>
      </c>
      <c r="W22" s="1">
        <v>1592</v>
      </c>
      <c r="X22" s="1">
        <v>726</v>
      </c>
      <c r="Y22" s="1">
        <v>0.85</v>
      </c>
      <c r="Z22" s="1">
        <v>19.3</v>
      </c>
      <c r="AA22" s="1">
        <v>1.56</v>
      </c>
      <c r="AB22" s="1">
        <v>91.2</v>
      </c>
      <c r="AC22" s="1">
        <v>123</v>
      </c>
      <c r="AM22" t="s">
        <v>233</v>
      </c>
      <c r="AN22" t="s">
        <v>266</v>
      </c>
    </row>
    <row r="23" spans="1:40" ht="22" customHeight="1">
      <c r="A23" s="1" t="s">
        <v>216</v>
      </c>
      <c r="B23" s="1" t="s">
        <v>235</v>
      </c>
      <c r="C23" s="1">
        <v>167.1</v>
      </c>
      <c r="D23" s="1">
        <v>289.10000000000002</v>
      </c>
      <c r="E23" s="1">
        <v>265.2</v>
      </c>
      <c r="F23" s="1">
        <v>19.2</v>
      </c>
      <c r="G23" s="1">
        <v>31.7</v>
      </c>
      <c r="H23" s="1">
        <v>12.7</v>
      </c>
      <c r="I23" s="1">
        <v>200.3</v>
      </c>
      <c r="J23" s="1">
        <v>4.18</v>
      </c>
      <c r="K23" s="1">
        <v>10.43</v>
      </c>
      <c r="L23" s="1">
        <v>12</v>
      </c>
      <c r="M23" s="1">
        <v>134</v>
      </c>
      <c r="N23" s="1">
        <v>46</v>
      </c>
      <c r="O23" s="1">
        <v>1.58</v>
      </c>
      <c r="P23" s="1">
        <v>9.4499999999999993</v>
      </c>
      <c r="Q23" s="1">
        <v>30000</v>
      </c>
      <c r="R23" s="1">
        <v>9870</v>
      </c>
      <c r="S23" s="1">
        <v>11.9</v>
      </c>
      <c r="T23" s="1">
        <v>6.81</v>
      </c>
      <c r="U23" s="1">
        <v>2075</v>
      </c>
      <c r="V23" s="1">
        <v>744</v>
      </c>
      <c r="W23" s="1">
        <v>2424</v>
      </c>
      <c r="X23" s="1">
        <v>1137</v>
      </c>
      <c r="Y23" s="1">
        <v>0.85099999999999998</v>
      </c>
      <c r="Z23" s="1">
        <v>8.49</v>
      </c>
      <c r="AA23" s="1">
        <v>1.63</v>
      </c>
      <c r="AB23" s="1">
        <v>626</v>
      </c>
      <c r="AC23" s="1">
        <v>213</v>
      </c>
      <c r="AM23" t="s">
        <v>234</v>
      </c>
      <c r="AN23" t="s">
        <v>267</v>
      </c>
    </row>
    <row r="24" spans="1:40" ht="22" customHeight="1">
      <c r="A24" s="1" t="s">
        <v>216</v>
      </c>
      <c r="B24" s="1" t="s">
        <v>236</v>
      </c>
      <c r="C24" s="1">
        <v>132</v>
      </c>
      <c r="D24" s="1">
        <v>276.3</v>
      </c>
      <c r="E24" s="1">
        <v>261.3</v>
      </c>
      <c r="F24" s="1">
        <v>15.3</v>
      </c>
      <c r="G24" s="1">
        <v>25.3</v>
      </c>
      <c r="H24" s="1">
        <v>12.7</v>
      </c>
      <c r="I24" s="1">
        <v>200.3</v>
      </c>
      <c r="J24" s="1">
        <v>5.16</v>
      </c>
      <c r="K24" s="1">
        <v>13.09</v>
      </c>
      <c r="L24" s="1">
        <v>10</v>
      </c>
      <c r="M24" s="1">
        <v>134</v>
      </c>
      <c r="N24" s="1">
        <v>38</v>
      </c>
      <c r="O24" s="1">
        <v>1.55</v>
      </c>
      <c r="P24" s="1">
        <v>11.7</v>
      </c>
      <c r="Q24" s="1">
        <v>22530</v>
      </c>
      <c r="R24" s="1">
        <v>7531</v>
      </c>
      <c r="S24" s="1">
        <v>11.6</v>
      </c>
      <c r="T24" s="1">
        <v>6.69</v>
      </c>
      <c r="U24" s="1">
        <v>1631</v>
      </c>
      <c r="V24" s="1">
        <v>576</v>
      </c>
      <c r="W24" s="1">
        <v>1869</v>
      </c>
      <c r="X24" s="1">
        <v>878</v>
      </c>
      <c r="Y24" s="1">
        <v>0.85</v>
      </c>
      <c r="Z24" s="1">
        <v>10.3</v>
      </c>
      <c r="AA24" s="1">
        <v>1.19</v>
      </c>
      <c r="AB24" s="1">
        <v>319</v>
      </c>
      <c r="AC24" s="1">
        <v>168</v>
      </c>
      <c r="AM24" t="s">
        <v>235</v>
      </c>
      <c r="AN24" t="s">
        <v>268</v>
      </c>
    </row>
    <row r="25" spans="1:40" ht="22" customHeight="1">
      <c r="A25" s="1" t="s">
        <v>216</v>
      </c>
      <c r="B25" s="1" t="s">
        <v>237</v>
      </c>
      <c r="C25" s="1">
        <v>107.1</v>
      </c>
      <c r="D25" s="1">
        <v>266.7</v>
      </c>
      <c r="E25" s="1">
        <v>258.8</v>
      </c>
      <c r="F25" s="1">
        <v>12.8</v>
      </c>
      <c r="G25" s="1">
        <v>20.5</v>
      </c>
      <c r="H25" s="1">
        <v>12.7</v>
      </c>
      <c r="I25" s="1">
        <v>200.3</v>
      </c>
      <c r="J25" s="1">
        <v>6.31</v>
      </c>
      <c r="K25" s="1">
        <v>15.65</v>
      </c>
      <c r="L25" s="1">
        <v>8</v>
      </c>
      <c r="M25" s="1">
        <v>134</v>
      </c>
      <c r="N25" s="1">
        <v>34</v>
      </c>
      <c r="O25" s="1">
        <v>1.52</v>
      </c>
      <c r="P25" s="1">
        <v>14.2</v>
      </c>
      <c r="Q25" s="1">
        <v>17510</v>
      </c>
      <c r="R25" s="1">
        <v>5928</v>
      </c>
      <c r="S25" s="1">
        <v>11.3</v>
      </c>
      <c r="T25" s="1">
        <v>6.59</v>
      </c>
      <c r="U25" s="1">
        <v>1313</v>
      </c>
      <c r="V25" s="1">
        <v>458</v>
      </c>
      <c r="W25" s="1">
        <v>1484</v>
      </c>
      <c r="X25" s="1">
        <v>697</v>
      </c>
      <c r="Y25" s="1">
        <v>0.84799999999999998</v>
      </c>
      <c r="Z25" s="1">
        <v>12.4</v>
      </c>
      <c r="AA25" s="1">
        <v>0.89800000000000002</v>
      </c>
      <c r="AB25" s="1">
        <v>172</v>
      </c>
      <c r="AC25" s="1">
        <v>136</v>
      </c>
      <c r="AM25" t="s">
        <v>236</v>
      </c>
      <c r="AN25" t="s">
        <v>269</v>
      </c>
    </row>
    <row r="26" spans="1:40" ht="22" customHeight="1">
      <c r="A26" s="1" t="s">
        <v>216</v>
      </c>
      <c r="B26" s="1" t="s">
        <v>238</v>
      </c>
      <c r="C26" s="1">
        <v>88.9</v>
      </c>
      <c r="D26" s="1">
        <v>260.3</v>
      </c>
      <c r="E26" s="1">
        <v>256.3</v>
      </c>
      <c r="F26" s="1">
        <v>10.3</v>
      </c>
      <c r="G26" s="1">
        <v>17.3</v>
      </c>
      <c r="H26" s="1">
        <v>12.7</v>
      </c>
      <c r="I26" s="1">
        <v>200.3</v>
      </c>
      <c r="J26" s="1">
        <v>7.41</v>
      </c>
      <c r="K26" s="1">
        <v>19.45</v>
      </c>
      <c r="L26" s="1">
        <v>7</v>
      </c>
      <c r="M26" s="1">
        <v>134</v>
      </c>
      <c r="N26" s="1">
        <v>30</v>
      </c>
      <c r="O26" s="1">
        <v>1.5</v>
      </c>
      <c r="P26" s="1">
        <v>16.899999999999999</v>
      </c>
      <c r="Q26" s="1">
        <v>14270</v>
      </c>
      <c r="R26" s="1">
        <v>4857</v>
      </c>
      <c r="S26" s="1">
        <v>11.2</v>
      </c>
      <c r="T26" s="1">
        <v>6.55</v>
      </c>
      <c r="U26" s="1">
        <v>1096</v>
      </c>
      <c r="V26" s="1">
        <v>379</v>
      </c>
      <c r="W26" s="1">
        <v>1224</v>
      </c>
      <c r="X26" s="1">
        <v>575</v>
      </c>
      <c r="Y26" s="1">
        <v>0.85</v>
      </c>
      <c r="Z26" s="1">
        <v>14.5</v>
      </c>
      <c r="AA26" s="1">
        <v>0.71699999999999997</v>
      </c>
      <c r="AB26" s="1">
        <v>102</v>
      </c>
      <c r="AC26" s="1">
        <v>113</v>
      </c>
      <c r="AM26" t="s">
        <v>237</v>
      </c>
      <c r="AN26" t="s">
        <v>270</v>
      </c>
    </row>
    <row r="27" spans="1:40" ht="22" customHeight="1">
      <c r="A27" s="1" t="s">
        <v>216</v>
      </c>
      <c r="B27" s="1" t="s">
        <v>239</v>
      </c>
      <c r="C27" s="1">
        <v>73.099999999999994</v>
      </c>
      <c r="D27" s="1">
        <v>254.1</v>
      </c>
      <c r="E27" s="1">
        <v>254.6</v>
      </c>
      <c r="F27" s="1">
        <v>8.6</v>
      </c>
      <c r="G27" s="1">
        <v>14.2</v>
      </c>
      <c r="H27" s="1">
        <v>12.7</v>
      </c>
      <c r="I27" s="1">
        <v>200.3</v>
      </c>
      <c r="J27" s="1">
        <v>8.9600000000000009</v>
      </c>
      <c r="K27" s="1">
        <v>23.29</v>
      </c>
      <c r="L27" s="1">
        <v>6</v>
      </c>
      <c r="M27" s="1">
        <v>134</v>
      </c>
      <c r="N27" s="1">
        <v>28</v>
      </c>
      <c r="O27" s="1">
        <v>1.49</v>
      </c>
      <c r="P27" s="1">
        <v>20.399999999999999</v>
      </c>
      <c r="Q27" s="1">
        <v>11410</v>
      </c>
      <c r="R27" s="1">
        <v>3908</v>
      </c>
      <c r="S27" s="1">
        <v>11.1</v>
      </c>
      <c r="T27" s="1">
        <v>6.48</v>
      </c>
      <c r="U27" s="1">
        <v>898</v>
      </c>
      <c r="V27" s="1">
        <v>307</v>
      </c>
      <c r="W27" s="1">
        <v>992</v>
      </c>
      <c r="X27" s="1">
        <v>465</v>
      </c>
      <c r="Y27" s="1">
        <v>0.84899999999999998</v>
      </c>
      <c r="Z27" s="1">
        <v>17.3</v>
      </c>
      <c r="AA27" s="1">
        <v>0.56200000000000006</v>
      </c>
      <c r="AB27" s="1">
        <v>57.6</v>
      </c>
      <c r="AC27" s="1">
        <v>93.1</v>
      </c>
      <c r="AM27" t="s">
        <v>238</v>
      </c>
      <c r="AN27" t="s">
        <v>271</v>
      </c>
    </row>
    <row r="28" spans="1:40" ht="22" customHeight="1">
      <c r="A28" s="1" t="s">
        <v>216</v>
      </c>
      <c r="B28" s="1" t="s">
        <v>240</v>
      </c>
      <c r="C28" s="1">
        <v>86.1</v>
      </c>
      <c r="D28" s="1">
        <v>222.2</v>
      </c>
      <c r="E28" s="1">
        <v>209.1</v>
      </c>
      <c r="F28" s="1">
        <v>12.7</v>
      </c>
      <c r="G28" s="1">
        <v>20.5</v>
      </c>
      <c r="H28" s="1">
        <v>10.199999999999999</v>
      </c>
      <c r="I28" s="1">
        <v>160.80000000000001</v>
      </c>
      <c r="J28" s="1">
        <v>5.0999999999999996</v>
      </c>
      <c r="K28" s="1">
        <v>12.66</v>
      </c>
      <c r="L28" s="1">
        <v>8</v>
      </c>
      <c r="M28" s="1">
        <v>110</v>
      </c>
      <c r="N28" s="1">
        <v>32</v>
      </c>
      <c r="O28" s="1">
        <v>1.24</v>
      </c>
      <c r="P28" s="1">
        <v>14.4</v>
      </c>
      <c r="Q28" s="1">
        <v>9449</v>
      </c>
      <c r="R28" s="1">
        <v>3127</v>
      </c>
      <c r="S28" s="1">
        <v>9.2799999999999994</v>
      </c>
      <c r="T28" s="1">
        <v>5.34</v>
      </c>
      <c r="U28" s="1">
        <v>850</v>
      </c>
      <c r="V28" s="1">
        <v>299</v>
      </c>
      <c r="W28" s="1">
        <v>977</v>
      </c>
      <c r="X28" s="1">
        <v>456</v>
      </c>
      <c r="Y28" s="1">
        <v>0.85</v>
      </c>
      <c r="Z28" s="1">
        <v>10.199999999999999</v>
      </c>
      <c r="AA28" s="1">
        <v>0.318</v>
      </c>
      <c r="AB28" s="1">
        <v>137</v>
      </c>
      <c r="AC28" s="1">
        <v>110</v>
      </c>
      <c r="AM28" t="s">
        <v>239</v>
      </c>
      <c r="AN28" t="s">
        <v>272</v>
      </c>
    </row>
    <row r="29" spans="1:40" ht="22" customHeight="1">
      <c r="A29" s="1" t="s">
        <v>216</v>
      </c>
      <c r="B29" s="1" t="s">
        <v>241</v>
      </c>
      <c r="C29" s="1">
        <v>71</v>
      </c>
      <c r="D29" s="1">
        <v>215.8</v>
      </c>
      <c r="E29" s="1">
        <v>206.4</v>
      </c>
      <c r="F29" s="1">
        <v>10</v>
      </c>
      <c r="G29" s="1">
        <v>17.3</v>
      </c>
      <c r="H29" s="1">
        <v>10.199999999999999</v>
      </c>
      <c r="I29" s="1">
        <v>160.80000000000001</v>
      </c>
      <c r="J29" s="1">
        <v>5.97</v>
      </c>
      <c r="K29" s="1">
        <v>16.079999999999998</v>
      </c>
      <c r="L29" s="1">
        <v>7</v>
      </c>
      <c r="M29" s="1">
        <v>110</v>
      </c>
      <c r="N29" s="1">
        <v>28</v>
      </c>
      <c r="O29" s="1">
        <v>1.22</v>
      </c>
      <c r="P29" s="1">
        <v>17.2</v>
      </c>
      <c r="Q29" s="1">
        <v>7618</v>
      </c>
      <c r="R29" s="1">
        <v>2537</v>
      </c>
      <c r="S29" s="1">
        <v>9.18</v>
      </c>
      <c r="T29" s="1">
        <v>5.3</v>
      </c>
      <c r="U29" s="1">
        <v>706</v>
      </c>
      <c r="V29" s="1">
        <v>246</v>
      </c>
      <c r="W29" s="1">
        <v>799</v>
      </c>
      <c r="X29" s="1">
        <v>374</v>
      </c>
      <c r="Y29" s="1">
        <v>0.85299999999999998</v>
      </c>
      <c r="Z29" s="1">
        <v>11.9</v>
      </c>
      <c r="AA29" s="1">
        <v>0.25</v>
      </c>
      <c r="AB29" s="1">
        <v>80.2</v>
      </c>
      <c r="AC29" s="1">
        <v>90.4</v>
      </c>
      <c r="AM29" t="s">
        <v>240</v>
      </c>
      <c r="AN29" t="s">
        <v>273</v>
      </c>
    </row>
    <row r="30" spans="1:40" ht="22" customHeight="1">
      <c r="A30" s="1" t="s">
        <v>216</v>
      </c>
      <c r="B30" s="1" t="s">
        <v>242</v>
      </c>
      <c r="C30" s="1">
        <v>60</v>
      </c>
      <c r="D30" s="1">
        <v>209.6</v>
      </c>
      <c r="E30" s="1">
        <v>205.8</v>
      </c>
      <c r="F30" s="1">
        <v>9.4</v>
      </c>
      <c r="G30" s="1">
        <v>14.2</v>
      </c>
      <c r="H30" s="1">
        <v>10.199999999999999</v>
      </c>
      <c r="I30" s="1">
        <v>160.80000000000001</v>
      </c>
      <c r="J30" s="1">
        <v>7.25</v>
      </c>
      <c r="K30" s="1">
        <v>17.11</v>
      </c>
      <c r="L30" s="1">
        <v>7</v>
      </c>
      <c r="M30" s="1">
        <v>110</v>
      </c>
      <c r="N30" s="1">
        <v>26</v>
      </c>
      <c r="O30" s="1">
        <v>1.21</v>
      </c>
      <c r="P30" s="1">
        <v>20.100000000000001</v>
      </c>
      <c r="Q30" s="1">
        <v>6125</v>
      </c>
      <c r="R30" s="1">
        <v>2065</v>
      </c>
      <c r="S30" s="1">
        <v>8.9600000000000009</v>
      </c>
      <c r="T30" s="1">
        <v>5.2</v>
      </c>
      <c r="U30" s="1">
        <v>584</v>
      </c>
      <c r="V30" s="1">
        <v>201</v>
      </c>
      <c r="W30" s="1">
        <v>656</v>
      </c>
      <c r="X30" s="1">
        <v>305</v>
      </c>
      <c r="Y30" s="1">
        <v>0.84599999999999997</v>
      </c>
      <c r="Z30" s="1">
        <v>14.1</v>
      </c>
      <c r="AA30" s="1">
        <v>0.19700000000000001</v>
      </c>
      <c r="AB30" s="1">
        <v>47.2</v>
      </c>
      <c r="AC30" s="1">
        <v>76.400000000000006</v>
      </c>
      <c r="AM30" t="s">
        <v>241</v>
      </c>
      <c r="AN30" t="s">
        <v>274</v>
      </c>
    </row>
    <row r="31" spans="1:40" ht="22" customHeight="1">
      <c r="A31" s="1" t="s">
        <v>216</v>
      </c>
      <c r="B31" s="1" t="s">
        <v>243</v>
      </c>
      <c r="C31" s="1">
        <v>52</v>
      </c>
      <c r="D31" s="1">
        <v>206.2</v>
      </c>
      <c r="E31" s="1">
        <v>204.3</v>
      </c>
      <c r="F31" s="1">
        <v>7.9</v>
      </c>
      <c r="G31" s="1">
        <v>12.5</v>
      </c>
      <c r="H31" s="1">
        <v>10.199999999999999</v>
      </c>
      <c r="I31" s="1">
        <v>160.80000000000001</v>
      </c>
      <c r="J31" s="1">
        <v>8.17</v>
      </c>
      <c r="K31" s="1">
        <v>20.350000000000001</v>
      </c>
      <c r="L31" s="1">
        <v>6</v>
      </c>
      <c r="M31" s="1">
        <v>110</v>
      </c>
      <c r="N31" s="1">
        <v>24</v>
      </c>
      <c r="O31" s="1">
        <v>1.2</v>
      </c>
      <c r="P31" s="1">
        <v>23</v>
      </c>
      <c r="Q31" s="1">
        <v>5259</v>
      </c>
      <c r="R31" s="1">
        <v>1778</v>
      </c>
      <c r="S31" s="1">
        <v>8.91</v>
      </c>
      <c r="T31" s="1">
        <v>5.18</v>
      </c>
      <c r="U31" s="1">
        <v>510</v>
      </c>
      <c r="V31" s="1">
        <v>174</v>
      </c>
      <c r="W31" s="1">
        <v>567</v>
      </c>
      <c r="X31" s="1">
        <v>264</v>
      </c>
      <c r="Y31" s="1">
        <v>0.84799999999999998</v>
      </c>
      <c r="Z31" s="1">
        <v>15.8</v>
      </c>
      <c r="AA31" s="1">
        <v>0.16700000000000001</v>
      </c>
      <c r="AB31" s="1">
        <v>31.8</v>
      </c>
      <c r="AC31" s="1">
        <v>66.3</v>
      </c>
      <c r="AM31" t="s">
        <v>242</v>
      </c>
      <c r="AN31" t="s">
        <v>275</v>
      </c>
    </row>
    <row r="32" spans="1:40" ht="22" customHeight="1">
      <c r="A32" s="1" t="s">
        <v>216</v>
      </c>
      <c r="B32" s="1" t="s">
        <v>244</v>
      </c>
      <c r="C32" s="1">
        <v>46.1</v>
      </c>
      <c r="D32" s="1">
        <v>203.2</v>
      </c>
      <c r="E32" s="1">
        <v>203.6</v>
      </c>
      <c r="F32" s="1">
        <v>7.2</v>
      </c>
      <c r="G32" s="1">
        <v>11</v>
      </c>
      <c r="H32" s="1">
        <v>10.199999999999999</v>
      </c>
      <c r="I32" s="1">
        <v>160.80000000000001</v>
      </c>
      <c r="J32" s="1">
        <v>9.25</v>
      </c>
      <c r="K32" s="1">
        <v>22.33</v>
      </c>
      <c r="L32" s="1">
        <v>6</v>
      </c>
      <c r="M32" s="1">
        <v>110</v>
      </c>
      <c r="N32" s="1">
        <v>22</v>
      </c>
      <c r="O32" s="1">
        <v>1.19</v>
      </c>
      <c r="P32" s="1">
        <v>25.8</v>
      </c>
      <c r="Q32" s="1">
        <v>4568</v>
      </c>
      <c r="R32" s="1">
        <v>1548</v>
      </c>
      <c r="S32" s="1">
        <v>8.82</v>
      </c>
      <c r="T32" s="1">
        <v>5.13</v>
      </c>
      <c r="U32" s="1">
        <v>450</v>
      </c>
      <c r="V32" s="1">
        <v>152</v>
      </c>
      <c r="W32" s="1">
        <v>497</v>
      </c>
      <c r="X32" s="1">
        <v>231</v>
      </c>
      <c r="Y32" s="1">
        <v>0.84699999999999998</v>
      </c>
      <c r="Z32" s="1">
        <v>17.7</v>
      </c>
      <c r="AA32" s="1">
        <v>0.14299999999999999</v>
      </c>
      <c r="AB32" s="1">
        <v>22.2</v>
      </c>
      <c r="AC32" s="1">
        <v>58.7</v>
      </c>
      <c r="AM32" t="s">
        <v>243</v>
      </c>
      <c r="AN32" t="s">
        <v>276</v>
      </c>
    </row>
    <row r="33" spans="1:40" ht="22" customHeight="1">
      <c r="A33" s="1" t="s">
        <v>216</v>
      </c>
      <c r="B33" s="1" t="s">
        <v>245</v>
      </c>
      <c r="C33" s="1">
        <v>37</v>
      </c>
      <c r="D33" s="1">
        <v>161.80000000000001</v>
      </c>
      <c r="E33" s="1">
        <v>154.4</v>
      </c>
      <c r="F33" s="1">
        <v>8</v>
      </c>
      <c r="G33" s="1">
        <v>11.5</v>
      </c>
      <c r="H33" s="1">
        <v>7.6</v>
      </c>
      <c r="I33" s="1">
        <v>123.6</v>
      </c>
      <c r="J33" s="1">
        <v>6.71</v>
      </c>
      <c r="K33" s="1">
        <v>15.45</v>
      </c>
      <c r="L33" s="1">
        <v>6</v>
      </c>
      <c r="M33" s="1">
        <v>84</v>
      </c>
      <c r="N33" s="1">
        <v>20</v>
      </c>
      <c r="O33" s="1">
        <v>0.91200000000000003</v>
      </c>
      <c r="P33" s="1">
        <v>24.7</v>
      </c>
      <c r="Q33" s="1">
        <v>2210</v>
      </c>
      <c r="R33" s="1">
        <v>706</v>
      </c>
      <c r="S33" s="1">
        <v>6.85</v>
      </c>
      <c r="T33" s="1">
        <v>3.87</v>
      </c>
      <c r="U33" s="1">
        <v>273</v>
      </c>
      <c r="V33" s="1">
        <v>91.5</v>
      </c>
      <c r="W33" s="1">
        <v>309</v>
      </c>
      <c r="X33" s="1">
        <v>140</v>
      </c>
      <c r="Y33" s="1">
        <v>0.84799999999999998</v>
      </c>
      <c r="Z33" s="1">
        <v>13.3</v>
      </c>
      <c r="AA33" s="1">
        <v>3.9899999999999998E-2</v>
      </c>
      <c r="AB33" s="1">
        <v>19.2</v>
      </c>
      <c r="AC33" s="1">
        <v>47.1</v>
      </c>
      <c r="AM33" t="s">
        <v>244</v>
      </c>
      <c r="AN33" t="s">
        <v>277</v>
      </c>
    </row>
    <row r="34" spans="1:40" ht="22" customHeight="1">
      <c r="A34" s="1" t="s">
        <v>216</v>
      </c>
      <c r="B34" s="1" t="s">
        <v>246</v>
      </c>
      <c r="C34" s="1">
        <v>30</v>
      </c>
      <c r="D34" s="1">
        <v>157.6</v>
      </c>
      <c r="E34" s="1">
        <v>152.9</v>
      </c>
      <c r="F34" s="1">
        <v>6.5</v>
      </c>
      <c r="G34" s="1">
        <v>9.4</v>
      </c>
      <c r="H34" s="1">
        <v>7.6</v>
      </c>
      <c r="I34" s="1">
        <v>123.6</v>
      </c>
      <c r="J34" s="1">
        <v>8.1300000000000008</v>
      </c>
      <c r="K34" s="1">
        <v>19.02</v>
      </c>
      <c r="L34" s="1">
        <v>5</v>
      </c>
      <c r="M34" s="1">
        <v>84</v>
      </c>
      <c r="N34" s="1">
        <v>18</v>
      </c>
      <c r="O34" s="1">
        <v>0.90100000000000002</v>
      </c>
      <c r="P34" s="1">
        <v>30</v>
      </c>
      <c r="Q34" s="1">
        <v>1748</v>
      </c>
      <c r="R34" s="1">
        <v>560</v>
      </c>
      <c r="S34" s="1">
        <v>6.76</v>
      </c>
      <c r="T34" s="1">
        <v>3.83</v>
      </c>
      <c r="U34" s="1">
        <v>222</v>
      </c>
      <c r="V34" s="1">
        <v>73.3</v>
      </c>
      <c r="W34" s="1">
        <v>248</v>
      </c>
      <c r="X34" s="1">
        <v>112</v>
      </c>
      <c r="Y34" s="1">
        <v>0.84899999999999998</v>
      </c>
      <c r="Z34" s="1">
        <v>16</v>
      </c>
      <c r="AA34" s="1">
        <v>3.0800000000000001E-2</v>
      </c>
      <c r="AB34" s="1">
        <v>10.5</v>
      </c>
      <c r="AC34" s="1">
        <v>38.299999999999997</v>
      </c>
      <c r="AM34" t="s">
        <v>245</v>
      </c>
      <c r="AN34" t="s">
        <v>278</v>
      </c>
    </row>
    <row r="35" spans="1:40" ht="22" customHeight="1">
      <c r="A35" s="1" t="s">
        <v>216</v>
      </c>
      <c r="B35" s="1" t="s">
        <v>247</v>
      </c>
      <c r="C35" s="1">
        <v>23</v>
      </c>
      <c r="D35" s="1">
        <v>152.4</v>
      </c>
      <c r="E35" s="1">
        <v>152.19999999999999</v>
      </c>
      <c r="F35" s="1">
        <v>5.8</v>
      </c>
      <c r="G35" s="1">
        <v>6.8</v>
      </c>
      <c r="H35" s="1">
        <v>7.6</v>
      </c>
      <c r="I35" s="1">
        <v>123.6</v>
      </c>
      <c r="J35" s="1">
        <v>11.19</v>
      </c>
      <c r="K35" s="1">
        <v>21.31</v>
      </c>
      <c r="L35" s="1">
        <v>5</v>
      </c>
      <c r="M35" s="1">
        <v>84</v>
      </c>
      <c r="N35" s="1">
        <v>16</v>
      </c>
      <c r="O35" s="1">
        <v>0.88900000000000001</v>
      </c>
      <c r="P35" s="1">
        <v>38.700000000000003</v>
      </c>
      <c r="Q35" s="1">
        <v>1250</v>
      </c>
      <c r="R35" s="1">
        <v>400</v>
      </c>
      <c r="S35" s="1">
        <v>6.54</v>
      </c>
      <c r="T35" s="1">
        <v>3.7</v>
      </c>
      <c r="U35" s="1">
        <v>164</v>
      </c>
      <c r="V35" s="1">
        <v>52.6</v>
      </c>
      <c r="W35" s="1">
        <v>182</v>
      </c>
      <c r="X35" s="1">
        <v>80.2</v>
      </c>
      <c r="Y35" s="1">
        <v>0.84</v>
      </c>
      <c r="Z35" s="1">
        <v>20.7</v>
      </c>
      <c r="AA35" s="1">
        <v>2.12E-2</v>
      </c>
      <c r="AB35" s="1">
        <v>4.63</v>
      </c>
      <c r="AC35" s="1">
        <v>29.2</v>
      </c>
      <c r="AM35" t="s">
        <v>246</v>
      </c>
      <c r="AN35" t="s">
        <v>279</v>
      </c>
    </row>
    <row r="36" spans="1:40" ht="22" customHeight="1">
      <c r="A36" s="1" t="s">
        <v>248</v>
      </c>
      <c r="B36" s="1" t="s">
        <v>249</v>
      </c>
      <c r="C36" s="1">
        <v>338</v>
      </c>
      <c r="D36" s="1">
        <v>921</v>
      </c>
      <c r="E36" s="1">
        <v>420.5</v>
      </c>
      <c r="F36" s="1">
        <v>21.4</v>
      </c>
      <c r="G36" s="1">
        <v>36.6</v>
      </c>
      <c r="H36" s="1">
        <v>24.1</v>
      </c>
      <c r="I36" s="1">
        <v>799.6</v>
      </c>
      <c r="J36" s="1">
        <v>5.74</v>
      </c>
      <c r="K36" s="1">
        <v>37.4</v>
      </c>
      <c r="L36" s="1">
        <v>13</v>
      </c>
      <c r="M36" s="1">
        <v>210</v>
      </c>
      <c r="N36" s="1">
        <v>62</v>
      </c>
      <c r="O36" s="1">
        <v>3.44</v>
      </c>
      <c r="P36" s="1">
        <v>8.8699999999999992</v>
      </c>
      <c r="Q36" s="1">
        <v>719600</v>
      </c>
      <c r="R36" s="1">
        <v>45440</v>
      </c>
      <c r="S36" s="1">
        <v>38.200000000000003</v>
      </c>
      <c r="T36" s="1">
        <v>9.59</v>
      </c>
      <c r="U36" s="1">
        <v>15630</v>
      </c>
      <c r="V36" s="1">
        <v>2161</v>
      </c>
      <c r="W36" s="1">
        <v>17670</v>
      </c>
      <c r="X36" s="1">
        <v>3341</v>
      </c>
      <c r="Y36" s="1">
        <v>0.88500000000000001</v>
      </c>
      <c r="Z36" s="1">
        <v>26.7</v>
      </c>
      <c r="AA36" s="1">
        <v>88.9</v>
      </c>
      <c r="AB36" s="1">
        <v>1734</v>
      </c>
      <c r="AC36" s="1">
        <v>494</v>
      </c>
      <c r="AM36" t="s">
        <v>247</v>
      </c>
      <c r="AN36" t="s">
        <v>280</v>
      </c>
    </row>
    <row r="37" spans="1:40" ht="22" customHeight="1">
      <c r="A37" s="1" t="s">
        <v>248</v>
      </c>
      <c r="B37" s="1" t="s">
        <v>250</v>
      </c>
      <c r="C37" s="1">
        <v>343.3</v>
      </c>
      <c r="D37" s="1">
        <v>911.8</v>
      </c>
      <c r="E37" s="1">
        <v>418.5</v>
      </c>
      <c r="F37" s="1">
        <v>19.399999999999999</v>
      </c>
      <c r="G37" s="1">
        <v>32</v>
      </c>
      <c r="H37" s="1">
        <v>24.1</v>
      </c>
      <c r="I37" s="1">
        <v>799.6</v>
      </c>
      <c r="J37" s="1">
        <v>6.54</v>
      </c>
      <c r="K37" s="1">
        <v>41.2</v>
      </c>
      <c r="L37" s="1">
        <v>12</v>
      </c>
      <c r="M37" s="1">
        <v>210</v>
      </c>
      <c r="N37" s="1">
        <v>58</v>
      </c>
      <c r="O37" s="1">
        <v>3.42</v>
      </c>
      <c r="P37" s="1">
        <v>9.9499999999999993</v>
      </c>
      <c r="Q37" s="1">
        <v>625800</v>
      </c>
      <c r="R37" s="1">
        <v>39160</v>
      </c>
      <c r="S37" s="1">
        <v>37.799999999999997</v>
      </c>
      <c r="T37" s="1">
        <v>9.4600000000000009</v>
      </c>
      <c r="U37" s="1">
        <v>13730</v>
      </c>
      <c r="V37" s="1">
        <v>1871</v>
      </c>
      <c r="W37" s="1">
        <v>15480</v>
      </c>
      <c r="X37" s="1">
        <v>2890</v>
      </c>
      <c r="Y37" s="1">
        <v>0.88300000000000001</v>
      </c>
      <c r="Z37" s="1">
        <v>30.1</v>
      </c>
      <c r="AA37" s="1">
        <v>75.8</v>
      </c>
      <c r="AB37" s="1">
        <v>1193</v>
      </c>
      <c r="AC37" s="1">
        <v>437</v>
      </c>
      <c r="AN37" t="s">
        <v>281</v>
      </c>
    </row>
    <row r="38" spans="1:40" ht="22" customHeight="1">
      <c r="A38" s="1" t="s">
        <v>248</v>
      </c>
      <c r="B38" s="1" t="s">
        <v>251</v>
      </c>
      <c r="C38" s="1">
        <v>289.10000000000002</v>
      </c>
      <c r="D38" s="1">
        <v>926.6</v>
      </c>
      <c r="E38" s="1">
        <v>307.7</v>
      </c>
      <c r="F38" s="1">
        <v>19.5</v>
      </c>
      <c r="G38" s="1">
        <v>32</v>
      </c>
      <c r="H38" s="1">
        <v>19.100000000000001</v>
      </c>
      <c r="I38" s="1">
        <v>824.4</v>
      </c>
      <c r="J38" s="1">
        <v>4.8099999999999996</v>
      </c>
      <c r="K38" s="1">
        <v>42.3</v>
      </c>
      <c r="L38" s="1">
        <v>12</v>
      </c>
      <c r="M38" s="1">
        <v>156</v>
      </c>
      <c r="N38" s="1">
        <v>52</v>
      </c>
      <c r="O38" s="1">
        <v>3.01</v>
      </c>
      <c r="P38" s="1">
        <v>10.4</v>
      </c>
      <c r="Q38" s="1">
        <v>504200</v>
      </c>
      <c r="R38" s="1">
        <v>15600</v>
      </c>
      <c r="S38" s="1">
        <v>37</v>
      </c>
      <c r="T38" s="1">
        <v>6.51</v>
      </c>
      <c r="U38" s="1">
        <v>10880</v>
      </c>
      <c r="V38" s="1">
        <v>1014</v>
      </c>
      <c r="W38" s="1">
        <v>12570</v>
      </c>
      <c r="X38" s="1">
        <v>1601</v>
      </c>
      <c r="Y38" s="1">
        <v>0.86699999999999999</v>
      </c>
      <c r="Z38" s="1">
        <v>31.9</v>
      </c>
      <c r="AA38" s="1">
        <v>31.2</v>
      </c>
      <c r="AB38" s="1">
        <v>926</v>
      </c>
      <c r="AC38" s="1">
        <v>368</v>
      </c>
      <c r="AN38" t="s">
        <v>282</v>
      </c>
    </row>
    <row r="39" spans="1:40" ht="22" customHeight="1">
      <c r="A39" s="1" t="s">
        <v>248</v>
      </c>
      <c r="B39" s="1" t="s">
        <v>252</v>
      </c>
      <c r="C39" s="1">
        <v>253.4</v>
      </c>
      <c r="D39" s="1">
        <v>918.4</v>
      </c>
      <c r="E39" s="1">
        <v>305.5</v>
      </c>
      <c r="F39" s="1">
        <v>17.3</v>
      </c>
      <c r="G39" s="1">
        <v>27.9</v>
      </c>
      <c r="H39" s="1">
        <v>19.100000000000001</v>
      </c>
      <c r="I39" s="1">
        <v>824.4</v>
      </c>
      <c r="J39" s="1">
        <v>5.47</v>
      </c>
      <c r="K39" s="1">
        <v>47.7</v>
      </c>
      <c r="L39" s="1">
        <v>11</v>
      </c>
      <c r="M39" s="1">
        <v>156</v>
      </c>
      <c r="N39" s="1">
        <v>48</v>
      </c>
      <c r="O39" s="1">
        <v>2.99</v>
      </c>
      <c r="P39" s="1">
        <v>11.8</v>
      </c>
      <c r="Q39" s="1">
        <v>436300</v>
      </c>
      <c r="R39" s="1">
        <v>13300</v>
      </c>
      <c r="S39" s="1">
        <v>36.799999999999997</v>
      </c>
      <c r="T39" s="1">
        <v>6.42</v>
      </c>
      <c r="U39" s="1">
        <v>9501</v>
      </c>
      <c r="V39" s="1">
        <v>871</v>
      </c>
      <c r="W39" s="1">
        <v>10940</v>
      </c>
      <c r="X39" s="1">
        <v>1371</v>
      </c>
      <c r="Y39" s="1">
        <v>0.86599999999999999</v>
      </c>
      <c r="Z39" s="1">
        <v>36.200000000000003</v>
      </c>
      <c r="AA39" s="1">
        <v>26.4</v>
      </c>
      <c r="AB39" s="1">
        <v>626</v>
      </c>
      <c r="AC39" s="1">
        <v>323</v>
      </c>
      <c r="AN39" t="s">
        <v>283</v>
      </c>
    </row>
    <row r="40" spans="1:40" ht="22" customHeight="1">
      <c r="A40" s="1" t="s">
        <v>248</v>
      </c>
      <c r="B40" s="1" t="s">
        <v>253</v>
      </c>
      <c r="C40" s="1">
        <v>224.2</v>
      </c>
      <c r="D40" s="1">
        <v>910.4</v>
      </c>
      <c r="E40" s="1">
        <v>304.10000000000002</v>
      </c>
      <c r="F40" s="1">
        <v>15.9</v>
      </c>
      <c r="G40" s="1">
        <v>23.9</v>
      </c>
      <c r="H40" s="1">
        <v>19.100000000000001</v>
      </c>
      <c r="I40" s="1">
        <v>824.4</v>
      </c>
      <c r="J40" s="1">
        <v>6.36</v>
      </c>
      <c r="K40" s="1">
        <v>51.8</v>
      </c>
      <c r="L40" s="1">
        <v>10</v>
      </c>
      <c r="M40" s="1">
        <v>156</v>
      </c>
      <c r="N40" s="1">
        <v>44</v>
      </c>
      <c r="O40" s="1">
        <v>2.97</v>
      </c>
      <c r="P40" s="1">
        <v>13.3</v>
      </c>
      <c r="Q40" s="1">
        <v>376400</v>
      </c>
      <c r="R40" s="1">
        <v>11240</v>
      </c>
      <c r="S40" s="1">
        <v>36.299999999999997</v>
      </c>
      <c r="T40" s="1">
        <v>6.27</v>
      </c>
      <c r="U40" s="1">
        <v>8269</v>
      </c>
      <c r="V40" s="1">
        <v>739</v>
      </c>
      <c r="W40" s="1">
        <v>9535</v>
      </c>
      <c r="X40" s="1">
        <v>1163</v>
      </c>
      <c r="Y40" s="1">
        <v>0.86099999999999999</v>
      </c>
      <c r="Z40" s="1">
        <v>41.3</v>
      </c>
      <c r="AA40" s="1">
        <v>22.1</v>
      </c>
      <c r="AB40" s="1">
        <v>422</v>
      </c>
      <c r="AC40" s="1">
        <v>286</v>
      </c>
      <c r="AN40" t="s">
        <v>284</v>
      </c>
    </row>
    <row r="41" spans="1:40" ht="22" customHeight="1">
      <c r="A41" s="1" t="s">
        <v>248</v>
      </c>
      <c r="B41" s="1" t="s">
        <v>254</v>
      </c>
      <c r="C41" s="1">
        <v>200.9</v>
      </c>
      <c r="D41" s="1">
        <v>903</v>
      </c>
      <c r="E41" s="1">
        <v>303.3</v>
      </c>
      <c r="F41" s="1">
        <v>15.1</v>
      </c>
      <c r="G41" s="1">
        <v>20.2</v>
      </c>
      <c r="H41" s="1">
        <v>19.100000000000001</v>
      </c>
      <c r="I41" s="1">
        <v>824.4</v>
      </c>
      <c r="J41" s="1">
        <v>7.51</v>
      </c>
      <c r="K41" s="1">
        <v>54.6</v>
      </c>
      <c r="L41" s="1">
        <v>10</v>
      </c>
      <c r="M41" s="1">
        <v>156</v>
      </c>
      <c r="N41" s="1">
        <v>40</v>
      </c>
      <c r="O41" s="1">
        <v>2.96</v>
      </c>
      <c r="P41" s="1" t="s">
        <v>255</v>
      </c>
      <c r="Q41" s="1">
        <v>325300</v>
      </c>
      <c r="R41" s="1">
        <v>9423</v>
      </c>
      <c r="S41" s="1">
        <v>35.700000000000003</v>
      </c>
      <c r="T41" s="1">
        <v>6.07</v>
      </c>
      <c r="U41" s="1">
        <v>7204</v>
      </c>
      <c r="V41" s="1">
        <v>621</v>
      </c>
      <c r="W41" s="1">
        <v>8351</v>
      </c>
      <c r="X41" s="1">
        <v>982</v>
      </c>
      <c r="Y41" s="1">
        <v>0.85399999999999998</v>
      </c>
      <c r="Z41" s="1">
        <v>46.8</v>
      </c>
      <c r="AA41" s="1">
        <v>18.399999999999999</v>
      </c>
      <c r="AB41" s="1">
        <v>291</v>
      </c>
      <c r="AC41" s="1">
        <v>256</v>
      </c>
      <c r="AN41" t="s">
        <v>285</v>
      </c>
    </row>
    <row r="42" spans="1:40" ht="22" customHeight="1">
      <c r="A42" s="1" t="s">
        <v>248</v>
      </c>
      <c r="B42" s="1" t="s">
        <v>256</v>
      </c>
      <c r="C42" s="1">
        <v>226.5</v>
      </c>
      <c r="D42" s="1">
        <v>850.9</v>
      </c>
      <c r="E42" s="1">
        <v>293.8</v>
      </c>
      <c r="F42" s="1">
        <v>16.100000000000001</v>
      </c>
      <c r="G42" s="1">
        <v>26.8</v>
      </c>
      <c r="H42" s="1">
        <v>17.8</v>
      </c>
      <c r="I42" s="1">
        <v>761.7</v>
      </c>
      <c r="J42" s="1">
        <v>5.48</v>
      </c>
      <c r="K42" s="1">
        <v>47.3</v>
      </c>
      <c r="L42" s="1">
        <v>10</v>
      </c>
      <c r="M42" s="1">
        <v>150</v>
      </c>
      <c r="N42" s="1">
        <v>46</v>
      </c>
      <c r="O42" s="1">
        <v>2.81</v>
      </c>
      <c r="P42" s="1">
        <v>12.4</v>
      </c>
      <c r="Q42" s="1">
        <v>339700</v>
      </c>
      <c r="R42" s="1">
        <v>11360</v>
      </c>
      <c r="S42" s="1">
        <v>34.299999999999997</v>
      </c>
      <c r="T42" s="1">
        <v>6.27</v>
      </c>
      <c r="U42" s="1">
        <v>7985</v>
      </c>
      <c r="V42" s="1">
        <v>773</v>
      </c>
      <c r="W42" s="1">
        <v>9155</v>
      </c>
      <c r="X42" s="1">
        <v>1212</v>
      </c>
      <c r="Y42" s="1">
        <v>0.87</v>
      </c>
      <c r="Z42" s="1">
        <v>35</v>
      </c>
      <c r="AA42" s="1">
        <v>19.3</v>
      </c>
      <c r="AB42" s="1">
        <v>514</v>
      </c>
      <c r="AC42" s="1">
        <v>289</v>
      </c>
      <c r="AN42" t="s">
        <v>286</v>
      </c>
    </row>
    <row r="43" spans="1:40" ht="22" customHeight="1">
      <c r="A43" s="1" t="s">
        <v>248</v>
      </c>
      <c r="B43" s="1" t="s">
        <v>257</v>
      </c>
      <c r="C43" s="1">
        <v>193.8</v>
      </c>
      <c r="D43" s="1">
        <v>840.7</v>
      </c>
      <c r="E43" s="1">
        <v>292.39999999999998</v>
      </c>
      <c r="F43" s="1">
        <v>14.7</v>
      </c>
      <c r="G43" s="1">
        <v>21.7</v>
      </c>
      <c r="H43" s="1">
        <v>17.8</v>
      </c>
      <c r="I43" s="1">
        <v>761.7</v>
      </c>
      <c r="J43" s="1">
        <v>6.74</v>
      </c>
      <c r="K43" s="1">
        <v>51.8</v>
      </c>
      <c r="L43" s="1">
        <v>9</v>
      </c>
      <c r="M43" s="1">
        <v>150</v>
      </c>
      <c r="N43" s="1">
        <v>40</v>
      </c>
      <c r="O43" s="1">
        <v>2.79</v>
      </c>
      <c r="P43" s="1">
        <v>14.4</v>
      </c>
      <c r="Q43" s="1">
        <v>279200</v>
      </c>
      <c r="R43" s="1">
        <v>9066</v>
      </c>
      <c r="S43" s="1">
        <v>33.6</v>
      </c>
      <c r="T43" s="1">
        <v>6.06</v>
      </c>
      <c r="U43" s="1">
        <v>6641</v>
      </c>
      <c r="V43" s="1">
        <v>620</v>
      </c>
      <c r="W43" s="1">
        <v>7640</v>
      </c>
      <c r="X43" s="1">
        <v>974</v>
      </c>
      <c r="Y43" s="1">
        <v>0.86199999999999999</v>
      </c>
      <c r="Z43" s="1">
        <v>41.6</v>
      </c>
      <c r="AA43" s="1">
        <v>15.2</v>
      </c>
      <c r="AB43" s="1">
        <v>306</v>
      </c>
      <c r="AC43" s="1">
        <v>247</v>
      </c>
      <c r="AN43" t="s">
        <v>287</v>
      </c>
    </row>
    <row r="44" spans="1:40" ht="22" customHeight="1">
      <c r="A44" s="1" t="s">
        <v>248</v>
      </c>
      <c r="B44" s="1" t="s">
        <v>258</v>
      </c>
      <c r="C44" s="1">
        <v>175.9</v>
      </c>
      <c r="D44" s="1">
        <v>834.9</v>
      </c>
      <c r="E44" s="1">
        <v>291.7</v>
      </c>
      <c r="F44" s="1">
        <v>14</v>
      </c>
      <c r="G44" s="1">
        <v>18.8</v>
      </c>
      <c r="H44" s="1">
        <v>17.8</v>
      </c>
      <c r="I44" s="1">
        <v>761.7</v>
      </c>
      <c r="J44" s="1">
        <v>7.76</v>
      </c>
      <c r="K44" s="1">
        <v>54.4</v>
      </c>
      <c r="L44" s="1">
        <v>9</v>
      </c>
      <c r="M44" s="1">
        <v>150</v>
      </c>
      <c r="N44" s="1">
        <v>38</v>
      </c>
      <c r="O44" s="1">
        <v>2.78</v>
      </c>
      <c r="P44" s="1">
        <v>15.8</v>
      </c>
      <c r="Q44" s="1">
        <v>246000</v>
      </c>
      <c r="R44" s="1">
        <v>7799</v>
      </c>
      <c r="S44" s="1">
        <v>33.1</v>
      </c>
      <c r="T44" s="1">
        <v>5.9</v>
      </c>
      <c r="U44" s="1">
        <v>5893</v>
      </c>
      <c r="V44" s="1">
        <v>535</v>
      </c>
      <c r="W44" s="1">
        <v>6808</v>
      </c>
      <c r="X44" s="1">
        <v>842</v>
      </c>
      <c r="Y44" s="1">
        <v>0.85599999999999998</v>
      </c>
      <c r="Z44" s="1">
        <v>46.5</v>
      </c>
      <c r="AA44" s="1">
        <v>13</v>
      </c>
      <c r="AB44" s="1">
        <v>221</v>
      </c>
      <c r="AC44" s="1">
        <v>224</v>
      </c>
      <c r="AN44" t="s">
        <v>288</v>
      </c>
    </row>
    <row r="45" spans="1:40" ht="22" customHeight="1">
      <c r="A45" s="1" t="s">
        <v>248</v>
      </c>
      <c r="B45" s="1" t="s">
        <v>259</v>
      </c>
      <c r="C45" s="1">
        <v>196.8</v>
      </c>
      <c r="D45" s="1">
        <v>769.8</v>
      </c>
      <c r="E45" s="1">
        <v>268</v>
      </c>
      <c r="F45" s="1">
        <v>15.6</v>
      </c>
      <c r="G45" s="1">
        <v>25.4</v>
      </c>
      <c r="H45" s="1">
        <v>16.5</v>
      </c>
      <c r="I45" s="1">
        <v>686</v>
      </c>
      <c r="J45" s="1">
        <v>5.28</v>
      </c>
      <c r="K45" s="1">
        <v>44</v>
      </c>
      <c r="L45" s="1">
        <v>10</v>
      </c>
      <c r="M45" s="1">
        <v>138</v>
      </c>
      <c r="N45" s="1">
        <v>42</v>
      </c>
      <c r="O45" s="1">
        <v>2.5499999999999998</v>
      </c>
      <c r="P45" s="1">
        <v>13</v>
      </c>
      <c r="Q45" s="1">
        <v>240000</v>
      </c>
      <c r="R45" s="1">
        <v>8175</v>
      </c>
      <c r="S45" s="1">
        <v>30.9</v>
      </c>
      <c r="T45" s="1">
        <v>5.71</v>
      </c>
      <c r="U45" s="1">
        <v>6234</v>
      </c>
      <c r="V45" s="1">
        <v>610</v>
      </c>
      <c r="W45" s="1">
        <v>7167</v>
      </c>
      <c r="X45" s="1">
        <v>959</v>
      </c>
      <c r="Y45" s="1">
        <v>0.86899999999999999</v>
      </c>
      <c r="Z45" s="1">
        <v>33.200000000000003</v>
      </c>
      <c r="AA45" s="1">
        <v>11.3</v>
      </c>
      <c r="AB45" s="1">
        <v>404</v>
      </c>
      <c r="AC45" s="1">
        <v>251</v>
      </c>
      <c r="AN45" t="s">
        <v>289</v>
      </c>
    </row>
    <row r="46" spans="1:40" ht="22" customHeight="1">
      <c r="A46" s="1" t="s">
        <v>248</v>
      </c>
      <c r="B46" s="1" t="s">
        <v>260</v>
      </c>
      <c r="C46" s="1">
        <v>173</v>
      </c>
      <c r="D46" s="1">
        <v>762.2</v>
      </c>
      <c r="E46" s="1">
        <v>266.7</v>
      </c>
      <c r="F46" s="1">
        <v>14.3</v>
      </c>
      <c r="G46" s="1">
        <v>21.6</v>
      </c>
      <c r="H46" s="1">
        <v>16.5</v>
      </c>
      <c r="I46" s="1">
        <v>686</v>
      </c>
      <c r="J46" s="1">
        <v>6.17</v>
      </c>
      <c r="K46" s="1">
        <v>48</v>
      </c>
      <c r="L46" s="1">
        <v>9</v>
      </c>
      <c r="M46" s="1">
        <v>138</v>
      </c>
      <c r="N46" s="1">
        <v>40</v>
      </c>
      <c r="O46" s="1">
        <v>2.5299999999999998</v>
      </c>
      <c r="P46" s="1">
        <v>14.6</v>
      </c>
      <c r="Q46" s="1">
        <v>205300</v>
      </c>
      <c r="R46" s="1">
        <v>6850</v>
      </c>
      <c r="S46" s="1">
        <v>30.5</v>
      </c>
      <c r="T46" s="1">
        <v>5.58</v>
      </c>
      <c r="U46" s="1">
        <v>5387</v>
      </c>
      <c r="V46" s="1">
        <v>514</v>
      </c>
      <c r="W46" s="1">
        <v>6198</v>
      </c>
      <c r="X46" s="1">
        <v>807</v>
      </c>
      <c r="Y46" s="1">
        <v>0.86399999999999999</v>
      </c>
      <c r="Z46" s="1">
        <v>38.1</v>
      </c>
      <c r="AA46" s="1">
        <v>9.39</v>
      </c>
      <c r="AB46" s="1">
        <v>267</v>
      </c>
      <c r="AC46" s="1">
        <v>220</v>
      </c>
      <c r="AN46" t="s">
        <v>290</v>
      </c>
    </row>
    <row r="47" spans="1:40" ht="22" customHeight="1">
      <c r="A47" s="1" t="s">
        <v>248</v>
      </c>
      <c r="B47" s="1" t="s">
        <v>261</v>
      </c>
      <c r="C47" s="1">
        <v>146.9</v>
      </c>
      <c r="D47" s="1">
        <v>754</v>
      </c>
      <c r="E47" s="1">
        <v>265.2</v>
      </c>
      <c r="F47" s="1">
        <v>12.8</v>
      </c>
      <c r="G47" s="1">
        <v>17.5</v>
      </c>
      <c r="H47" s="1">
        <v>16.5</v>
      </c>
      <c r="I47" s="1">
        <v>686</v>
      </c>
      <c r="J47" s="1">
        <v>7.58</v>
      </c>
      <c r="K47" s="1">
        <v>53.6</v>
      </c>
      <c r="L47" s="1">
        <v>8</v>
      </c>
      <c r="M47" s="1">
        <v>138</v>
      </c>
      <c r="N47" s="1">
        <v>34</v>
      </c>
      <c r="O47" s="1">
        <v>2.5099999999999998</v>
      </c>
      <c r="P47" s="1">
        <v>17.100000000000001</v>
      </c>
      <c r="Q47" s="1">
        <v>168500</v>
      </c>
      <c r="R47" s="1">
        <v>5455</v>
      </c>
      <c r="S47" s="1">
        <v>30</v>
      </c>
      <c r="T47" s="1">
        <v>5.4</v>
      </c>
      <c r="U47" s="1">
        <v>4470</v>
      </c>
      <c r="V47" s="1">
        <v>411</v>
      </c>
      <c r="W47" s="1">
        <v>5156</v>
      </c>
      <c r="X47" s="1">
        <v>647</v>
      </c>
      <c r="Y47" s="1">
        <v>0.85799999999999998</v>
      </c>
      <c r="Z47" s="1">
        <v>45.2</v>
      </c>
      <c r="AA47" s="1">
        <v>7.4</v>
      </c>
      <c r="AB47" s="1">
        <v>159</v>
      </c>
      <c r="AC47" s="1">
        <v>187</v>
      </c>
      <c r="AN47" t="s">
        <v>291</v>
      </c>
    </row>
    <row r="48" spans="1:40" ht="22" customHeight="1">
      <c r="A48" s="1" t="s">
        <v>248</v>
      </c>
      <c r="B48" s="1" t="s">
        <v>262</v>
      </c>
      <c r="C48" s="1">
        <v>133.9</v>
      </c>
      <c r="D48" s="1">
        <v>750</v>
      </c>
      <c r="E48" s="1">
        <v>264.39999999999998</v>
      </c>
      <c r="F48" s="1">
        <v>12</v>
      </c>
      <c r="G48" s="1">
        <v>15.5</v>
      </c>
      <c r="H48" s="1">
        <v>16.5</v>
      </c>
      <c r="I48" s="1">
        <v>686</v>
      </c>
      <c r="J48" s="1">
        <v>8.5299999999999994</v>
      </c>
      <c r="K48" s="1">
        <v>57.2</v>
      </c>
      <c r="L48" s="1">
        <v>8</v>
      </c>
      <c r="M48" s="1">
        <v>138</v>
      </c>
      <c r="N48" s="1">
        <v>32</v>
      </c>
      <c r="O48" s="1">
        <v>2.5099999999999998</v>
      </c>
      <c r="P48" s="1">
        <v>18.7</v>
      </c>
      <c r="Q48" s="1">
        <v>150700</v>
      </c>
      <c r="R48" s="1">
        <v>4788</v>
      </c>
      <c r="S48" s="1">
        <v>29.7</v>
      </c>
      <c r="T48" s="1">
        <v>5.3</v>
      </c>
      <c r="U48" s="1">
        <v>4018</v>
      </c>
      <c r="V48" s="1">
        <v>362</v>
      </c>
      <c r="W48" s="1">
        <v>4644</v>
      </c>
      <c r="X48" s="1">
        <v>540</v>
      </c>
      <c r="Y48" s="1">
        <v>0.85399999999999998</v>
      </c>
      <c r="Z48" s="1">
        <v>49.8</v>
      </c>
      <c r="AA48" s="1">
        <v>6.46</v>
      </c>
      <c r="AB48" s="1">
        <v>119</v>
      </c>
      <c r="AC48" s="1">
        <v>171</v>
      </c>
      <c r="AN48" t="s">
        <v>292</v>
      </c>
    </row>
    <row r="49" spans="1:40" ht="22" customHeight="1">
      <c r="A49" s="1" t="s">
        <v>248</v>
      </c>
      <c r="B49" s="1" t="s">
        <v>263</v>
      </c>
      <c r="C49" s="1">
        <v>170.2</v>
      </c>
      <c r="D49" s="1">
        <v>692.9</v>
      </c>
      <c r="E49" s="1">
        <v>255.8</v>
      </c>
      <c r="F49" s="1">
        <v>14.5</v>
      </c>
      <c r="G49" s="1">
        <v>23.7</v>
      </c>
      <c r="H49" s="1">
        <v>15.2</v>
      </c>
      <c r="I49" s="1">
        <v>615.1</v>
      </c>
      <c r="J49" s="1">
        <v>5.4</v>
      </c>
      <c r="K49" s="1">
        <v>42.4</v>
      </c>
      <c r="L49" s="1">
        <v>9</v>
      </c>
      <c r="M49" s="1">
        <v>132</v>
      </c>
      <c r="N49" s="1">
        <v>40</v>
      </c>
      <c r="O49" s="1">
        <v>2.35</v>
      </c>
      <c r="P49" s="1">
        <v>13.8</v>
      </c>
      <c r="Q49" s="1">
        <v>170300</v>
      </c>
      <c r="R49" s="1">
        <v>6630</v>
      </c>
      <c r="S49" s="1">
        <v>28</v>
      </c>
      <c r="T49" s="1">
        <v>5.53</v>
      </c>
      <c r="U49" s="1">
        <v>4918</v>
      </c>
      <c r="V49" s="1">
        <v>518</v>
      </c>
      <c r="W49" s="1">
        <v>5631</v>
      </c>
      <c r="X49" s="1">
        <v>811</v>
      </c>
      <c r="Y49" s="1">
        <v>0.872</v>
      </c>
      <c r="Z49" s="1">
        <v>31.8</v>
      </c>
      <c r="AA49" s="1">
        <v>7.42</v>
      </c>
      <c r="AB49" s="1">
        <v>308</v>
      </c>
      <c r="AC49" s="1">
        <v>217</v>
      </c>
      <c r="AN49" t="s">
        <v>293</v>
      </c>
    </row>
    <row r="50" spans="1:40" ht="22" customHeight="1">
      <c r="A50" s="1" t="s">
        <v>248</v>
      </c>
      <c r="B50" s="1" t="s">
        <v>264</v>
      </c>
      <c r="C50" s="1">
        <v>152.4</v>
      </c>
      <c r="D50" s="1">
        <v>687.5</v>
      </c>
      <c r="E50" s="1">
        <v>254.5</v>
      </c>
      <c r="F50" s="1">
        <v>13.2</v>
      </c>
      <c r="G50" s="1">
        <v>21</v>
      </c>
      <c r="H50" s="1">
        <v>15.2</v>
      </c>
      <c r="I50" s="1">
        <v>615.1</v>
      </c>
      <c r="J50" s="1">
        <v>6.06</v>
      </c>
      <c r="K50" s="1">
        <v>46.6</v>
      </c>
      <c r="L50" s="1">
        <v>9</v>
      </c>
      <c r="M50" s="1">
        <v>132</v>
      </c>
      <c r="N50" s="1">
        <v>38</v>
      </c>
      <c r="O50" s="1">
        <v>2.34</v>
      </c>
      <c r="P50" s="1">
        <v>15.4</v>
      </c>
      <c r="Q50" s="1">
        <v>150400</v>
      </c>
      <c r="R50" s="1">
        <v>5784</v>
      </c>
      <c r="S50" s="1">
        <v>27.8</v>
      </c>
      <c r="T50" s="1">
        <v>5.46</v>
      </c>
      <c r="U50" s="1">
        <v>4374</v>
      </c>
      <c r="V50" s="1">
        <v>455</v>
      </c>
      <c r="W50" s="1">
        <v>5000</v>
      </c>
      <c r="X50" s="1">
        <v>710</v>
      </c>
      <c r="Y50" s="1">
        <v>0.871</v>
      </c>
      <c r="Z50" s="1">
        <v>35.5</v>
      </c>
      <c r="AA50" s="1">
        <v>6.42</v>
      </c>
      <c r="AB50" s="1">
        <v>220</v>
      </c>
      <c r="AC50" s="1">
        <v>194</v>
      </c>
      <c r="AN50" t="s">
        <v>294</v>
      </c>
    </row>
    <row r="51" spans="1:40" ht="22" customHeight="1">
      <c r="A51" s="1" t="s">
        <v>248</v>
      </c>
      <c r="B51" s="1" t="s">
        <v>265</v>
      </c>
      <c r="C51" s="1">
        <v>140.1</v>
      </c>
      <c r="D51" s="1">
        <v>683.5</v>
      </c>
      <c r="E51" s="1">
        <v>253.7</v>
      </c>
      <c r="F51" s="1">
        <v>12.4</v>
      </c>
      <c r="G51" s="1">
        <v>19</v>
      </c>
      <c r="H51" s="1">
        <v>15.2</v>
      </c>
      <c r="I51" s="1">
        <v>615.1</v>
      </c>
      <c r="J51" s="1">
        <v>6.68</v>
      </c>
      <c r="K51" s="1">
        <v>49.6</v>
      </c>
      <c r="L51" s="1">
        <v>8</v>
      </c>
      <c r="M51" s="1">
        <v>132</v>
      </c>
      <c r="N51" s="1">
        <v>36</v>
      </c>
      <c r="O51" s="1">
        <v>2.33</v>
      </c>
      <c r="P51" s="1">
        <v>16.600000000000001</v>
      </c>
      <c r="Q51" s="1">
        <v>136300</v>
      </c>
      <c r="R51" s="1">
        <v>5183</v>
      </c>
      <c r="S51" s="1">
        <v>27.6</v>
      </c>
      <c r="T51" s="1">
        <v>5.39</v>
      </c>
      <c r="U51" s="1">
        <v>3987</v>
      </c>
      <c r="V51" s="1">
        <v>409</v>
      </c>
      <c r="W51" s="1">
        <v>4558</v>
      </c>
      <c r="X51" s="1">
        <v>638</v>
      </c>
      <c r="Y51" s="1">
        <v>0.86799999999999999</v>
      </c>
      <c r="Z51" s="1">
        <v>38.700000000000003</v>
      </c>
      <c r="AA51" s="1">
        <v>5.72</v>
      </c>
      <c r="AB51" s="1">
        <v>169</v>
      </c>
      <c r="AC51" s="1">
        <v>178</v>
      </c>
      <c r="AN51" t="s">
        <v>295</v>
      </c>
    </row>
    <row r="52" spans="1:40" ht="22" customHeight="1">
      <c r="A52" s="1" t="s">
        <v>248</v>
      </c>
      <c r="B52" s="1" t="s">
        <v>266</v>
      </c>
      <c r="C52" s="1">
        <v>125.2</v>
      </c>
      <c r="D52" s="1">
        <v>677.9</v>
      </c>
      <c r="E52" s="1">
        <v>253</v>
      </c>
      <c r="F52" s="1">
        <v>11.7</v>
      </c>
      <c r="G52" s="1">
        <v>16.2</v>
      </c>
      <c r="H52" s="1">
        <v>15.2</v>
      </c>
      <c r="I52" s="1">
        <v>615.1</v>
      </c>
      <c r="J52" s="1">
        <v>7.81</v>
      </c>
      <c r="K52" s="1">
        <v>52.6</v>
      </c>
      <c r="L52" s="1">
        <v>8</v>
      </c>
      <c r="M52" s="1">
        <v>132</v>
      </c>
      <c r="N52" s="1">
        <v>32</v>
      </c>
      <c r="O52" s="1">
        <v>2.3199999999999998</v>
      </c>
      <c r="P52" s="1">
        <v>18.5</v>
      </c>
      <c r="Q52" s="1">
        <v>118000</v>
      </c>
      <c r="R52" s="1">
        <v>4383</v>
      </c>
      <c r="S52" s="1">
        <v>27.2</v>
      </c>
      <c r="T52" s="1">
        <v>5.24</v>
      </c>
      <c r="U52" s="1">
        <v>3481</v>
      </c>
      <c r="V52" s="1">
        <v>346</v>
      </c>
      <c r="W52" s="1">
        <v>3994</v>
      </c>
      <c r="X52" s="1">
        <v>542</v>
      </c>
      <c r="Y52" s="1">
        <v>0.86199999999999999</v>
      </c>
      <c r="Z52" s="1">
        <v>43.9</v>
      </c>
      <c r="AA52" s="1">
        <v>4.8</v>
      </c>
      <c r="AB52" s="1">
        <v>116</v>
      </c>
      <c r="AC52" s="1">
        <v>159</v>
      </c>
      <c r="AN52" t="s">
        <v>296</v>
      </c>
    </row>
    <row r="53" spans="1:40" ht="22" customHeight="1">
      <c r="A53" s="1" t="s">
        <v>248</v>
      </c>
      <c r="B53" s="1" t="s">
        <v>267</v>
      </c>
      <c r="C53" s="1">
        <v>238.1</v>
      </c>
      <c r="D53" s="1">
        <v>635.79999999999995</v>
      </c>
      <c r="E53" s="1">
        <v>311.39999999999998</v>
      </c>
      <c r="F53" s="1">
        <v>18.399999999999999</v>
      </c>
      <c r="G53" s="1">
        <v>31.4</v>
      </c>
      <c r="H53" s="1">
        <v>16.5</v>
      </c>
      <c r="I53" s="1">
        <v>540</v>
      </c>
      <c r="J53" s="1">
        <v>4.96</v>
      </c>
      <c r="K53" s="1">
        <v>29.3</v>
      </c>
      <c r="L53" s="1">
        <v>11</v>
      </c>
      <c r="M53" s="1">
        <v>158</v>
      </c>
      <c r="N53" s="1">
        <v>46</v>
      </c>
      <c r="O53" s="1">
        <v>2.4500000000000002</v>
      </c>
      <c r="P53" s="1">
        <v>10.3</v>
      </c>
      <c r="Q53" s="1">
        <v>209500</v>
      </c>
      <c r="R53" s="1">
        <v>15840</v>
      </c>
      <c r="S53" s="1">
        <v>26.3</v>
      </c>
      <c r="T53" s="1">
        <v>7.23</v>
      </c>
      <c r="U53" s="1">
        <v>6589</v>
      </c>
      <c r="V53" s="1">
        <v>1017</v>
      </c>
      <c r="W53" s="1">
        <v>7486</v>
      </c>
      <c r="X53" s="1">
        <v>1574</v>
      </c>
      <c r="Y53" s="1">
        <v>0.88600000000000001</v>
      </c>
      <c r="Z53" s="1">
        <v>21.3</v>
      </c>
      <c r="AA53" s="1">
        <v>14.5</v>
      </c>
      <c r="AB53" s="1">
        <v>785</v>
      </c>
      <c r="AC53" s="1">
        <v>303</v>
      </c>
      <c r="AN53" t="s">
        <v>297</v>
      </c>
    </row>
    <row r="54" spans="1:40" ht="22" customHeight="1">
      <c r="A54" s="1" t="s">
        <v>248</v>
      </c>
      <c r="B54" s="1" t="s">
        <v>268</v>
      </c>
      <c r="C54" s="1">
        <v>179</v>
      </c>
      <c r="D54" s="1">
        <v>620.20000000000005</v>
      </c>
      <c r="E54" s="1">
        <v>307.10000000000002</v>
      </c>
      <c r="F54" s="1">
        <v>14.1</v>
      </c>
      <c r="G54" s="1">
        <v>23.6</v>
      </c>
      <c r="H54" s="1">
        <v>16.5</v>
      </c>
      <c r="I54" s="1">
        <v>540</v>
      </c>
      <c r="J54" s="1">
        <v>6.51</v>
      </c>
      <c r="K54" s="1">
        <v>38.299999999999997</v>
      </c>
      <c r="L54" s="1">
        <v>9</v>
      </c>
      <c r="M54" s="1">
        <v>158</v>
      </c>
      <c r="N54" s="1">
        <v>42</v>
      </c>
      <c r="O54" s="1">
        <v>2.41</v>
      </c>
      <c r="P54" s="1">
        <v>13.5</v>
      </c>
      <c r="Q54" s="1">
        <v>153000</v>
      </c>
      <c r="R54" s="1">
        <v>11410</v>
      </c>
      <c r="S54" s="1">
        <v>25.9</v>
      </c>
      <c r="T54" s="1">
        <v>7.07</v>
      </c>
      <c r="U54" s="1">
        <v>4935</v>
      </c>
      <c r="V54" s="1">
        <v>743</v>
      </c>
      <c r="W54" s="1">
        <v>5547</v>
      </c>
      <c r="X54" s="1">
        <v>1144</v>
      </c>
      <c r="Y54" s="1">
        <v>0.88600000000000001</v>
      </c>
      <c r="Z54" s="1">
        <v>27.7</v>
      </c>
      <c r="AA54" s="1">
        <v>10.199999999999999</v>
      </c>
      <c r="AB54" s="1">
        <v>340</v>
      </c>
      <c r="AC54" s="1">
        <v>228</v>
      </c>
      <c r="AN54" t="s">
        <v>298</v>
      </c>
    </row>
    <row r="55" spans="1:40" ht="22" customHeight="1">
      <c r="A55" s="1" t="s">
        <v>248</v>
      </c>
      <c r="B55" s="1" t="s">
        <v>269</v>
      </c>
      <c r="C55" s="1">
        <v>149.19999999999999</v>
      </c>
      <c r="D55" s="1">
        <v>612.4</v>
      </c>
      <c r="E55" s="1">
        <v>304.8</v>
      </c>
      <c r="F55" s="1">
        <v>11.8</v>
      </c>
      <c r="G55" s="1">
        <v>19.7</v>
      </c>
      <c r="H55" s="1">
        <v>16.5</v>
      </c>
      <c r="I55" s="1">
        <v>540</v>
      </c>
      <c r="J55" s="1">
        <v>7.74</v>
      </c>
      <c r="K55" s="1">
        <v>45.8</v>
      </c>
      <c r="L55" s="1">
        <v>8</v>
      </c>
      <c r="M55" s="1">
        <v>158</v>
      </c>
      <c r="N55" s="1">
        <v>38</v>
      </c>
      <c r="O55" s="1">
        <v>2.39</v>
      </c>
      <c r="P55" s="1">
        <v>16</v>
      </c>
      <c r="Q55" s="1">
        <v>125900</v>
      </c>
      <c r="R55" s="1">
        <v>9308</v>
      </c>
      <c r="S55" s="1">
        <v>25.7</v>
      </c>
      <c r="T55" s="1">
        <v>7</v>
      </c>
      <c r="U55" s="1">
        <v>4111</v>
      </c>
      <c r="V55" s="1">
        <v>611</v>
      </c>
      <c r="W55" s="1">
        <v>4594</v>
      </c>
      <c r="X55" s="1">
        <v>937</v>
      </c>
      <c r="Y55" s="1">
        <v>0.88600000000000001</v>
      </c>
      <c r="Z55" s="1">
        <v>32.700000000000003</v>
      </c>
      <c r="AA55" s="1">
        <v>8.17</v>
      </c>
      <c r="AB55" s="1">
        <v>200</v>
      </c>
      <c r="AC55" s="1">
        <v>190</v>
      </c>
      <c r="AN55" t="s">
        <v>299</v>
      </c>
    </row>
    <row r="56" spans="1:40" ht="22" customHeight="1">
      <c r="A56" s="1" t="s">
        <v>248</v>
      </c>
      <c r="B56" s="1" t="s">
        <v>270</v>
      </c>
      <c r="C56" s="1">
        <v>139.9</v>
      </c>
      <c r="D56" s="1">
        <v>617.20000000000005</v>
      </c>
      <c r="E56" s="1">
        <v>230.2</v>
      </c>
      <c r="F56" s="1">
        <v>13.1</v>
      </c>
      <c r="G56" s="1">
        <v>22.1</v>
      </c>
      <c r="H56" s="1">
        <v>12.7</v>
      </c>
      <c r="I56" s="1">
        <v>547.6</v>
      </c>
      <c r="J56" s="1">
        <v>5.21</v>
      </c>
      <c r="K56" s="1">
        <v>41.8</v>
      </c>
      <c r="L56" s="1">
        <v>9</v>
      </c>
      <c r="M56" s="1">
        <v>120</v>
      </c>
      <c r="N56" s="1">
        <v>36</v>
      </c>
      <c r="O56" s="1">
        <v>2.11</v>
      </c>
      <c r="P56" s="1">
        <v>15.4</v>
      </c>
      <c r="Q56" s="1">
        <v>111800</v>
      </c>
      <c r="R56" s="1">
        <v>4505</v>
      </c>
      <c r="S56" s="1">
        <v>25</v>
      </c>
      <c r="T56" s="1">
        <v>5.03</v>
      </c>
      <c r="U56" s="1">
        <v>3622</v>
      </c>
      <c r="V56" s="1">
        <v>391</v>
      </c>
      <c r="W56" s="1">
        <v>4142</v>
      </c>
      <c r="X56" s="1">
        <v>611</v>
      </c>
      <c r="Y56" s="1">
        <v>0.875</v>
      </c>
      <c r="Z56" s="1">
        <v>30.6</v>
      </c>
      <c r="AA56" s="1">
        <v>3.99</v>
      </c>
      <c r="AB56" s="1">
        <v>216</v>
      </c>
      <c r="AC56" s="1">
        <v>178</v>
      </c>
      <c r="AN56" t="s">
        <v>300</v>
      </c>
    </row>
    <row r="57" spans="1:40" ht="22" customHeight="1">
      <c r="A57" s="1" t="s">
        <v>248</v>
      </c>
      <c r="B57" s="1" t="s">
        <v>271</v>
      </c>
      <c r="C57" s="1">
        <v>125.1</v>
      </c>
      <c r="D57" s="1">
        <v>612.20000000000005</v>
      </c>
      <c r="E57" s="1">
        <v>229</v>
      </c>
      <c r="F57" s="1">
        <v>11.9</v>
      </c>
      <c r="G57" s="1">
        <v>19.600000000000001</v>
      </c>
      <c r="H57" s="1">
        <v>12.7</v>
      </c>
      <c r="I57" s="1">
        <v>547.6</v>
      </c>
      <c r="J57" s="1">
        <v>5.84</v>
      </c>
      <c r="K57" s="1">
        <v>46</v>
      </c>
      <c r="L57" s="1">
        <v>8</v>
      </c>
      <c r="M57" s="1">
        <v>120</v>
      </c>
      <c r="N57" s="1">
        <v>34</v>
      </c>
      <c r="O57" s="1">
        <v>2.09</v>
      </c>
      <c r="P57" s="1">
        <v>16.7</v>
      </c>
      <c r="Q57" s="1">
        <v>98610</v>
      </c>
      <c r="R57" s="1">
        <v>3932</v>
      </c>
      <c r="S57" s="1">
        <v>24.9</v>
      </c>
      <c r="T57" s="1">
        <v>4.97</v>
      </c>
      <c r="U57" s="1">
        <v>3221</v>
      </c>
      <c r="V57" s="1">
        <v>343</v>
      </c>
      <c r="W57" s="1">
        <v>3676</v>
      </c>
      <c r="X57" s="1">
        <v>535</v>
      </c>
      <c r="Y57" s="1">
        <v>0.873</v>
      </c>
      <c r="Z57" s="1">
        <v>34.1</v>
      </c>
      <c r="AA57" s="1">
        <v>3.45</v>
      </c>
      <c r="AB57" s="1">
        <v>154</v>
      </c>
      <c r="AC57" s="1">
        <v>159</v>
      </c>
      <c r="AN57" t="s">
        <v>301</v>
      </c>
    </row>
    <row r="58" spans="1:40" ht="22" customHeight="1">
      <c r="A58" s="1" t="s">
        <v>248</v>
      </c>
      <c r="B58" s="1" t="s">
        <v>272</v>
      </c>
      <c r="C58" s="1">
        <v>113</v>
      </c>
      <c r="D58" s="1">
        <v>607.6</v>
      </c>
      <c r="E58" s="1">
        <v>228.2</v>
      </c>
      <c r="F58" s="1">
        <v>11.1</v>
      </c>
      <c r="G58" s="1">
        <v>17.3</v>
      </c>
      <c r="H58" s="1">
        <v>12.7</v>
      </c>
      <c r="I58" s="1">
        <v>547.6</v>
      </c>
      <c r="J58" s="1">
        <v>6.6</v>
      </c>
      <c r="K58" s="1">
        <v>49.3</v>
      </c>
      <c r="L58" s="1">
        <v>8</v>
      </c>
      <c r="M58" s="1">
        <v>120</v>
      </c>
      <c r="N58" s="1">
        <v>30</v>
      </c>
      <c r="O58" s="1">
        <v>2.08</v>
      </c>
      <c r="P58" s="1">
        <v>18.399999999999999</v>
      </c>
      <c r="Q58" s="1">
        <v>87320</v>
      </c>
      <c r="R58" s="1">
        <v>3434</v>
      </c>
      <c r="S58" s="1">
        <v>24.6</v>
      </c>
      <c r="T58" s="1">
        <v>4.88</v>
      </c>
      <c r="U58" s="1">
        <v>2874</v>
      </c>
      <c r="V58" s="1">
        <v>301</v>
      </c>
      <c r="W58" s="1">
        <v>3281</v>
      </c>
      <c r="X58" s="1">
        <v>469</v>
      </c>
      <c r="Y58" s="1">
        <v>0.87</v>
      </c>
      <c r="Z58" s="1">
        <v>38</v>
      </c>
      <c r="AA58" s="1">
        <v>2.99</v>
      </c>
      <c r="AB58" s="1">
        <v>111</v>
      </c>
      <c r="AC58" s="1">
        <v>144</v>
      </c>
      <c r="AN58" t="s">
        <v>302</v>
      </c>
    </row>
    <row r="59" spans="1:40" ht="22" customHeight="1">
      <c r="A59" s="1" t="s">
        <v>248</v>
      </c>
      <c r="B59" s="1" t="s">
        <v>273</v>
      </c>
      <c r="C59" s="1">
        <v>101.2</v>
      </c>
      <c r="D59" s="1">
        <v>602.6</v>
      </c>
      <c r="E59" s="1">
        <v>227.6</v>
      </c>
      <c r="F59" s="1">
        <v>10.5</v>
      </c>
      <c r="G59" s="1">
        <v>14.8</v>
      </c>
      <c r="H59" s="1">
        <v>12.7</v>
      </c>
      <c r="I59" s="1">
        <v>547.6</v>
      </c>
      <c r="J59" s="1">
        <v>7.69</v>
      </c>
      <c r="K59" s="1">
        <v>52.2</v>
      </c>
      <c r="L59" s="1">
        <v>7</v>
      </c>
      <c r="M59" s="1">
        <v>120</v>
      </c>
      <c r="N59" s="1">
        <v>28</v>
      </c>
      <c r="O59" s="1">
        <v>2.0699999999999998</v>
      </c>
      <c r="P59" s="1">
        <v>20.5</v>
      </c>
      <c r="Q59" s="1">
        <v>75780</v>
      </c>
      <c r="R59" s="1">
        <v>2915</v>
      </c>
      <c r="S59" s="1">
        <v>24.2</v>
      </c>
      <c r="T59" s="1">
        <v>4.75</v>
      </c>
      <c r="U59" s="1">
        <v>2515</v>
      </c>
      <c r="V59" s="1">
        <v>256</v>
      </c>
      <c r="W59" s="1">
        <v>2881</v>
      </c>
      <c r="X59" s="1">
        <v>400</v>
      </c>
      <c r="Y59" s="1">
        <v>0.86399999999999999</v>
      </c>
      <c r="Z59" s="1">
        <v>43.1</v>
      </c>
      <c r="AA59" s="1">
        <v>2.52</v>
      </c>
      <c r="AB59" s="1">
        <v>77</v>
      </c>
      <c r="AC59" s="1">
        <v>129</v>
      </c>
      <c r="AN59" t="s">
        <v>303</v>
      </c>
    </row>
    <row r="60" spans="1:40" ht="22" customHeight="1">
      <c r="A60" s="1" t="s">
        <v>248</v>
      </c>
      <c r="B60" s="1" t="s">
        <v>274</v>
      </c>
      <c r="C60" s="1">
        <v>122</v>
      </c>
      <c r="D60" s="1">
        <v>544.5</v>
      </c>
      <c r="E60" s="1">
        <v>211.9</v>
      </c>
      <c r="F60" s="1">
        <v>12.78</v>
      </c>
      <c r="G60" s="1">
        <v>21.3</v>
      </c>
      <c r="H60" s="1">
        <v>12.7</v>
      </c>
      <c r="I60" s="1">
        <v>476.5</v>
      </c>
      <c r="J60" s="1">
        <v>4.97</v>
      </c>
      <c r="K60" s="1">
        <v>37.299999999999997</v>
      </c>
      <c r="L60" s="1">
        <v>8</v>
      </c>
      <c r="M60" s="1">
        <v>110</v>
      </c>
      <c r="N60" s="1">
        <v>34</v>
      </c>
      <c r="O60" s="1">
        <v>1.89</v>
      </c>
      <c r="P60" s="1">
        <v>15.5</v>
      </c>
      <c r="Q60" s="1">
        <v>76040</v>
      </c>
      <c r="R60" s="1">
        <v>3388</v>
      </c>
      <c r="S60" s="1">
        <v>22.1</v>
      </c>
      <c r="T60" s="1">
        <v>4.67</v>
      </c>
      <c r="U60" s="1">
        <v>2793</v>
      </c>
      <c r="V60" s="1">
        <v>320</v>
      </c>
      <c r="W60" s="1">
        <v>3196</v>
      </c>
      <c r="X60" s="1">
        <v>500</v>
      </c>
      <c r="Y60" s="1">
        <v>0.877</v>
      </c>
      <c r="Z60" s="1">
        <v>27.6</v>
      </c>
      <c r="AA60" s="1">
        <v>2.3199999999999998</v>
      </c>
      <c r="AB60" s="1">
        <v>178</v>
      </c>
      <c r="AC60" s="1">
        <v>155</v>
      </c>
      <c r="AN60" t="s">
        <v>304</v>
      </c>
    </row>
    <row r="61" spans="1:40" ht="22" customHeight="1">
      <c r="A61" s="1" t="s">
        <v>248</v>
      </c>
      <c r="B61" s="1" t="s">
        <v>275</v>
      </c>
      <c r="C61" s="1">
        <v>109</v>
      </c>
      <c r="D61" s="1">
        <v>539.5</v>
      </c>
      <c r="E61" s="1">
        <v>210.8</v>
      </c>
      <c r="F61" s="1">
        <v>11.6</v>
      </c>
      <c r="G61" s="1">
        <v>18.8</v>
      </c>
      <c r="H61" s="1">
        <v>12.7</v>
      </c>
      <c r="I61" s="1">
        <v>476.5</v>
      </c>
      <c r="J61" s="1">
        <v>5.61</v>
      </c>
      <c r="K61" s="1">
        <v>41.1</v>
      </c>
      <c r="L61" s="1">
        <v>8</v>
      </c>
      <c r="M61" s="1">
        <v>110</v>
      </c>
      <c r="N61" s="1">
        <v>32</v>
      </c>
      <c r="O61" s="1">
        <v>1.88</v>
      </c>
      <c r="P61" s="1">
        <v>17.2</v>
      </c>
      <c r="Q61" s="1">
        <v>66820</v>
      </c>
      <c r="R61" s="1">
        <v>2943</v>
      </c>
      <c r="S61" s="1">
        <v>21.9</v>
      </c>
      <c r="T61" s="1">
        <v>4.5999999999999996</v>
      </c>
      <c r="U61" s="1">
        <v>2477</v>
      </c>
      <c r="V61" s="1">
        <v>279</v>
      </c>
      <c r="W61" s="1">
        <v>2828</v>
      </c>
      <c r="X61" s="1">
        <v>436</v>
      </c>
      <c r="Y61" s="1">
        <v>0.875</v>
      </c>
      <c r="Z61" s="1">
        <v>30.9</v>
      </c>
      <c r="AA61" s="1">
        <v>1.99</v>
      </c>
      <c r="AB61" s="1">
        <v>126</v>
      </c>
      <c r="AC61" s="1">
        <v>139</v>
      </c>
      <c r="AN61" t="s">
        <v>305</v>
      </c>
    </row>
    <row r="62" spans="1:40" ht="22" customHeight="1">
      <c r="A62" s="1" t="s">
        <v>248</v>
      </c>
      <c r="B62" s="1" t="s">
        <v>276</v>
      </c>
      <c r="C62" s="1">
        <v>101</v>
      </c>
      <c r="D62" s="1">
        <v>536.70000000000005</v>
      </c>
      <c r="E62" s="1">
        <v>210</v>
      </c>
      <c r="F62" s="1">
        <v>10.8</v>
      </c>
      <c r="G62" s="1">
        <v>17.399999999999999</v>
      </c>
      <c r="H62" s="1">
        <v>12.7</v>
      </c>
      <c r="I62" s="1">
        <v>476.5</v>
      </c>
      <c r="J62" s="1">
        <v>6.03</v>
      </c>
      <c r="K62" s="1">
        <v>44.1</v>
      </c>
      <c r="L62" s="1">
        <v>7</v>
      </c>
      <c r="M62" s="1">
        <v>110</v>
      </c>
      <c r="N62" s="1">
        <v>32</v>
      </c>
      <c r="O62" s="1">
        <v>1.87</v>
      </c>
      <c r="P62" s="1">
        <v>18.5</v>
      </c>
      <c r="Q62" s="1">
        <v>61520</v>
      </c>
      <c r="R62" s="1">
        <v>2692</v>
      </c>
      <c r="S62" s="1">
        <v>21.9</v>
      </c>
      <c r="T62" s="1">
        <v>4.57</v>
      </c>
      <c r="U62" s="1">
        <v>2292</v>
      </c>
      <c r="V62" s="1">
        <v>258</v>
      </c>
      <c r="W62" s="1">
        <v>2612</v>
      </c>
      <c r="X62" s="1">
        <v>399</v>
      </c>
      <c r="Y62" s="1">
        <v>0.874</v>
      </c>
      <c r="Z62" s="1">
        <v>33.200000000000003</v>
      </c>
      <c r="AA62" s="1">
        <v>1.81</v>
      </c>
      <c r="AB62" s="1">
        <v>101</v>
      </c>
      <c r="AC62" s="1">
        <v>129</v>
      </c>
      <c r="AN62" t="s">
        <v>306</v>
      </c>
    </row>
    <row r="63" spans="1:40" ht="22" customHeight="1">
      <c r="A63" s="1" t="s">
        <v>248</v>
      </c>
      <c r="B63" s="1" t="s">
        <v>277</v>
      </c>
      <c r="C63" s="1">
        <v>92.1</v>
      </c>
      <c r="D63" s="1">
        <v>533.1</v>
      </c>
      <c r="E63" s="1">
        <v>209.3</v>
      </c>
      <c r="F63" s="1">
        <v>10.1</v>
      </c>
      <c r="G63" s="1">
        <v>15.6</v>
      </c>
      <c r="H63" s="1">
        <v>12.7</v>
      </c>
      <c r="I63" s="1">
        <v>476.5</v>
      </c>
      <c r="J63" s="1">
        <v>6.71</v>
      </c>
      <c r="K63" s="1">
        <v>47.2</v>
      </c>
      <c r="L63" s="1">
        <v>7</v>
      </c>
      <c r="M63" s="1">
        <v>110</v>
      </c>
      <c r="N63" s="1">
        <v>30</v>
      </c>
      <c r="O63" s="1">
        <v>1.86</v>
      </c>
      <c r="P63" s="1">
        <v>20.2</v>
      </c>
      <c r="Q63" s="1">
        <v>55230</v>
      </c>
      <c r="R63" s="1">
        <v>2389</v>
      </c>
      <c r="S63" s="1">
        <v>21.7</v>
      </c>
      <c r="T63" s="1">
        <v>4.51</v>
      </c>
      <c r="U63" s="1">
        <v>2072</v>
      </c>
      <c r="V63" s="1">
        <v>228</v>
      </c>
      <c r="W63" s="1">
        <v>2360</v>
      </c>
      <c r="X63" s="1">
        <v>356</v>
      </c>
      <c r="Y63" s="1">
        <v>0.872</v>
      </c>
      <c r="Z63" s="1">
        <v>36.5</v>
      </c>
      <c r="AA63" s="1">
        <v>1.6</v>
      </c>
      <c r="AB63" s="1">
        <v>75.7</v>
      </c>
      <c r="AC63" s="1">
        <v>117</v>
      </c>
      <c r="AN63" t="s">
        <v>307</v>
      </c>
    </row>
    <row r="64" spans="1:40" ht="22" customHeight="1">
      <c r="A64" s="1" t="s">
        <v>248</v>
      </c>
      <c r="B64" s="1" t="s">
        <v>278</v>
      </c>
      <c r="C64" s="1">
        <v>82.2</v>
      </c>
      <c r="D64" s="1">
        <v>528.29999999999995</v>
      </c>
      <c r="E64" s="1">
        <v>208.8</v>
      </c>
      <c r="F64" s="1">
        <v>9.6</v>
      </c>
      <c r="G64" s="1">
        <v>13.2</v>
      </c>
      <c r="H64" s="1">
        <v>12.7</v>
      </c>
      <c r="I64" s="1">
        <v>476.5</v>
      </c>
      <c r="J64" s="1">
        <v>7.91</v>
      </c>
      <c r="K64" s="1">
        <v>49.6</v>
      </c>
      <c r="L64" s="1">
        <v>7</v>
      </c>
      <c r="M64" s="1">
        <v>110</v>
      </c>
      <c r="N64" s="1">
        <v>26</v>
      </c>
      <c r="O64" s="1">
        <v>1.85</v>
      </c>
      <c r="P64" s="1">
        <v>22.5</v>
      </c>
      <c r="Q64" s="1">
        <v>47540</v>
      </c>
      <c r="R64" s="1">
        <v>2007</v>
      </c>
      <c r="S64" s="1">
        <v>21.3</v>
      </c>
      <c r="T64" s="1">
        <v>4.38</v>
      </c>
      <c r="U64" s="1">
        <v>1800</v>
      </c>
      <c r="V64" s="1">
        <v>192</v>
      </c>
      <c r="W64" s="1">
        <v>2059</v>
      </c>
      <c r="X64" s="1">
        <v>300</v>
      </c>
      <c r="Y64" s="1">
        <v>0.86399999999999999</v>
      </c>
      <c r="Z64" s="1">
        <v>41.6</v>
      </c>
      <c r="AA64" s="1">
        <v>1.33</v>
      </c>
      <c r="AB64" s="1">
        <v>51.5</v>
      </c>
      <c r="AC64" s="1">
        <v>105</v>
      </c>
      <c r="AN64" t="s">
        <v>308</v>
      </c>
    </row>
    <row r="65" spans="1:40" ht="22" customHeight="1">
      <c r="A65" s="1" t="s">
        <v>248</v>
      </c>
      <c r="B65" s="1" t="s">
        <v>279</v>
      </c>
      <c r="C65" s="1">
        <v>98.3</v>
      </c>
      <c r="D65" s="1">
        <v>467.2</v>
      </c>
      <c r="E65" s="1">
        <v>192.8</v>
      </c>
      <c r="F65" s="1">
        <v>11.4</v>
      </c>
      <c r="G65" s="1">
        <v>19.600000000000001</v>
      </c>
      <c r="H65" s="1">
        <v>10.199999999999999</v>
      </c>
      <c r="I65" s="1">
        <v>407.6</v>
      </c>
      <c r="J65" s="1">
        <v>4.92</v>
      </c>
      <c r="K65" s="1">
        <v>35.799999999999997</v>
      </c>
      <c r="L65" s="1">
        <v>8</v>
      </c>
      <c r="M65" s="1">
        <v>102</v>
      </c>
      <c r="N65" s="1">
        <v>30</v>
      </c>
      <c r="O65" s="1">
        <v>1.67</v>
      </c>
      <c r="P65" s="1">
        <v>16.899999999999999</v>
      </c>
      <c r="Q65" s="1">
        <v>45730</v>
      </c>
      <c r="R65" s="1">
        <v>2347</v>
      </c>
      <c r="S65" s="1">
        <v>19.100000000000001</v>
      </c>
      <c r="T65" s="1">
        <v>4.33</v>
      </c>
      <c r="U65" s="1">
        <v>1957</v>
      </c>
      <c r="V65" s="1">
        <v>243</v>
      </c>
      <c r="W65" s="1">
        <v>2232</v>
      </c>
      <c r="X65" s="1">
        <v>379</v>
      </c>
      <c r="Y65" s="1">
        <v>0.88100000000000001</v>
      </c>
      <c r="Z65" s="1">
        <v>25.7</v>
      </c>
      <c r="AA65" s="1">
        <v>1.18</v>
      </c>
      <c r="AB65" s="1">
        <v>121</v>
      </c>
      <c r="AC65" s="1">
        <v>125</v>
      </c>
      <c r="AN65" t="s">
        <v>309</v>
      </c>
    </row>
    <row r="66" spans="1:40" ht="22" customHeight="1">
      <c r="A66" s="1" t="s">
        <v>248</v>
      </c>
      <c r="B66" s="1" t="s">
        <v>280</v>
      </c>
      <c r="C66" s="1">
        <v>89.3</v>
      </c>
      <c r="D66" s="1">
        <v>463.4</v>
      </c>
      <c r="E66" s="1">
        <v>191.9</v>
      </c>
      <c r="F66" s="1">
        <v>10.5</v>
      </c>
      <c r="G66" s="1">
        <v>17.7</v>
      </c>
      <c r="H66" s="1">
        <v>10.199999999999999</v>
      </c>
      <c r="I66" s="1">
        <v>407.6</v>
      </c>
      <c r="J66" s="1">
        <v>5.42</v>
      </c>
      <c r="K66" s="1">
        <v>38.799999999999997</v>
      </c>
      <c r="L66" s="1">
        <v>7</v>
      </c>
      <c r="M66" s="1">
        <v>102</v>
      </c>
      <c r="N66" s="1">
        <v>28</v>
      </c>
      <c r="O66" s="1">
        <v>1.66</v>
      </c>
      <c r="P66" s="1">
        <v>18.5</v>
      </c>
      <c r="Q66" s="1">
        <v>41020</v>
      </c>
      <c r="R66" s="1">
        <v>2089</v>
      </c>
      <c r="S66" s="1">
        <v>19</v>
      </c>
      <c r="T66" s="1">
        <v>4.29</v>
      </c>
      <c r="U66" s="1">
        <v>1770</v>
      </c>
      <c r="V66" s="1">
        <v>218</v>
      </c>
      <c r="W66" s="1">
        <v>2015</v>
      </c>
      <c r="X66" s="1">
        <v>338</v>
      </c>
      <c r="Y66" s="1">
        <v>0.88</v>
      </c>
      <c r="Z66" s="1">
        <v>28.3</v>
      </c>
      <c r="AA66" s="1">
        <v>1.04</v>
      </c>
      <c r="AB66" s="1">
        <v>90.7</v>
      </c>
      <c r="AC66" s="1">
        <v>114</v>
      </c>
      <c r="AN66" t="s">
        <v>310</v>
      </c>
    </row>
    <row r="67" spans="1:40" ht="22" customHeight="1">
      <c r="A67" s="1" t="s">
        <v>248</v>
      </c>
      <c r="B67" s="1" t="s">
        <v>281</v>
      </c>
      <c r="C67" s="1">
        <v>82</v>
      </c>
      <c r="D67" s="1">
        <v>460</v>
      </c>
      <c r="E67" s="1">
        <v>191.3</v>
      </c>
      <c r="F67" s="1">
        <v>9.9</v>
      </c>
      <c r="G67" s="1">
        <v>16</v>
      </c>
      <c r="H67" s="1">
        <v>10.199999999999999</v>
      </c>
      <c r="I67" s="1">
        <v>407.6</v>
      </c>
      <c r="J67" s="1">
        <v>5.98</v>
      </c>
      <c r="K67" s="1">
        <v>41.2</v>
      </c>
      <c r="L67" s="1">
        <v>7</v>
      </c>
      <c r="M67" s="1">
        <v>102</v>
      </c>
      <c r="N67" s="1">
        <v>28</v>
      </c>
      <c r="O67" s="1">
        <v>1.65</v>
      </c>
      <c r="P67" s="1">
        <v>20.100000000000001</v>
      </c>
      <c r="Q67" s="1">
        <v>37050</v>
      </c>
      <c r="R67" s="1">
        <v>1871</v>
      </c>
      <c r="S67" s="1">
        <v>18.8</v>
      </c>
      <c r="T67" s="1">
        <v>4.2300000000000004</v>
      </c>
      <c r="U67" s="1">
        <v>1611</v>
      </c>
      <c r="V67" s="1">
        <v>196</v>
      </c>
      <c r="W67" s="1">
        <v>1831</v>
      </c>
      <c r="X67" s="1">
        <v>304</v>
      </c>
      <c r="Y67" s="1">
        <v>0.877</v>
      </c>
      <c r="Z67" s="1">
        <v>30.9</v>
      </c>
      <c r="AA67" s="1">
        <v>0.92200000000000004</v>
      </c>
      <c r="AB67" s="1">
        <v>69.2</v>
      </c>
      <c r="AC67" s="1">
        <v>104</v>
      </c>
      <c r="AN67" t="s">
        <v>311</v>
      </c>
    </row>
    <row r="68" spans="1:40" ht="22" customHeight="1">
      <c r="A68" s="1" t="s">
        <v>248</v>
      </c>
      <c r="B68" s="1" t="s">
        <v>282</v>
      </c>
      <c r="C68" s="1">
        <v>74.3</v>
      </c>
      <c r="D68" s="1">
        <v>457</v>
      </c>
      <c r="E68" s="1">
        <v>190.4</v>
      </c>
      <c r="F68" s="1">
        <v>9</v>
      </c>
      <c r="G68" s="1">
        <v>14.5</v>
      </c>
      <c r="H68" s="1">
        <v>10.199999999999999</v>
      </c>
      <c r="I68" s="1">
        <v>407.6</v>
      </c>
      <c r="J68" s="1">
        <v>6.57</v>
      </c>
      <c r="K68" s="1">
        <v>45.3</v>
      </c>
      <c r="L68" s="1">
        <v>7</v>
      </c>
      <c r="M68" s="1">
        <v>102</v>
      </c>
      <c r="N68" s="1">
        <v>26</v>
      </c>
      <c r="O68" s="1">
        <v>1.64</v>
      </c>
      <c r="P68" s="1">
        <v>22.1</v>
      </c>
      <c r="Q68" s="1">
        <v>33320</v>
      </c>
      <c r="R68" s="1">
        <v>1671</v>
      </c>
      <c r="S68" s="1">
        <v>18.8</v>
      </c>
      <c r="T68" s="1">
        <v>4.2</v>
      </c>
      <c r="U68" s="1">
        <v>1458</v>
      </c>
      <c r="V68" s="1">
        <v>176</v>
      </c>
      <c r="W68" s="1">
        <v>1653</v>
      </c>
      <c r="X68" s="1">
        <v>272</v>
      </c>
      <c r="Y68" s="1">
        <v>0.877</v>
      </c>
      <c r="Z68" s="1">
        <v>33.9</v>
      </c>
      <c r="AA68" s="1">
        <v>0.81799999999999995</v>
      </c>
      <c r="AB68" s="1">
        <v>51.8</v>
      </c>
      <c r="AC68" s="1">
        <v>94.6</v>
      </c>
      <c r="AN68" t="s">
        <v>312</v>
      </c>
    </row>
    <row r="69" spans="1:40" ht="22" customHeight="1">
      <c r="A69" s="1" t="s">
        <v>248</v>
      </c>
      <c r="B69" s="1" t="s">
        <v>283</v>
      </c>
      <c r="C69" s="1">
        <v>67.099999999999994</v>
      </c>
      <c r="D69" s="1">
        <v>453.4</v>
      </c>
      <c r="E69" s="1">
        <v>189.9</v>
      </c>
      <c r="F69" s="1">
        <v>8.5</v>
      </c>
      <c r="G69" s="1">
        <v>12.7</v>
      </c>
      <c r="H69" s="1">
        <v>10.199999999999999</v>
      </c>
      <c r="I69" s="1">
        <v>407.6</v>
      </c>
      <c r="J69" s="1">
        <v>7.48</v>
      </c>
      <c r="K69" s="1">
        <v>48</v>
      </c>
      <c r="L69" s="1">
        <v>6</v>
      </c>
      <c r="M69" s="1">
        <v>102</v>
      </c>
      <c r="N69" s="1">
        <v>24</v>
      </c>
      <c r="O69" s="1">
        <v>1.63</v>
      </c>
      <c r="P69" s="1">
        <v>24.3</v>
      </c>
      <c r="Q69" s="1">
        <v>29380</v>
      </c>
      <c r="R69" s="1">
        <v>1452</v>
      </c>
      <c r="S69" s="1">
        <v>18.5</v>
      </c>
      <c r="T69" s="1">
        <v>4.12</v>
      </c>
      <c r="U69" s="1">
        <v>1296</v>
      </c>
      <c r="V69" s="1">
        <v>153</v>
      </c>
      <c r="W69" s="1">
        <v>1471</v>
      </c>
      <c r="X69" s="1">
        <v>237</v>
      </c>
      <c r="Y69" s="1">
        <v>0.872</v>
      </c>
      <c r="Z69" s="1">
        <v>37.9</v>
      </c>
      <c r="AA69" s="1">
        <v>0.70499999999999996</v>
      </c>
      <c r="AB69" s="1">
        <v>37.1</v>
      </c>
      <c r="AC69" s="1">
        <v>85.5</v>
      </c>
      <c r="AN69" t="s">
        <v>313</v>
      </c>
    </row>
    <row r="70" spans="1:40" ht="22" customHeight="1">
      <c r="A70" s="1" t="s">
        <v>248</v>
      </c>
      <c r="B70" s="1" t="s">
        <v>284</v>
      </c>
      <c r="C70" s="1">
        <v>82.1</v>
      </c>
      <c r="D70" s="1">
        <v>465.8</v>
      </c>
      <c r="E70" s="1">
        <v>155.30000000000001</v>
      </c>
      <c r="F70" s="1">
        <v>10.7</v>
      </c>
      <c r="G70" s="1">
        <v>18.899999999999999</v>
      </c>
      <c r="H70" s="1">
        <v>10.199999999999999</v>
      </c>
      <c r="I70" s="1">
        <v>407.6</v>
      </c>
      <c r="J70" s="1">
        <v>4.1100000000000003</v>
      </c>
      <c r="K70" s="1">
        <v>38.1</v>
      </c>
      <c r="L70" s="1">
        <v>7</v>
      </c>
      <c r="M70" s="1">
        <v>84</v>
      </c>
      <c r="N70" s="1">
        <v>30</v>
      </c>
      <c r="O70" s="1">
        <v>1.51</v>
      </c>
      <c r="P70" s="1">
        <v>18.399999999999999</v>
      </c>
      <c r="Q70" s="1">
        <v>36590</v>
      </c>
      <c r="R70" s="1">
        <v>1185</v>
      </c>
      <c r="S70" s="1">
        <v>18.7</v>
      </c>
      <c r="T70" s="1">
        <v>3.37</v>
      </c>
      <c r="U70" s="1">
        <v>1571</v>
      </c>
      <c r="V70" s="1">
        <v>153</v>
      </c>
      <c r="W70" s="1">
        <v>1811</v>
      </c>
      <c r="X70" s="1">
        <v>240</v>
      </c>
      <c r="Y70" s="1">
        <v>0.873</v>
      </c>
      <c r="Z70" s="1">
        <v>27.4</v>
      </c>
      <c r="AA70" s="1">
        <v>0.59099999999999997</v>
      </c>
      <c r="AB70" s="1">
        <v>89.2</v>
      </c>
      <c r="AC70" s="1">
        <v>105</v>
      </c>
      <c r="AN70" t="s">
        <v>314</v>
      </c>
    </row>
    <row r="71" spans="1:40" ht="22" customHeight="1">
      <c r="A71" s="1" t="s">
        <v>248</v>
      </c>
      <c r="B71" s="1" t="s">
        <v>285</v>
      </c>
      <c r="C71" s="1">
        <v>74.2</v>
      </c>
      <c r="D71" s="1">
        <v>462</v>
      </c>
      <c r="E71" s="1">
        <v>154.4</v>
      </c>
      <c r="F71" s="1">
        <v>9.6</v>
      </c>
      <c r="G71" s="1">
        <v>17</v>
      </c>
      <c r="H71" s="1">
        <v>10.199999999999999</v>
      </c>
      <c r="I71" s="1">
        <v>407.6</v>
      </c>
      <c r="J71" s="1">
        <v>4.54</v>
      </c>
      <c r="K71" s="1">
        <v>42.5</v>
      </c>
      <c r="L71" s="1">
        <v>7</v>
      </c>
      <c r="M71" s="1">
        <v>84</v>
      </c>
      <c r="N71" s="1">
        <v>28</v>
      </c>
      <c r="O71" s="1">
        <v>1.5</v>
      </c>
      <c r="P71" s="1">
        <v>20.3</v>
      </c>
      <c r="Q71" s="1">
        <v>32670</v>
      </c>
      <c r="R71" s="1">
        <v>1047</v>
      </c>
      <c r="S71" s="1">
        <v>18.600000000000001</v>
      </c>
      <c r="T71" s="1">
        <v>3.33</v>
      </c>
      <c r="U71" s="1">
        <v>1414</v>
      </c>
      <c r="V71" s="1">
        <v>136</v>
      </c>
      <c r="W71" s="1">
        <v>1627</v>
      </c>
      <c r="X71" s="1">
        <v>213</v>
      </c>
      <c r="Y71" s="1">
        <v>0.873</v>
      </c>
      <c r="Z71" s="1">
        <v>30.1</v>
      </c>
      <c r="AA71" s="1">
        <v>0.51800000000000002</v>
      </c>
      <c r="AB71" s="1">
        <v>65.900000000000006</v>
      </c>
      <c r="AC71" s="1">
        <v>94.5</v>
      </c>
      <c r="AN71" t="s">
        <v>315</v>
      </c>
    </row>
    <row r="72" spans="1:40" ht="22" customHeight="1">
      <c r="A72" s="1" t="s">
        <v>248</v>
      </c>
      <c r="B72" s="1" t="s">
        <v>286</v>
      </c>
      <c r="C72" s="1">
        <v>67.2</v>
      </c>
      <c r="D72" s="1">
        <v>458</v>
      </c>
      <c r="E72" s="1">
        <v>153.80000000000001</v>
      </c>
      <c r="F72" s="1">
        <v>9</v>
      </c>
      <c r="G72" s="1">
        <v>15</v>
      </c>
      <c r="H72" s="1">
        <v>10.199999999999999</v>
      </c>
      <c r="I72" s="1">
        <v>407.6</v>
      </c>
      <c r="J72" s="1">
        <v>5.13</v>
      </c>
      <c r="K72" s="1">
        <v>45.3</v>
      </c>
      <c r="L72" s="1">
        <v>7</v>
      </c>
      <c r="M72" s="1">
        <v>84</v>
      </c>
      <c r="N72" s="1">
        <v>26</v>
      </c>
      <c r="O72" s="1">
        <v>1.5</v>
      </c>
      <c r="P72" s="1">
        <v>22.3</v>
      </c>
      <c r="Q72" s="1">
        <v>28930</v>
      </c>
      <c r="R72" s="1">
        <v>913</v>
      </c>
      <c r="S72" s="1">
        <v>18.399999999999999</v>
      </c>
      <c r="T72" s="1">
        <v>3.27</v>
      </c>
      <c r="U72" s="1">
        <v>1263</v>
      </c>
      <c r="V72" s="1">
        <v>119</v>
      </c>
      <c r="W72" s="1">
        <v>1453</v>
      </c>
      <c r="X72" s="1">
        <v>187</v>
      </c>
      <c r="Y72" s="1">
        <v>0.86899999999999999</v>
      </c>
      <c r="Z72" s="1">
        <v>33.6</v>
      </c>
      <c r="AA72" s="1">
        <v>0.44800000000000001</v>
      </c>
      <c r="AB72" s="1">
        <v>47.7</v>
      </c>
      <c r="AC72" s="1">
        <v>85.6</v>
      </c>
      <c r="AN72" t="s">
        <v>316</v>
      </c>
    </row>
    <row r="73" spans="1:40" ht="22" customHeight="1">
      <c r="A73" s="1" t="s">
        <v>248</v>
      </c>
      <c r="B73" s="1" t="s">
        <v>287</v>
      </c>
      <c r="C73" s="1">
        <v>59.8</v>
      </c>
      <c r="D73" s="1">
        <v>454.6</v>
      </c>
      <c r="E73" s="1">
        <v>152.9</v>
      </c>
      <c r="F73" s="1">
        <v>8.1</v>
      </c>
      <c r="G73" s="1">
        <v>13.3</v>
      </c>
      <c r="H73" s="1">
        <v>10.199999999999999</v>
      </c>
      <c r="I73" s="1">
        <v>407.6</v>
      </c>
      <c r="J73" s="1">
        <v>5.76</v>
      </c>
      <c r="K73" s="1">
        <v>50.3</v>
      </c>
      <c r="L73" s="1">
        <v>6</v>
      </c>
      <c r="M73" s="1">
        <v>84</v>
      </c>
      <c r="N73" s="1">
        <v>24</v>
      </c>
      <c r="O73" s="1">
        <v>1.49</v>
      </c>
      <c r="P73" s="1">
        <v>24.9</v>
      </c>
      <c r="Q73" s="1">
        <v>25500</v>
      </c>
      <c r="R73" s="1">
        <v>795</v>
      </c>
      <c r="S73" s="1">
        <v>18.3</v>
      </c>
      <c r="T73" s="1">
        <v>3.23</v>
      </c>
      <c r="U73" s="1">
        <v>1122</v>
      </c>
      <c r="V73" s="1">
        <v>104</v>
      </c>
      <c r="W73" s="1">
        <v>1287</v>
      </c>
      <c r="X73" s="1">
        <v>163</v>
      </c>
      <c r="Y73" s="1">
        <v>0.86799999999999999</v>
      </c>
      <c r="Z73" s="1">
        <v>37.5</v>
      </c>
      <c r="AA73" s="1">
        <v>0.38700000000000001</v>
      </c>
      <c r="AB73" s="1">
        <v>33.799999999999997</v>
      </c>
      <c r="AC73" s="1">
        <v>76.2</v>
      </c>
      <c r="AN73" t="s">
        <v>317</v>
      </c>
    </row>
    <row r="74" spans="1:40" ht="22" customHeight="1">
      <c r="A74" s="1" t="s">
        <v>248</v>
      </c>
      <c r="B74" s="1" t="s">
        <v>288</v>
      </c>
      <c r="C74" s="1">
        <v>52.3</v>
      </c>
      <c r="D74" s="1">
        <v>449.8</v>
      </c>
      <c r="E74" s="1">
        <v>152.4</v>
      </c>
      <c r="F74" s="1">
        <v>7.6</v>
      </c>
      <c r="G74" s="1">
        <v>10.9</v>
      </c>
      <c r="H74" s="1">
        <v>10.199999999999999</v>
      </c>
      <c r="I74" s="1">
        <v>407.6</v>
      </c>
      <c r="J74" s="1">
        <v>6.99</v>
      </c>
      <c r="K74" s="1">
        <v>53.6</v>
      </c>
      <c r="L74" s="1">
        <v>6</v>
      </c>
      <c r="M74" s="1">
        <v>84</v>
      </c>
      <c r="N74" s="1">
        <v>22</v>
      </c>
      <c r="O74" s="1">
        <v>1.48</v>
      </c>
      <c r="P74" s="1">
        <v>28.2</v>
      </c>
      <c r="Q74" s="1">
        <v>21370</v>
      </c>
      <c r="R74" s="1">
        <v>645</v>
      </c>
      <c r="S74" s="1">
        <v>17.899999999999999</v>
      </c>
      <c r="T74" s="1">
        <v>3.11</v>
      </c>
      <c r="U74" s="1">
        <v>950</v>
      </c>
      <c r="V74" s="1">
        <v>84.6</v>
      </c>
      <c r="W74" s="1">
        <v>1096</v>
      </c>
      <c r="X74" s="1">
        <v>133</v>
      </c>
      <c r="Y74" s="1">
        <v>0.85899999999999999</v>
      </c>
      <c r="Z74" s="1">
        <v>43.9</v>
      </c>
      <c r="AA74" s="1">
        <v>0.311</v>
      </c>
      <c r="AB74" s="1">
        <v>21.4</v>
      </c>
      <c r="AC74" s="1">
        <v>66.599999999999994</v>
      </c>
      <c r="AN74" t="s">
        <v>318</v>
      </c>
    </row>
    <row r="75" spans="1:40" ht="22" customHeight="1">
      <c r="A75" s="1" t="s">
        <v>248</v>
      </c>
      <c r="B75" s="1" t="s">
        <v>289</v>
      </c>
      <c r="C75" s="1">
        <v>74.2</v>
      </c>
      <c r="D75" s="1">
        <v>412.8</v>
      </c>
      <c r="E75" s="1">
        <v>179.5</v>
      </c>
      <c r="F75" s="1">
        <v>9.5</v>
      </c>
      <c r="G75" s="1">
        <v>16</v>
      </c>
      <c r="H75" s="1">
        <v>10.199999999999999</v>
      </c>
      <c r="I75" s="1">
        <v>360.4</v>
      </c>
      <c r="J75" s="1">
        <v>5.61</v>
      </c>
      <c r="K75" s="1">
        <v>37.9</v>
      </c>
      <c r="L75" s="1">
        <v>7</v>
      </c>
      <c r="M75" s="1">
        <v>96</v>
      </c>
      <c r="N75" s="1">
        <v>28</v>
      </c>
      <c r="O75" s="1">
        <v>1.51</v>
      </c>
      <c r="P75" s="1">
        <v>20.3</v>
      </c>
      <c r="Q75" s="1">
        <v>27310</v>
      </c>
      <c r="R75" s="1">
        <v>1545</v>
      </c>
      <c r="S75" s="1">
        <v>17</v>
      </c>
      <c r="T75" s="1">
        <v>4.04</v>
      </c>
      <c r="U75" s="1">
        <v>1323</v>
      </c>
      <c r="V75" s="1">
        <v>172</v>
      </c>
      <c r="W75" s="1">
        <v>1501</v>
      </c>
      <c r="X75" s="1">
        <v>267</v>
      </c>
      <c r="Y75" s="1">
        <v>0.88200000000000001</v>
      </c>
      <c r="Z75" s="1">
        <v>27.6</v>
      </c>
      <c r="AA75" s="1">
        <v>0.60799999999999998</v>
      </c>
      <c r="AB75" s="1">
        <v>62.8</v>
      </c>
      <c r="AC75" s="1">
        <v>94.5</v>
      </c>
      <c r="AN75" t="s">
        <v>319</v>
      </c>
    </row>
    <row r="76" spans="1:40" ht="22" customHeight="1">
      <c r="A76" s="1" t="s">
        <v>248</v>
      </c>
      <c r="B76" s="1" t="s">
        <v>290</v>
      </c>
      <c r="C76" s="1">
        <v>67.099999999999994</v>
      </c>
      <c r="D76" s="1">
        <v>409.4</v>
      </c>
      <c r="E76" s="1">
        <v>178.8</v>
      </c>
      <c r="F76" s="1">
        <v>8.8000000000000007</v>
      </c>
      <c r="G76" s="1">
        <v>14.3</v>
      </c>
      <c r="H76" s="1">
        <v>10.199999999999999</v>
      </c>
      <c r="I76" s="1">
        <v>360.4</v>
      </c>
      <c r="J76" s="1">
        <v>6.25</v>
      </c>
      <c r="K76" s="1">
        <v>41</v>
      </c>
      <c r="L76" s="1">
        <v>6</v>
      </c>
      <c r="M76" s="1">
        <v>96</v>
      </c>
      <c r="N76" s="1">
        <v>26</v>
      </c>
      <c r="O76" s="1">
        <v>1.5</v>
      </c>
      <c r="P76" s="1">
        <v>22.3</v>
      </c>
      <c r="Q76" s="1">
        <v>24330</v>
      </c>
      <c r="R76" s="1">
        <v>1365</v>
      </c>
      <c r="S76" s="1">
        <v>16.899999999999999</v>
      </c>
      <c r="T76" s="1">
        <v>3.99</v>
      </c>
      <c r="U76" s="1">
        <v>1189</v>
      </c>
      <c r="V76" s="1">
        <v>153</v>
      </c>
      <c r="W76" s="1">
        <v>1346</v>
      </c>
      <c r="X76" s="1">
        <v>237</v>
      </c>
      <c r="Y76" s="1">
        <v>0.88</v>
      </c>
      <c r="Z76" s="1">
        <v>30.5</v>
      </c>
      <c r="AA76" s="1">
        <v>0.53300000000000003</v>
      </c>
      <c r="AB76" s="1">
        <v>46.1</v>
      </c>
      <c r="AC76" s="1">
        <v>85.5</v>
      </c>
      <c r="AN76" t="s">
        <v>320</v>
      </c>
    </row>
    <row r="77" spans="1:40" ht="22" customHeight="1">
      <c r="A77" s="1" t="s">
        <v>248</v>
      </c>
      <c r="B77" s="1" t="s">
        <v>291</v>
      </c>
      <c r="C77" s="1">
        <v>6.1</v>
      </c>
      <c r="D77" s="1">
        <v>406.4</v>
      </c>
      <c r="E77" s="1">
        <v>177.9</v>
      </c>
      <c r="F77" s="1">
        <v>7.9</v>
      </c>
      <c r="G77" s="1">
        <v>12.8</v>
      </c>
      <c r="H77" s="1">
        <v>10.199999999999999</v>
      </c>
      <c r="I77" s="1">
        <v>360.4</v>
      </c>
      <c r="J77" s="1">
        <v>6.95</v>
      </c>
      <c r="K77" s="1">
        <v>45.6</v>
      </c>
      <c r="L77" s="1">
        <v>6</v>
      </c>
      <c r="M77" s="1">
        <v>96</v>
      </c>
      <c r="N77" s="1">
        <v>24</v>
      </c>
      <c r="O77" s="1">
        <v>1.49</v>
      </c>
      <c r="P77" s="1">
        <v>24.8</v>
      </c>
      <c r="Q77" s="1">
        <v>21600</v>
      </c>
      <c r="R77" s="1">
        <v>1203</v>
      </c>
      <c r="S77" s="1">
        <v>16.8</v>
      </c>
      <c r="T77" s="1">
        <v>3.97</v>
      </c>
      <c r="U77" s="1">
        <v>1063</v>
      </c>
      <c r="V77" s="1">
        <v>135</v>
      </c>
      <c r="W77" s="1">
        <v>1199</v>
      </c>
      <c r="X77" s="1">
        <v>209</v>
      </c>
      <c r="Y77" s="1">
        <v>0.88</v>
      </c>
      <c r="Z77" s="1">
        <v>33.799999999999997</v>
      </c>
      <c r="AA77" s="1">
        <v>0.46600000000000003</v>
      </c>
      <c r="AB77" s="1">
        <v>33.299999999999997</v>
      </c>
      <c r="AC77" s="1">
        <v>76.5</v>
      </c>
      <c r="AN77" t="s">
        <v>321</v>
      </c>
    </row>
    <row r="78" spans="1:40" ht="22" customHeight="1">
      <c r="A78" s="1" t="s">
        <v>248</v>
      </c>
      <c r="B78" s="1" t="s">
        <v>292</v>
      </c>
      <c r="C78" s="1">
        <v>54.1</v>
      </c>
      <c r="D78" s="1">
        <v>402.6</v>
      </c>
      <c r="E78" s="1">
        <v>177.7</v>
      </c>
      <c r="F78" s="1">
        <v>7.7</v>
      </c>
      <c r="G78" s="1">
        <v>10.9</v>
      </c>
      <c r="H78" s="1">
        <v>10.199999999999999</v>
      </c>
      <c r="I78" s="1">
        <v>360.4</v>
      </c>
      <c r="J78" s="1">
        <v>8.15</v>
      </c>
      <c r="K78" s="1">
        <v>46.8</v>
      </c>
      <c r="L78" s="1">
        <v>6</v>
      </c>
      <c r="M78" s="1">
        <v>96</v>
      </c>
      <c r="N78" s="1">
        <v>22</v>
      </c>
      <c r="O78" s="1">
        <v>1.48</v>
      </c>
      <c r="P78" s="1">
        <v>27.4</v>
      </c>
      <c r="Q78" s="1">
        <v>18720</v>
      </c>
      <c r="R78" s="1">
        <v>1021</v>
      </c>
      <c r="S78" s="1">
        <v>16.5</v>
      </c>
      <c r="T78" s="1">
        <v>3.85</v>
      </c>
      <c r="U78" s="1">
        <v>930</v>
      </c>
      <c r="V78" s="1">
        <v>115</v>
      </c>
      <c r="W78" s="1">
        <v>1055</v>
      </c>
      <c r="X78" s="1">
        <v>178</v>
      </c>
      <c r="Y78" s="1">
        <v>0.871</v>
      </c>
      <c r="Z78" s="1">
        <v>38.299999999999997</v>
      </c>
      <c r="AA78" s="1">
        <v>0.39200000000000002</v>
      </c>
      <c r="AB78" s="1">
        <v>23.1</v>
      </c>
      <c r="AC78" s="1">
        <v>69</v>
      </c>
    </row>
    <row r="79" spans="1:40" ht="22" customHeight="1">
      <c r="A79" s="1" t="s">
        <v>248</v>
      </c>
      <c r="B79" s="1" t="s">
        <v>293</v>
      </c>
      <c r="C79" s="1">
        <v>46</v>
      </c>
      <c r="D79" s="1">
        <v>403.2</v>
      </c>
      <c r="E79" s="1">
        <v>142.19999999999999</v>
      </c>
      <c r="F79" s="1">
        <v>6.8</v>
      </c>
      <c r="G79" s="1">
        <v>11.2</v>
      </c>
      <c r="H79" s="1">
        <v>10.199999999999999</v>
      </c>
      <c r="I79" s="1">
        <v>360.4</v>
      </c>
      <c r="J79" s="1">
        <v>6.35</v>
      </c>
      <c r="K79" s="1">
        <v>53</v>
      </c>
      <c r="L79" s="1">
        <v>5</v>
      </c>
      <c r="M79" s="1">
        <v>78</v>
      </c>
      <c r="N79" s="1">
        <v>22</v>
      </c>
      <c r="O79" s="1">
        <v>1.34</v>
      </c>
      <c r="P79" s="1">
        <v>29.2</v>
      </c>
      <c r="Q79" s="1">
        <v>15690</v>
      </c>
      <c r="R79" s="1">
        <v>538</v>
      </c>
      <c r="S79" s="1">
        <v>16.399999999999999</v>
      </c>
      <c r="T79" s="1">
        <v>3.03</v>
      </c>
      <c r="U79" s="1">
        <v>778</v>
      </c>
      <c r="V79" s="1">
        <v>75.7</v>
      </c>
      <c r="W79" s="1">
        <v>888</v>
      </c>
      <c r="X79" s="1">
        <v>118</v>
      </c>
      <c r="Y79" s="1">
        <v>0.871</v>
      </c>
      <c r="Z79" s="1">
        <v>38.9</v>
      </c>
      <c r="AA79" s="1">
        <v>0.20699999999999999</v>
      </c>
      <c r="AB79" s="1">
        <v>19</v>
      </c>
      <c r="AC79" s="1">
        <v>58.6</v>
      </c>
    </row>
    <row r="80" spans="1:40" ht="22" customHeight="1">
      <c r="A80" s="1" t="s">
        <v>248</v>
      </c>
      <c r="B80" s="1" t="s">
        <v>294</v>
      </c>
      <c r="C80" s="1">
        <v>39</v>
      </c>
      <c r="D80" s="1">
        <v>398</v>
      </c>
      <c r="E80" s="1">
        <v>141.80000000000001</v>
      </c>
      <c r="F80" s="1">
        <v>6.4</v>
      </c>
      <c r="G80" s="1">
        <v>8.6</v>
      </c>
      <c r="H80" s="1">
        <v>10.199999999999999</v>
      </c>
      <c r="I80" s="1">
        <v>360.4</v>
      </c>
      <c r="J80" s="1">
        <v>8.24</v>
      </c>
      <c r="K80" s="1">
        <v>56.3</v>
      </c>
      <c r="L80" s="1">
        <v>5</v>
      </c>
      <c r="M80" s="1">
        <v>78</v>
      </c>
      <c r="N80" s="1">
        <v>20</v>
      </c>
      <c r="O80" s="1">
        <v>1.33</v>
      </c>
      <c r="P80" s="1">
        <v>34.200000000000003</v>
      </c>
      <c r="Q80" s="1">
        <v>12510</v>
      </c>
      <c r="R80" s="1">
        <v>410</v>
      </c>
      <c r="S80" s="1">
        <v>15.9</v>
      </c>
      <c r="T80" s="1">
        <v>2.87</v>
      </c>
      <c r="U80" s="1">
        <v>629</v>
      </c>
      <c r="V80" s="1">
        <v>57.8</v>
      </c>
      <c r="W80" s="1">
        <v>724</v>
      </c>
      <c r="X80" s="1">
        <v>90.8</v>
      </c>
      <c r="Y80" s="1">
        <v>0.85799999999999998</v>
      </c>
      <c r="Z80" s="1">
        <v>47.5</v>
      </c>
      <c r="AA80" s="1">
        <v>0.155</v>
      </c>
      <c r="AB80" s="1">
        <v>10.7</v>
      </c>
      <c r="AC80" s="1">
        <v>49.7</v>
      </c>
    </row>
    <row r="81" spans="1:29" ht="22" customHeight="1">
      <c r="A81" s="1" t="s">
        <v>248</v>
      </c>
      <c r="B81" s="1" t="s">
        <v>295</v>
      </c>
      <c r="C81" s="1">
        <v>67.099999999999994</v>
      </c>
      <c r="D81" s="1">
        <v>363.4</v>
      </c>
      <c r="E81" s="1">
        <v>173.2</v>
      </c>
      <c r="F81" s="1">
        <v>9.1</v>
      </c>
      <c r="G81" s="1">
        <v>15.7</v>
      </c>
      <c r="H81" s="1">
        <v>10.199999999999999</v>
      </c>
      <c r="I81" s="1">
        <v>311.60000000000002</v>
      </c>
      <c r="J81" s="1">
        <v>5.52</v>
      </c>
      <c r="K81" s="1">
        <v>34.200000000000003</v>
      </c>
      <c r="L81" s="1">
        <v>7</v>
      </c>
      <c r="M81" s="1">
        <v>94</v>
      </c>
      <c r="N81" s="1">
        <v>26</v>
      </c>
      <c r="O81" s="1">
        <v>1.38</v>
      </c>
      <c r="P81" s="1">
        <v>20.6</v>
      </c>
      <c r="Q81" s="1">
        <v>19460</v>
      </c>
      <c r="R81" s="1">
        <v>1362</v>
      </c>
      <c r="S81" s="1">
        <v>15.1</v>
      </c>
      <c r="T81" s="1">
        <v>3.99</v>
      </c>
      <c r="U81" s="1">
        <v>1071</v>
      </c>
      <c r="V81" s="1">
        <v>157</v>
      </c>
      <c r="W81" s="1">
        <v>1211</v>
      </c>
      <c r="X81" s="1">
        <v>243</v>
      </c>
      <c r="Y81" s="1">
        <v>0.88600000000000001</v>
      </c>
      <c r="Z81" s="1">
        <v>24.4</v>
      </c>
      <c r="AA81" s="1">
        <v>0.41199999999999998</v>
      </c>
      <c r="AB81" s="1">
        <v>55.7</v>
      </c>
      <c r="AC81" s="1">
        <v>85.5</v>
      </c>
    </row>
    <row r="82" spans="1:29" ht="22" customHeight="1">
      <c r="A82" s="1" t="s">
        <v>248</v>
      </c>
      <c r="B82" s="1" t="s">
        <v>296</v>
      </c>
      <c r="C82" s="1">
        <v>54</v>
      </c>
      <c r="D82" s="1">
        <v>358</v>
      </c>
      <c r="E82" s="1">
        <v>172.2</v>
      </c>
      <c r="F82" s="1">
        <v>8.1</v>
      </c>
      <c r="G82" s="1">
        <v>13</v>
      </c>
      <c r="H82" s="1">
        <v>10.199999999999999</v>
      </c>
      <c r="I82" s="1">
        <v>311.60000000000002</v>
      </c>
      <c r="J82" s="1">
        <v>6.62</v>
      </c>
      <c r="K82" s="1">
        <v>38.5</v>
      </c>
      <c r="L82" s="1">
        <v>6</v>
      </c>
      <c r="M82" s="1">
        <v>94</v>
      </c>
      <c r="N82" s="1">
        <v>24</v>
      </c>
      <c r="O82" s="1">
        <v>1.37</v>
      </c>
      <c r="P82" s="1">
        <v>24.1</v>
      </c>
      <c r="Q82" s="1">
        <v>16040</v>
      </c>
      <c r="R82" s="1">
        <v>1108</v>
      </c>
      <c r="S82" s="1">
        <v>14.9</v>
      </c>
      <c r="T82" s="1">
        <v>3.91</v>
      </c>
      <c r="U82" s="1">
        <v>896</v>
      </c>
      <c r="V82" s="1">
        <v>129</v>
      </c>
      <c r="W82" s="1">
        <v>1010</v>
      </c>
      <c r="X82" s="1">
        <v>199</v>
      </c>
      <c r="Y82" s="1">
        <v>0.88200000000000001</v>
      </c>
      <c r="Z82" s="1">
        <v>28.8</v>
      </c>
      <c r="AA82" s="1">
        <v>0.33</v>
      </c>
      <c r="AB82" s="1">
        <v>33.4</v>
      </c>
      <c r="AC82" s="1">
        <v>72.599999999999994</v>
      </c>
    </row>
    <row r="83" spans="1:29" ht="22" customHeight="1">
      <c r="A83" s="1" t="s">
        <v>248</v>
      </c>
      <c r="B83" s="1" t="s">
        <v>297</v>
      </c>
      <c r="C83" s="1">
        <v>51</v>
      </c>
      <c r="D83" s="1">
        <v>355</v>
      </c>
      <c r="E83" s="1">
        <v>171.5</v>
      </c>
      <c r="F83" s="1">
        <v>7.4</v>
      </c>
      <c r="G83" s="1">
        <v>11.5</v>
      </c>
      <c r="H83" s="1">
        <v>10.199999999999999</v>
      </c>
      <c r="I83" s="1">
        <v>311.60000000000002</v>
      </c>
      <c r="J83" s="1">
        <v>7.46</v>
      </c>
      <c r="K83" s="1">
        <v>42.1</v>
      </c>
      <c r="L83" s="1">
        <v>6</v>
      </c>
      <c r="M83" s="1">
        <v>94</v>
      </c>
      <c r="N83" s="1">
        <v>22</v>
      </c>
      <c r="O83" s="1">
        <v>1.36</v>
      </c>
      <c r="P83" s="1">
        <v>26.7</v>
      </c>
      <c r="Q83" s="1">
        <v>14140</v>
      </c>
      <c r="R83" s="1">
        <v>968</v>
      </c>
      <c r="S83" s="1">
        <v>14.8</v>
      </c>
      <c r="T83" s="1">
        <v>3.86</v>
      </c>
      <c r="U83" s="1">
        <v>796</v>
      </c>
      <c r="V83" s="1">
        <v>113</v>
      </c>
      <c r="W83" s="1">
        <v>896</v>
      </c>
      <c r="X83" s="1">
        <v>174</v>
      </c>
      <c r="Y83" s="1">
        <v>0.88100000000000001</v>
      </c>
      <c r="Z83" s="1">
        <v>32.1</v>
      </c>
      <c r="AA83" s="1">
        <v>0.28599999999999998</v>
      </c>
      <c r="AB83" s="1">
        <v>23.8</v>
      </c>
      <c r="AC83" s="1">
        <v>64.900000000000006</v>
      </c>
    </row>
    <row r="84" spans="1:29" ht="22" customHeight="1">
      <c r="A84" s="1" t="s">
        <v>248</v>
      </c>
      <c r="B84" s="1" t="s">
        <v>298</v>
      </c>
      <c r="C84" s="1">
        <v>45</v>
      </c>
      <c r="D84" s="1">
        <v>351.4</v>
      </c>
      <c r="E84" s="1">
        <v>171.1</v>
      </c>
      <c r="F84" s="1">
        <v>7</v>
      </c>
      <c r="G84" s="1">
        <v>9.6999999999999993</v>
      </c>
      <c r="H84" s="1">
        <v>10.199999999999999</v>
      </c>
      <c r="I84" s="1">
        <v>311.60000000000002</v>
      </c>
      <c r="J84" s="1">
        <v>8.82</v>
      </c>
      <c r="K84" s="1">
        <v>44.5</v>
      </c>
      <c r="L84" s="1">
        <v>6</v>
      </c>
      <c r="M84" s="1">
        <v>94</v>
      </c>
      <c r="N84" s="1">
        <v>20</v>
      </c>
      <c r="O84" s="1">
        <v>1.36</v>
      </c>
      <c r="P84" s="1">
        <v>30.1</v>
      </c>
      <c r="Q84" s="1">
        <v>12070</v>
      </c>
      <c r="R84" s="1">
        <v>811</v>
      </c>
      <c r="S84" s="1">
        <v>14.5</v>
      </c>
      <c r="T84" s="1">
        <v>3.76</v>
      </c>
      <c r="U84" s="1">
        <v>687</v>
      </c>
      <c r="V84" s="1">
        <v>94.8</v>
      </c>
      <c r="W84" s="1">
        <v>775</v>
      </c>
      <c r="X84" s="1">
        <v>147</v>
      </c>
      <c r="Y84" s="1">
        <v>0.874</v>
      </c>
      <c r="Z84" s="1">
        <v>36.799999999999997</v>
      </c>
      <c r="AA84" s="1">
        <v>0.23699999999999999</v>
      </c>
      <c r="AB84" s="1">
        <v>15.8</v>
      </c>
      <c r="AC84" s="1">
        <v>57.3</v>
      </c>
    </row>
    <row r="85" spans="1:29" ht="22" customHeight="1">
      <c r="A85" s="1" t="s">
        <v>248</v>
      </c>
      <c r="B85" s="1" t="s">
        <v>299</v>
      </c>
      <c r="C85" s="1">
        <v>39.1</v>
      </c>
      <c r="D85" s="1">
        <v>353.4</v>
      </c>
      <c r="E85" s="1">
        <v>126</v>
      </c>
      <c r="F85" s="1">
        <v>6.6</v>
      </c>
      <c r="G85" s="1">
        <v>10.7</v>
      </c>
      <c r="H85" s="1">
        <v>10.199999999999999</v>
      </c>
      <c r="I85" s="1">
        <v>311.60000000000002</v>
      </c>
      <c r="J85" s="1">
        <v>5.89</v>
      </c>
      <c r="K85" s="1">
        <v>47.2</v>
      </c>
      <c r="L85" s="1">
        <v>5</v>
      </c>
      <c r="M85" s="1">
        <v>70</v>
      </c>
      <c r="N85" s="1">
        <v>22</v>
      </c>
      <c r="O85" s="1">
        <v>1.18</v>
      </c>
      <c r="P85" s="1">
        <v>30.2</v>
      </c>
      <c r="Q85" s="1">
        <v>10170</v>
      </c>
      <c r="R85" s="1">
        <v>358</v>
      </c>
      <c r="S85" s="1">
        <v>14.3</v>
      </c>
      <c r="T85" s="1">
        <v>2.68</v>
      </c>
      <c r="U85" s="1">
        <v>576</v>
      </c>
      <c r="V85" s="1">
        <v>56.8</v>
      </c>
      <c r="W85" s="1">
        <v>659</v>
      </c>
      <c r="X85" s="1">
        <v>89.1</v>
      </c>
      <c r="Y85" s="1">
        <v>0.871</v>
      </c>
      <c r="Z85" s="1">
        <v>35.200000000000003</v>
      </c>
      <c r="AA85" s="1">
        <v>0.105</v>
      </c>
      <c r="AB85" s="1">
        <v>15.1</v>
      </c>
      <c r="AC85" s="1">
        <v>49.8</v>
      </c>
    </row>
    <row r="86" spans="1:29" ht="22" customHeight="1">
      <c r="A86" s="1" t="s">
        <v>248</v>
      </c>
      <c r="B86" s="1" t="s">
        <v>300</v>
      </c>
      <c r="C86" s="1">
        <v>33.1</v>
      </c>
      <c r="D86" s="1">
        <v>349</v>
      </c>
      <c r="E86" s="1">
        <v>125.4</v>
      </c>
      <c r="F86" s="1">
        <v>6</v>
      </c>
      <c r="G86" s="1">
        <v>8.5</v>
      </c>
      <c r="H86" s="1">
        <v>10.199999999999999</v>
      </c>
      <c r="I86" s="1">
        <v>311.60000000000002</v>
      </c>
      <c r="J86" s="1">
        <v>7.38</v>
      </c>
      <c r="K86" s="1">
        <v>51.9</v>
      </c>
      <c r="L86" s="1">
        <v>5</v>
      </c>
      <c r="M86" s="1">
        <v>70</v>
      </c>
      <c r="N86" s="1">
        <v>20</v>
      </c>
      <c r="O86" s="1">
        <v>1.17</v>
      </c>
      <c r="P86" s="1">
        <v>35.4</v>
      </c>
      <c r="Q86" s="1">
        <v>8249</v>
      </c>
      <c r="R86" s="1">
        <v>280</v>
      </c>
      <c r="S86" s="1">
        <v>14</v>
      </c>
      <c r="T86" s="1">
        <v>2.58</v>
      </c>
      <c r="U86" s="1">
        <v>473</v>
      </c>
      <c r="V86" s="1">
        <v>44.7</v>
      </c>
      <c r="W86" s="1">
        <v>543</v>
      </c>
      <c r="X86" s="1">
        <v>70.3</v>
      </c>
      <c r="Y86" s="1">
        <v>0.86299999999999999</v>
      </c>
      <c r="Z86" s="1">
        <v>42.2</v>
      </c>
      <c r="AA86" s="1">
        <v>8.1199999999999994E-2</v>
      </c>
      <c r="AB86" s="1">
        <v>8.7899999999999991</v>
      </c>
      <c r="AC86" s="1">
        <v>42.1</v>
      </c>
    </row>
    <row r="87" spans="1:29" ht="22" customHeight="1">
      <c r="A87" s="1" t="s">
        <v>248</v>
      </c>
      <c r="B87" s="1" t="s">
        <v>301</v>
      </c>
      <c r="C87" s="1">
        <v>54</v>
      </c>
      <c r="D87" s="1">
        <v>310.39999999999998</v>
      </c>
      <c r="E87" s="1">
        <v>166.9</v>
      </c>
      <c r="F87" s="1">
        <v>7.9</v>
      </c>
      <c r="G87" s="1">
        <v>13.7</v>
      </c>
      <c r="H87" s="1">
        <v>8.9</v>
      </c>
      <c r="I87" s="1">
        <v>265.2</v>
      </c>
      <c r="J87" s="1">
        <v>6.09</v>
      </c>
      <c r="K87" s="1">
        <v>33.6</v>
      </c>
      <c r="L87" s="1">
        <v>6</v>
      </c>
      <c r="M87" s="1">
        <v>90</v>
      </c>
      <c r="N87" s="1">
        <v>24</v>
      </c>
      <c r="O87" s="1">
        <v>1.26</v>
      </c>
      <c r="P87" s="1">
        <v>23.3</v>
      </c>
      <c r="Q87" s="1">
        <v>11700</v>
      </c>
      <c r="R87" s="1">
        <v>1063</v>
      </c>
      <c r="S87" s="1">
        <v>13</v>
      </c>
      <c r="T87" s="1">
        <v>3.93</v>
      </c>
      <c r="U87" s="1">
        <v>754</v>
      </c>
      <c r="V87" s="1">
        <v>127</v>
      </c>
      <c r="W87" s="1">
        <v>846</v>
      </c>
      <c r="X87" s="1">
        <v>196</v>
      </c>
      <c r="Y87" s="1">
        <v>0.88900000000000001</v>
      </c>
      <c r="Z87" s="1">
        <v>23.6</v>
      </c>
      <c r="AA87" s="1">
        <v>0.23400000000000001</v>
      </c>
      <c r="AB87" s="1">
        <v>34.799999999999997</v>
      </c>
      <c r="AC87" s="1">
        <v>68.8</v>
      </c>
    </row>
    <row r="88" spans="1:29" ht="22" customHeight="1">
      <c r="A88" s="1" t="s">
        <v>248</v>
      </c>
      <c r="B88" s="1" t="s">
        <v>302</v>
      </c>
      <c r="C88" s="1">
        <v>46.1</v>
      </c>
      <c r="D88" s="1">
        <v>306.60000000000002</v>
      </c>
      <c r="E88" s="1">
        <v>165.7</v>
      </c>
      <c r="F88" s="1">
        <v>6.7</v>
      </c>
      <c r="G88" s="1">
        <v>11.8</v>
      </c>
      <c r="H88" s="1">
        <v>8.9</v>
      </c>
      <c r="I88" s="1">
        <v>265.2</v>
      </c>
      <c r="J88" s="1">
        <v>7.02</v>
      </c>
      <c r="K88" s="1">
        <v>39.6</v>
      </c>
      <c r="L88" s="1">
        <v>5</v>
      </c>
      <c r="M88" s="1">
        <v>90</v>
      </c>
      <c r="N88" s="1">
        <v>22</v>
      </c>
      <c r="O88" s="1">
        <v>1.25</v>
      </c>
      <c r="P88" s="1">
        <v>27.1</v>
      </c>
      <c r="Q88" s="1">
        <v>9899</v>
      </c>
      <c r="R88" s="1">
        <v>896</v>
      </c>
      <c r="S88" s="1">
        <v>13</v>
      </c>
      <c r="T88" s="1">
        <v>3.9</v>
      </c>
      <c r="U88" s="1">
        <v>646</v>
      </c>
      <c r="V88" s="1">
        <v>108</v>
      </c>
      <c r="W88" s="1">
        <v>720</v>
      </c>
      <c r="X88" s="1">
        <v>166</v>
      </c>
      <c r="Y88" s="1">
        <v>0.89100000000000001</v>
      </c>
      <c r="Z88" s="1">
        <v>27.1</v>
      </c>
      <c r="AA88" s="1">
        <v>0.19500000000000001</v>
      </c>
      <c r="AB88" s="1">
        <v>22.2</v>
      </c>
      <c r="AC88" s="1">
        <v>58.7</v>
      </c>
    </row>
    <row r="89" spans="1:29" ht="22" customHeight="1">
      <c r="A89" s="1" t="s">
        <v>248</v>
      </c>
      <c r="B89" s="1" t="s">
        <v>303</v>
      </c>
      <c r="C89" s="1">
        <v>40.299999999999997</v>
      </c>
      <c r="D89" s="1">
        <v>303.39999999999998</v>
      </c>
      <c r="E89" s="1">
        <v>165</v>
      </c>
      <c r="F89" s="1">
        <v>6</v>
      </c>
      <c r="G89" s="1">
        <v>10.199999999999999</v>
      </c>
      <c r="H89" s="1">
        <v>8.9</v>
      </c>
      <c r="I89" s="1">
        <v>265.2</v>
      </c>
      <c r="J89" s="1">
        <v>8.09</v>
      </c>
      <c r="K89" s="1">
        <v>44.2</v>
      </c>
      <c r="L89" s="1">
        <v>5</v>
      </c>
      <c r="M89" s="1">
        <v>90</v>
      </c>
      <c r="N89" s="1">
        <v>20</v>
      </c>
      <c r="O89" s="1">
        <v>1.24</v>
      </c>
      <c r="P89" s="1">
        <v>30.8</v>
      </c>
      <c r="Q89" s="1">
        <v>8503</v>
      </c>
      <c r="R89" s="1">
        <v>764</v>
      </c>
      <c r="S89" s="1">
        <v>12.9</v>
      </c>
      <c r="T89" s="1">
        <v>3.86</v>
      </c>
      <c r="U89" s="1">
        <v>560</v>
      </c>
      <c r="V89" s="1">
        <v>92.6</v>
      </c>
      <c r="W89" s="1">
        <v>623</v>
      </c>
      <c r="X89" s="1">
        <v>142</v>
      </c>
      <c r="Y89" s="1">
        <v>0.88900000000000001</v>
      </c>
      <c r="Z89" s="1">
        <v>31</v>
      </c>
      <c r="AA89" s="1">
        <v>0.16400000000000001</v>
      </c>
      <c r="AB89" s="1">
        <v>14.7</v>
      </c>
      <c r="AC89" s="1">
        <v>51.3</v>
      </c>
    </row>
    <row r="90" spans="1:29" ht="22" customHeight="1">
      <c r="A90" s="1" t="s">
        <v>248</v>
      </c>
      <c r="B90" s="1" t="s">
        <v>304</v>
      </c>
      <c r="C90" s="1">
        <v>48.1</v>
      </c>
      <c r="D90" s="1">
        <v>311</v>
      </c>
      <c r="E90" s="1">
        <v>125.3</v>
      </c>
      <c r="F90" s="1">
        <v>9</v>
      </c>
      <c r="G90" s="1">
        <v>14</v>
      </c>
      <c r="H90" s="1">
        <v>8.9</v>
      </c>
      <c r="I90" s="1">
        <v>265.2</v>
      </c>
      <c r="J90" s="1">
        <v>4.4800000000000004</v>
      </c>
      <c r="K90" s="1">
        <v>29.5</v>
      </c>
      <c r="L90" s="1">
        <v>7</v>
      </c>
      <c r="M90" s="1">
        <v>70</v>
      </c>
      <c r="N90" s="1">
        <v>24</v>
      </c>
      <c r="O90" s="1">
        <v>1.0900000000000001</v>
      </c>
      <c r="P90" s="1">
        <v>22.7</v>
      </c>
      <c r="Q90" s="1">
        <v>9575</v>
      </c>
      <c r="R90" s="1">
        <v>461</v>
      </c>
      <c r="S90" s="1">
        <v>12.5</v>
      </c>
      <c r="T90" s="1">
        <v>2.74</v>
      </c>
      <c r="U90" s="1">
        <v>616</v>
      </c>
      <c r="V90" s="1">
        <v>73.599999999999994</v>
      </c>
      <c r="W90" s="1">
        <v>711</v>
      </c>
      <c r="X90" s="1">
        <v>116</v>
      </c>
      <c r="Y90" s="1">
        <v>0.873</v>
      </c>
      <c r="Z90" s="1">
        <v>23.3</v>
      </c>
      <c r="AA90" s="1">
        <v>0.10199999999999999</v>
      </c>
      <c r="AB90" s="1">
        <v>31.8</v>
      </c>
      <c r="AC90" s="1">
        <v>61.2</v>
      </c>
    </row>
    <row r="91" spans="1:29" ht="22" customHeight="1">
      <c r="A91" s="1" t="s">
        <v>248</v>
      </c>
      <c r="B91" s="1" t="s">
        <v>305</v>
      </c>
      <c r="C91" s="1">
        <v>41.9</v>
      </c>
      <c r="D91" s="1">
        <v>307.2</v>
      </c>
      <c r="E91" s="1">
        <v>124.3</v>
      </c>
      <c r="F91" s="1">
        <v>8</v>
      </c>
      <c r="G91" s="1">
        <v>12.1</v>
      </c>
      <c r="H91" s="1">
        <v>8.9</v>
      </c>
      <c r="I91" s="1">
        <v>265.2</v>
      </c>
      <c r="J91" s="1">
        <v>5.14</v>
      </c>
      <c r="K91" s="1">
        <v>33.200000000000003</v>
      </c>
      <c r="L91" s="1">
        <v>6</v>
      </c>
      <c r="M91" s="1">
        <v>70</v>
      </c>
      <c r="N91" s="1">
        <v>22</v>
      </c>
      <c r="O91" s="1">
        <v>1.08</v>
      </c>
      <c r="P91" s="1">
        <v>25.8</v>
      </c>
      <c r="Q91" s="1">
        <v>8196</v>
      </c>
      <c r="R91" s="1">
        <v>389</v>
      </c>
      <c r="S91" s="1">
        <v>12.4</v>
      </c>
      <c r="T91" s="1">
        <v>2.7</v>
      </c>
      <c r="U91" s="1">
        <v>534</v>
      </c>
      <c r="V91" s="1">
        <v>62.6</v>
      </c>
      <c r="W91" s="1">
        <v>614</v>
      </c>
      <c r="X91" s="1">
        <v>98.4</v>
      </c>
      <c r="Y91" s="1">
        <v>0.872</v>
      </c>
      <c r="Z91" s="1">
        <v>26.5</v>
      </c>
      <c r="AA91" s="1">
        <v>8.4599999999999995E-2</v>
      </c>
      <c r="AB91" s="1">
        <v>21.1</v>
      </c>
      <c r="AC91" s="1">
        <v>53.4</v>
      </c>
    </row>
    <row r="92" spans="1:29" ht="22" customHeight="1">
      <c r="A92" s="1" t="s">
        <v>248</v>
      </c>
      <c r="B92" s="1" t="s">
        <v>306</v>
      </c>
      <c r="C92" s="1">
        <v>37</v>
      </c>
      <c r="D92" s="1">
        <v>304.39999999999998</v>
      </c>
      <c r="E92" s="1">
        <v>123.4</v>
      </c>
      <c r="F92" s="1">
        <v>7.1</v>
      </c>
      <c r="G92" s="1">
        <v>10.7</v>
      </c>
      <c r="H92" s="1">
        <v>8.9</v>
      </c>
      <c r="I92" s="1">
        <v>265.2</v>
      </c>
      <c r="J92" s="1">
        <v>5.77</v>
      </c>
      <c r="K92" s="1">
        <v>37.4</v>
      </c>
      <c r="L92" s="1">
        <v>6</v>
      </c>
      <c r="M92" s="1">
        <v>70</v>
      </c>
      <c r="N92" s="1">
        <v>20</v>
      </c>
      <c r="O92" s="1">
        <v>1.07</v>
      </c>
      <c r="P92" s="1">
        <v>29</v>
      </c>
      <c r="Q92" s="1">
        <v>7171</v>
      </c>
      <c r="R92" s="1">
        <v>336</v>
      </c>
      <c r="S92" s="1">
        <v>12.3</v>
      </c>
      <c r="T92" s="1">
        <v>2.67</v>
      </c>
      <c r="U92" s="1">
        <v>471</v>
      </c>
      <c r="V92" s="1">
        <v>54.5</v>
      </c>
      <c r="W92" s="1">
        <v>539</v>
      </c>
      <c r="X92" s="1">
        <v>85.4</v>
      </c>
      <c r="Y92" s="1">
        <v>0.872</v>
      </c>
      <c r="Z92" s="1">
        <v>29.7</v>
      </c>
      <c r="AA92" s="1">
        <v>7.2499999999999995E-2</v>
      </c>
      <c r="AB92" s="1">
        <v>14.8</v>
      </c>
      <c r="AC92" s="1">
        <v>47.2</v>
      </c>
    </row>
    <row r="93" spans="1:29" ht="22" customHeight="1">
      <c r="A93" s="1" t="s">
        <v>248</v>
      </c>
      <c r="B93" s="1" t="s">
        <v>307</v>
      </c>
      <c r="C93" s="1">
        <v>32.799999999999997</v>
      </c>
      <c r="D93" s="1">
        <v>312.7</v>
      </c>
      <c r="E93" s="1">
        <v>102.4</v>
      </c>
      <c r="F93" s="1">
        <v>6.6</v>
      </c>
      <c r="G93" s="1">
        <v>10.8</v>
      </c>
      <c r="H93" s="1">
        <v>7.6</v>
      </c>
      <c r="I93" s="1">
        <v>275.89999999999998</v>
      </c>
      <c r="J93" s="1">
        <v>4.74</v>
      </c>
      <c r="K93" s="1">
        <v>41.8</v>
      </c>
      <c r="L93" s="1">
        <v>5</v>
      </c>
      <c r="M93" s="1">
        <v>58</v>
      </c>
      <c r="N93" s="1">
        <v>20</v>
      </c>
      <c r="O93" s="1">
        <v>1.01</v>
      </c>
      <c r="P93" s="1">
        <v>30.8</v>
      </c>
      <c r="Q93" s="1">
        <v>6501</v>
      </c>
      <c r="R93" s="1">
        <v>194</v>
      </c>
      <c r="S93" s="1">
        <v>12.5</v>
      </c>
      <c r="T93" s="1">
        <v>2.15</v>
      </c>
      <c r="U93" s="1">
        <v>416</v>
      </c>
      <c r="V93" s="1">
        <v>37.9</v>
      </c>
      <c r="W93" s="1">
        <v>481</v>
      </c>
      <c r="X93" s="1">
        <v>60</v>
      </c>
      <c r="Y93" s="1">
        <v>0.86599999999999999</v>
      </c>
      <c r="Z93" s="1">
        <v>31.6</v>
      </c>
      <c r="AA93" s="1">
        <v>4.4200000000000003E-2</v>
      </c>
      <c r="AB93" s="1">
        <v>12.2</v>
      </c>
      <c r="AC93" s="1">
        <v>41.8</v>
      </c>
    </row>
    <row r="94" spans="1:29" ht="22" customHeight="1">
      <c r="A94" s="1" t="s">
        <v>248</v>
      </c>
      <c r="B94" s="1" t="s">
        <v>308</v>
      </c>
      <c r="C94" s="1">
        <v>28.2</v>
      </c>
      <c r="D94" s="1">
        <v>308.7</v>
      </c>
      <c r="E94" s="1">
        <v>101.8</v>
      </c>
      <c r="F94" s="1">
        <v>6</v>
      </c>
      <c r="G94" s="1">
        <v>8.8000000000000007</v>
      </c>
      <c r="H94" s="1">
        <v>7.6</v>
      </c>
      <c r="I94" s="1">
        <v>275.89999999999998</v>
      </c>
      <c r="J94" s="1">
        <v>5.78</v>
      </c>
      <c r="K94" s="1">
        <v>46</v>
      </c>
      <c r="L94" s="1">
        <v>5</v>
      </c>
      <c r="M94" s="1">
        <v>58</v>
      </c>
      <c r="N94" s="1">
        <v>18</v>
      </c>
      <c r="O94" s="1">
        <v>1</v>
      </c>
      <c r="P94" s="1">
        <v>35.4</v>
      </c>
      <c r="Q94" s="1">
        <v>5366</v>
      </c>
      <c r="R94" s="1">
        <v>155</v>
      </c>
      <c r="S94" s="1">
        <v>12.2</v>
      </c>
      <c r="T94" s="1">
        <v>2.08</v>
      </c>
      <c r="U94" s="1">
        <v>348</v>
      </c>
      <c r="V94" s="1">
        <v>30.5</v>
      </c>
      <c r="W94" s="1">
        <v>403</v>
      </c>
      <c r="X94" s="1">
        <v>48.5</v>
      </c>
      <c r="Y94" s="1">
        <v>0.85899999999999999</v>
      </c>
      <c r="Z94" s="1">
        <v>37.4</v>
      </c>
      <c r="AA94" s="1">
        <v>3.49E-2</v>
      </c>
      <c r="AB94" s="1">
        <v>7.4</v>
      </c>
      <c r="AC94" s="1">
        <v>35.9</v>
      </c>
    </row>
    <row r="95" spans="1:29" ht="22" customHeight="1">
      <c r="A95" s="1" t="s">
        <v>248</v>
      </c>
      <c r="B95" s="1" t="s">
        <v>309</v>
      </c>
      <c r="C95" s="1">
        <v>24.8</v>
      </c>
      <c r="D95" s="1">
        <v>305.10000000000002</v>
      </c>
      <c r="E95" s="1">
        <v>101.6</v>
      </c>
      <c r="F95" s="1">
        <v>5.8</v>
      </c>
      <c r="G95" s="1">
        <v>7</v>
      </c>
      <c r="H95" s="1">
        <v>7.6</v>
      </c>
      <c r="I95" s="1">
        <v>275.89999999999998</v>
      </c>
      <c r="J95" s="1">
        <v>7.26</v>
      </c>
      <c r="K95" s="1">
        <v>47.6</v>
      </c>
      <c r="L95" s="1">
        <v>5</v>
      </c>
      <c r="M95" s="1">
        <v>58</v>
      </c>
      <c r="N95" s="1">
        <v>16</v>
      </c>
      <c r="O95" s="1">
        <v>0.99199999999999999</v>
      </c>
      <c r="P95" s="1">
        <v>40</v>
      </c>
      <c r="Q95" s="1">
        <v>4455</v>
      </c>
      <c r="R95" s="1">
        <v>123</v>
      </c>
      <c r="S95" s="1">
        <v>11.9</v>
      </c>
      <c r="T95" s="1">
        <v>1.97</v>
      </c>
      <c r="U95" s="1">
        <v>292</v>
      </c>
      <c r="V95" s="1">
        <v>24.2</v>
      </c>
      <c r="W95" s="1">
        <v>342</v>
      </c>
      <c r="X95" s="1">
        <v>38.799999999999997</v>
      </c>
      <c r="Y95" s="1">
        <v>0.84599999999999997</v>
      </c>
      <c r="Z95" s="1">
        <v>43.4</v>
      </c>
      <c r="AA95" s="1">
        <v>2.7300000000000001E-2</v>
      </c>
      <c r="AB95" s="1">
        <v>4.7699999999999996</v>
      </c>
      <c r="AC95" s="1">
        <v>31.6</v>
      </c>
    </row>
    <row r="96" spans="1:29" ht="22" customHeight="1">
      <c r="A96" s="1" t="s">
        <v>248</v>
      </c>
      <c r="B96" s="1" t="s">
        <v>310</v>
      </c>
      <c r="C96" s="1">
        <v>43</v>
      </c>
      <c r="D96" s="1">
        <v>259.60000000000002</v>
      </c>
      <c r="E96" s="1">
        <v>147.30000000000001</v>
      </c>
      <c r="F96" s="1">
        <v>7.2</v>
      </c>
      <c r="G96" s="1">
        <v>12.7</v>
      </c>
      <c r="H96" s="1">
        <v>7.6</v>
      </c>
      <c r="I96" s="1">
        <v>219</v>
      </c>
      <c r="J96" s="1">
        <v>5.8</v>
      </c>
      <c r="K96" s="1">
        <v>30.4</v>
      </c>
      <c r="L96" s="1">
        <v>6</v>
      </c>
      <c r="M96" s="1">
        <v>82</v>
      </c>
      <c r="N96" s="1">
        <v>22</v>
      </c>
      <c r="O96" s="1">
        <v>1.08</v>
      </c>
      <c r="P96" s="1">
        <v>25.1</v>
      </c>
      <c r="Q96" s="1">
        <v>6544</v>
      </c>
      <c r="R96" s="1">
        <v>677</v>
      </c>
      <c r="S96" s="1">
        <v>10.9</v>
      </c>
      <c r="T96" s="1">
        <v>3.52</v>
      </c>
      <c r="U96" s="1">
        <v>504</v>
      </c>
      <c r="V96" s="1">
        <v>92</v>
      </c>
      <c r="W96" s="1">
        <v>566</v>
      </c>
      <c r="X96" s="1">
        <v>141</v>
      </c>
      <c r="Y96" s="1">
        <v>0.89100000000000001</v>
      </c>
      <c r="Z96" s="1">
        <v>21.2</v>
      </c>
      <c r="AA96" s="1">
        <v>0.10299999999999999</v>
      </c>
      <c r="AB96" s="1">
        <v>23.9</v>
      </c>
      <c r="AC96" s="1">
        <v>54.8</v>
      </c>
    </row>
    <row r="97" spans="1:29" ht="22" customHeight="1">
      <c r="A97" s="1" t="s">
        <v>248</v>
      </c>
      <c r="B97" s="1" t="s">
        <v>311</v>
      </c>
      <c r="C97" s="1">
        <v>37</v>
      </c>
      <c r="D97" s="1">
        <v>256</v>
      </c>
      <c r="E97" s="1">
        <v>146.4</v>
      </c>
      <c r="F97" s="1">
        <v>6.3</v>
      </c>
      <c r="G97" s="1">
        <v>10.9</v>
      </c>
      <c r="H97" s="1">
        <v>7.6</v>
      </c>
      <c r="I97" s="1">
        <v>219</v>
      </c>
      <c r="J97" s="1">
        <v>6.72</v>
      </c>
      <c r="K97" s="1">
        <v>34.799999999999997</v>
      </c>
      <c r="L97" s="1">
        <v>5</v>
      </c>
      <c r="M97" s="1">
        <v>82</v>
      </c>
      <c r="N97" s="1">
        <v>20</v>
      </c>
      <c r="O97" s="1">
        <v>1.07</v>
      </c>
      <c r="P97" s="1">
        <v>29</v>
      </c>
      <c r="Q97" s="1">
        <v>5537</v>
      </c>
      <c r="R97" s="1">
        <v>571</v>
      </c>
      <c r="S97" s="1">
        <v>10.8</v>
      </c>
      <c r="T97" s="1">
        <v>3.48</v>
      </c>
      <c r="U97" s="1">
        <v>433</v>
      </c>
      <c r="V97" s="1">
        <v>78</v>
      </c>
      <c r="W97" s="1">
        <v>483</v>
      </c>
      <c r="X97" s="1">
        <v>119</v>
      </c>
      <c r="Y97" s="1">
        <v>0.89</v>
      </c>
      <c r="Z97" s="1">
        <v>24.3</v>
      </c>
      <c r="AA97" s="1">
        <v>8.5699999999999998E-2</v>
      </c>
      <c r="AB97" s="1">
        <v>15.3</v>
      </c>
      <c r="AC97" s="1">
        <v>47.2</v>
      </c>
    </row>
    <row r="98" spans="1:29" ht="22" customHeight="1">
      <c r="A98" s="1" t="s">
        <v>248</v>
      </c>
      <c r="B98" s="1" t="s">
        <v>312</v>
      </c>
      <c r="C98" s="1">
        <v>31.1</v>
      </c>
      <c r="D98" s="1">
        <v>251.4</v>
      </c>
      <c r="E98" s="1">
        <v>146.1</v>
      </c>
      <c r="F98" s="1">
        <v>6</v>
      </c>
      <c r="G98" s="1">
        <v>8.6</v>
      </c>
      <c r="H98" s="1">
        <v>7.6</v>
      </c>
      <c r="I98" s="1">
        <v>219</v>
      </c>
      <c r="J98" s="1">
        <v>8.49</v>
      </c>
      <c r="K98" s="1">
        <v>36.5</v>
      </c>
      <c r="L98" s="1">
        <v>5</v>
      </c>
      <c r="M98" s="1">
        <v>82</v>
      </c>
      <c r="N98" s="1">
        <v>18</v>
      </c>
      <c r="O98" s="1">
        <v>1.06</v>
      </c>
      <c r="P98" s="1">
        <v>34.200000000000003</v>
      </c>
      <c r="Q98" s="1">
        <v>4413</v>
      </c>
      <c r="R98" s="1">
        <v>448</v>
      </c>
      <c r="S98" s="1">
        <v>10.5</v>
      </c>
      <c r="T98" s="1">
        <v>3.36</v>
      </c>
      <c r="U98" s="1">
        <v>351</v>
      </c>
      <c r="V98" s="1">
        <v>61.3</v>
      </c>
      <c r="W98" s="1">
        <v>393</v>
      </c>
      <c r="X98" s="1">
        <v>94.1</v>
      </c>
      <c r="Y98" s="1">
        <v>0.88</v>
      </c>
      <c r="Z98" s="1">
        <v>29.6</v>
      </c>
      <c r="AA98" s="1">
        <v>6.6000000000000003E-2</v>
      </c>
      <c r="AB98" s="1">
        <v>8.5500000000000007</v>
      </c>
      <c r="AC98" s="1">
        <v>39.700000000000003</v>
      </c>
    </row>
    <row r="99" spans="1:29" ht="22" customHeight="1">
      <c r="A99" s="1" t="s">
        <v>248</v>
      </c>
      <c r="B99" s="1" t="s">
        <v>313</v>
      </c>
      <c r="C99" s="1">
        <v>28.3</v>
      </c>
      <c r="D99" s="1">
        <v>260.39999999999998</v>
      </c>
      <c r="E99" s="1">
        <v>102.2</v>
      </c>
      <c r="F99" s="1">
        <v>6.3</v>
      </c>
      <c r="G99" s="1">
        <v>10</v>
      </c>
      <c r="H99" s="1">
        <v>7.6</v>
      </c>
      <c r="I99" s="1">
        <v>225.2</v>
      </c>
      <c r="J99" s="1">
        <v>5.1100000000000003</v>
      </c>
      <c r="K99" s="1">
        <v>35.700000000000003</v>
      </c>
      <c r="L99" s="1">
        <v>5</v>
      </c>
      <c r="M99" s="1">
        <v>58</v>
      </c>
      <c r="N99" s="1">
        <v>18</v>
      </c>
      <c r="O99" s="1">
        <v>0.90400000000000003</v>
      </c>
      <c r="P99" s="1">
        <v>31.9</v>
      </c>
      <c r="Q99" s="1">
        <v>4005</v>
      </c>
      <c r="R99" s="1">
        <v>179</v>
      </c>
      <c r="S99" s="1">
        <v>10.5</v>
      </c>
      <c r="T99" s="1">
        <v>2.2200000000000002</v>
      </c>
      <c r="U99" s="1">
        <v>308</v>
      </c>
      <c r="V99" s="1">
        <v>34.9</v>
      </c>
      <c r="W99" s="1">
        <v>353</v>
      </c>
      <c r="X99" s="1">
        <v>54.8</v>
      </c>
      <c r="Y99" s="1">
        <v>0.874</v>
      </c>
      <c r="Z99" s="1">
        <v>27.5</v>
      </c>
      <c r="AA99" s="1">
        <v>2.8000000000000001E-2</v>
      </c>
      <c r="AB99" s="1">
        <v>9.57</v>
      </c>
      <c r="AC99" s="1">
        <v>36.1</v>
      </c>
    </row>
    <row r="100" spans="1:29" ht="22" customHeight="1">
      <c r="A100" s="1" t="s">
        <v>248</v>
      </c>
      <c r="B100" s="1" t="s">
        <v>314</v>
      </c>
      <c r="C100" s="1">
        <v>25.2</v>
      </c>
      <c r="D100" s="1">
        <v>257.2</v>
      </c>
      <c r="E100" s="1">
        <v>101.9</v>
      </c>
      <c r="F100" s="1">
        <v>6</v>
      </c>
      <c r="G100" s="1">
        <v>8.4</v>
      </c>
      <c r="H100" s="1">
        <v>7.6</v>
      </c>
      <c r="I100" s="1">
        <v>225.2</v>
      </c>
      <c r="J100" s="1">
        <v>6.07</v>
      </c>
      <c r="K100" s="1">
        <v>37.5</v>
      </c>
      <c r="L100" s="1">
        <v>5</v>
      </c>
      <c r="M100" s="1">
        <v>58</v>
      </c>
      <c r="N100" s="1">
        <v>16</v>
      </c>
      <c r="O100" s="1">
        <v>0.89700000000000002</v>
      </c>
      <c r="P100" s="1">
        <v>35.6</v>
      </c>
      <c r="Q100" s="1">
        <v>3415</v>
      </c>
      <c r="R100" s="1">
        <v>149</v>
      </c>
      <c r="S100" s="1">
        <v>10.3</v>
      </c>
      <c r="T100" s="1">
        <v>2.15</v>
      </c>
      <c r="U100" s="1">
        <v>266</v>
      </c>
      <c r="V100" s="1">
        <v>29.2</v>
      </c>
      <c r="W100" s="1">
        <v>306</v>
      </c>
      <c r="X100" s="1">
        <v>46</v>
      </c>
      <c r="Y100" s="1">
        <v>0.86599999999999999</v>
      </c>
      <c r="Z100" s="1">
        <v>31.5</v>
      </c>
      <c r="AA100" s="1">
        <v>2.3E-2</v>
      </c>
      <c r="AB100" s="1">
        <v>6.42</v>
      </c>
      <c r="AC100" s="1">
        <v>32</v>
      </c>
    </row>
    <row r="101" spans="1:29" ht="22" customHeight="1">
      <c r="A101" s="1" t="s">
        <v>248</v>
      </c>
      <c r="B101" s="1" t="s">
        <v>315</v>
      </c>
      <c r="C101" s="1">
        <v>22</v>
      </c>
      <c r="D101" s="1">
        <v>254</v>
      </c>
      <c r="E101" s="1">
        <v>101.6</v>
      </c>
      <c r="F101" s="1">
        <v>5.7</v>
      </c>
      <c r="G101" s="1">
        <v>6.8</v>
      </c>
      <c r="H101" s="1">
        <v>7.6</v>
      </c>
      <c r="I101" s="1">
        <v>225.2</v>
      </c>
      <c r="J101" s="1">
        <v>7.47</v>
      </c>
      <c r="K101" s="1">
        <v>39.5</v>
      </c>
      <c r="L101" s="1">
        <v>5</v>
      </c>
      <c r="M101" s="1">
        <v>58</v>
      </c>
      <c r="N101" s="1">
        <v>16</v>
      </c>
      <c r="O101" s="1">
        <v>0.89</v>
      </c>
      <c r="P101" s="1">
        <v>40.5</v>
      </c>
      <c r="Q101" s="1">
        <v>2841</v>
      </c>
      <c r="R101" s="1">
        <v>119</v>
      </c>
      <c r="S101" s="1">
        <v>10.1</v>
      </c>
      <c r="T101" s="1">
        <v>2.06</v>
      </c>
      <c r="U101" s="1">
        <v>224</v>
      </c>
      <c r="V101" s="1">
        <v>23.5</v>
      </c>
      <c r="W101" s="1">
        <v>259</v>
      </c>
      <c r="X101" s="1">
        <v>37.299999999999997</v>
      </c>
      <c r="Y101" s="1">
        <v>0.85599999999999998</v>
      </c>
      <c r="Z101" s="1">
        <v>36.4</v>
      </c>
      <c r="AA101" s="1">
        <v>1.8200000000000001E-2</v>
      </c>
      <c r="AB101" s="1">
        <v>4.1500000000000004</v>
      </c>
      <c r="AC101" s="1">
        <v>28</v>
      </c>
    </row>
    <row r="102" spans="1:29" ht="22" customHeight="1">
      <c r="A102" s="1" t="s">
        <v>248</v>
      </c>
      <c r="B102" s="1" t="s">
        <v>316</v>
      </c>
      <c r="C102" s="1">
        <v>30</v>
      </c>
      <c r="D102" s="1">
        <v>206.8</v>
      </c>
      <c r="E102" s="1">
        <v>133.9</v>
      </c>
      <c r="F102" s="1">
        <v>6.4</v>
      </c>
      <c r="G102" s="1">
        <v>9.6</v>
      </c>
      <c r="H102" s="1">
        <v>7.6</v>
      </c>
      <c r="I102" s="1">
        <v>172.4</v>
      </c>
      <c r="J102" s="1">
        <v>6.97</v>
      </c>
      <c r="K102" s="1">
        <v>26.9</v>
      </c>
      <c r="L102" s="1">
        <v>5</v>
      </c>
      <c r="M102" s="1">
        <v>74</v>
      </c>
      <c r="N102" s="1">
        <v>18</v>
      </c>
      <c r="O102" s="1">
        <v>0.92300000000000004</v>
      </c>
      <c r="P102" s="1">
        <v>30.8</v>
      </c>
      <c r="Q102" s="1">
        <v>2896</v>
      </c>
      <c r="R102" s="1">
        <v>385</v>
      </c>
      <c r="S102" s="1">
        <v>8.7100000000000009</v>
      </c>
      <c r="T102" s="1">
        <v>3.17</v>
      </c>
      <c r="U102" s="1">
        <v>280</v>
      </c>
      <c r="V102" s="1">
        <v>57.5</v>
      </c>
      <c r="W102" s="1">
        <v>314</v>
      </c>
      <c r="X102" s="1">
        <v>88.2</v>
      </c>
      <c r="Y102" s="1">
        <v>0.88100000000000001</v>
      </c>
      <c r="Z102" s="1">
        <v>21.5</v>
      </c>
      <c r="AA102" s="1">
        <v>3.7400000000000003E-2</v>
      </c>
      <c r="AB102" s="1">
        <v>10.3</v>
      </c>
      <c r="AC102" s="1">
        <v>38.200000000000003</v>
      </c>
    </row>
    <row r="103" spans="1:29" ht="22" customHeight="1">
      <c r="A103" s="1" t="s">
        <v>248</v>
      </c>
      <c r="B103" s="1" t="s">
        <v>317</v>
      </c>
      <c r="C103" s="1">
        <v>25.1</v>
      </c>
      <c r="D103" s="1">
        <v>203.2</v>
      </c>
      <c r="E103" s="1">
        <v>133.19999999999999</v>
      </c>
      <c r="F103" s="1">
        <v>5.7</v>
      </c>
      <c r="G103" s="1">
        <v>7.8</v>
      </c>
      <c r="H103" s="1">
        <v>7.6</v>
      </c>
      <c r="I103" s="1">
        <v>172.4</v>
      </c>
      <c r="J103" s="1">
        <v>8.5399999999999991</v>
      </c>
      <c r="K103" s="1">
        <v>30.2</v>
      </c>
      <c r="L103" s="1">
        <v>5</v>
      </c>
      <c r="M103" s="1">
        <v>74</v>
      </c>
      <c r="N103" s="1">
        <v>16</v>
      </c>
      <c r="O103" s="1">
        <v>0.91500000000000004</v>
      </c>
      <c r="P103" s="1">
        <v>36.4</v>
      </c>
      <c r="Q103" s="1">
        <v>2340</v>
      </c>
      <c r="R103" s="1">
        <v>308</v>
      </c>
      <c r="S103" s="1">
        <v>8.56</v>
      </c>
      <c r="T103" s="1">
        <v>3.1</v>
      </c>
      <c r="U103" s="1">
        <v>230</v>
      </c>
      <c r="V103" s="1">
        <v>46.2</v>
      </c>
      <c r="W103" s="1">
        <v>258</v>
      </c>
      <c r="X103" s="1">
        <v>70.900000000000006</v>
      </c>
      <c r="Y103" s="1">
        <v>0.877</v>
      </c>
      <c r="Z103" s="1">
        <v>25.6</v>
      </c>
      <c r="AA103" s="1">
        <v>2.9399999999999999E-2</v>
      </c>
      <c r="AB103" s="1">
        <v>5.96</v>
      </c>
      <c r="AC103" s="1">
        <v>32</v>
      </c>
    </row>
    <row r="104" spans="1:29" ht="22" customHeight="1">
      <c r="A104" s="1" t="s">
        <v>248</v>
      </c>
      <c r="B104" s="1" t="s">
        <v>318</v>
      </c>
      <c r="C104" s="1">
        <v>23.1</v>
      </c>
      <c r="D104" s="1">
        <v>203.2</v>
      </c>
      <c r="E104" s="1">
        <v>101.8</v>
      </c>
      <c r="F104" s="1">
        <v>5.4</v>
      </c>
      <c r="G104" s="1">
        <v>9.3000000000000007</v>
      </c>
      <c r="H104" s="1">
        <v>7.6</v>
      </c>
      <c r="I104" s="1">
        <v>169.4</v>
      </c>
      <c r="J104" s="1">
        <v>5.47</v>
      </c>
      <c r="K104" s="1">
        <v>31.4</v>
      </c>
      <c r="L104" s="1">
        <v>5</v>
      </c>
      <c r="M104" s="1">
        <v>60</v>
      </c>
      <c r="N104" s="1">
        <v>18</v>
      </c>
      <c r="O104" s="1">
        <v>0.79</v>
      </c>
      <c r="P104" s="1">
        <v>34.200000000000003</v>
      </c>
      <c r="Q104" s="1">
        <v>2105</v>
      </c>
      <c r="R104" s="1">
        <v>164</v>
      </c>
      <c r="S104" s="1">
        <v>8.4600000000000009</v>
      </c>
      <c r="T104" s="1">
        <v>2.36</v>
      </c>
      <c r="U104" s="1">
        <v>207</v>
      </c>
      <c r="V104" s="1">
        <v>32.200000000000003</v>
      </c>
      <c r="W104" s="1">
        <v>234</v>
      </c>
      <c r="X104" s="1">
        <v>49.8</v>
      </c>
      <c r="Y104" s="1">
        <v>0.88800000000000001</v>
      </c>
      <c r="Z104" s="1">
        <v>22.5</v>
      </c>
      <c r="AA104" s="1">
        <v>1.54E-2</v>
      </c>
      <c r="AB104" s="1">
        <v>7.05</v>
      </c>
      <c r="AC104" s="1">
        <v>29.4</v>
      </c>
    </row>
    <row r="105" spans="1:29" ht="22" customHeight="1">
      <c r="A105" s="1" t="s">
        <v>248</v>
      </c>
      <c r="B105" s="1" t="s">
        <v>319</v>
      </c>
      <c r="C105" s="1">
        <v>19</v>
      </c>
      <c r="D105" s="1">
        <v>177.8</v>
      </c>
      <c r="E105" s="1">
        <v>101.2</v>
      </c>
      <c r="F105" s="1">
        <v>4.8</v>
      </c>
      <c r="G105" s="1">
        <v>7.9</v>
      </c>
      <c r="H105" s="1">
        <v>7.6</v>
      </c>
      <c r="I105" s="1">
        <v>146.80000000000001</v>
      </c>
      <c r="J105" s="1">
        <v>6.41</v>
      </c>
      <c r="K105" s="1">
        <v>30.6</v>
      </c>
      <c r="L105" s="1">
        <v>4</v>
      </c>
      <c r="M105" s="1">
        <v>60</v>
      </c>
      <c r="N105" s="1">
        <v>16</v>
      </c>
      <c r="O105" s="1">
        <v>0.73799999999999999</v>
      </c>
      <c r="P105" s="1">
        <v>38.799999999999997</v>
      </c>
      <c r="Q105" s="1">
        <v>1356</v>
      </c>
      <c r="R105" s="1">
        <v>137</v>
      </c>
      <c r="S105" s="1">
        <v>7.48</v>
      </c>
      <c r="T105" s="1">
        <v>2.37</v>
      </c>
      <c r="U105" s="1">
        <v>153</v>
      </c>
      <c r="V105" s="1">
        <v>27</v>
      </c>
      <c r="W105" s="1">
        <v>171</v>
      </c>
      <c r="X105" s="1">
        <v>41.6</v>
      </c>
      <c r="Y105" s="1">
        <v>0.88800000000000001</v>
      </c>
      <c r="Z105" s="1">
        <v>22.6</v>
      </c>
      <c r="AA105" s="1">
        <v>9.8700000000000003E-3</v>
      </c>
      <c r="AB105" s="1">
        <v>4.41</v>
      </c>
      <c r="AC105" s="1">
        <v>24.3</v>
      </c>
    </row>
    <row r="106" spans="1:29" ht="22" customHeight="1">
      <c r="A106" s="1" t="s">
        <v>248</v>
      </c>
      <c r="B106" s="1" t="s">
        <v>320</v>
      </c>
      <c r="C106" s="1">
        <v>16</v>
      </c>
      <c r="D106" s="1">
        <v>152.4</v>
      </c>
      <c r="E106" s="1">
        <v>88.7</v>
      </c>
      <c r="F106" s="1">
        <v>4.5</v>
      </c>
      <c r="G106" s="1">
        <v>7.7</v>
      </c>
      <c r="H106" s="1">
        <v>7.6</v>
      </c>
      <c r="I106" s="1">
        <v>121.8</v>
      </c>
      <c r="J106" s="1">
        <v>5.76</v>
      </c>
      <c r="K106" s="1">
        <v>27.1</v>
      </c>
      <c r="L106" s="1">
        <v>4</v>
      </c>
      <c r="M106" s="1">
        <v>54</v>
      </c>
      <c r="N106" s="1">
        <v>16</v>
      </c>
      <c r="O106" s="1">
        <v>0.63800000000000001</v>
      </c>
      <c r="P106" s="1">
        <v>39.799999999999997</v>
      </c>
      <c r="Q106" s="1">
        <v>834</v>
      </c>
      <c r="R106" s="1">
        <v>89.8</v>
      </c>
      <c r="S106" s="1">
        <v>6.41</v>
      </c>
      <c r="T106" s="1">
        <v>2.1</v>
      </c>
      <c r="U106" s="1">
        <v>109</v>
      </c>
      <c r="V106" s="1">
        <v>20.2</v>
      </c>
      <c r="W106" s="1">
        <v>123</v>
      </c>
      <c r="X106" s="1">
        <v>31.2</v>
      </c>
      <c r="Y106" s="1">
        <v>0.89</v>
      </c>
      <c r="Z106" s="1">
        <v>19.600000000000001</v>
      </c>
      <c r="AA106" s="1">
        <v>4.7000000000000002E-3</v>
      </c>
      <c r="AB106" s="1">
        <v>3.56</v>
      </c>
      <c r="AC106" s="1">
        <v>20.3</v>
      </c>
    </row>
    <row r="107" spans="1:29" ht="22" customHeight="1">
      <c r="A107" s="1" t="s">
        <v>248</v>
      </c>
      <c r="B107" s="1" t="s">
        <v>321</v>
      </c>
      <c r="C107" s="1">
        <v>13</v>
      </c>
      <c r="D107" s="1">
        <v>127</v>
      </c>
      <c r="E107" s="1">
        <v>76</v>
      </c>
      <c r="F107" s="1">
        <v>4</v>
      </c>
      <c r="G107" s="1">
        <v>7.6</v>
      </c>
      <c r="H107" s="1">
        <v>7.6</v>
      </c>
      <c r="I107" s="1">
        <v>96.6</v>
      </c>
      <c r="J107" s="1">
        <v>5</v>
      </c>
      <c r="K107" s="1">
        <v>24.2</v>
      </c>
      <c r="L107" s="1">
        <v>4</v>
      </c>
      <c r="M107" s="1">
        <v>46</v>
      </c>
      <c r="N107" s="1">
        <v>16</v>
      </c>
      <c r="O107" s="1">
        <v>0.53700000000000003</v>
      </c>
      <c r="P107" s="1">
        <v>41.3</v>
      </c>
      <c r="Q107" s="1">
        <v>473</v>
      </c>
      <c r="R107" s="1">
        <v>55.7</v>
      </c>
      <c r="S107" s="1">
        <v>5.35</v>
      </c>
      <c r="T107" s="1">
        <v>1.84</v>
      </c>
      <c r="U107" s="1">
        <v>74.599999999999994</v>
      </c>
      <c r="V107" s="1">
        <v>14.7</v>
      </c>
      <c r="W107" s="1">
        <v>84.2</v>
      </c>
      <c r="X107" s="1">
        <v>22.6</v>
      </c>
      <c r="Y107" s="1">
        <v>0.89500000000000002</v>
      </c>
      <c r="Z107" s="1">
        <v>16.3</v>
      </c>
      <c r="AA107" s="1">
        <v>1.99E-3</v>
      </c>
      <c r="AB107" s="1">
        <v>2.85</v>
      </c>
      <c r="AC107" s="1">
        <v>16.5</v>
      </c>
    </row>
  </sheetData>
  <mergeCells count="3">
    <mergeCell ref="A1:AC1"/>
    <mergeCell ref="A2:AC2"/>
    <mergeCell ref="A3:AC3"/>
  </mergeCells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C9B95-FFA9-45AA-8D5D-96CC0E6A4CFC}">
  <sheetPr codeName="工作表3"/>
  <dimension ref="A1:AE314"/>
  <sheetViews>
    <sheetView workbookViewId="0"/>
  </sheetViews>
  <sheetFormatPr defaultRowHeight="13.8"/>
  <cols>
    <col min="1" max="1" width="13.6171875" customWidth="1"/>
    <col min="2" max="2" width="22.6171875" customWidth="1"/>
    <col min="3" max="31" width="13.6171875" customWidth="1"/>
  </cols>
  <sheetData>
    <row r="1" spans="1:31">
      <c r="A1" s="1" t="s">
        <v>518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>
      <c r="A2" s="1" t="str">
        <f>'Steel Beam Design'!B3&amp;"|"&amp;'Steel Beam Design'!B4&amp;"|"&amp;'Steel Beam Design'!B5&amp;"|"&amp;'Steel Beam Design'!E4&amp;"|"&amp;'Steel Beam Design'!H4&amp;"|"&amp;'Steel Beam Design'!B6&amp;"|"&amp;'Steel Beam Design'!H6&amp;"|"&amp;'Steel Beam Design'!B7&amp;"|"&amp;'Steel Beam Design'!B8&amp;"|"&amp;'Steel Beam Design'!D10&amp;"|"&amp;'Steel Beam Design'!H10&amp;"|"&amp;'Steel Beam Design'!L10&amp;"|"&amp;'Steel Beam Design'!D12&amp;"|"&amp;'Steel Beam Design'!D7006</f>
        <v>Simply Supported|10||2.5|90|1|0|7|5|360|360|180|205000|S355</v>
      </c>
      <c r="B2" s="1">
        <v>36</v>
      </c>
      <c r="C2" s="1">
        <v>134</v>
      </c>
      <c r="D2" s="1">
        <v>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>
      <c r="A3" s="1" t="s">
        <v>553</v>
      </c>
      <c r="B3" s="1" t="s">
        <v>549</v>
      </c>
      <c r="C3" s="1" t="s">
        <v>549</v>
      </c>
      <c r="D3" s="1" t="s">
        <v>550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>
      <c r="A5" s="85" t="s">
        <v>3</v>
      </c>
      <c r="B5" s="85" t="s">
        <v>188</v>
      </c>
      <c r="C5" s="85" t="s">
        <v>187</v>
      </c>
      <c r="D5" s="85" t="s">
        <v>326</v>
      </c>
      <c r="E5" s="85" t="s">
        <v>519</v>
      </c>
      <c r="F5" s="85" t="s">
        <v>520</v>
      </c>
      <c r="G5" s="85" t="s">
        <v>521</v>
      </c>
      <c r="H5" s="85" t="s">
        <v>522</v>
      </c>
      <c r="I5" s="85" t="s">
        <v>523</v>
      </c>
      <c r="J5" s="85" t="s">
        <v>524</v>
      </c>
      <c r="K5" s="85" t="s">
        <v>372</v>
      </c>
      <c r="L5" s="85" t="s">
        <v>196</v>
      </c>
      <c r="M5" s="85" t="s">
        <v>197</v>
      </c>
      <c r="N5" s="85" t="s">
        <v>373</v>
      </c>
      <c r="O5" s="85" t="s">
        <v>374</v>
      </c>
      <c r="P5" s="85" t="s">
        <v>525</v>
      </c>
      <c r="Q5" s="85" t="s">
        <v>526</v>
      </c>
      <c r="R5" s="85" t="s">
        <v>527</v>
      </c>
      <c r="S5" s="85" t="s">
        <v>378</v>
      </c>
      <c r="T5" s="85" t="s">
        <v>528</v>
      </c>
      <c r="U5" s="85" t="s">
        <v>529</v>
      </c>
      <c r="V5" s="85" t="s">
        <v>530</v>
      </c>
      <c r="W5" s="85" t="s">
        <v>531</v>
      </c>
      <c r="X5" s="85" t="s">
        <v>532</v>
      </c>
      <c r="Y5" s="85" t="s">
        <v>533</v>
      </c>
      <c r="Z5" s="85" t="s">
        <v>534</v>
      </c>
      <c r="AA5" s="85" t="s">
        <v>535</v>
      </c>
      <c r="AB5" s="85" t="s">
        <v>536</v>
      </c>
      <c r="AC5" s="85" t="s">
        <v>537</v>
      </c>
      <c r="AD5" s="85" t="s">
        <v>538</v>
      </c>
      <c r="AE5" s="85" t="s">
        <v>539</v>
      </c>
    </row>
    <row r="6" spans="1:31">
      <c r="A6" s="1" t="s">
        <v>467</v>
      </c>
      <c r="B6" s="1" t="str">
        <f>'Section Data'!B5</f>
        <v>356x406x634</v>
      </c>
      <c r="C6" s="1" t="s">
        <v>367</v>
      </c>
      <c r="D6" s="84">
        <f>'Section Data'!C5</f>
        <v>633.9</v>
      </c>
      <c r="E6" s="84">
        <f>'Section Data'!Q5</f>
        <v>274800</v>
      </c>
      <c r="F6" s="84">
        <f>'Steel Beam Design'!D7003</f>
        <v>43.457031249999979</v>
      </c>
      <c r="G6" s="84">
        <f>'Steel Beam Design'!D7027</f>
        <v>318.999074477352</v>
      </c>
      <c r="H6" s="84" t="str">
        <f>IF(TRIM($B6)="","",IFERROR('Steel Beam Design'!$D$7006,""))</f>
        <v>S355</v>
      </c>
      <c r="I6" s="84">
        <f>IF(TRIM($B6)="","",IFERROR(MAX(VLOOKUP($B6,'Section Data'!$B$5:$AC$35,5,FALSE),VLOOKUP($B6,'Section Data'!$B$5:$AC$35,6,FALSE)),""))</f>
        <v>77</v>
      </c>
      <c r="J6" s="84">
        <f>IF(TRIM($B6)="","",IFERROR(IF(I6&gt;150,"",INDEX('Section Data'!$AH$5:$AK$10,IF(I6&lt;=16,1,IF(I6&lt;=40,2,IF(I6&lt;=63,3,IF(I6&lt;=80,4,IF(I6&lt;=100,5,6))))),MATCH(H6,'Section Data'!$AH$4:$AK$4,0))),""))</f>
        <v>325</v>
      </c>
      <c r="K6" s="84">
        <f t="shared" ref="K6:K69" si="0">IF(ISNUMBER(J6),IF(J6&gt;0,SQRT(275/J6),""),"")</f>
        <v>0.91986621100779986</v>
      </c>
      <c r="L6" s="84">
        <f>IF(TRIM($B6)="","",IFERROR(VLOOKUP($B6,'Section Data'!$B$5:$AC$35,9,FALSE),""))</f>
        <v>2.75</v>
      </c>
      <c r="M6" s="84">
        <f>IF(TRIM($B6)="","",IFERROR(VLOOKUP($B6,'Section Data'!$B$5:$AC$35,10,FALSE),""))</f>
        <v>6.1</v>
      </c>
      <c r="N6" s="84">
        <f t="shared" ref="N6:N69" si="1">IF(COUNT(L6,K6)=2,IF(L6&lt;=8*K6,8,IF(L6&lt;=9*K6,9,13)),"")</f>
        <v>8</v>
      </c>
      <c r="O6" s="84">
        <f t="shared" ref="O6:O69" si="2">IF(COUNT(M6,K6)=2,IF(M6&lt;=80*K6,80,IF(M6&lt;=100*K6,100,120)),"")</f>
        <v>80</v>
      </c>
      <c r="P6" s="84">
        <f>IF(TRIM($B6)="","",IFERROR(VLOOKUP($B6,'Section Data'!$B$5:$AC$35,5,FALSE)*VLOOKUP($B6,'Section Data'!$B$5:$AC$35,3,FALSE),""))</f>
        <v>22590.960000000003</v>
      </c>
      <c r="Q6" s="84">
        <f t="shared" ref="Q6:Q69" si="3">IF(TRIM($B6)="","",IFERROR(J6*P6/SQRT(3)/1000,""))</f>
        <v>4238.9414721069234</v>
      </c>
      <c r="R6" s="84">
        <f>'Steel Beam Design'!B3511</f>
        <v>111.25</v>
      </c>
      <c r="S6" s="84">
        <f t="shared" ref="S6:S69" si="4">IF(AND(ISNUMBER(Q6),Q6&gt;0),IF(R6&lt;=0.6*Q6,0,(2*R6/Q6-1)^2),"")</f>
        <v>0</v>
      </c>
      <c r="T6" s="84">
        <f>IF(TRIM($B6)="","",IFERROR(VLOOKUP($B6,'Section Data'!$B$5:$AC$35,20,FALSE),""))</f>
        <v>11580</v>
      </c>
      <c r="U6" s="84">
        <f>IF(TRIM($B6)="","",IFERROR(VLOOKUP($B6,'Section Data'!$B$5:$AC$35,21,FALSE),""))</f>
        <v>4629</v>
      </c>
      <c r="V6" s="84">
        <f>IF(TRIM($B6)="","",IFERROR(VLOOKUP($B6,'Section Data'!$B$5:$AC$35,22,FALSE),""))</f>
        <v>14240</v>
      </c>
      <c r="W6" s="84">
        <f>IF(TRIM($B6)="","",IFERROR(VLOOKUP($B6,'Section Data'!$B$5:$AC$35,23,FALSE),""))</f>
        <v>7108</v>
      </c>
      <c r="X6" s="84">
        <f>IF(TRIM($B6)="","",IFERROR((VLOOKUP($B6,'Section Data'!$B$5:$AC$35,5,FALSE)/10)*(VLOOKUP($B6,'Section Data'!$B$5:$AC$35,3,FALSE)/10)^2/4,""))</f>
        <v>2680.4174039999998</v>
      </c>
      <c r="Y6" s="84">
        <f>IF(TRIM($B6)="","",IFERROR((VLOOKUP($B6,'Section Data'!$B$5:$AC$35,3,FALSE)/10)*(VLOOKUP($B6,'Section Data'!$B$5:$AC$35,5,FALSE)/10)^2/4,""))</f>
        <v>268.832424</v>
      </c>
      <c r="Z6" s="84">
        <f t="shared" ref="Z6:Z69" si="5">IF(TRIM($B6)="","",IFERROR(IF(AND(J6&gt;0,R6&lt;=Q6,L6&lt;=13*K6,M6&lt;=120*K6),IF(R6&lt;=0.6*Q6,IF(OR(N6=13,O6=120),T6,MIN(V6,1.2*T6)),IF(OR(N6=13,O6=120),T6-S6*X6/1.5,MIN(V6-S6*X6,1.2*(T6-S6*X6/1.5))))*J6/1000,""),""))</f>
        <v>4516.2</v>
      </c>
      <c r="AA6" s="84">
        <f t="shared" ref="AA6:AA69" si="6">IF(TRIM($B6)="","",IFERROR(IF(AND(J6&gt;0,R6&lt;=Q6,L6&lt;=13*K6,M6&lt;=120*K6),IF(R6&lt;=0.6*Q6,IF(OR(N6=13,O6=120),U6,MIN(W6,1.2*U6)),IF(OR(N6=13,O6=120),U6-S6*Y6/1.5,MIN(W6-S6*Y6,1.2*(U6-S6*Y6/1.5))))*J6/1000,""),""))</f>
        <v>1805.31</v>
      </c>
      <c r="AB6" s="86">
        <f t="shared" ref="AB6:AB69" si="7">IF(AND(ISNUMBER(F6),ISNUMBER(Z6),Z6&gt;0),F6/Z6,"")</f>
        <v>9.6224771378592578E-3</v>
      </c>
      <c r="AC6" s="86">
        <f t="shared" ref="AC6:AC69" si="8">IF(AND(ISNUMBER(G6),ISNUMBER(E6),E6&gt;0),G6/E6,"")</f>
        <v>1.1608408823775545E-3</v>
      </c>
      <c r="AD6" s="1" t="b">
        <f>AND(ISNUMBER(AB6),ISNUMBER(AC6),AB6&gt;=0,AC6&gt;=0,AB6&lt;=0.95,AC6&lt;=0.95,ISNUMBER(D6),D6&gt;0,'Steel Beam Design'!$A$18="")</f>
        <v>1</v>
      </c>
      <c r="AE6" s="84">
        <f>'Steel Beam Design'!O26</f>
        <v>69.531249999999972</v>
      </c>
    </row>
    <row r="7" spans="1:31">
      <c r="A7" s="1" t="s">
        <v>467</v>
      </c>
      <c r="B7" s="1" t="str">
        <f>'Section Data'!B6</f>
        <v>356x406x551</v>
      </c>
      <c r="C7" s="1" t="s">
        <v>367</v>
      </c>
      <c r="D7" s="84">
        <f>'Section Data'!C6</f>
        <v>551</v>
      </c>
      <c r="E7" s="84">
        <f>'Section Data'!Q6</f>
        <v>226900</v>
      </c>
      <c r="F7" s="84">
        <f>'Steel Beam Design'!D7003</f>
        <v>43.457031249999979</v>
      </c>
      <c r="G7" s="84">
        <f>'Steel Beam Design'!D7027</f>
        <v>318.999074477352</v>
      </c>
      <c r="H7" s="84" t="str">
        <f>IF(TRIM($B7)="","",IFERROR('Steel Beam Design'!$D$7006,""))</f>
        <v>S355</v>
      </c>
      <c r="I7" s="84">
        <f>IF(TRIM($B7)="","",IFERROR(MAX(VLOOKUP($B7,'Section Data'!$B$5:$AC$35,5,FALSE),VLOOKUP($B7,'Section Data'!$B$5:$AC$35,6,FALSE)),""))</f>
        <v>67.5</v>
      </c>
      <c r="J7" s="84">
        <f>IF(TRIM($B7)="","",IFERROR(IF(I7&gt;150,"",INDEX('Section Data'!$AH$5:$AK$10,IF(I7&lt;=16,1,IF(I7&lt;=40,2,IF(I7&lt;=63,3,IF(I7&lt;=80,4,IF(I7&lt;=100,5,6))))),MATCH(H7,'Section Data'!$AH$4:$AK$4,0))),""))</f>
        <v>325</v>
      </c>
      <c r="K7" s="84">
        <f t="shared" si="0"/>
        <v>0.91986621100779986</v>
      </c>
      <c r="L7" s="84">
        <f>IF(TRIM($B7)="","",IFERROR(VLOOKUP($B7,'Section Data'!$B$5:$AC$35,9,FALSE),""))</f>
        <v>3.1</v>
      </c>
      <c r="M7" s="84">
        <f>IF(TRIM($B7)="","",IFERROR(VLOOKUP($B7,'Section Data'!$B$5:$AC$35,10,FALSE),""))</f>
        <v>6.89</v>
      </c>
      <c r="N7" s="84">
        <f t="shared" si="1"/>
        <v>8</v>
      </c>
      <c r="O7" s="84">
        <f t="shared" si="2"/>
        <v>80</v>
      </c>
      <c r="P7" s="84">
        <f>IF(TRIM($B7)="","",IFERROR(VLOOKUP($B7,'Section Data'!$B$5:$AC$35,5,FALSE)*VLOOKUP($B7,'Section Data'!$B$5:$AC$35,3,FALSE),""))</f>
        <v>19180.760000000002</v>
      </c>
      <c r="Q7" s="84">
        <f t="shared" si="3"/>
        <v>3599.0555085100227</v>
      </c>
      <c r="R7" s="84">
        <f>'Steel Beam Design'!B3511</f>
        <v>111.25</v>
      </c>
      <c r="S7" s="84">
        <f t="shared" si="4"/>
        <v>0</v>
      </c>
      <c r="T7" s="84">
        <f>IF(TRIM($B7)="","",IFERROR(VLOOKUP($B7,'Section Data'!$B$5:$AC$35,20,FALSE),""))</f>
        <v>9962</v>
      </c>
      <c r="U7" s="84">
        <f>IF(TRIM($B7)="","",IFERROR(VLOOKUP($B7,'Section Data'!$B$5:$AC$35,21,FALSE),""))</f>
        <v>3951</v>
      </c>
      <c r="V7" s="84">
        <f>IF(TRIM($B7)="","",IFERROR(VLOOKUP($B7,'Section Data'!$B$5:$AC$35,22,FALSE),""))</f>
        <v>12080</v>
      </c>
      <c r="W7" s="84">
        <f>IF(TRIM($B7)="","",IFERROR(VLOOKUP($B7,'Section Data'!$B$5:$AC$35,23,FALSE),""))</f>
        <v>6058</v>
      </c>
      <c r="X7" s="84">
        <f>IF(TRIM($B7)="","",IFERROR((VLOOKUP($B7,'Section Data'!$B$5:$AC$35,5,FALSE)/10)*(VLOOKUP($B7,'Section Data'!$B$5:$AC$35,3,FALSE)/10)^2/4,""))</f>
        <v>2184.688564</v>
      </c>
      <c r="Y7" s="84">
        <f>IF(TRIM($B7)="","",IFERROR((VLOOKUP($B7,'Section Data'!$B$5:$AC$35,3,FALSE)/10)*(VLOOKUP($B7,'Section Data'!$B$5:$AC$35,5,FALSE)/10)^2/4,""))</f>
        <v>201.877499</v>
      </c>
      <c r="Z7" s="84">
        <f t="shared" si="5"/>
        <v>3885.18</v>
      </c>
      <c r="AA7" s="84">
        <f t="shared" si="6"/>
        <v>1540.89</v>
      </c>
      <c r="AB7" s="86">
        <f t="shared" si="7"/>
        <v>1.1185332790243948E-2</v>
      </c>
      <c r="AC7" s="86">
        <f t="shared" si="8"/>
        <v>1.4059016063347378E-3</v>
      </c>
      <c r="AD7" s="1" t="b">
        <f>AND(ISNUMBER(AB7),ISNUMBER(AC7),AB7&gt;=0,AC7&gt;=0,AB7&lt;=0.95,AC7&lt;=0.95,ISNUMBER(D7),D7&gt;0,'Steel Beam Design'!$A$18="")</f>
        <v>1</v>
      </c>
      <c r="AE7" s="84">
        <f>'Steel Beam Design'!O26</f>
        <v>69.531249999999972</v>
      </c>
    </row>
    <row r="8" spans="1:31">
      <c r="A8" s="1" t="s">
        <v>467</v>
      </c>
      <c r="B8" s="1" t="str">
        <f>'Section Data'!B7</f>
        <v>356x406x467</v>
      </c>
      <c r="C8" s="1" t="s">
        <v>367</v>
      </c>
      <c r="D8" s="84">
        <f>'Section Data'!C7</f>
        <v>467</v>
      </c>
      <c r="E8" s="84">
        <f>'Section Data'!Q7</f>
        <v>183000</v>
      </c>
      <c r="F8" s="84">
        <f>'Steel Beam Design'!D7003</f>
        <v>43.457031249999979</v>
      </c>
      <c r="G8" s="84">
        <f>'Steel Beam Design'!D7027</f>
        <v>318.999074477352</v>
      </c>
      <c r="H8" s="84" t="str">
        <f>IF(TRIM($B8)="","",IFERROR('Steel Beam Design'!$D$7006,""))</f>
        <v>S355</v>
      </c>
      <c r="I8" s="84">
        <f>IF(TRIM($B8)="","",IFERROR(MAX(VLOOKUP($B8,'Section Data'!$B$5:$AC$35,5,FALSE),VLOOKUP($B8,'Section Data'!$B$5:$AC$35,6,FALSE)),""))</f>
        <v>58</v>
      </c>
      <c r="J8" s="84">
        <f>IF(TRIM($B8)="","",IFERROR(IF(I8&gt;150,"",INDEX('Section Data'!$AH$5:$AK$10,IF(I8&lt;=16,1,IF(I8&lt;=40,2,IF(I8&lt;=63,3,IF(I8&lt;=80,4,IF(I8&lt;=100,5,6))))),MATCH(H8,'Section Data'!$AH$4:$AK$4,0))),""))</f>
        <v>335</v>
      </c>
      <c r="K8" s="84">
        <f t="shared" si="0"/>
        <v>0.90603284840454856</v>
      </c>
      <c r="L8" s="84">
        <f>IF(TRIM($B8)="","",IFERROR(VLOOKUP($B8,'Section Data'!$B$5:$AC$35,9,FALSE),""))</f>
        <v>3.55</v>
      </c>
      <c r="M8" s="84">
        <f>IF(TRIM($B8)="","",IFERROR(VLOOKUP($B8,'Section Data'!$B$5:$AC$35,10,FALSE),""))</f>
        <v>8.11</v>
      </c>
      <c r="N8" s="84">
        <f t="shared" si="1"/>
        <v>8</v>
      </c>
      <c r="O8" s="84">
        <f t="shared" si="2"/>
        <v>80</v>
      </c>
      <c r="P8" s="84">
        <f>IF(TRIM($B8)="","",IFERROR(VLOOKUP($B8,'Section Data'!$B$5:$AC$35,5,FALSE)*VLOOKUP($B8,'Section Data'!$B$5:$AC$35,3,FALSE),""))</f>
        <v>15630.279999999999</v>
      </c>
      <c r="Q8" s="84">
        <f t="shared" si="3"/>
        <v>3023.08903244559</v>
      </c>
      <c r="R8" s="84">
        <f>'Steel Beam Design'!B3511</f>
        <v>111.25</v>
      </c>
      <c r="S8" s="84">
        <f t="shared" si="4"/>
        <v>0</v>
      </c>
      <c r="T8" s="84">
        <f>IF(TRIM($B8)="","",IFERROR(VLOOKUP($B8,'Section Data'!$B$5:$AC$35,20,FALSE),""))</f>
        <v>8383</v>
      </c>
      <c r="U8" s="84">
        <f>IF(TRIM($B8)="","",IFERROR(VLOOKUP($B8,'Section Data'!$B$5:$AC$35,21,FALSE),""))</f>
        <v>3291</v>
      </c>
      <c r="V8" s="84">
        <f>IF(TRIM($B8)="","",IFERROR(VLOOKUP($B8,'Section Data'!$B$5:$AC$35,22,FALSE),""))</f>
        <v>10000</v>
      </c>
      <c r="W8" s="84">
        <f>IF(TRIM($B8)="","",IFERROR(VLOOKUP($B8,'Section Data'!$B$5:$AC$35,23,FALSE),""))</f>
        <v>5034</v>
      </c>
      <c r="X8" s="84">
        <f>IF(TRIM($B8)="","",IFERROR((VLOOKUP($B8,'Section Data'!$B$5:$AC$35,5,FALSE)/10)*(VLOOKUP($B8,'Section Data'!$B$5:$AC$35,3,FALSE)/10)^2/4,""))</f>
        <v>1706.0450620000001</v>
      </c>
      <c r="Y8" s="84">
        <f>IF(TRIM($B8)="","",IFERROR((VLOOKUP($B8,'Section Data'!$B$5:$AC$35,3,FALSE)/10)*(VLOOKUP($B8,'Section Data'!$B$5:$AC$35,5,FALSE)/10)^2/4,""))</f>
        <v>139.89100599999998</v>
      </c>
      <c r="Z8" s="84">
        <f t="shared" si="5"/>
        <v>3350</v>
      </c>
      <c r="AA8" s="84">
        <f t="shared" si="6"/>
        <v>1322.982</v>
      </c>
      <c r="AB8" s="86">
        <f t="shared" si="7"/>
        <v>1.2972248134328351E-2</v>
      </c>
      <c r="AC8" s="86">
        <f t="shared" si="8"/>
        <v>1.7431643414062951E-3</v>
      </c>
      <c r="AD8" s="1" t="b">
        <f>AND(ISNUMBER(AB8),ISNUMBER(AC8),AB8&gt;=0,AC8&gt;=0,AB8&lt;=0.95,AC8&lt;=0.95,ISNUMBER(D8),D8&gt;0,'Steel Beam Design'!$A$18="")</f>
        <v>1</v>
      </c>
      <c r="AE8" s="84">
        <f>'Steel Beam Design'!O26</f>
        <v>69.531249999999972</v>
      </c>
    </row>
    <row r="9" spans="1:31">
      <c r="A9" s="1" t="s">
        <v>467</v>
      </c>
      <c r="B9" s="1" t="str">
        <f>'Section Data'!B8</f>
        <v>356x406x393</v>
      </c>
      <c r="C9" s="1" t="s">
        <v>367</v>
      </c>
      <c r="D9" s="84">
        <f>'Section Data'!C8</f>
        <v>393</v>
      </c>
      <c r="E9" s="84">
        <f>'Section Data'!Q8</f>
        <v>146600</v>
      </c>
      <c r="F9" s="84">
        <f>'Steel Beam Design'!D7003</f>
        <v>43.457031249999979</v>
      </c>
      <c r="G9" s="84">
        <f>'Steel Beam Design'!D7027</f>
        <v>318.999074477352</v>
      </c>
      <c r="H9" s="84" t="str">
        <f>IF(TRIM($B9)="","",IFERROR('Steel Beam Design'!$D$7006,""))</f>
        <v>S355</v>
      </c>
      <c r="I9" s="84">
        <f>IF(TRIM($B9)="","",IFERROR(MAX(VLOOKUP($B9,'Section Data'!$B$5:$AC$35,5,FALSE),VLOOKUP($B9,'Section Data'!$B$5:$AC$35,6,FALSE)),""))</f>
        <v>49.2</v>
      </c>
      <c r="J9" s="84">
        <f>IF(TRIM($B9)="","",IFERROR(IF(I9&gt;150,"",INDEX('Section Data'!$AH$5:$AK$10,IF(I9&lt;=16,1,IF(I9&lt;=40,2,IF(I9&lt;=63,3,IF(I9&lt;=80,4,IF(I9&lt;=100,5,6))))),MATCH(H9,'Section Data'!$AH$4:$AK$4,0))),""))</f>
        <v>335</v>
      </c>
      <c r="K9" s="84">
        <f t="shared" si="0"/>
        <v>0.90603284840454856</v>
      </c>
      <c r="L9" s="84">
        <f>IF(TRIM($B9)="","",IFERROR(VLOOKUP($B9,'Section Data'!$B$5:$AC$35,9,FALSE),""))</f>
        <v>4.1399999999999997</v>
      </c>
      <c r="M9" s="84">
        <f>IF(TRIM($B9)="","",IFERROR(VLOOKUP($B9,'Section Data'!$B$5:$AC$35,10,FALSE),""))</f>
        <v>9.48</v>
      </c>
      <c r="N9" s="84">
        <f t="shared" si="1"/>
        <v>8</v>
      </c>
      <c r="O9" s="84">
        <f t="shared" si="2"/>
        <v>80</v>
      </c>
      <c r="P9" s="84">
        <f>IF(TRIM($B9)="","",IFERROR(VLOOKUP($B9,'Section Data'!$B$5:$AC$35,5,FALSE)*VLOOKUP($B9,'Section Data'!$B$5:$AC$35,3,FALSE),""))</f>
        <v>12821.400000000001</v>
      </c>
      <c r="Q9" s="84">
        <f t="shared" si="3"/>
        <v>2479.8169783649364</v>
      </c>
      <c r="R9" s="84">
        <f>'Steel Beam Design'!B3511</f>
        <v>111.25</v>
      </c>
      <c r="S9" s="84">
        <f t="shared" si="4"/>
        <v>0</v>
      </c>
      <c r="T9" s="84">
        <f>IF(TRIM($B9)="","",IFERROR(VLOOKUP($B9,'Section Data'!$B$5:$AC$35,20,FALSE),""))</f>
        <v>6998</v>
      </c>
      <c r="U9" s="84">
        <f>IF(TRIM($B9)="","",IFERROR(VLOOKUP($B9,'Section Data'!$B$5:$AC$35,21,FALSE),""))</f>
        <v>2721</v>
      </c>
      <c r="V9" s="84">
        <f>IF(TRIM($B9)="","",IFERROR(VLOOKUP($B9,'Section Data'!$B$5:$AC$35,22,FALSE),""))</f>
        <v>8222</v>
      </c>
      <c r="W9" s="84">
        <f>IF(TRIM($B9)="","",IFERROR(VLOOKUP($B9,'Section Data'!$B$5:$AC$35,23,FALSE),""))</f>
        <v>4154</v>
      </c>
      <c r="X9" s="84">
        <f>IF(TRIM($B9)="","",IFERROR((VLOOKUP($B9,'Section Data'!$B$5:$AC$35,5,FALSE)/10)*(VLOOKUP($B9,'Section Data'!$B$5:$AC$35,3,FALSE)/10)^2/4,""))</f>
        <v>1343.0416499999999</v>
      </c>
      <c r="Y9" s="84">
        <f>IF(TRIM($B9)="","",IFERROR((VLOOKUP($B9,'Section Data'!$B$5:$AC$35,3,FALSE)/10)*(VLOOKUP($B9,'Section Data'!$B$5:$AC$35,5,FALSE)/10)^2/4,""))</f>
        <v>98.083709999999996</v>
      </c>
      <c r="Z9" s="84">
        <f t="shared" si="5"/>
        <v>2754.37</v>
      </c>
      <c r="AA9" s="84">
        <f t="shared" si="6"/>
        <v>1093.8420000000001</v>
      </c>
      <c r="AB9" s="86">
        <f t="shared" si="7"/>
        <v>1.5777484960263138E-2</v>
      </c>
      <c r="AC9" s="86">
        <f t="shared" si="8"/>
        <v>2.1759827726968075E-3</v>
      </c>
      <c r="AD9" s="1" t="b">
        <f>AND(ISNUMBER(AB9),ISNUMBER(AC9),AB9&gt;=0,AC9&gt;=0,AB9&lt;=0.95,AC9&lt;=0.95,ISNUMBER(D9),D9&gt;0,'Steel Beam Design'!$A$18="")</f>
        <v>1</v>
      </c>
      <c r="AE9" s="84">
        <f>'Steel Beam Design'!O26</f>
        <v>69.531249999999972</v>
      </c>
    </row>
    <row r="10" spans="1:31">
      <c r="A10" s="1" t="s">
        <v>467</v>
      </c>
      <c r="B10" s="1" t="str">
        <f>'Section Data'!B9</f>
        <v>356x406x340</v>
      </c>
      <c r="C10" s="1" t="s">
        <v>367</v>
      </c>
      <c r="D10" s="84">
        <f>'Section Data'!C9</f>
        <v>339.9</v>
      </c>
      <c r="E10" s="84">
        <f>'Section Data'!Q9</f>
        <v>122500</v>
      </c>
      <c r="F10" s="84">
        <f>'Steel Beam Design'!D7003</f>
        <v>43.457031249999979</v>
      </c>
      <c r="G10" s="84">
        <f>'Steel Beam Design'!D7027</f>
        <v>318.999074477352</v>
      </c>
      <c r="H10" s="84" t="str">
        <f>IF(TRIM($B10)="","",IFERROR('Steel Beam Design'!$D$7006,""))</f>
        <v>S355</v>
      </c>
      <c r="I10" s="84">
        <f>IF(TRIM($B10)="","",IFERROR(MAX(VLOOKUP($B10,'Section Data'!$B$5:$AC$35,5,FALSE),VLOOKUP($B10,'Section Data'!$B$5:$AC$35,6,FALSE)),""))</f>
        <v>42.9</v>
      </c>
      <c r="J10" s="84">
        <f>IF(TRIM($B10)="","",IFERROR(IF(I10&gt;150,"",INDEX('Section Data'!$AH$5:$AK$10,IF(I10&lt;=16,1,IF(I10&lt;=40,2,IF(I10&lt;=63,3,IF(I10&lt;=80,4,IF(I10&lt;=100,5,6))))),MATCH(H10,'Section Data'!$AH$4:$AK$4,0))),""))</f>
        <v>335</v>
      </c>
      <c r="K10" s="84">
        <f t="shared" si="0"/>
        <v>0.90603284840454856</v>
      </c>
      <c r="L10" s="84">
        <f>IF(TRIM($B10)="","",IFERROR(VLOOKUP($B10,'Section Data'!$B$5:$AC$35,9,FALSE),""))</f>
        <v>4.7</v>
      </c>
      <c r="M10" s="84">
        <f>IF(TRIM($B10)="","",IFERROR(VLOOKUP($B10,'Section Data'!$B$5:$AC$35,10,FALSE),""))</f>
        <v>10.91</v>
      </c>
      <c r="N10" s="84">
        <f t="shared" si="1"/>
        <v>8</v>
      </c>
      <c r="O10" s="84">
        <f t="shared" si="2"/>
        <v>80</v>
      </c>
      <c r="P10" s="84">
        <f>IF(TRIM($B10)="","",IFERROR(VLOOKUP($B10,'Section Data'!$B$5:$AC$35,5,FALSE)*VLOOKUP($B10,'Section Data'!$B$5:$AC$35,3,FALSE),""))</f>
        <v>10810.24</v>
      </c>
      <c r="Q10" s="84">
        <f t="shared" si="3"/>
        <v>2090.8338162914943</v>
      </c>
      <c r="R10" s="84">
        <f>'Steel Beam Design'!B3511</f>
        <v>111.25</v>
      </c>
      <c r="S10" s="84">
        <f t="shared" si="4"/>
        <v>0</v>
      </c>
      <c r="T10" s="84">
        <f>IF(TRIM($B10)="","",IFERROR(VLOOKUP($B10,'Section Data'!$B$5:$AC$35,20,FALSE),""))</f>
        <v>6031</v>
      </c>
      <c r="U10" s="84">
        <f>IF(TRIM($B10)="","",IFERROR(VLOOKUP($B10,'Section Data'!$B$5:$AC$35,21,FALSE),""))</f>
        <v>2325</v>
      </c>
      <c r="V10" s="84">
        <f>IF(TRIM($B10)="","",IFERROR(VLOOKUP($B10,'Section Data'!$B$5:$AC$35,22,FALSE),""))</f>
        <v>6999</v>
      </c>
      <c r="W10" s="84">
        <f>IF(TRIM($B10)="","",IFERROR(VLOOKUP($B10,'Section Data'!$B$5:$AC$35,23,FALSE),""))</f>
        <v>3544</v>
      </c>
      <c r="X10" s="84">
        <f>IF(TRIM($B10)="","",IFERROR((VLOOKUP($B10,'Section Data'!$B$5:$AC$35,5,FALSE)/10)*(VLOOKUP($B10,'Section Data'!$B$5:$AC$35,3,FALSE)/10)^2/4,""))</f>
        <v>1098.3203840000001</v>
      </c>
      <c r="Y10" s="84">
        <f>IF(TRIM($B10)="","",IFERROR((VLOOKUP($B10,'Section Data'!$B$5:$AC$35,3,FALSE)/10)*(VLOOKUP($B10,'Section Data'!$B$5:$AC$35,5,FALSE)/10)^2/4,""))</f>
        <v>71.888096000000004</v>
      </c>
      <c r="Z10" s="84">
        <f t="shared" si="5"/>
        <v>2344.665</v>
      </c>
      <c r="AA10" s="84">
        <f t="shared" si="6"/>
        <v>934.65</v>
      </c>
      <c r="AB10" s="86">
        <f t="shared" si="7"/>
        <v>1.8534430824872626E-2</v>
      </c>
      <c r="AC10" s="86">
        <f t="shared" si="8"/>
        <v>2.6040740773661387E-3</v>
      </c>
      <c r="AD10" s="1" t="b">
        <f>AND(ISNUMBER(AB10),ISNUMBER(AC10),AB10&gt;=0,AC10&gt;=0,AB10&lt;=0.95,AC10&lt;=0.95,ISNUMBER(D10),D10&gt;0,'Steel Beam Design'!$A$18="")</f>
        <v>1</v>
      </c>
      <c r="AE10" s="84">
        <f>'Steel Beam Design'!O26</f>
        <v>69.531249999999972</v>
      </c>
    </row>
    <row r="11" spans="1:31">
      <c r="A11" s="1" t="s">
        <v>467</v>
      </c>
      <c r="B11" s="1" t="str">
        <f>'Section Data'!B10</f>
        <v>356x406x287</v>
      </c>
      <c r="C11" s="1" t="s">
        <v>367</v>
      </c>
      <c r="D11" s="84">
        <f>'Section Data'!C10</f>
        <v>287.10000000000002</v>
      </c>
      <c r="E11" s="84">
        <f>'Section Data'!Q10</f>
        <v>99880</v>
      </c>
      <c r="F11" s="84">
        <f>'Steel Beam Design'!D7003</f>
        <v>43.457031249999979</v>
      </c>
      <c r="G11" s="84">
        <f>'Steel Beam Design'!D7027</f>
        <v>318.999074477352</v>
      </c>
      <c r="H11" s="84" t="str">
        <f>IF(TRIM($B11)="","",IFERROR('Steel Beam Design'!$D$7006,""))</f>
        <v>S355</v>
      </c>
      <c r="I11" s="84">
        <f>IF(TRIM($B11)="","",IFERROR(MAX(VLOOKUP($B11,'Section Data'!$B$5:$AC$35,5,FALSE),VLOOKUP($B11,'Section Data'!$B$5:$AC$35,6,FALSE)),""))</f>
        <v>36.5</v>
      </c>
      <c r="J11" s="84">
        <f>IF(TRIM($B11)="","",IFERROR(IF(I11&gt;150,"",INDEX('Section Data'!$AH$5:$AK$10,IF(I11&lt;=16,1,IF(I11&lt;=40,2,IF(I11&lt;=63,3,IF(I11&lt;=80,4,IF(I11&lt;=100,5,6))))),MATCH(H11,'Section Data'!$AH$4:$AK$4,0))),""))</f>
        <v>345</v>
      </c>
      <c r="K11" s="84">
        <f t="shared" si="0"/>
        <v>0.8928053815224023</v>
      </c>
      <c r="L11" s="84">
        <f>IF(TRIM($B11)="","",IFERROR(VLOOKUP($B11,'Section Data'!$B$5:$AC$35,9,FALSE),""))</f>
        <v>5.47</v>
      </c>
      <c r="M11" s="84">
        <f>IF(TRIM($B11)="","",IFERROR(VLOOKUP($B11,'Section Data'!$B$5:$AC$35,10,FALSE),""))</f>
        <v>12.84</v>
      </c>
      <c r="N11" s="84">
        <f t="shared" si="1"/>
        <v>8</v>
      </c>
      <c r="O11" s="84">
        <f t="shared" si="2"/>
        <v>80</v>
      </c>
      <c r="P11" s="84">
        <f>IF(TRIM($B11)="","",IFERROR(VLOOKUP($B11,'Section Data'!$B$5:$AC$35,5,FALSE)*VLOOKUP($B11,'Section Data'!$B$5:$AC$35,3,FALSE),""))</f>
        <v>8895.36</v>
      </c>
      <c r="Q11" s="84">
        <f t="shared" si="3"/>
        <v>1771.8297792358273</v>
      </c>
      <c r="R11" s="84">
        <f>'Steel Beam Design'!B3511</f>
        <v>111.25</v>
      </c>
      <c r="S11" s="84">
        <f t="shared" si="4"/>
        <v>0</v>
      </c>
      <c r="T11" s="84">
        <f>IF(TRIM($B11)="","",IFERROR(VLOOKUP($B11,'Section Data'!$B$5:$AC$35,20,FALSE),""))</f>
        <v>5075</v>
      </c>
      <c r="U11" s="84">
        <f>IF(TRIM($B11)="","",IFERROR(VLOOKUP($B11,'Section Data'!$B$5:$AC$35,21,FALSE),""))</f>
        <v>1939</v>
      </c>
      <c r="V11" s="84">
        <f>IF(TRIM($B11)="","",IFERROR(VLOOKUP($B11,'Section Data'!$B$5:$AC$35,22,FALSE),""))</f>
        <v>5812</v>
      </c>
      <c r="W11" s="84">
        <f>IF(TRIM($B11)="","",IFERROR(VLOOKUP($B11,'Section Data'!$B$5:$AC$35,23,FALSE),""))</f>
        <v>2949</v>
      </c>
      <c r="X11" s="84">
        <f>IF(TRIM($B11)="","",IFERROR((VLOOKUP($B11,'Section Data'!$B$5:$AC$35,5,FALSE)/10)*(VLOOKUP($B11,'Section Data'!$B$5:$AC$35,3,FALSE)/10)^2/4,""))</f>
        <v>875.30342400000006</v>
      </c>
      <c r="Y11" s="84">
        <f>IF(TRIM($B11)="","",IFERROR((VLOOKUP($B11,'Section Data'!$B$5:$AC$35,3,FALSE)/10)*(VLOOKUP($B11,'Section Data'!$B$5:$AC$35,5,FALSE)/10)^2/4,""))</f>
        <v>50.258784000000013</v>
      </c>
      <c r="Z11" s="84">
        <f t="shared" si="5"/>
        <v>2005.14</v>
      </c>
      <c r="AA11" s="84">
        <f t="shared" si="6"/>
        <v>802.74599999999987</v>
      </c>
      <c r="AB11" s="86">
        <f t="shared" si="7"/>
        <v>2.1672816486629352E-2</v>
      </c>
      <c r="AC11" s="86">
        <f t="shared" si="8"/>
        <v>3.1938233327728472E-3</v>
      </c>
      <c r="AD11" s="1" t="b">
        <f>AND(ISNUMBER(AB11),ISNUMBER(AC11),AB11&gt;=0,AC11&gt;=0,AB11&lt;=0.95,AC11&lt;=0.95,ISNUMBER(D11),D11&gt;0,'Steel Beam Design'!$A$18="")</f>
        <v>1</v>
      </c>
      <c r="AE11" s="84">
        <f>'Steel Beam Design'!O26</f>
        <v>69.531249999999972</v>
      </c>
    </row>
    <row r="12" spans="1:31">
      <c r="A12" s="1" t="s">
        <v>467</v>
      </c>
      <c r="B12" s="1" t="str">
        <f>'Section Data'!B11</f>
        <v>356x406x235</v>
      </c>
      <c r="C12" s="1" t="s">
        <v>367</v>
      </c>
      <c r="D12" s="84">
        <f>'Section Data'!C11</f>
        <v>235.1</v>
      </c>
      <c r="E12" s="84">
        <f>'Section Data'!Q11</f>
        <v>79080</v>
      </c>
      <c r="F12" s="84">
        <f>'Steel Beam Design'!D7003</f>
        <v>43.457031249999979</v>
      </c>
      <c r="G12" s="84">
        <f>'Steel Beam Design'!D7027</f>
        <v>318.999074477352</v>
      </c>
      <c r="H12" s="84" t="str">
        <f>IF(TRIM($B12)="","",IFERROR('Steel Beam Design'!$D$7006,""))</f>
        <v>S355</v>
      </c>
      <c r="I12" s="84">
        <f>IF(TRIM($B12)="","",IFERROR(MAX(VLOOKUP($B12,'Section Data'!$B$5:$AC$35,5,FALSE),VLOOKUP($B12,'Section Data'!$B$5:$AC$35,6,FALSE)),""))</f>
        <v>30.2</v>
      </c>
      <c r="J12" s="84">
        <f>IF(TRIM($B12)="","",IFERROR(IF(I12&gt;150,"",INDEX('Section Data'!$AH$5:$AK$10,IF(I12&lt;=16,1,IF(I12&lt;=40,2,IF(I12&lt;=63,3,IF(I12&lt;=80,4,IF(I12&lt;=100,5,6))))),MATCH(H12,'Section Data'!$AH$4:$AK$4,0))),""))</f>
        <v>345</v>
      </c>
      <c r="K12" s="84">
        <f t="shared" si="0"/>
        <v>0.8928053815224023</v>
      </c>
      <c r="L12" s="84">
        <f>IF(TRIM($B12)="","",IFERROR(VLOOKUP($B12,'Section Data'!$B$5:$AC$35,9,FALSE),""))</f>
        <v>6.54</v>
      </c>
      <c r="M12" s="84">
        <f>IF(TRIM($B12)="","",IFERROR(VLOOKUP($B12,'Section Data'!$B$5:$AC$35,10,FALSE),""))</f>
        <v>15.77</v>
      </c>
      <c r="N12" s="84">
        <f t="shared" si="1"/>
        <v>8</v>
      </c>
      <c r="O12" s="84">
        <f t="shared" si="2"/>
        <v>80</v>
      </c>
      <c r="P12" s="84">
        <f>IF(TRIM($B12)="","",IFERROR(VLOOKUP($B12,'Section Data'!$B$5:$AC$35,5,FALSE)*VLOOKUP($B12,'Section Data'!$B$5:$AC$35,3,FALSE),""))</f>
        <v>7010.4</v>
      </c>
      <c r="Q12" s="84">
        <f t="shared" si="3"/>
        <v>1396.3724328587987</v>
      </c>
      <c r="R12" s="84">
        <f>'Steel Beam Design'!B3511</f>
        <v>111.25</v>
      </c>
      <c r="S12" s="84">
        <f t="shared" si="4"/>
        <v>0</v>
      </c>
      <c r="T12" s="84">
        <f>IF(TRIM($B12)="","",IFERROR(VLOOKUP($B12,'Section Data'!$B$5:$AC$35,20,FALSE),""))</f>
        <v>4151</v>
      </c>
      <c r="U12" s="84">
        <f>IF(TRIM($B12)="","",IFERROR(VLOOKUP($B12,'Section Data'!$B$5:$AC$35,21,FALSE),""))</f>
        <v>1570</v>
      </c>
      <c r="V12" s="84">
        <f>IF(TRIM($B12)="","",IFERROR(VLOOKUP($B12,'Section Data'!$B$5:$AC$35,22,FALSE),""))</f>
        <v>4687</v>
      </c>
      <c r="W12" s="84">
        <f>IF(TRIM($B12)="","",IFERROR(VLOOKUP($B12,'Section Data'!$B$5:$AC$35,23,FALSE),""))</f>
        <v>2383</v>
      </c>
      <c r="X12" s="84">
        <f>IF(TRIM($B12)="","",IFERROR((VLOOKUP($B12,'Section Data'!$B$5:$AC$35,5,FALSE)/10)*(VLOOKUP($B12,'Section Data'!$B$5:$AC$35,3,FALSE)/10)^2/4,""))</f>
        <v>667.74059999999997</v>
      </c>
      <c r="Y12" s="84">
        <f>IF(TRIM($B12)="","",IFERROR((VLOOKUP($B12,'Section Data'!$B$5:$AC$35,3,FALSE)/10)*(VLOOKUP($B12,'Section Data'!$B$5:$AC$35,5,FALSE)/10)^2/4,""))</f>
        <v>32.247839999999997</v>
      </c>
      <c r="Z12" s="84">
        <f t="shared" si="5"/>
        <v>1617.0150000000001</v>
      </c>
      <c r="AA12" s="84">
        <f t="shared" si="6"/>
        <v>649.98</v>
      </c>
      <c r="AB12" s="86">
        <f t="shared" si="7"/>
        <v>2.6874847326710003E-2</v>
      </c>
      <c r="AC12" s="86">
        <f t="shared" si="8"/>
        <v>4.0338780282922612E-3</v>
      </c>
      <c r="AD12" s="1" t="b">
        <f>AND(ISNUMBER(AB12),ISNUMBER(AC12),AB12&gt;=0,AC12&gt;=0,AB12&lt;=0.95,AC12&lt;=0.95,ISNUMBER(D12),D12&gt;0,'Steel Beam Design'!$A$18="")</f>
        <v>1</v>
      </c>
      <c r="AE12" s="84">
        <f>'Steel Beam Design'!O26</f>
        <v>69.531249999999972</v>
      </c>
    </row>
    <row r="13" spans="1:31">
      <c r="A13" s="1" t="s">
        <v>467</v>
      </c>
      <c r="B13" s="1" t="str">
        <f>'Section Data'!B12</f>
        <v>356x368x202</v>
      </c>
      <c r="C13" s="1" t="s">
        <v>367</v>
      </c>
      <c r="D13" s="84">
        <f>'Section Data'!C12</f>
        <v>201.9</v>
      </c>
      <c r="E13" s="84">
        <f>'Section Data'!Q12</f>
        <v>66250</v>
      </c>
      <c r="F13" s="84">
        <f>'Steel Beam Design'!D7003</f>
        <v>43.457031249999979</v>
      </c>
      <c r="G13" s="84">
        <f>'Steel Beam Design'!D7027</f>
        <v>318.999074477352</v>
      </c>
      <c r="H13" s="84" t="str">
        <f>IF(TRIM($B13)="","",IFERROR('Steel Beam Design'!$D$7006,""))</f>
        <v>S355</v>
      </c>
      <c r="I13" s="84">
        <f>IF(TRIM($B13)="","",IFERROR(MAX(VLOOKUP($B13,'Section Data'!$B$5:$AC$35,5,FALSE),VLOOKUP($B13,'Section Data'!$B$5:$AC$35,6,FALSE)),""))</f>
        <v>27</v>
      </c>
      <c r="J13" s="84">
        <f>IF(TRIM($B13)="","",IFERROR(IF(I13&gt;150,"",INDEX('Section Data'!$AH$5:$AK$10,IF(I13&lt;=16,1,IF(I13&lt;=40,2,IF(I13&lt;=63,3,IF(I13&lt;=80,4,IF(I13&lt;=100,5,6))))),MATCH(H13,'Section Data'!$AH$4:$AK$4,0))),""))</f>
        <v>345</v>
      </c>
      <c r="K13" s="84">
        <f t="shared" si="0"/>
        <v>0.8928053815224023</v>
      </c>
      <c r="L13" s="84">
        <f>IF(TRIM($B13)="","",IFERROR(VLOOKUP($B13,'Section Data'!$B$5:$AC$35,9,FALSE),""))</f>
        <v>6.94</v>
      </c>
      <c r="M13" s="84">
        <f>IF(TRIM($B13)="","",IFERROR(VLOOKUP($B13,'Section Data'!$B$5:$AC$35,10,FALSE),""))</f>
        <v>17.59</v>
      </c>
      <c r="N13" s="84">
        <f t="shared" si="1"/>
        <v>8</v>
      </c>
      <c r="O13" s="84">
        <f t="shared" si="2"/>
        <v>80</v>
      </c>
      <c r="P13" s="84">
        <f>IF(TRIM($B13)="","",IFERROR(VLOOKUP($B13,'Section Data'!$B$5:$AC$35,5,FALSE)*VLOOKUP($B13,'Section Data'!$B$5:$AC$35,3,FALSE),""))</f>
        <v>6180.9000000000005</v>
      </c>
      <c r="Q13" s="84">
        <f t="shared" si="3"/>
        <v>1231.1477761977847</v>
      </c>
      <c r="R13" s="84">
        <f>'Steel Beam Design'!B3511</f>
        <v>111.25</v>
      </c>
      <c r="S13" s="84">
        <f t="shared" si="4"/>
        <v>0</v>
      </c>
      <c r="T13" s="84">
        <f>IF(TRIM($B13)="","",IFERROR(VLOOKUP($B13,'Section Data'!$B$5:$AC$35,20,FALSE),""))</f>
        <v>3538</v>
      </c>
      <c r="U13" s="84">
        <f>IF(TRIM($B13)="","",IFERROR(VLOOKUP($B13,'Section Data'!$B$5:$AC$35,21,FALSE),""))</f>
        <v>1264</v>
      </c>
      <c r="V13" s="84">
        <f>IF(TRIM($B13)="","",IFERROR(VLOOKUP($B13,'Section Data'!$B$5:$AC$35,22,FALSE),""))</f>
        <v>3972</v>
      </c>
      <c r="W13" s="84">
        <f>IF(TRIM($B13)="","",IFERROR(VLOOKUP($B13,'Section Data'!$B$5:$AC$35,23,FALSE),""))</f>
        <v>1920</v>
      </c>
      <c r="X13" s="84">
        <f>IF(TRIM($B13)="","",IFERROR((VLOOKUP($B13,'Section Data'!$B$5:$AC$35,5,FALSE)/10)*(VLOOKUP($B13,'Section Data'!$B$5:$AC$35,3,FALSE)/10)^2/4,""))</f>
        <v>578.84128499999997</v>
      </c>
      <c r="Y13" s="84">
        <f>IF(TRIM($B13)="","",IFERROR((VLOOKUP($B13,'Section Data'!$B$5:$AC$35,3,FALSE)/10)*(VLOOKUP($B13,'Section Data'!$B$5:$AC$35,5,FALSE)/10)^2/4,""))</f>
        <v>25.496212499999999</v>
      </c>
      <c r="Z13" s="84">
        <f t="shared" si="5"/>
        <v>1370.34</v>
      </c>
      <c r="AA13" s="84">
        <f t="shared" si="6"/>
        <v>523.29600000000005</v>
      </c>
      <c r="AB13" s="86">
        <f t="shared" si="7"/>
        <v>3.1712590488491892E-2</v>
      </c>
      <c r="AC13" s="86">
        <f t="shared" si="8"/>
        <v>4.8150803694694639E-3</v>
      </c>
      <c r="AD13" s="1" t="b">
        <f>AND(ISNUMBER(AB13),ISNUMBER(AC13),AB13&gt;=0,AC13&gt;=0,AB13&lt;=0.95,AC13&lt;=0.95,ISNUMBER(D13),D13&gt;0,'Steel Beam Design'!$A$18="")</f>
        <v>1</v>
      </c>
      <c r="AE13" s="84">
        <f>'Steel Beam Design'!O26</f>
        <v>69.531249999999972</v>
      </c>
    </row>
    <row r="14" spans="1:31">
      <c r="A14" s="1" t="s">
        <v>467</v>
      </c>
      <c r="B14" s="1" t="str">
        <f>'Section Data'!B13</f>
        <v>356x368x177</v>
      </c>
      <c r="C14" s="1" t="s">
        <v>367</v>
      </c>
      <c r="D14" s="84">
        <f>'Section Data'!C13</f>
        <v>177</v>
      </c>
      <c r="E14" s="84">
        <f>'Section Data'!Q13</f>
        <v>57120</v>
      </c>
      <c r="F14" s="84">
        <f>'Steel Beam Design'!D7003</f>
        <v>43.457031249999979</v>
      </c>
      <c r="G14" s="84">
        <f>'Steel Beam Design'!D7027</f>
        <v>318.999074477352</v>
      </c>
      <c r="H14" s="84" t="str">
        <f>IF(TRIM($B14)="","",IFERROR('Steel Beam Design'!$D$7006,""))</f>
        <v>S355</v>
      </c>
      <c r="I14" s="84">
        <f>IF(TRIM($B14)="","",IFERROR(MAX(VLOOKUP($B14,'Section Data'!$B$5:$AC$35,5,FALSE),VLOOKUP($B14,'Section Data'!$B$5:$AC$35,6,FALSE)),""))</f>
        <v>23.8</v>
      </c>
      <c r="J14" s="84">
        <f>IF(TRIM($B14)="","",IFERROR(IF(I14&gt;150,"",INDEX('Section Data'!$AH$5:$AK$10,IF(I14&lt;=16,1,IF(I14&lt;=40,2,IF(I14&lt;=63,3,IF(I14&lt;=80,4,IF(I14&lt;=100,5,6))))),MATCH(H14,'Section Data'!$AH$4:$AK$4,0))),""))</f>
        <v>345</v>
      </c>
      <c r="K14" s="84">
        <f t="shared" si="0"/>
        <v>0.8928053815224023</v>
      </c>
      <c r="L14" s="84">
        <f>IF(TRIM($B14)="","",IFERROR(VLOOKUP($B14,'Section Data'!$B$5:$AC$35,9,FALSE),""))</f>
        <v>7.83</v>
      </c>
      <c r="M14" s="84">
        <f>IF(TRIM($B14)="","",IFERROR(VLOOKUP($B14,'Section Data'!$B$5:$AC$35,10,FALSE),""))</f>
        <v>20.149999999999999</v>
      </c>
      <c r="N14" s="84">
        <f t="shared" si="1"/>
        <v>9</v>
      </c>
      <c r="O14" s="84">
        <f t="shared" si="2"/>
        <v>80</v>
      </c>
      <c r="P14" s="84">
        <f>IF(TRIM($B14)="","",IFERROR(VLOOKUP($B14,'Section Data'!$B$5:$AC$35,5,FALSE)*VLOOKUP($B14,'Section Data'!$B$5:$AC$35,3,FALSE),""))</f>
        <v>5302.08</v>
      </c>
      <c r="Q14" s="84">
        <f t="shared" si="3"/>
        <v>1056.0992737664012</v>
      </c>
      <c r="R14" s="84">
        <f>'Steel Beam Design'!B3511</f>
        <v>111.25</v>
      </c>
      <c r="S14" s="84">
        <f t="shared" si="4"/>
        <v>0</v>
      </c>
      <c r="T14" s="84">
        <f>IF(TRIM($B14)="","",IFERROR(VLOOKUP($B14,'Section Data'!$B$5:$AC$35,20,FALSE),""))</f>
        <v>3103</v>
      </c>
      <c r="U14" s="84">
        <f>IF(TRIM($B14)="","",IFERROR(VLOOKUP($B14,'Section Data'!$B$5:$AC$35,21,FALSE),""))</f>
        <v>1102</v>
      </c>
      <c r="V14" s="84">
        <f>IF(TRIM($B14)="","",IFERROR(VLOOKUP($B14,'Section Data'!$B$5:$AC$35,22,FALSE),""))</f>
        <v>3455</v>
      </c>
      <c r="W14" s="84">
        <f>IF(TRIM($B14)="","",IFERROR(VLOOKUP($B14,'Section Data'!$B$5:$AC$35,23,FALSE),""))</f>
        <v>1671</v>
      </c>
      <c r="X14" s="84">
        <f>IF(TRIM($B14)="","",IFERROR((VLOOKUP($B14,'Section Data'!$B$5:$AC$35,5,FALSE)/10)*(VLOOKUP($B14,'Section Data'!$B$5:$AC$35,3,FALSE)/10)^2/4,""))</f>
        <v>488.05646400000001</v>
      </c>
      <c r="Y14" s="84">
        <f>IF(TRIM($B14)="","",IFERROR((VLOOKUP($B14,'Section Data'!$B$5:$AC$35,3,FALSE)/10)*(VLOOKUP($B14,'Section Data'!$B$5:$AC$35,5,FALSE)/10)^2/4,""))</f>
        <v>19.087488</v>
      </c>
      <c r="Z14" s="84">
        <f t="shared" si="5"/>
        <v>1191.9749999999999</v>
      </c>
      <c r="AA14" s="84">
        <f t="shared" si="6"/>
        <v>456.22799999999995</v>
      </c>
      <c r="AB14" s="86">
        <f t="shared" si="7"/>
        <v>3.6458005620923245E-2</v>
      </c>
      <c r="AC14" s="86">
        <f t="shared" si="8"/>
        <v>5.5847176904298317E-3</v>
      </c>
      <c r="AD14" s="1" t="b">
        <f>AND(ISNUMBER(AB14),ISNUMBER(AC14),AB14&gt;=0,AC14&gt;=0,AB14&lt;=0.95,AC14&lt;=0.95,ISNUMBER(D14),D14&gt;0,'Steel Beam Design'!$A$18="")</f>
        <v>1</v>
      </c>
      <c r="AE14" s="84">
        <f>'Steel Beam Design'!O26</f>
        <v>69.531249999999972</v>
      </c>
    </row>
    <row r="15" spans="1:31">
      <c r="A15" s="1" t="s">
        <v>467</v>
      </c>
      <c r="B15" s="1" t="str">
        <f>'Section Data'!B14</f>
        <v>356x368x153</v>
      </c>
      <c r="C15" s="1" t="s">
        <v>367</v>
      </c>
      <c r="D15" s="84">
        <f>'Section Data'!C14</f>
        <v>152.9</v>
      </c>
      <c r="E15" s="84">
        <f>'Section Data'!Q14</f>
        <v>48590</v>
      </c>
      <c r="F15" s="84">
        <f>'Steel Beam Design'!D7003</f>
        <v>43.457031249999979</v>
      </c>
      <c r="G15" s="84">
        <f>'Steel Beam Design'!D7027</f>
        <v>318.999074477352</v>
      </c>
      <c r="H15" s="84" t="str">
        <f>IF(TRIM($B15)="","",IFERROR('Steel Beam Design'!$D$7006,""))</f>
        <v>S355</v>
      </c>
      <c r="I15" s="84">
        <f>IF(TRIM($B15)="","",IFERROR(MAX(VLOOKUP($B15,'Section Data'!$B$5:$AC$35,5,FALSE),VLOOKUP($B15,'Section Data'!$B$5:$AC$35,6,FALSE)),""))</f>
        <v>20.7</v>
      </c>
      <c r="J15" s="84">
        <f>IF(TRIM($B15)="","",IFERROR(IF(I15&gt;150,"",INDEX('Section Data'!$AH$5:$AK$10,IF(I15&lt;=16,1,IF(I15&lt;=40,2,IF(I15&lt;=63,3,IF(I15&lt;=80,4,IF(I15&lt;=100,5,6))))),MATCH(H15,'Section Data'!$AH$4:$AK$4,0))),""))</f>
        <v>345</v>
      </c>
      <c r="K15" s="84">
        <f t="shared" si="0"/>
        <v>0.8928053815224023</v>
      </c>
      <c r="L15" s="84">
        <f>IF(TRIM($B15)="","",IFERROR(VLOOKUP($B15,'Section Data'!$B$5:$AC$35,9,FALSE),""))</f>
        <v>8.9499999999999993</v>
      </c>
      <c r="M15" s="84">
        <f>IF(TRIM($B15)="","",IFERROR(VLOOKUP($B15,'Section Data'!$B$5:$AC$35,10,FALSE),""))</f>
        <v>23.59</v>
      </c>
      <c r="N15" s="84">
        <f t="shared" si="1"/>
        <v>13</v>
      </c>
      <c r="O15" s="84">
        <f t="shared" si="2"/>
        <v>80</v>
      </c>
      <c r="P15" s="84">
        <f>IF(TRIM($B15)="","",IFERROR(VLOOKUP($B15,'Section Data'!$B$5:$AC$35,5,FALSE)*VLOOKUP($B15,'Section Data'!$B$5:$AC$35,3,FALSE),""))</f>
        <v>4458.75</v>
      </c>
      <c r="Q15" s="84">
        <f t="shared" si="3"/>
        <v>888.11987689848922</v>
      </c>
      <c r="R15" s="84">
        <f>'Steel Beam Design'!B3511</f>
        <v>111.25</v>
      </c>
      <c r="S15" s="84">
        <f t="shared" si="4"/>
        <v>0</v>
      </c>
      <c r="T15" s="84">
        <f>IF(TRIM($B15)="","",IFERROR(VLOOKUP($B15,'Section Data'!$B$5:$AC$35,20,FALSE),""))</f>
        <v>2684</v>
      </c>
      <c r="U15" s="84">
        <f>IF(TRIM($B15)="","",IFERROR(VLOOKUP($B15,'Section Data'!$B$5:$AC$35,21,FALSE),""))</f>
        <v>948</v>
      </c>
      <c r="V15" s="84">
        <f>IF(TRIM($B15)="","",IFERROR(VLOOKUP($B15,'Section Data'!$B$5:$AC$35,22,FALSE),""))</f>
        <v>2968</v>
      </c>
      <c r="W15" s="84">
        <f>IF(TRIM($B15)="","",IFERROR(VLOOKUP($B15,'Section Data'!$B$5:$AC$35,23,FALSE),""))</f>
        <v>1435</v>
      </c>
      <c r="X15" s="84">
        <f>IF(TRIM($B15)="","",IFERROR((VLOOKUP($B15,'Section Data'!$B$5:$AC$35,5,FALSE)/10)*(VLOOKUP($B15,'Section Data'!$B$5:$AC$35,3,FALSE)/10)^2/4,""))</f>
        <v>404.07421875</v>
      </c>
      <c r="Y15" s="84">
        <f>IF(TRIM($B15)="","",IFERROR((VLOOKUP($B15,'Section Data'!$B$5:$AC$35,3,FALSE)/10)*(VLOOKUP($B15,'Section Data'!$B$5:$AC$35,5,FALSE)/10)^2/4,""))</f>
        <v>13.71065625</v>
      </c>
      <c r="Z15" s="84">
        <f t="shared" si="5"/>
        <v>925.98</v>
      </c>
      <c r="AA15" s="84">
        <f t="shared" si="6"/>
        <v>327.06</v>
      </c>
      <c r="AB15" s="86">
        <f t="shared" si="7"/>
        <v>4.6930852988185466E-2</v>
      </c>
      <c r="AC15" s="86">
        <f t="shared" si="8"/>
        <v>6.5651178118409552E-3</v>
      </c>
      <c r="AD15" s="1" t="b">
        <f>AND(ISNUMBER(AB15),ISNUMBER(AC15),AB15&gt;=0,AC15&gt;=0,AB15&lt;=0.95,AC15&lt;=0.95,ISNUMBER(D15),D15&gt;0,'Steel Beam Design'!$A$18="")</f>
        <v>1</v>
      </c>
      <c r="AE15" s="84">
        <f>'Steel Beam Design'!O26</f>
        <v>69.531249999999972</v>
      </c>
    </row>
    <row r="16" spans="1:31">
      <c r="A16" s="1" t="s">
        <v>467</v>
      </c>
      <c r="B16" s="1" t="str">
        <f>'Section Data'!B15</f>
        <v>356x369x129</v>
      </c>
      <c r="C16" s="1" t="s">
        <v>367</v>
      </c>
      <c r="D16" s="84">
        <f>'Section Data'!C15</f>
        <v>129</v>
      </c>
      <c r="E16" s="84">
        <f>'Section Data'!Q15</f>
        <v>40250</v>
      </c>
      <c r="F16" s="84">
        <f>'Steel Beam Design'!D7003</f>
        <v>43.457031249999979</v>
      </c>
      <c r="G16" s="84">
        <f>'Steel Beam Design'!D7027</f>
        <v>318.999074477352</v>
      </c>
      <c r="H16" s="84" t="str">
        <f>IF(TRIM($B16)="","",IFERROR('Steel Beam Design'!$D$7006,""))</f>
        <v>S355</v>
      </c>
      <c r="I16" s="84">
        <f>IF(TRIM($B16)="","",IFERROR(MAX(VLOOKUP($B16,'Section Data'!$B$5:$AC$35,5,FALSE),VLOOKUP($B16,'Section Data'!$B$5:$AC$35,6,FALSE)),""))</f>
        <v>17.5</v>
      </c>
      <c r="J16" s="84">
        <f>IF(TRIM($B16)="","",IFERROR(IF(I16&gt;150,"",INDEX('Section Data'!$AH$5:$AK$10,IF(I16&lt;=16,1,IF(I16&lt;=40,2,IF(I16&lt;=63,3,IF(I16&lt;=80,4,IF(I16&lt;=100,5,6))))),MATCH(H16,'Section Data'!$AH$4:$AK$4,0))),""))</f>
        <v>345</v>
      </c>
      <c r="K16" s="84">
        <f t="shared" si="0"/>
        <v>0.8928053815224023</v>
      </c>
      <c r="L16" s="84">
        <f>IF(TRIM($B16)="","",IFERROR(VLOOKUP($B16,'Section Data'!$B$5:$AC$35,9,FALSE),""))</f>
        <v>10.53</v>
      </c>
      <c r="M16" s="84">
        <f>IF(TRIM($B16)="","",IFERROR(VLOOKUP($B16,'Section Data'!$B$5:$AC$35,10,FALSE),""))</f>
        <v>27.9</v>
      </c>
      <c r="N16" s="84">
        <f t="shared" si="1"/>
        <v>13</v>
      </c>
      <c r="O16" s="84">
        <f t="shared" si="2"/>
        <v>80</v>
      </c>
      <c r="P16" s="84">
        <f>IF(TRIM($B16)="","",IFERROR(VLOOKUP($B16,'Section Data'!$B$5:$AC$35,5,FALSE)*VLOOKUP($B16,'Section Data'!$B$5:$AC$35,3,FALSE),""))</f>
        <v>3698.2400000000002</v>
      </c>
      <c r="Q16" s="84">
        <f t="shared" si="3"/>
        <v>736.63705153710544</v>
      </c>
      <c r="R16" s="84">
        <f>'Steel Beam Design'!B3511</f>
        <v>111.25</v>
      </c>
      <c r="S16" s="84">
        <f t="shared" si="4"/>
        <v>0</v>
      </c>
      <c r="T16" s="84">
        <f>IF(TRIM($B16)="","",IFERROR(VLOOKUP($B16,'Section Data'!$B$5:$AC$35,20,FALSE),""))</f>
        <v>2264</v>
      </c>
      <c r="U16" s="84">
        <f>IF(TRIM($B16)="","",IFERROR(VLOOKUP($B16,'Section Data'!$B$5:$AC$35,21,FALSE),""))</f>
        <v>793</v>
      </c>
      <c r="V16" s="84">
        <f>IF(TRIM($B16)="","",IFERROR(VLOOKUP($B16,'Section Data'!$B$5:$AC$35,22,FALSE),""))</f>
        <v>2479</v>
      </c>
      <c r="W16" s="84">
        <f>IF(TRIM($B16)="","",IFERROR(VLOOKUP($B16,'Section Data'!$B$5:$AC$35,23,FALSE),""))</f>
        <v>1199</v>
      </c>
      <c r="X16" s="84">
        <f>IF(TRIM($B16)="","",IFERROR((VLOOKUP($B16,'Section Data'!$B$5:$AC$35,5,FALSE)/10)*(VLOOKUP($B16,'Section Data'!$B$5:$AC$35,3,FALSE)/10)^2/4,""))</f>
        <v>328.77353600000009</v>
      </c>
      <c r="Y16" s="84">
        <f>IF(TRIM($B16)="","",IFERROR((VLOOKUP($B16,'Section Data'!$B$5:$AC$35,3,FALSE)/10)*(VLOOKUP($B16,'Section Data'!$B$5:$AC$35,5,FALSE)/10)^2/4,""))</f>
        <v>9.6154240000000009</v>
      </c>
      <c r="Z16" s="84">
        <f t="shared" si="5"/>
        <v>781.08</v>
      </c>
      <c r="AA16" s="84">
        <f t="shared" si="6"/>
        <v>273.58499999999998</v>
      </c>
      <c r="AB16" s="86">
        <f t="shared" si="7"/>
        <v>5.5637106634403619E-2</v>
      </c>
      <c r="AC16" s="86">
        <f t="shared" si="8"/>
        <v>7.9254428441578144E-3</v>
      </c>
      <c r="AD16" s="1" t="b">
        <f>AND(ISNUMBER(AB16),ISNUMBER(AC16),AB16&gt;=0,AC16&gt;=0,AB16&lt;=0.95,AC16&lt;=0.95,ISNUMBER(D16),D16&gt;0,'Steel Beam Design'!$A$18="")</f>
        <v>1</v>
      </c>
      <c r="AE16" s="84">
        <f>'Steel Beam Design'!O26</f>
        <v>69.531249999999972</v>
      </c>
    </row>
    <row r="17" spans="1:31">
      <c r="A17" s="1" t="s">
        <v>467</v>
      </c>
      <c r="B17" s="1" t="str">
        <f>'Section Data'!B16</f>
        <v>305x305x283</v>
      </c>
      <c r="C17" s="1" t="s">
        <v>367</v>
      </c>
      <c r="D17" s="84">
        <f>'Section Data'!C16</f>
        <v>282.89999999999998</v>
      </c>
      <c r="E17" s="84">
        <f>'Section Data'!Q16</f>
        <v>78870</v>
      </c>
      <c r="F17" s="84">
        <f>'Steel Beam Design'!D7003</f>
        <v>43.457031249999979</v>
      </c>
      <c r="G17" s="84">
        <f>'Steel Beam Design'!D7027</f>
        <v>318.999074477352</v>
      </c>
      <c r="H17" s="84" t="str">
        <f>IF(TRIM($B17)="","",IFERROR('Steel Beam Design'!$D$7006,""))</f>
        <v>S355</v>
      </c>
      <c r="I17" s="84">
        <f>IF(TRIM($B17)="","",IFERROR(MAX(VLOOKUP($B17,'Section Data'!$B$5:$AC$35,5,FALSE),VLOOKUP($B17,'Section Data'!$B$5:$AC$35,6,FALSE)),""))</f>
        <v>44.4</v>
      </c>
      <c r="J17" s="84">
        <f>IF(TRIM($B17)="","",IFERROR(IF(I17&gt;150,"",INDEX('Section Data'!$AH$5:$AK$10,IF(I17&lt;=16,1,IF(I17&lt;=40,2,IF(I17&lt;=63,3,IF(I17&lt;=80,4,IF(I17&lt;=100,5,6))))),MATCH(H17,'Section Data'!$AH$4:$AK$4,0))),""))</f>
        <v>335</v>
      </c>
      <c r="K17" s="84">
        <f t="shared" si="0"/>
        <v>0.90603284840454856</v>
      </c>
      <c r="L17" s="84">
        <f>IF(TRIM($B17)="","",IFERROR(VLOOKUP($B17,'Section Data'!$B$5:$AC$35,9,FALSE),""))</f>
        <v>3.63</v>
      </c>
      <c r="M17" s="84">
        <f>IF(TRIM($B17)="","",IFERROR(VLOOKUP($B17,'Section Data'!$B$5:$AC$35,10,FALSE),""))</f>
        <v>9.2100000000000009</v>
      </c>
      <c r="N17" s="84">
        <f t="shared" si="1"/>
        <v>8</v>
      </c>
      <c r="O17" s="84">
        <f t="shared" si="2"/>
        <v>80</v>
      </c>
      <c r="P17" s="84">
        <f>IF(TRIM($B17)="","",IFERROR(VLOOKUP($B17,'Section Data'!$B$5:$AC$35,5,FALSE)*VLOOKUP($B17,'Section Data'!$B$5:$AC$35,3,FALSE),""))</f>
        <v>9790.0400000000009</v>
      </c>
      <c r="Q17" s="84">
        <f t="shared" si="3"/>
        <v>1893.5145468413637</v>
      </c>
      <c r="R17" s="84">
        <f>'Steel Beam Design'!B3511</f>
        <v>111.25</v>
      </c>
      <c r="S17" s="84">
        <f t="shared" si="4"/>
        <v>0</v>
      </c>
      <c r="T17" s="84">
        <f>IF(TRIM($B17)="","",IFERROR(VLOOKUP($B17,'Section Data'!$B$5:$AC$35,20,FALSE),""))</f>
        <v>4318</v>
      </c>
      <c r="U17" s="84">
        <f>IF(TRIM($B17)="","",IFERROR(VLOOKUP($B17,'Section Data'!$B$5:$AC$35,21,FALSE),""))</f>
        <v>1529</v>
      </c>
      <c r="V17" s="84">
        <f>IF(TRIM($B17)="","",IFERROR(VLOOKUP($B17,'Section Data'!$B$5:$AC$35,22,FALSE),""))</f>
        <v>5105</v>
      </c>
      <c r="W17" s="84">
        <f>IF(TRIM($B17)="","",IFERROR(VLOOKUP($B17,'Section Data'!$B$5:$AC$35,23,FALSE),""))</f>
        <v>2342</v>
      </c>
      <c r="X17" s="84">
        <f>IF(TRIM($B17)="","",IFERROR((VLOOKUP($B17,'Section Data'!$B$5:$AC$35,5,FALSE)/10)*(VLOOKUP($B17,'Section Data'!$B$5:$AC$35,3,FALSE)/10)^2/4,""))</f>
        <v>894.07540300000005</v>
      </c>
      <c r="Y17" s="84">
        <f>IF(TRIM($B17)="","",IFERROR((VLOOKUP($B17,'Section Data'!$B$5:$AC$35,3,FALSE)/10)*(VLOOKUP($B17,'Section Data'!$B$5:$AC$35,5,FALSE)/10)^2/4,""))</f>
        <v>65.593268000000009</v>
      </c>
      <c r="Z17" s="84">
        <f t="shared" si="5"/>
        <v>1710.175</v>
      </c>
      <c r="AA17" s="84">
        <f t="shared" si="6"/>
        <v>614.65800000000002</v>
      </c>
      <c r="AB17" s="86">
        <f t="shared" si="7"/>
        <v>2.5410868039820473E-2</v>
      </c>
      <c r="AC17" s="86">
        <f t="shared" si="8"/>
        <v>4.0446186696760748E-3</v>
      </c>
      <c r="AD17" s="1" t="b">
        <f>AND(ISNUMBER(AB17),ISNUMBER(AC17),AB17&gt;=0,AC17&gt;=0,AB17&lt;=0.95,AC17&lt;=0.95,ISNUMBER(D17),D17&gt;0,'Steel Beam Design'!$A$18="")</f>
        <v>1</v>
      </c>
      <c r="AE17" s="84">
        <f>'Steel Beam Design'!O26</f>
        <v>69.531249999999972</v>
      </c>
    </row>
    <row r="18" spans="1:31">
      <c r="A18" s="1" t="s">
        <v>467</v>
      </c>
      <c r="B18" s="1" t="str">
        <f>'Section Data'!B17</f>
        <v>305x305x240</v>
      </c>
      <c r="C18" s="1" t="s">
        <v>367</v>
      </c>
      <c r="D18" s="84">
        <f>'Section Data'!C17</f>
        <v>240</v>
      </c>
      <c r="E18" s="84">
        <f>'Section Data'!Q17</f>
        <v>64200</v>
      </c>
      <c r="F18" s="84">
        <f>'Steel Beam Design'!D7003</f>
        <v>43.457031249999979</v>
      </c>
      <c r="G18" s="84">
        <f>'Steel Beam Design'!D7027</f>
        <v>318.999074477352</v>
      </c>
      <c r="H18" s="84" t="str">
        <f>IF(TRIM($B18)="","",IFERROR('Steel Beam Design'!$D$7006,""))</f>
        <v>S355</v>
      </c>
      <c r="I18" s="84">
        <f>IF(TRIM($B18)="","",IFERROR(MAX(VLOOKUP($B18,'Section Data'!$B$5:$AC$35,5,FALSE),VLOOKUP($B18,'Section Data'!$B$5:$AC$35,6,FALSE)),""))</f>
        <v>37.700000000000003</v>
      </c>
      <c r="J18" s="84">
        <f>IF(TRIM($B18)="","",IFERROR(IF(I18&gt;150,"",INDEX('Section Data'!$AH$5:$AK$10,IF(I18&lt;=16,1,IF(I18&lt;=40,2,IF(I18&lt;=63,3,IF(I18&lt;=80,4,IF(I18&lt;=100,5,6))))),MATCH(H18,'Section Data'!$AH$4:$AK$4,0))),""))</f>
        <v>345</v>
      </c>
      <c r="K18" s="84">
        <f t="shared" si="0"/>
        <v>0.8928053815224023</v>
      </c>
      <c r="L18" s="84">
        <f>IF(TRIM($B18)="","",IFERROR(VLOOKUP($B18,'Section Data'!$B$5:$AC$35,9,FALSE),""))</f>
        <v>4.22</v>
      </c>
      <c r="M18" s="84">
        <f>IF(TRIM($B18)="","",IFERROR(VLOOKUP($B18,'Section Data'!$B$5:$AC$35,10,FALSE),""))</f>
        <v>10.73</v>
      </c>
      <c r="N18" s="84">
        <f t="shared" si="1"/>
        <v>8</v>
      </c>
      <c r="O18" s="84">
        <f t="shared" si="2"/>
        <v>80</v>
      </c>
      <c r="P18" s="84">
        <f>IF(TRIM($B18)="","",IFERROR(VLOOKUP($B18,'Section Data'!$B$5:$AC$35,5,FALSE)*VLOOKUP($B18,'Section Data'!$B$5:$AC$35,3,FALSE),""))</f>
        <v>8107.5</v>
      </c>
      <c r="Q18" s="84">
        <f t="shared" si="3"/>
        <v>1614.8992210719373</v>
      </c>
      <c r="R18" s="84">
        <f>'Steel Beam Design'!B3511</f>
        <v>111.25</v>
      </c>
      <c r="S18" s="84">
        <f t="shared" si="4"/>
        <v>0</v>
      </c>
      <c r="T18" s="84">
        <f>IF(TRIM($B18)="","",IFERROR(VLOOKUP($B18,'Section Data'!$B$5:$AC$35,20,FALSE),""))</f>
        <v>3643</v>
      </c>
      <c r="U18" s="84">
        <f>IF(TRIM($B18)="","",IFERROR(VLOOKUP($B18,'Section Data'!$B$5:$AC$35,21,FALSE),""))</f>
        <v>1276</v>
      </c>
      <c r="V18" s="84">
        <f>IF(TRIM($B18)="","",IFERROR(VLOOKUP($B18,'Section Data'!$B$5:$AC$35,22,FALSE),""))</f>
        <v>4247</v>
      </c>
      <c r="W18" s="84">
        <f>IF(TRIM($B18)="","",IFERROR(VLOOKUP($B18,'Section Data'!$B$5:$AC$35,23,FALSE),""))</f>
        <v>1951</v>
      </c>
      <c r="X18" s="84">
        <f>IF(TRIM($B18)="","",IFERROR((VLOOKUP($B18,'Section Data'!$B$5:$AC$35,5,FALSE)/10)*(VLOOKUP($B18,'Section Data'!$B$5:$AC$35,3,FALSE)/10)^2/4,""))</f>
        <v>714.47343749999993</v>
      </c>
      <c r="Y18" s="84">
        <f>IF(TRIM($B18)="","",IFERROR((VLOOKUP($B18,'Section Data'!$B$5:$AC$35,3,FALSE)/10)*(VLOOKUP($B18,'Section Data'!$B$5:$AC$35,5,FALSE)/10)^2/4,""))</f>
        <v>46.618124999999992</v>
      </c>
      <c r="Z18" s="84">
        <f t="shared" si="5"/>
        <v>1465.2149999999999</v>
      </c>
      <c r="AA18" s="84">
        <f t="shared" si="6"/>
        <v>528.26400000000001</v>
      </c>
      <c r="AB18" s="86">
        <f t="shared" si="7"/>
        <v>2.9659149851728232E-2</v>
      </c>
      <c r="AC18" s="86">
        <f t="shared" si="8"/>
        <v>4.9688329357842993E-3</v>
      </c>
      <c r="AD18" s="1" t="b">
        <f>AND(ISNUMBER(AB18),ISNUMBER(AC18),AB18&gt;=0,AC18&gt;=0,AB18&lt;=0.95,AC18&lt;=0.95,ISNUMBER(D18),D18&gt;0,'Steel Beam Design'!$A$18="")</f>
        <v>1</v>
      </c>
      <c r="AE18" s="84">
        <f>'Steel Beam Design'!O26</f>
        <v>69.531249999999972</v>
      </c>
    </row>
    <row r="19" spans="1:31">
      <c r="A19" s="1" t="s">
        <v>467</v>
      </c>
      <c r="B19" s="1" t="str">
        <f>'Section Data'!B18</f>
        <v>305x305x198</v>
      </c>
      <c r="C19" s="1" t="s">
        <v>367</v>
      </c>
      <c r="D19" s="84">
        <f>'Section Data'!C18</f>
        <v>198.1</v>
      </c>
      <c r="E19" s="84">
        <f>'Section Data'!Q18</f>
        <v>50900</v>
      </c>
      <c r="F19" s="84">
        <f>'Steel Beam Design'!D7003</f>
        <v>43.457031249999979</v>
      </c>
      <c r="G19" s="84">
        <f>'Steel Beam Design'!D7027</f>
        <v>318.999074477352</v>
      </c>
      <c r="H19" s="84" t="str">
        <f>IF(TRIM($B19)="","",IFERROR('Steel Beam Design'!$D$7006,""))</f>
        <v>S355</v>
      </c>
      <c r="I19" s="84">
        <f>IF(TRIM($B19)="","",IFERROR(MAX(VLOOKUP($B19,'Section Data'!$B$5:$AC$35,5,FALSE),VLOOKUP($B19,'Section Data'!$B$5:$AC$35,6,FALSE)),""))</f>
        <v>31.4</v>
      </c>
      <c r="J19" s="84">
        <f>IF(TRIM($B19)="","",IFERROR(IF(I19&gt;150,"",INDEX('Section Data'!$AH$5:$AK$10,IF(I19&lt;=16,1,IF(I19&lt;=40,2,IF(I19&lt;=63,3,IF(I19&lt;=80,4,IF(I19&lt;=100,5,6))))),MATCH(H19,'Section Data'!$AH$4:$AK$4,0))),""))</f>
        <v>345</v>
      </c>
      <c r="K19" s="84">
        <f t="shared" si="0"/>
        <v>0.8928053815224023</v>
      </c>
      <c r="L19" s="84">
        <f>IF(TRIM($B19)="","",IFERROR(VLOOKUP($B19,'Section Data'!$B$5:$AC$35,9,FALSE),""))</f>
        <v>5.01</v>
      </c>
      <c r="M19" s="84">
        <f>IF(TRIM($B19)="","",IFERROR(VLOOKUP($B19,'Section Data'!$B$5:$AC$35,10,FALSE),""))</f>
        <v>12.92</v>
      </c>
      <c r="N19" s="84">
        <f t="shared" si="1"/>
        <v>8</v>
      </c>
      <c r="O19" s="84">
        <f t="shared" si="2"/>
        <v>80</v>
      </c>
      <c r="P19" s="84">
        <f>IF(TRIM($B19)="","",IFERROR(VLOOKUP($B19,'Section Data'!$B$5:$AC$35,5,FALSE)*VLOOKUP($B19,'Section Data'!$B$5:$AC$35,3,FALSE),""))</f>
        <v>6492.09</v>
      </c>
      <c r="Q19" s="84">
        <f t="shared" si="3"/>
        <v>1293.1324186406309</v>
      </c>
      <c r="R19" s="84">
        <f>'Steel Beam Design'!B3511</f>
        <v>111.25</v>
      </c>
      <c r="S19" s="84">
        <f t="shared" si="4"/>
        <v>0</v>
      </c>
      <c r="T19" s="84">
        <f>IF(TRIM($B19)="","",IFERROR(VLOOKUP($B19,'Section Data'!$B$5:$AC$35,20,FALSE),""))</f>
        <v>2995</v>
      </c>
      <c r="U19" s="84">
        <f>IF(TRIM($B19)="","",IFERROR(VLOOKUP($B19,'Section Data'!$B$5:$AC$35,21,FALSE),""))</f>
        <v>1037</v>
      </c>
      <c r="V19" s="84">
        <f>IF(TRIM($B19)="","",IFERROR(VLOOKUP($B19,'Section Data'!$B$5:$AC$35,22,FALSE),""))</f>
        <v>3440</v>
      </c>
      <c r="W19" s="84">
        <f>IF(TRIM($B19)="","",IFERROR(VLOOKUP($B19,'Section Data'!$B$5:$AC$35,23,FALSE),""))</f>
        <v>1581</v>
      </c>
      <c r="X19" s="84">
        <f>IF(TRIM($B19)="","",IFERROR((VLOOKUP($B19,'Section Data'!$B$5:$AC$35,5,FALSE)/10)*(VLOOKUP($B19,'Section Data'!$B$5:$AC$35,3,FALSE)/10)^2/4,""))</f>
        <v>551.66534774999991</v>
      </c>
      <c r="Y19" s="84">
        <f>IF(TRIM($B19)="","",IFERROR((VLOOKUP($B19,'Section Data'!$B$5:$AC$35,3,FALSE)/10)*(VLOOKUP($B19,'Section Data'!$B$5:$AC$35,5,FALSE)/10)^2/4,""))</f>
        <v>30.999729749999997</v>
      </c>
      <c r="Z19" s="84">
        <f t="shared" si="5"/>
        <v>1186.8</v>
      </c>
      <c r="AA19" s="84">
        <f t="shared" si="6"/>
        <v>429.31799999999993</v>
      </c>
      <c r="AB19" s="86">
        <f t="shared" si="7"/>
        <v>3.6616979482642385E-2</v>
      </c>
      <c r="AC19" s="86">
        <f t="shared" si="8"/>
        <v>6.2671723865884476E-3</v>
      </c>
      <c r="AD19" s="1" t="b">
        <f>AND(ISNUMBER(AB19),ISNUMBER(AC19),AB19&gt;=0,AC19&gt;=0,AB19&lt;=0.95,AC19&lt;=0.95,ISNUMBER(D19),D19&gt;0,'Steel Beam Design'!$A$18="")</f>
        <v>1</v>
      </c>
      <c r="AE19" s="84">
        <f>'Steel Beam Design'!O26</f>
        <v>69.531249999999972</v>
      </c>
    </row>
    <row r="20" spans="1:31">
      <c r="A20" s="1" t="s">
        <v>467</v>
      </c>
      <c r="B20" s="1" t="str">
        <f>'Section Data'!B19</f>
        <v>305x305x158</v>
      </c>
      <c r="C20" s="1" t="s">
        <v>367</v>
      </c>
      <c r="D20" s="84">
        <f>'Section Data'!C19</f>
        <v>158.1</v>
      </c>
      <c r="E20" s="84">
        <f>'Section Data'!Q19</f>
        <v>38750</v>
      </c>
      <c r="F20" s="84">
        <f>'Steel Beam Design'!D7003</f>
        <v>43.457031249999979</v>
      </c>
      <c r="G20" s="84">
        <f>'Steel Beam Design'!D7027</f>
        <v>318.999074477352</v>
      </c>
      <c r="H20" s="84" t="str">
        <f>IF(TRIM($B20)="","",IFERROR('Steel Beam Design'!$D$7006,""))</f>
        <v>S355</v>
      </c>
      <c r="I20" s="84">
        <f>IF(TRIM($B20)="","",IFERROR(MAX(VLOOKUP($B20,'Section Data'!$B$5:$AC$35,5,FALSE),VLOOKUP($B20,'Section Data'!$B$5:$AC$35,6,FALSE)),""))</f>
        <v>25</v>
      </c>
      <c r="J20" s="84">
        <f>IF(TRIM($B20)="","",IFERROR(IF(I20&gt;150,"",INDEX('Section Data'!$AH$5:$AK$10,IF(I20&lt;=16,1,IF(I20&lt;=40,2,IF(I20&lt;=63,3,IF(I20&lt;=80,4,IF(I20&lt;=100,5,6))))),MATCH(H20,'Section Data'!$AH$4:$AK$4,0))),""))</f>
        <v>345</v>
      </c>
      <c r="K20" s="84">
        <f t="shared" si="0"/>
        <v>0.8928053815224023</v>
      </c>
      <c r="L20" s="84">
        <f>IF(TRIM($B20)="","",IFERROR(VLOOKUP($B20,'Section Data'!$B$5:$AC$35,9,FALSE),""))</f>
        <v>6.22</v>
      </c>
      <c r="M20" s="84">
        <f>IF(TRIM($B20)="","",IFERROR(VLOOKUP($B20,'Section Data'!$B$5:$AC$35,10,FALSE),""))</f>
        <v>15.61</v>
      </c>
      <c r="N20" s="84">
        <f t="shared" si="1"/>
        <v>8</v>
      </c>
      <c r="O20" s="84">
        <f t="shared" si="2"/>
        <v>80</v>
      </c>
      <c r="P20" s="84">
        <f>IF(TRIM($B20)="","",IFERROR(VLOOKUP($B20,'Section Data'!$B$5:$AC$35,5,FALSE)*VLOOKUP($B20,'Section Data'!$B$5:$AC$35,3,FALSE),""))</f>
        <v>5168.18</v>
      </c>
      <c r="Q20" s="84">
        <f t="shared" si="3"/>
        <v>1029.428289406052</v>
      </c>
      <c r="R20" s="84">
        <f>'Steel Beam Design'!B3511</f>
        <v>111.25</v>
      </c>
      <c r="S20" s="84">
        <f t="shared" si="4"/>
        <v>0</v>
      </c>
      <c r="T20" s="84">
        <f>IF(TRIM($B20)="","",IFERROR(VLOOKUP($B20,'Section Data'!$B$5:$AC$35,20,FALSE),""))</f>
        <v>2369</v>
      </c>
      <c r="U20" s="84">
        <f>IF(TRIM($B20)="","",IFERROR(VLOOKUP($B20,'Section Data'!$B$5:$AC$35,21,FALSE),""))</f>
        <v>808</v>
      </c>
      <c r="V20" s="84">
        <f>IF(TRIM($B20)="","",IFERROR(VLOOKUP($B20,'Section Data'!$B$5:$AC$35,22,FALSE),""))</f>
        <v>2680</v>
      </c>
      <c r="W20" s="84">
        <f>IF(TRIM($B20)="","",IFERROR(VLOOKUP($B20,'Section Data'!$B$5:$AC$35,23,FALSE),""))</f>
        <v>1230</v>
      </c>
      <c r="X20" s="84">
        <f>IF(TRIM($B20)="","",IFERROR((VLOOKUP($B20,'Section Data'!$B$5:$AC$35,5,FALSE)/10)*(VLOOKUP($B20,'Section Data'!$B$5:$AC$35,3,FALSE)/10)^2/4,""))</f>
        <v>422.62791950000008</v>
      </c>
      <c r="Y20" s="84">
        <f>IF(TRIM($B20)="","",IFERROR((VLOOKUP($B20,'Section Data'!$B$5:$AC$35,3,FALSE)/10)*(VLOOKUP($B20,'Section Data'!$B$5:$AC$35,5,FALSE)/10)^2/4,""))</f>
        <v>20.414311000000005</v>
      </c>
      <c r="Z20" s="84">
        <f t="shared" si="5"/>
        <v>924.6</v>
      </c>
      <c r="AA20" s="84">
        <f t="shared" si="6"/>
        <v>334.51199999999994</v>
      </c>
      <c r="AB20" s="86">
        <f t="shared" si="7"/>
        <v>4.7000899037421565E-2</v>
      </c>
      <c r="AC20" s="86">
        <f t="shared" si="8"/>
        <v>8.232234180060697E-3</v>
      </c>
      <c r="AD20" s="1" t="b">
        <f>AND(ISNUMBER(AB20),ISNUMBER(AC20),AB20&gt;=0,AC20&gt;=0,AB20&lt;=0.95,AC20&lt;=0.95,ISNUMBER(D20),D20&gt;0,'Steel Beam Design'!$A$18="")</f>
        <v>1</v>
      </c>
      <c r="AE20" s="84">
        <f>'Steel Beam Design'!O26</f>
        <v>69.531249999999972</v>
      </c>
    </row>
    <row r="21" spans="1:31">
      <c r="A21" s="1" t="s">
        <v>467</v>
      </c>
      <c r="B21" s="1" t="str">
        <f>'Section Data'!B20</f>
        <v>305x305x137</v>
      </c>
      <c r="C21" s="1" t="s">
        <v>367</v>
      </c>
      <c r="D21" s="84">
        <f>'Section Data'!C20</f>
        <v>136.9</v>
      </c>
      <c r="E21" s="84">
        <f>'Section Data'!Q20</f>
        <v>32810</v>
      </c>
      <c r="F21" s="84">
        <f>'Steel Beam Design'!D7003</f>
        <v>43.457031249999979</v>
      </c>
      <c r="G21" s="84">
        <f>'Steel Beam Design'!D7027</f>
        <v>318.999074477352</v>
      </c>
      <c r="H21" s="84" t="str">
        <f>IF(TRIM($B21)="","",IFERROR('Steel Beam Design'!$D$7006,""))</f>
        <v>S355</v>
      </c>
      <c r="I21" s="84">
        <f>IF(TRIM($B21)="","",IFERROR(MAX(VLOOKUP($B21,'Section Data'!$B$5:$AC$35,5,FALSE),VLOOKUP($B21,'Section Data'!$B$5:$AC$35,6,FALSE)),""))</f>
        <v>21.7</v>
      </c>
      <c r="J21" s="84">
        <f>IF(TRIM($B21)="","",IFERROR(IF(I21&gt;150,"",INDEX('Section Data'!$AH$5:$AK$10,IF(I21&lt;=16,1,IF(I21&lt;=40,2,IF(I21&lt;=63,3,IF(I21&lt;=80,4,IF(I21&lt;=100,5,6))))),MATCH(H21,'Section Data'!$AH$4:$AK$4,0))),""))</f>
        <v>345</v>
      </c>
      <c r="K21" s="84">
        <f t="shared" si="0"/>
        <v>0.8928053815224023</v>
      </c>
      <c r="L21" s="84">
        <f>IF(TRIM($B21)="","",IFERROR(VLOOKUP($B21,'Section Data'!$B$5:$AC$35,9,FALSE),""))</f>
        <v>7.12</v>
      </c>
      <c r="M21" s="84">
        <f>IF(TRIM($B21)="","",IFERROR(VLOOKUP($B21,'Section Data'!$B$5:$AC$35,10,FALSE),""))</f>
        <v>17.88</v>
      </c>
      <c r="N21" s="84">
        <f t="shared" si="1"/>
        <v>8</v>
      </c>
      <c r="O21" s="84">
        <f t="shared" si="2"/>
        <v>80</v>
      </c>
      <c r="P21" s="84">
        <f>IF(TRIM($B21)="","",IFERROR(VLOOKUP($B21,'Section Data'!$B$5:$AC$35,5,FALSE)*VLOOKUP($B21,'Section Data'!$B$5:$AC$35,3,FALSE),""))</f>
        <v>4422.9000000000005</v>
      </c>
      <c r="Q21" s="84">
        <f t="shared" si="3"/>
        <v>880.97906443158479</v>
      </c>
      <c r="R21" s="84">
        <f>'Steel Beam Design'!B3511</f>
        <v>111.25</v>
      </c>
      <c r="S21" s="84">
        <f t="shared" si="4"/>
        <v>0</v>
      </c>
      <c r="T21" s="84">
        <f>IF(TRIM($B21)="","",IFERROR(VLOOKUP($B21,'Section Data'!$B$5:$AC$35,20,FALSE),""))</f>
        <v>2048</v>
      </c>
      <c r="U21" s="84">
        <f>IF(TRIM($B21)="","",IFERROR(VLOOKUP($B21,'Section Data'!$B$5:$AC$35,21,FALSE),""))</f>
        <v>692</v>
      </c>
      <c r="V21" s="84">
        <f>IF(TRIM($B21)="","",IFERROR(VLOOKUP($B21,'Section Data'!$B$5:$AC$35,22,FALSE),""))</f>
        <v>2297</v>
      </c>
      <c r="W21" s="84">
        <f>IF(TRIM($B21)="","",IFERROR(VLOOKUP($B21,'Section Data'!$B$5:$AC$35,23,FALSE),""))</f>
        <v>1053</v>
      </c>
      <c r="X21" s="84">
        <f>IF(TRIM($B21)="","",IFERROR((VLOOKUP($B21,'Section Data'!$B$5:$AC$35,5,FALSE)/10)*(VLOOKUP($B21,'Section Data'!$B$5:$AC$35,3,FALSE)/10)^2/4,""))</f>
        <v>354.3848625</v>
      </c>
      <c r="Y21" s="84">
        <f>IF(TRIM($B21)="","",IFERROR((VLOOKUP($B21,'Section Data'!$B$5:$AC$35,3,FALSE)/10)*(VLOOKUP($B21,'Section Data'!$B$5:$AC$35,5,FALSE)/10)^2/4,""))</f>
        <v>15.259005000000002</v>
      </c>
      <c r="Z21" s="84">
        <f t="shared" si="5"/>
        <v>792.46500000000003</v>
      </c>
      <c r="AA21" s="84">
        <f t="shared" si="6"/>
        <v>286.488</v>
      </c>
      <c r="AB21" s="86">
        <f t="shared" si="7"/>
        <v>5.4837792520805305E-2</v>
      </c>
      <c r="AC21" s="86">
        <f t="shared" si="8"/>
        <v>9.7226173263441629E-3</v>
      </c>
      <c r="AD21" s="1" t="b">
        <f>AND(ISNUMBER(AB21),ISNUMBER(AC21),AB21&gt;=0,AC21&gt;=0,AB21&lt;=0.95,AC21&lt;=0.95,ISNUMBER(D21),D21&gt;0,'Steel Beam Design'!$A$18="")</f>
        <v>1</v>
      </c>
      <c r="AE21" s="84">
        <f>'Steel Beam Design'!O26</f>
        <v>69.531249999999972</v>
      </c>
    </row>
    <row r="22" spans="1:31">
      <c r="A22" s="1" t="s">
        <v>467</v>
      </c>
      <c r="B22" s="1" t="str">
        <f>'Section Data'!B21</f>
        <v>305x305x118</v>
      </c>
      <c r="C22" s="1" t="s">
        <v>367</v>
      </c>
      <c r="D22" s="84">
        <f>'Section Data'!C21</f>
        <v>117.9</v>
      </c>
      <c r="E22" s="84">
        <f>'Section Data'!Q21</f>
        <v>27670</v>
      </c>
      <c r="F22" s="84">
        <f>'Steel Beam Design'!D7003</f>
        <v>43.457031249999979</v>
      </c>
      <c r="G22" s="84">
        <f>'Steel Beam Design'!D7027</f>
        <v>318.999074477352</v>
      </c>
      <c r="H22" s="84" t="str">
        <f>IF(TRIM($B22)="","",IFERROR('Steel Beam Design'!$D$7006,""))</f>
        <v>S355</v>
      </c>
      <c r="I22" s="84">
        <f>IF(TRIM($B22)="","",IFERROR(MAX(VLOOKUP($B22,'Section Data'!$B$5:$AC$35,5,FALSE),VLOOKUP($B22,'Section Data'!$B$5:$AC$35,6,FALSE)),""))</f>
        <v>18.7</v>
      </c>
      <c r="J22" s="84">
        <f>IF(TRIM($B22)="","",IFERROR(IF(I22&gt;150,"",INDEX('Section Data'!$AH$5:$AK$10,IF(I22&lt;=16,1,IF(I22&lt;=40,2,IF(I22&lt;=63,3,IF(I22&lt;=80,4,IF(I22&lt;=100,5,6))))),MATCH(H22,'Section Data'!$AH$4:$AK$4,0))),""))</f>
        <v>345</v>
      </c>
      <c r="K22" s="84">
        <f t="shared" si="0"/>
        <v>0.8928053815224023</v>
      </c>
      <c r="L22" s="84">
        <f>IF(TRIM($B22)="","",IFERROR(VLOOKUP($B22,'Section Data'!$B$5:$AC$35,9,FALSE),""))</f>
        <v>8.2200000000000006</v>
      </c>
      <c r="M22" s="84">
        <f>IF(TRIM($B22)="","",IFERROR(VLOOKUP($B22,'Section Data'!$B$5:$AC$35,10,FALSE),""))</f>
        <v>20.56</v>
      </c>
      <c r="N22" s="84">
        <f t="shared" si="1"/>
        <v>13</v>
      </c>
      <c r="O22" s="84">
        <f t="shared" si="2"/>
        <v>80</v>
      </c>
      <c r="P22" s="84">
        <f>IF(TRIM($B22)="","",IFERROR(VLOOKUP($B22,'Section Data'!$B$5:$AC$35,5,FALSE)*VLOOKUP($B22,'Section Data'!$B$5:$AC$35,3,FALSE),""))</f>
        <v>3774</v>
      </c>
      <c r="Q22" s="84">
        <f t="shared" si="3"/>
        <v>751.72737099296842</v>
      </c>
      <c r="R22" s="84">
        <f>'Steel Beam Design'!B3511</f>
        <v>111.25</v>
      </c>
      <c r="S22" s="84">
        <f t="shared" si="4"/>
        <v>0</v>
      </c>
      <c r="T22" s="84">
        <f>IF(TRIM($B22)="","",IFERROR(VLOOKUP($B22,'Section Data'!$B$5:$AC$35,20,FALSE),""))</f>
        <v>1760</v>
      </c>
      <c r="U22" s="84">
        <f>IF(TRIM($B22)="","",IFERROR(VLOOKUP($B22,'Section Data'!$B$5:$AC$35,21,FALSE),""))</f>
        <v>589</v>
      </c>
      <c r="V22" s="84">
        <f>IF(TRIM($B22)="","",IFERROR(VLOOKUP($B22,'Section Data'!$B$5:$AC$35,22,FALSE),""))</f>
        <v>1958</v>
      </c>
      <c r="W22" s="84">
        <f>IF(TRIM($B22)="","",IFERROR(VLOOKUP($B22,'Section Data'!$B$5:$AC$35,23,FALSE),""))</f>
        <v>895</v>
      </c>
      <c r="X22" s="84">
        <f>IF(TRIM($B22)="","",IFERROR((VLOOKUP($B22,'Section Data'!$B$5:$AC$35,5,FALSE)/10)*(VLOOKUP($B22,'Section Data'!$B$5:$AC$35,3,FALSE)/10)^2/4,""))</f>
        <v>296.73075</v>
      </c>
      <c r="Y22" s="84">
        <f>IF(TRIM($B22)="","",IFERROR((VLOOKUP($B22,'Section Data'!$B$5:$AC$35,3,FALSE)/10)*(VLOOKUP($B22,'Section Data'!$B$5:$AC$35,5,FALSE)/10)^2/4,""))</f>
        <v>11.321999999999999</v>
      </c>
      <c r="Z22" s="84">
        <f t="shared" si="5"/>
        <v>607.20000000000005</v>
      </c>
      <c r="AA22" s="84">
        <f t="shared" si="6"/>
        <v>203.20500000000001</v>
      </c>
      <c r="AB22" s="86">
        <f t="shared" si="7"/>
        <v>7.1569550806982837E-2</v>
      </c>
      <c r="AC22" s="86">
        <f t="shared" si="8"/>
        <v>1.1528698029539285E-2</v>
      </c>
      <c r="AD22" s="1" t="b">
        <f>AND(ISNUMBER(AB22),ISNUMBER(AC22),AB22&gt;=0,AC22&gt;=0,AB22&lt;=0.95,AC22&lt;=0.95,ISNUMBER(D22),D22&gt;0,'Steel Beam Design'!$A$18="")</f>
        <v>1</v>
      </c>
      <c r="AE22" s="84">
        <f>'Steel Beam Design'!O26</f>
        <v>69.531249999999972</v>
      </c>
    </row>
    <row r="23" spans="1:31">
      <c r="A23" s="1" t="s">
        <v>467</v>
      </c>
      <c r="B23" s="1" t="str">
        <f>'Section Data'!B22</f>
        <v>305x305x97</v>
      </c>
      <c r="C23" s="1" t="s">
        <v>367</v>
      </c>
      <c r="D23" s="84">
        <f>'Section Data'!C22</f>
        <v>96.9</v>
      </c>
      <c r="E23" s="84">
        <f>'Section Data'!Q22</f>
        <v>22250</v>
      </c>
      <c r="F23" s="84">
        <f>'Steel Beam Design'!D7003</f>
        <v>43.457031249999979</v>
      </c>
      <c r="G23" s="84">
        <f>'Steel Beam Design'!D7027</f>
        <v>318.999074477352</v>
      </c>
      <c r="H23" s="84" t="str">
        <f>IF(TRIM($B23)="","",IFERROR('Steel Beam Design'!$D$7006,""))</f>
        <v>S355</v>
      </c>
      <c r="I23" s="84">
        <f>IF(TRIM($B23)="","",IFERROR(MAX(VLOOKUP($B23,'Section Data'!$B$5:$AC$35,5,FALSE),VLOOKUP($B23,'Section Data'!$B$5:$AC$35,6,FALSE)),""))</f>
        <v>15.4</v>
      </c>
      <c r="J23" s="84">
        <f>IF(TRIM($B23)="","",IFERROR(IF(I23&gt;150,"",INDEX('Section Data'!$AH$5:$AK$10,IF(I23&lt;=16,1,IF(I23&lt;=40,2,IF(I23&lt;=63,3,IF(I23&lt;=80,4,IF(I23&lt;=100,5,6))))),MATCH(H23,'Section Data'!$AH$4:$AK$4,0))),""))</f>
        <v>355</v>
      </c>
      <c r="K23" s="84">
        <f t="shared" si="0"/>
        <v>0.88014083380101371</v>
      </c>
      <c r="L23" s="84">
        <f>IF(TRIM($B23)="","",IFERROR(VLOOKUP($B23,'Section Data'!$B$5:$AC$35,9,FALSE),""))</f>
        <v>9.91</v>
      </c>
      <c r="M23" s="84">
        <f>IF(TRIM($B23)="","",IFERROR(VLOOKUP($B23,'Section Data'!$B$5:$AC$35,10,FALSE),""))</f>
        <v>24.92</v>
      </c>
      <c r="N23" s="84">
        <f t="shared" si="1"/>
        <v>13</v>
      </c>
      <c r="O23" s="84">
        <f t="shared" si="2"/>
        <v>80</v>
      </c>
      <c r="P23" s="84">
        <f>IF(TRIM($B23)="","",IFERROR(VLOOKUP($B23,'Section Data'!$B$5:$AC$35,5,FALSE)*VLOOKUP($B23,'Section Data'!$B$5:$AC$35,3,FALSE),""))</f>
        <v>3048.21</v>
      </c>
      <c r="Q23" s="84">
        <f t="shared" si="3"/>
        <v>624.75912673651078</v>
      </c>
      <c r="R23" s="84">
        <f>'Steel Beam Design'!B3511</f>
        <v>111.25</v>
      </c>
      <c r="S23" s="84">
        <f t="shared" si="4"/>
        <v>0</v>
      </c>
      <c r="T23" s="84">
        <f>IF(TRIM($B23)="","",IFERROR(VLOOKUP($B23,'Section Data'!$B$5:$AC$35,20,FALSE),""))</f>
        <v>1445</v>
      </c>
      <c r="U23" s="84">
        <f>IF(TRIM($B23)="","",IFERROR(VLOOKUP($B23,'Section Data'!$B$5:$AC$35,21,FALSE),""))</f>
        <v>479</v>
      </c>
      <c r="V23" s="84">
        <f>IF(TRIM($B23)="","",IFERROR(VLOOKUP($B23,'Section Data'!$B$5:$AC$35,22,FALSE),""))</f>
        <v>1592</v>
      </c>
      <c r="W23" s="84">
        <f>IF(TRIM($B23)="","",IFERROR(VLOOKUP($B23,'Section Data'!$B$5:$AC$35,23,FALSE),""))</f>
        <v>726</v>
      </c>
      <c r="X23" s="84">
        <f>IF(TRIM($B23)="","",IFERROR((VLOOKUP($B23,'Section Data'!$B$5:$AC$35,5,FALSE)/10)*(VLOOKUP($B23,'Section Data'!$B$5:$AC$35,3,FALSE)/10)^2/4,""))</f>
        <v>234.63596475</v>
      </c>
      <c r="Y23" s="84">
        <f>IF(TRIM($B23)="","",IFERROR((VLOOKUP($B23,'Section Data'!$B$5:$AC$35,3,FALSE)/10)*(VLOOKUP($B23,'Section Data'!$B$5:$AC$35,5,FALSE)/10)^2/4,""))</f>
        <v>7.5443197499999997</v>
      </c>
      <c r="Z23" s="84">
        <f t="shared" si="5"/>
        <v>512.97500000000002</v>
      </c>
      <c r="AA23" s="84">
        <f t="shared" si="6"/>
        <v>170.04499999999999</v>
      </c>
      <c r="AB23" s="86">
        <f t="shared" si="7"/>
        <v>8.4715690335786298E-2</v>
      </c>
      <c r="AC23" s="86">
        <f t="shared" si="8"/>
        <v>1.4337037055161888E-2</v>
      </c>
      <c r="AD23" s="1" t="b">
        <f>AND(ISNUMBER(AB23),ISNUMBER(AC23),AB23&gt;=0,AC23&gt;=0,AB23&lt;=0.95,AC23&lt;=0.95,ISNUMBER(D23),D23&gt;0,'Steel Beam Design'!$A$18="")</f>
        <v>1</v>
      </c>
      <c r="AE23" s="84">
        <f>'Steel Beam Design'!O26</f>
        <v>69.531249999999972</v>
      </c>
    </row>
    <row r="24" spans="1:31">
      <c r="A24" s="1" t="s">
        <v>467</v>
      </c>
      <c r="B24" s="1" t="str">
        <f>'Section Data'!B23</f>
        <v>254x254x167</v>
      </c>
      <c r="C24" s="1" t="s">
        <v>367</v>
      </c>
      <c r="D24" s="84">
        <f>'Section Data'!C23</f>
        <v>167.1</v>
      </c>
      <c r="E24" s="84">
        <f>'Section Data'!Q23</f>
        <v>30000</v>
      </c>
      <c r="F24" s="84">
        <f>'Steel Beam Design'!D7003</f>
        <v>43.457031249999979</v>
      </c>
      <c r="G24" s="84">
        <f>'Steel Beam Design'!D7027</f>
        <v>318.999074477352</v>
      </c>
      <c r="H24" s="84" t="str">
        <f>IF(TRIM($B24)="","",IFERROR('Steel Beam Design'!$D$7006,""))</f>
        <v>S355</v>
      </c>
      <c r="I24" s="84">
        <f>IF(TRIM($B24)="","",IFERROR(MAX(VLOOKUP($B24,'Section Data'!$B$5:$AC$35,5,FALSE),VLOOKUP($B24,'Section Data'!$B$5:$AC$35,6,FALSE)),""))</f>
        <v>31.7</v>
      </c>
      <c r="J24" s="84">
        <f>IF(TRIM($B24)="","",IFERROR(IF(I24&gt;150,"",INDEX('Section Data'!$AH$5:$AK$10,IF(I24&lt;=16,1,IF(I24&lt;=40,2,IF(I24&lt;=63,3,IF(I24&lt;=80,4,IF(I24&lt;=100,5,6))))),MATCH(H24,'Section Data'!$AH$4:$AK$4,0))),""))</f>
        <v>345</v>
      </c>
      <c r="K24" s="84">
        <f t="shared" si="0"/>
        <v>0.8928053815224023</v>
      </c>
      <c r="L24" s="84">
        <f>IF(TRIM($B24)="","",IFERROR(VLOOKUP($B24,'Section Data'!$B$5:$AC$35,9,FALSE),""))</f>
        <v>4.18</v>
      </c>
      <c r="M24" s="84">
        <f>IF(TRIM($B24)="","",IFERROR(VLOOKUP($B24,'Section Data'!$B$5:$AC$35,10,FALSE),""))</f>
        <v>10.43</v>
      </c>
      <c r="N24" s="84">
        <f t="shared" si="1"/>
        <v>8</v>
      </c>
      <c r="O24" s="84">
        <f t="shared" si="2"/>
        <v>80</v>
      </c>
      <c r="P24" s="84">
        <f>IF(TRIM($B24)="","",IFERROR(VLOOKUP($B24,'Section Data'!$B$5:$AC$35,5,FALSE)*VLOOKUP($B24,'Section Data'!$B$5:$AC$35,3,FALSE),""))</f>
        <v>5550.72</v>
      </c>
      <c r="Q24" s="84">
        <f t="shared" si="3"/>
        <v>1105.6248417377028</v>
      </c>
      <c r="R24" s="84">
        <f>'Steel Beam Design'!B3511</f>
        <v>111.25</v>
      </c>
      <c r="S24" s="84">
        <f t="shared" si="4"/>
        <v>0</v>
      </c>
      <c r="T24" s="84">
        <f>IF(TRIM($B24)="","",IFERROR(VLOOKUP($B24,'Section Data'!$B$5:$AC$35,20,FALSE),""))</f>
        <v>2075</v>
      </c>
      <c r="U24" s="84">
        <f>IF(TRIM($B24)="","",IFERROR(VLOOKUP($B24,'Section Data'!$B$5:$AC$35,21,FALSE),""))</f>
        <v>744</v>
      </c>
      <c r="V24" s="84">
        <f>IF(TRIM($B24)="","",IFERROR(VLOOKUP($B24,'Section Data'!$B$5:$AC$35,22,FALSE),""))</f>
        <v>2424</v>
      </c>
      <c r="W24" s="84">
        <f>IF(TRIM($B24)="","",IFERROR(VLOOKUP($B24,'Section Data'!$B$5:$AC$35,23,FALSE),""))</f>
        <v>1137</v>
      </c>
      <c r="X24" s="84">
        <f>IF(TRIM($B24)="","",IFERROR((VLOOKUP($B24,'Section Data'!$B$5:$AC$35,5,FALSE)/10)*(VLOOKUP($B24,'Section Data'!$B$5:$AC$35,3,FALSE)/10)^2/4,""))</f>
        <v>401.17828800000007</v>
      </c>
      <c r="Y24" s="84">
        <f>IF(TRIM($B24)="","",IFERROR((VLOOKUP($B24,'Section Data'!$B$5:$AC$35,3,FALSE)/10)*(VLOOKUP($B24,'Section Data'!$B$5:$AC$35,5,FALSE)/10)^2/4,""))</f>
        <v>26.643456000000004</v>
      </c>
      <c r="Z24" s="84">
        <f t="shared" si="5"/>
        <v>836.28</v>
      </c>
      <c r="AA24" s="84">
        <f t="shared" si="6"/>
        <v>308.01600000000002</v>
      </c>
      <c r="AB24" s="86">
        <f t="shared" si="7"/>
        <v>5.196469035490503E-2</v>
      </c>
      <c r="AC24" s="86">
        <f t="shared" si="8"/>
        <v>1.06333024825784E-2</v>
      </c>
      <c r="AD24" s="1" t="b">
        <f>AND(ISNUMBER(AB24),ISNUMBER(AC24),AB24&gt;=0,AC24&gt;=0,AB24&lt;=0.95,AC24&lt;=0.95,ISNUMBER(D24),D24&gt;0,'Steel Beam Design'!$A$18="")</f>
        <v>1</v>
      </c>
      <c r="AE24" s="84">
        <f>'Steel Beam Design'!O26</f>
        <v>69.531249999999972</v>
      </c>
    </row>
    <row r="25" spans="1:31">
      <c r="A25" s="1" t="s">
        <v>467</v>
      </c>
      <c r="B25" s="1" t="str">
        <f>'Section Data'!B24</f>
        <v>254x254x132</v>
      </c>
      <c r="C25" s="1" t="s">
        <v>367</v>
      </c>
      <c r="D25" s="84">
        <f>'Section Data'!C24</f>
        <v>132</v>
      </c>
      <c r="E25" s="84">
        <f>'Section Data'!Q24</f>
        <v>22530</v>
      </c>
      <c r="F25" s="84">
        <f>'Steel Beam Design'!D7003</f>
        <v>43.457031249999979</v>
      </c>
      <c r="G25" s="84">
        <f>'Steel Beam Design'!D7027</f>
        <v>318.999074477352</v>
      </c>
      <c r="H25" s="84" t="str">
        <f>IF(TRIM($B25)="","",IFERROR('Steel Beam Design'!$D$7006,""))</f>
        <v>S355</v>
      </c>
      <c r="I25" s="84">
        <f>IF(TRIM($B25)="","",IFERROR(MAX(VLOOKUP($B25,'Section Data'!$B$5:$AC$35,5,FALSE),VLOOKUP($B25,'Section Data'!$B$5:$AC$35,6,FALSE)),""))</f>
        <v>25.3</v>
      </c>
      <c r="J25" s="84">
        <f>IF(TRIM($B25)="","",IFERROR(IF(I25&gt;150,"",INDEX('Section Data'!$AH$5:$AK$10,IF(I25&lt;=16,1,IF(I25&lt;=40,2,IF(I25&lt;=63,3,IF(I25&lt;=80,4,IF(I25&lt;=100,5,6))))),MATCH(H25,'Section Data'!$AH$4:$AK$4,0))),""))</f>
        <v>345</v>
      </c>
      <c r="K25" s="84">
        <f t="shared" si="0"/>
        <v>0.8928053815224023</v>
      </c>
      <c r="L25" s="84">
        <f>IF(TRIM($B25)="","",IFERROR(VLOOKUP($B25,'Section Data'!$B$5:$AC$35,9,FALSE),""))</f>
        <v>5.16</v>
      </c>
      <c r="M25" s="84">
        <f>IF(TRIM($B25)="","",IFERROR(VLOOKUP($B25,'Section Data'!$B$5:$AC$35,10,FALSE),""))</f>
        <v>13.09</v>
      </c>
      <c r="N25" s="84">
        <f t="shared" si="1"/>
        <v>8</v>
      </c>
      <c r="O25" s="84">
        <f t="shared" si="2"/>
        <v>80</v>
      </c>
      <c r="P25" s="84">
        <f>IF(TRIM($B25)="","",IFERROR(VLOOKUP($B25,'Section Data'!$B$5:$AC$35,5,FALSE)*VLOOKUP($B25,'Section Data'!$B$5:$AC$35,3,FALSE),""))</f>
        <v>4227.3900000000003</v>
      </c>
      <c r="Q25" s="84">
        <f t="shared" si="3"/>
        <v>842.03624029198863</v>
      </c>
      <c r="R25" s="84">
        <f>'Steel Beam Design'!B3511</f>
        <v>111.25</v>
      </c>
      <c r="S25" s="84">
        <f t="shared" si="4"/>
        <v>0</v>
      </c>
      <c r="T25" s="84">
        <f>IF(TRIM($B25)="","",IFERROR(VLOOKUP($B25,'Section Data'!$B$5:$AC$35,20,FALSE),""))</f>
        <v>1631</v>
      </c>
      <c r="U25" s="84">
        <f>IF(TRIM($B25)="","",IFERROR(VLOOKUP($B25,'Section Data'!$B$5:$AC$35,21,FALSE),""))</f>
        <v>576</v>
      </c>
      <c r="V25" s="84">
        <f>IF(TRIM($B25)="","",IFERROR(VLOOKUP($B25,'Section Data'!$B$5:$AC$35,22,FALSE),""))</f>
        <v>1869</v>
      </c>
      <c r="W25" s="84">
        <f>IF(TRIM($B25)="","",IFERROR(VLOOKUP($B25,'Section Data'!$B$5:$AC$35,23,FALSE),""))</f>
        <v>878</v>
      </c>
      <c r="X25" s="84">
        <f>IF(TRIM($B25)="","",IFERROR((VLOOKUP($B25,'Section Data'!$B$5:$AC$35,5,FALSE)/10)*(VLOOKUP($B25,'Section Data'!$B$5:$AC$35,3,FALSE)/10)^2/4,""))</f>
        <v>292.00696425000007</v>
      </c>
      <c r="Y25" s="84">
        <f>IF(TRIM($B25)="","",IFERROR((VLOOKUP($B25,'Section Data'!$B$5:$AC$35,3,FALSE)/10)*(VLOOKUP($B25,'Section Data'!$B$5:$AC$35,5,FALSE)/10)^2/4,""))</f>
        <v>16.169766750000001</v>
      </c>
      <c r="Z25" s="84">
        <f t="shared" si="5"/>
        <v>644.80499999999995</v>
      </c>
      <c r="AA25" s="84">
        <f t="shared" si="6"/>
        <v>238.46399999999997</v>
      </c>
      <c r="AB25" s="86">
        <f t="shared" si="7"/>
        <v>6.7395617667356772E-2</v>
      </c>
      <c r="AC25" s="86">
        <f t="shared" si="8"/>
        <v>1.4158858165883356E-2</v>
      </c>
      <c r="AD25" s="1" t="b">
        <f>AND(ISNUMBER(AB25),ISNUMBER(AC25),AB25&gt;=0,AC25&gt;=0,AB25&lt;=0.95,AC25&lt;=0.95,ISNUMBER(D25),D25&gt;0,'Steel Beam Design'!$A$18="")</f>
        <v>1</v>
      </c>
      <c r="AE25" s="84">
        <f>'Steel Beam Design'!O26</f>
        <v>69.531249999999972</v>
      </c>
    </row>
    <row r="26" spans="1:31">
      <c r="A26" s="1" t="s">
        <v>467</v>
      </c>
      <c r="B26" s="1" t="str">
        <f>'Section Data'!B25</f>
        <v>254x254x107</v>
      </c>
      <c r="C26" s="1" t="s">
        <v>367</v>
      </c>
      <c r="D26" s="84">
        <f>'Section Data'!C25</f>
        <v>107.1</v>
      </c>
      <c r="E26" s="84">
        <f>'Section Data'!Q25</f>
        <v>17510</v>
      </c>
      <c r="F26" s="84">
        <f>'Steel Beam Design'!D7003</f>
        <v>43.457031249999979</v>
      </c>
      <c r="G26" s="84">
        <f>'Steel Beam Design'!D7027</f>
        <v>318.999074477352</v>
      </c>
      <c r="H26" s="84" t="str">
        <f>IF(TRIM($B26)="","",IFERROR('Steel Beam Design'!$D$7006,""))</f>
        <v>S355</v>
      </c>
      <c r="I26" s="84">
        <f>IF(TRIM($B26)="","",IFERROR(MAX(VLOOKUP($B26,'Section Data'!$B$5:$AC$35,5,FALSE),VLOOKUP($B26,'Section Data'!$B$5:$AC$35,6,FALSE)),""))</f>
        <v>20.5</v>
      </c>
      <c r="J26" s="84">
        <f>IF(TRIM($B26)="","",IFERROR(IF(I26&gt;150,"",INDEX('Section Data'!$AH$5:$AK$10,IF(I26&lt;=16,1,IF(I26&lt;=40,2,IF(I26&lt;=63,3,IF(I26&lt;=80,4,IF(I26&lt;=100,5,6))))),MATCH(H26,'Section Data'!$AH$4:$AK$4,0))),""))</f>
        <v>345</v>
      </c>
      <c r="K26" s="84">
        <f t="shared" si="0"/>
        <v>0.8928053815224023</v>
      </c>
      <c r="L26" s="84">
        <f>IF(TRIM($B26)="","",IFERROR(VLOOKUP($B26,'Section Data'!$B$5:$AC$35,9,FALSE),""))</f>
        <v>6.31</v>
      </c>
      <c r="M26" s="84">
        <f>IF(TRIM($B26)="","",IFERROR(VLOOKUP($B26,'Section Data'!$B$5:$AC$35,10,FALSE),""))</f>
        <v>15.65</v>
      </c>
      <c r="N26" s="84">
        <f t="shared" si="1"/>
        <v>8</v>
      </c>
      <c r="O26" s="84">
        <f t="shared" si="2"/>
        <v>80</v>
      </c>
      <c r="P26" s="84">
        <f>IF(TRIM($B26)="","",IFERROR(VLOOKUP($B26,'Section Data'!$B$5:$AC$35,5,FALSE)*VLOOKUP($B26,'Section Data'!$B$5:$AC$35,3,FALSE),""))</f>
        <v>3413.76</v>
      </c>
      <c r="Q26" s="84">
        <f t="shared" si="3"/>
        <v>679.97266295732811</v>
      </c>
      <c r="R26" s="84">
        <f>'Steel Beam Design'!B3511</f>
        <v>111.25</v>
      </c>
      <c r="S26" s="84">
        <f t="shared" si="4"/>
        <v>0</v>
      </c>
      <c r="T26" s="84">
        <f>IF(TRIM($B26)="","",IFERROR(VLOOKUP($B26,'Section Data'!$B$5:$AC$35,20,FALSE),""))</f>
        <v>1313</v>
      </c>
      <c r="U26" s="84">
        <f>IF(TRIM($B26)="","",IFERROR(VLOOKUP($B26,'Section Data'!$B$5:$AC$35,21,FALSE),""))</f>
        <v>458</v>
      </c>
      <c r="V26" s="84">
        <f>IF(TRIM($B26)="","",IFERROR(VLOOKUP($B26,'Section Data'!$B$5:$AC$35,22,FALSE),""))</f>
        <v>1484</v>
      </c>
      <c r="W26" s="84">
        <f>IF(TRIM($B26)="","",IFERROR(VLOOKUP($B26,'Section Data'!$B$5:$AC$35,23,FALSE),""))</f>
        <v>697</v>
      </c>
      <c r="X26" s="84">
        <f>IF(TRIM($B26)="","",IFERROR((VLOOKUP($B26,'Section Data'!$B$5:$AC$35,5,FALSE)/10)*(VLOOKUP($B26,'Section Data'!$B$5:$AC$35,3,FALSE)/10)^2/4,""))</f>
        <v>227.61244799999997</v>
      </c>
      <c r="Y26" s="84">
        <f>IF(TRIM($B26)="","",IFERROR((VLOOKUP($B26,'Section Data'!$B$5:$AC$35,3,FALSE)/10)*(VLOOKUP($B26,'Section Data'!$B$5:$AC$35,5,FALSE)/10)^2/4,""))</f>
        <v>10.924032</v>
      </c>
      <c r="Z26" s="84">
        <f t="shared" si="5"/>
        <v>511.98</v>
      </c>
      <c r="AA26" s="84">
        <f t="shared" si="6"/>
        <v>189.61199999999999</v>
      </c>
      <c r="AB26" s="86">
        <f t="shared" si="7"/>
        <v>8.4880329798038945E-2</v>
      </c>
      <c r="AC26" s="86">
        <f t="shared" si="8"/>
        <v>1.821810819402353E-2</v>
      </c>
      <c r="AD26" s="1" t="b">
        <f>AND(ISNUMBER(AB26),ISNUMBER(AC26),AB26&gt;=0,AC26&gt;=0,AB26&lt;=0.95,AC26&lt;=0.95,ISNUMBER(D26),D26&gt;0,'Steel Beam Design'!$A$18="")</f>
        <v>1</v>
      </c>
      <c r="AE26" s="84">
        <f>'Steel Beam Design'!O26</f>
        <v>69.531249999999972</v>
      </c>
    </row>
    <row r="27" spans="1:31">
      <c r="A27" s="1" t="s">
        <v>467</v>
      </c>
      <c r="B27" s="1" t="str">
        <f>'Section Data'!B26</f>
        <v>254x254x89</v>
      </c>
      <c r="C27" s="1" t="s">
        <v>367</v>
      </c>
      <c r="D27" s="84">
        <f>'Section Data'!C26</f>
        <v>88.9</v>
      </c>
      <c r="E27" s="84">
        <f>'Section Data'!Q26</f>
        <v>14270</v>
      </c>
      <c r="F27" s="84">
        <f>'Steel Beam Design'!D7003</f>
        <v>43.457031249999979</v>
      </c>
      <c r="G27" s="84">
        <f>'Steel Beam Design'!D7027</f>
        <v>318.999074477352</v>
      </c>
      <c r="H27" s="84" t="str">
        <f>IF(TRIM($B27)="","",IFERROR('Steel Beam Design'!$D$7006,""))</f>
        <v>S355</v>
      </c>
      <c r="I27" s="84">
        <f>IF(TRIM($B27)="","",IFERROR(MAX(VLOOKUP($B27,'Section Data'!$B$5:$AC$35,5,FALSE),VLOOKUP($B27,'Section Data'!$B$5:$AC$35,6,FALSE)),""))</f>
        <v>17.3</v>
      </c>
      <c r="J27" s="84">
        <f>IF(TRIM($B27)="","",IFERROR(IF(I27&gt;150,"",INDEX('Section Data'!$AH$5:$AK$10,IF(I27&lt;=16,1,IF(I27&lt;=40,2,IF(I27&lt;=63,3,IF(I27&lt;=80,4,IF(I27&lt;=100,5,6))))),MATCH(H27,'Section Data'!$AH$4:$AK$4,0))),""))</f>
        <v>345</v>
      </c>
      <c r="K27" s="84">
        <f t="shared" si="0"/>
        <v>0.8928053815224023</v>
      </c>
      <c r="L27" s="84">
        <f>IF(TRIM($B27)="","",IFERROR(VLOOKUP($B27,'Section Data'!$B$5:$AC$35,9,FALSE),""))</f>
        <v>7.41</v>
      </c>
      <c r="M27" s="84">
        <f>IF(TRIM($B27)="","",IFERROR(VLOOKUP($B27,'Section Data'!$B$5:$AC$35,10,FALSE),""))</f>
        <v>19.45</v>
      </c>
      <c r="N27" s="84">
        <f t="shared" si="1"/>
        <v>9</v>
      </c>
      <c r="O27" s="84">
        <f t="shared" si="2"/>
        <v>80</v>
      </c>
      <c r="P27" s="84">
        <f>IF(TRIM($B27)="","",IFERROR(VLOOKUP($B27,'Section Data'!$B$5:$AC$35,5,FALSE)*VLOOKUP($B27,'Section Data'!$B$5:$AC$35,3,FALSE),""))</f>
        <v>2681.09</v>
      </c>
      <c r="Q27" s="84">
        <f t="shared" si="3"/>
        <v>534.0351714614568</v>
      </c>
      <c r="R27" s="84">
        <f>'Steel Beam Design'!B3511</f>
        <v>111.25</v>
      </c>
      <c r="S27" s="84">
        <f t="shared" si="4"/>
        <v>0</v>
      </c>
      <c r="T27" s="84">
        <f>IF(TRIM($B27)="","",IFERROR(VLOOKUP($B27,'Section Data'!$B$5:$AC$35,20,FALSE),""))</f>
        <v>1096</v>
      </c>
      <c r="U27" s="84">
        <f>IF(TRIM($B27)="","",IFERROR(VLOOKUP($B27,'Section Data'!$B$5:$AC$35,21,FALSE),""))</f>
        <v>379</v>
      </c>
      <c r="V27" s="84">
        <f>IF(TRIM($B27)="","",IFERROR(VLOOKUP($B27,'Section Data'!$B$5:$AC$35,22,FALSE),""))</f>
        <v>1224</v>
      </c>
      <c r="W27" s="84">
        <f>IF(TRIM($B27)="","",IFERROR(VLOOKUP($B27,'Section Data'!$B$5:$AC$35,23,FALSE),""))</f>
        <v>575</v>
      </c>
      <c r="X27" s="84">
        <f>IF(TRIM($B27)="","",IFERROR((VLOOKUP($B27,'Section Data'!$B$5:$AC$35,5,FALSE)/10)*(VLOOKUP($B27,'Section Data'!$B$5:$AC$35,3,FALSE)/10)^2/4,""))</f>
        <v>174.47193175000001</v>
      </c>
      <c r="Y27" s="84">
        <f>IF(TRIM($B27)="","",IFERROR((VLOOKUP($B27,'Section Data'!$B$5:$AC$35,3,FALSE)/10)*(VLOOKUP($B27,'Section Data'!$B$5:$AC$35,5,FALSE)/10)^2/4,""))</f>
        <v>6.9038067500000002</v>
      </c>
      <c r="Z27" s="84">
        <f t="shared" si="5"/>
        <v>422.28</v>
      </c>
      <c r="AA27" s="84">
        <f t="shared" si="6"/>
        <v>156.90600000000001</v>
      </c>
      <c r="AB27" s="86">
        <f t="shared" si="7"/>
        <v>0.10291046521265507</v>
      </c>
      <c r="AC27" s="86">
        <f t="shared" si="8"/>
        <v>2.2354525191124876E-2</v>
      </c>
      <c r="AD27" s="1" t="b">
        <f>AND(ISNUMBER(AB27),ISNUMBER(AC27),AB27&gt;=0,AC27&gt;=0,AB27&lt;=0.95,AC27&lt;=0.95,ISNUMBER(D27),D27&gt;0,'Steel Beam Design'!$A$18="")</f>
        <v>1</v>
      </c>
      <c r="AE27" s="84">
        <f>'Steel Beam Design'!O26</f>
        <v>69.531249999999972</v>
      </c>
    </row>
    <row r="28" spans="1:31">
      <c r="A28" s="1" t="s">
        <v>467</v>
      </c>
      <c r="B28" s="1" t="str">
        <f>'Section Data'!B27</f>
        <v>254x254x73</v>
      </c>
      <c r="C28" s="1" t="s">
        <v>367</v>
      </c>
      <c r="D28" s="84">
        <f>'Section Data'!C27</f>
        <v>73.099999999999994</v>
      </c>
      <c r="E28" s="84">
        <f>'Section Data'!Q27</f>
        <v>11410</v>
      </c>
      <c r="F28" s="84">
        <f>'Steel Beam Design'!D7003</f>
        <v>43.457031249999979</v>
      </c>
      <c r="G28" s="84">
        <f>'Steel Beam Design'!D7027</f>
        <v>318.999074477352</v>
      </c>
      <c r="H28" s="84" t="str">
        <f>IF(TRIM($B28)="","",IFERROR('Steel Beam Design'!$D$7006,""))</f>
        <v>S355</v>
      </c>
      <c r="I28" s="84">
        <f>IF(TRIM($B28)="","",IFERROR(MAX(VLOOKUP($B28,'Section Data'!$B$5:$AC$35,5,FALSE),VLOOKUP($B28,'Section Data'!$B$5:$AC$35,6,FALSE)),""))</f>
        <v>14.2</v>
      </c>
      <c r="J28" s="84">
        <f>IF(TRIM($B28)="","",IFERROR(IF(I28&gt;150,"",INDEX('Section Data'!$AH$5:$AK$10,IF(I28&lt;=16,1,IF(I28&lt;=40,2,IF(I28&lt;=63,3,IF(I28&lt;=80,4,IF(I28&lt;=100,5,6))))),MATCH(H28,'Section Data'!$AH$4:$AK$4,0))),""))</f>
        <v>355</v>
      </c>
      <c r="K28" s="84">
        <f t="shared" si="0"/>
        <v>0.88014083380101371</v>
      </c>
      <c r="L28" s="84">
        <f>IF(TRIM($B28)="","",IFERROR(VLOOKUP($B28,'Section Data'!$B$5:$AC$35,9,FALSE),""))</f>
        <v>8.9600000000000009</v>
      </c>
      <c r="M28" s="84">
        <f>IF(TRIM($B28)="","",IFERROR(VLOOKUP($B28,'Section Data'!$B$5:$AC$35,10,FALSE),""))</f>
        <v>23.29</v>
      </c>
      <c r="N28" s="84">
        <f t="shared" si="1"/>
        <v>13</v>
      </c>
      <c r="O28" s="84">
        <f t="shared" si="2"/>
        <v>80</v>
      </c>
      <c r="P28" s="84">
        <f>IF(TRIM($B28)="","",IFERROR(VLOOKUP($B28,'Section Data'!$B$5:$AC$35,5,FALSE)*VLOOKUP($B28,'Section Data'!$B$5:$AC$35,3,FALSE),""))</f>
        <v>2185.2599999999998</v>
      </c>
      <c r="Q28" s="84">
        <f t="shared" si="3"/>
        <v>447.88945948350914</v>
      </c>
      <c r="R28" s="84">
        <f>'Steel Beam Design'!B3511</f>
        <v>111.25</v>
      </c>
      <c r="S28" s="84">
        <f t="shared" si="4"/>
        <v>0</v>
      </c>
      <c r="T28" s="84">
        <f>IF(TRIM($B28)="","",IFERROR(VLOOKUP($B28,'Section Data'!$B$5:$AC$35,20,FALSE),""))</f>
        <v>898</v>
      </c>
      <c r="U28" s="84">
        <f>IF(TRIM($B28)="","",IFERROR(VLOOKUP($B28,'Section Data'!$B$5:$AC$35,21,FALSE),""))</f>
        <v>307</v>
      </c>
      <c r="V28" s="84">
        <f>IF(TRIM($B28)="","",IFERROR(VLOOKUP($B28,'Section Data'!$B$5:$AC$35,22,FALSE),""))</f>
        <v>992</v>
      </c>
      <c r="W28" s="84">
        <f>IF(TRIM($B28)="","",IFERROR(VLOOKUP($B28,'Section Data'!$B$5:$AC$35,23,FALSE),""))</f>
        <v>465</v>
      </c>
      <c r="X28" s="84">
        <f>IF(TRIM($B28)="","",IFERROR((VLOOKUP($B28,'Section Data'!$B$5:$AC$35,5,FALSE)/10)*(VLOOKUP($B28,'Section Data'!$B$5:$AC$35,3,FALSE)/10)^2/4,""))</f>
        <v>138.81864149999998</v>
      </c>
      <c r="Y28" s="84">
        <f>IF(TRIM($B28)="","",IFERROR((VLOOKUP($B28,'Section Data'!$B$5:$AC$35,3,FALSE)/10)*(VLOOKUP($B28,'Section Data'!$B$5:$AC$35,5,FALSE)/10)^2/4,""))</f>
        <v>4.6983089999999992</v>
      </c>
      <c r="Z28" s="84">
        <f t="shared" si="5"/>
        <v>318.79000000000002</v>
      </c>
      <c r="AA28" s="84">
        <f t="shared" si="6"/>
        <v>108.985</v>
      </c>
      <c r="AB28" s="86">
        <f t="shared" si="7"/>
        <v>0.1363186776561372</v>
      </c>
      <c r="AC28" s="86">
        <f t="shared" si="8"/>
        <v>2.7957850523869589E-2</v>
      </c>
      <c r="AD28" s="1" t="b">
        <f>AND(ISNUMBER(AB28),ISNUMBER(AC28),AB28&gt;=0,AC28&gt;=0,AB28&lt;=0.95,AC28&lt;=0.95,ISNUMBER(D28),D28&gt;0,'Steel Beam Design'!$A$18="")</f>
        <v>1</v>
      </c>
      <c r="AE28" s="84">
        <f>'Steel Beam Design'!O26</f>
        <v>69.531249999999972</v>
      </c>
    </row>
    <row r="29" spans="1:31">
      <c r="A29" s="1" t="s">
        <v>467</v>
      </c>
      <c r="B29" s="1" t="str">
        <f>'Section Data'!B28</f>
        <v>203x203x86</v>
      </c>
      <c r="C29" s="1" t="s">
        <v>367</v>
      </c>
      <c r="D29" s="84">
        <f>'Section Data'!C28</f>
        <v>86.1</v>
      </c>
      <c r="E29" s="84">
        <f>'Section Data'!Q28</f>
        <v>9449</v>
      </c>
      <c r="F29" s="84">
        <f>'Steel Beam Design'!D7003</f>
        <v>43.457031249999979</v>
      </c>
      <c r="G29" s="84">
        <f>'Steel Beam Design'!D7027</f>
        <v>318.999074477352</v>
      </c>
      <c r="H29" s="84" t="str">
        <f>IF(TRIM($B29)="","",IFERROR('Steel Beam Design'!$D$7006,""))</f>
        <v>S355</v>
      </c>
      <c r="I29" s="84">
        <f>IF(TRIM($B29)="","",IFERROR(MAX(VLOOKUP($B29,'Section Data'!$B$5:$AC$35,5,FALSE),VLOOKUP($B29,'Section Data'!$B$5:$AC$35,6,FALSE)),""))</f>
        <v>20.5</v>
      </c>
      <c r="J29" s="84">
        <f>IF(TRIM($B29)="","",IFERROR(IF(I29&gt;150,"",INDEX('Section Data'!$AH$5:$AK$10,IF(I29&lt;=16,1,IF(I29&lt;=40,2,IF(I29&lt;=63,3,IF(I29&lt;=80,4,IF(I29&lt;=100,5,6))))),MATCH(H29,'Section Data'!$AH$4:$AK$4,0))),""))</f>
        <v>345</v>
      </c>
      <c r="K29" s="84">
        <f t="shared" si="0"/>
        <v>0.8928053815224023</v>
      </c>
      <c r="L29" s="84">
        <f>IF(TRIM($B29)="","",IFERROR(VLOOKUP($B29,'Section Data'!$B$5:$AC$35,9,FALSE),""))</f>
        <v>5.0999999999999996</v>
      </c>
      <c r="M29" s="84">
        <f>IF(TRIM($B29)="","",IFERROR(VLOOKUP($B29,'Section Data'!$B$5:$AC$35,10,FALSE),""))</f>
        <v>12.66</v>
      </c>
      <c r="N29" s="84">
        <f t="shared" si="1"/>
        <v>8</v>
      </c>
      <c r="O29" s="84">
        <f t="shared" si="2"/>
        <v>80</v>
      </c>
      <c r="P29" s="84">
        <f>IF(TRIM($B29)="","",IFERROR(VLOOKUP($B29,'Section Data'!$B$5:$AC$35,5,FALSE)*VLOOKUP($B29,'Section Data'!$B$5:$AC$35,3,FALSE),""))</f>
        <v>2821.9399999999996</v>
      </c>
      <c r="Q29" s="84">
        <f t="shared" si="3"/>
        <v>562.09049742975537</v>
      </c>
      <c r="R29" s="84">
        <f>'Steel Beam Design'!B3511</f>
        <v>111.25</v>
      </c>
      <c r="S29" s="84">
        <f t="shared" si="4"/>
        <v>0</v>
      </c>
      <c r="T29" s="84">
        <f>IF(TRIM($B29)="","",IFERROR(VLOOKUP($B29,'Section Data'!$B$5:$AC$35,20,FALSE),""))</f>
        <v>850</v>
      </c>
      <c r="U29" s="84">
        <f>IF(TRIM($B29)="","",IFERROR(VLOOKUP($B29,'Section Data'!$B$5:$AC$35,21,FALSE),""))</f>
        <v>299</v>
      </c>
      <c r="V29" s="84">
        <f>IF(TRIM($B29)="","",IFERROR(VLOOKUP($B29,'Section Data'!$B$5:$AC$35,22,FALSE),""))</f>
        <v>977</v>
      </c>
      <c r="W29" s="84">
        <f>IF(TRIM($B29)="","",IFERROR(VLOOKUP($B29,'Section Data'!$B$5:$AC$35,23,FALSE),""))</f>
        <v>456</v>
      </c>
      <c r="X29" s="84">
        <f>IF(TRIM($B29)="","",IFERROR((VLOOKUP($B29,'Section Data'!$B$5:$AC$35,5,FALSE)/10)*(VLOOKUP($B29,'Section Data'!$B$5:$AC$35,3,FALSE)/10)^2/4,""))</f>
        <v>156.75876699999998</v>
      </c>
      <c r="Y29" s="84">
        <f>IF(TRIM($B29)="","",IFERROR((VLOOKUP($B29,'Section Data'!$B$5:$AC$35,3,FALSE)/10)*(VLOOKUP($B29,'Section Data'!$B$5:$AC$35,5,FALSE)/10)^2/4,""))</f>
        <v>8.959659499999999</v>
      </c>
      <c r="Z29" s="84">
        <f t="shared" si="5"/>
        <v>337.065</v>
      </c>
      <c r="AA29" s="84">
        <f t="shared" si="6"/>
        <v>123.786</v>
      </c>
      <c r="AB29" s="86">
        <f t="shared" si="7"/>
        <v>0.12892774761544504</v>
      </c>
      <c r="AC29" s="86">
        <f t="shared" si="8"/>
        <v>3.3760088313827069E-2</v>
      </c>
      <c r="AD29" s="1" t="b">
        <f>AND(ISNUMBER(AB29),ISNUMBER(AC29),AB29&gt;=0,AC29&gt;=0,AB29&lt;=0.95,AC29&lt;=0.95,ISNUMBER(D29),D29&gt;0,'Steel Beam Design'!$A$18="")</f>
        <v>1</v>
      </c>
      <c r="AE29" s="84">
        <f>'Steel Beam Design'!O26</f>
        <v>69.531249999999972</v>
      </c>
    </row>
    <row r="30" spans="1:31">
      <c r="A30" s="1" t="s">
        <v>467</v>
      </c>
      <c r="B30" s="1" t="str">
        <f>'Section Data'!B29</f>
        <v>203x203x71</v>
      </c>
      <c r="C30" s="1" t="s">
        <v>367</v>
      </c>
      <c r="D30" s="84">
        <f>'Section Data'!C29</f>
        <v>71</v>
      </c>
      <c r="E30" s="84">
        <f>'Section Data'!Q29</f>
        <v>7618</v>
      </c>
      <c r="F30" s="84">
        <f>'Steel Beam Design'!D7003</f>
        <v>43.457031249999979</v>
      </c>
      <c r="G30" s="84">
        <f>'Steel Beam Design'!D7027</f>
        <v>318.999074477352</v>
      </c>
      <c r="H30" s="84" t="str">
        <f>IF(TRIM($B30)="","",IFERROR('Steel Beam Design'!$D$7006,""))</f>
        <v>S355</v>
      </c>
      <c r="I30" s="84">
        <f>IF(TRIM($B30)="","",IFERROR(MAX(VLOOKUP($B30,'Section Data'!$B$5:$AC$35,5,FALSE),VLOOKUP($B30,'Section Data'!$B$5:$AC$35,6,FALSE)),""))</f>
        <v>17.3</v>
      </c>
      <c r="J30" s="84">
        <f>IF(TRIM($B30)="","",IFERROR(IF(I30&gt;150,"",INDEX('Section Data'!$AH$5:$AK$10,IF(I30&lt;=16,1,IF(I30&lt;=40,2,IF(I30&lt;=63,3,IF(I30&lt;=80,4,IF(I30&lt;=100,5,6))))),MATCH(H30,'Section Data'!$AH$4:$AK$4,0))),""))</f>
        <v>345</v>
      </c>
      <c r="K30" s="84">
        <f t="shared" si="0"/>
        <v>0.8928053815224023</v>
      </c>
      <c r="L30" s="84">
        <f>IF(TRIM($B30)="","",IFERROR(VLOOKUP($B30,'Section Data'!$B$5:$AC$35,9,FALSE),""))</f>
        <v>5.97</v>
      </c>
      <c r="M30" s="84">
        <f>IF(TRIM($B30)="","",IFERROR(VLOOKUP($B30,'Section Data'!$B$5:$AC$35,10,FALSE),""))</f>
        <v>16.079999999999998</v>
      </c>
      <c r="N30" s="84">
        <f t="shared" si="1"/>
        <v>8</v>
      </c>
      <c r="O30" s="84">
        <f t="shared" si="2"/>
        <v>80</v>
      </c>
      <c r="P30" s="84">
        <f>IF(TRIM($B30)="","",IFERROR(VLOOKUP($B30,'Section Data'!$B$5:$AC$35,5,FALSE)*VLOOKUP($B30,'Section Data'!$B$5:$AC$35,3,FALSE),""))</f>
        <v>2158</v>
      </c>
      <c r="Q30" s="84">
        <f t="shared" si="3"/>
        <v>429.8430489143683</v>
      </c>
      <c r="R30" s="84">
        <f>'Steel Beam Design'!B3511</f>
        <v>111.25</v>
      </c>
      <c r="S30" s="84">
        <f t="shared" si="4"/>
        <v>0</v>
      </c>
      <c r="T30" s="84">
        <f>IF(TRIM($B30)="","",IFERROR(VLOOKUP($B30,'Section Data'!$B$5:$AC$35,20,FALSE),""))</f>
        <v>706</v>
      </c>
      <c r="U30" s="84">
        <f>IF(TRIM($B30)="","",IFERROR(VLOOKUP($B30,'Section Data'!$B$5:$AC$35,21,FALSE),""))</f>
        <v>246</v>
      </c>
      <c r="V30" s="84">
        <f>IF(TRIM($B30)="","",IFERROR(VLOOKUP($B30,'Section Data'!$B$5:$AC$35,22,FALSE),""))</f>
        <v>799</v>
      </c>
      <c r="W30" s="84">
        <f>IF(TRIM($B30)="","",IFERROR(VLOOKUP($B30,'Section Data'!$B$5:$AC$35,23,FALSE),""))</f>
        <v>374</v>
      </c>
      <c r="X30" s="84">
        <f>IF(TRIM($B30)="","",IFERROR((VLOOKUP($B30,'Section Data'!$B$5:$AC$35,5,FALSE)/10)*(VLOOKUP($B30,'Section Data'!$B$5:$AC$35,3,FALSE)/10)^2/4,""))</f>
        <v>116.42410000000002</v>
      </c>
      <c r="Y30" s="84">
        <f>IF(TRIM($B30)="","",IFERROR((VLOOKUP($B30,'Section Data'!$B$5:$AC$35,3,FALSE)/10)*(VLOOKUP($B30,'Section Data'!$B$5:$AC$35,5,FALSE)/10)^2/4,""))</f>
        <v>5.3950000000000005</v>
      </c>
      <c r="Z30" s="84">
        <f t="shared" si="5"/>
        <v>275.65499999999997</v>
      </c>
      <c r="AA30" s="84">
        <f t="shared" si="6"/>
        <v>101.84399999999999</v>
      </c>
      <c r="AB30" s="86">
        <f t="shared" si="7"/>
        <v>0.15765007436832265</v>
      </c>
      <c r="AC30" s="86">
        <f t="shared" si="8"/>
        <v>4.1874386253262272E-2</v>
      </c>
      <c r="AD30" s="1" t="b">
        <f>AND(ISNUMBER(AB30),ISNUMBER(AC30),AB30&gt;=0,AC30&gt;=0,AB30&lt;=0.95,AC30&lt;=0.95,ISNUMBER(D30),D30&gt;0,'Steel Beam Design'!$A$18="")</f>
        <v>1</v>
      </c>
      <c r="AE30" s="84">
        <f>'Steel Beam Design'!O26</f>
        <v>69.531249999999972</v>
      </c>
    </row>
    <row r="31" spans="1:31">
      <c r="A31" s="1" t="s">
        <v>467</v>
      </c>
      <c r="B31" s="1" t="str">
        <f>'Section Data'!B30</f>
        <v>203x203x60</v>
      </c>
      <c r="C31" s="1" t="s">
        <v>367</v>
      </c>
      <c r="D31" s="84">
        <f>'Section Data'!C30</f>
        <v>60</v>
      </c>
      <c r="E31" s="84">
        <f>'Section Data'!Q30</f>
        <v>6125</v>
      </c>
      <c r="F31" s="84">
        <f>'Steel Beam Design'!D7003</f>
        <v>43.457031249999979</v>
      </c>
      <c r="G31" s="84">
        <f>'Steel Beam Design'!D7027</f>
        <v>318.999074477352</v>
      </c>
      <c r="H31" s="84" t="str">
        <f>IF(TRIM($B31)="","",IFERROR('Steel Beam Design'!$D$7006,""))</f>
        <v>S355</v>
      </c>
      <c r="I31" s="84">
        <f>IF(TRIM($B31)="","",IFERROR(MAX(VLOOKUP($B31,'Section Data'!$B$5:$AC$35,5,FALSE),VLOOKUP($B31,'Section Data'!$B$5:$AC$35,6,FALSE)),""))</f>
        <v>14.2</v>
      </c>
      <c r="J31" s="84">
        <f>IF(TRIM($B31)="","",IFERROR(IF(I31&gt;150,"",INDEX('Section Data'!$AH$5:$AK$10,IF(I31&lt;=16,1,IF(I31&lt;=40,2,IF(I31&lt;=63,3,IF(I31&lt;=80,4,IF(I31&lt;=100,5,6))))),MATCH(H31,'Section Data'!$AH$4:$AK$4,0))),""))</f>
        <v>355</v>
      </c>
      <c r="K31" s="84">
        <f t="shared" si="0"/>
        <v>0.88014083380101371</v>
      </c>
      <c r="L31" s="84">
        <f>IF(TRIM($B31)="","",IFERROR(VLOOKUP($B31,'Section Data'!$B$5:$AC$35,9,FALSE),""))</f>
        <v>7.25</v>
      </c>
      <c r="M31" s="84">
        <f>IF(TRIM($B31)="","",IFERROR(VLOOKUP($B31,'Section Data'!$B$5:$AC$35,10,FALSE),""))</f>
        <v>17.11</v>
      </c>
      <c r="N31" s="84">
        <f t="shared" si="1"/>
        <v>9</v>
      </c>
      <c r="O31" s="84">
        <f t="shared" si="2"/>
        <v>80</v>
      </c>
      <c r="P31" s="84">
        <f>IF(TRIM($B31)="","",IFERROR(VLOOKUP($B31,'Section Data'!$B$5:$AC$35,5,FALSE)*VLOOKUP($B31,'Section Data'!$B$5:$AC$35,3,FALSE),""))</f>
        <v>1970.24</v>
      </c>
      <c r="Q31" s="84">
        <f t="shared" si="3"/>
        <v>403.81910100069973</v>
      </c>
      <c r="R31" s="84">
        <f>'Steel Beam Design'!B3511</f>
        <v>111.25</v>
      </c>
      <c r="S31" s="84">
        <f t="shared" si="4"/>
        <v>0</v>
      </c>
      <c r="T31" s="84">
        <f>IF(TRIM($B31)="","",IFERROR(VLOOKUP($B31,'Section Data'!$B$5:$AC$35,20,FALSE),""))</f>
        <v>584</v>
      </c>
      <c r="U31" s="84">
        <f>IF(TRIM($B31)="","",IFERROR(VLOOKUP($B31,'Section Data'!$B$5:$AC$35,21,FALSE),""))</f>
        <v>201</v>
      </c>
      <c r="V31" s="84">
        <f>IF(TRIM($B31)="","",IFERROR(VLOOKUP($B31,'Section Data'!$B$5:$AC$35,22,FALSE),""))</f>
        <v>656</v>
      </c>
      <c r="W31" s="84">
        <f>IF(TRIM($B31)="","",IFERROR(VLOOKUP($B31,'Section Data'!$B$5:$AC$35,23,FALSE),""))</f>
        <v>305</v>
      </c>
      <c r="X31" s="84">
        <f>IF(TRIM($B31)="","",IFERROR((VLOOKUP($B31,'Section Data'!$B$5:$AC$35,5,FALSE)/10)*(VLOOKUP($B31,'Section Data'!$B$5:$AC$35,3,FALSE)/10)^2/4,""))</f>
        <v>103.24057600000002</v>
      </c>
      <c r="Y31" s="84">
        <f>IF(TRIM($B31)="","",IFERROR((VLOOKUP($B31,'Section Data'!$B$5:$AC$35,3,FALSE)/10)*(VLOOKUP($B31,'Section Data'!$B$5:$AC$35,5,FALSE)/10)^2/4,""))</f>
        <v>4.6300640000000008</v>
      </c>
      <c r="Z31" s="84">
        <f t="shared" si="5"/>
        <v>232.88</v>
      </c>
      <c r="AA31" s="84">
        <f t="shared" si="6"/>
        <v>85.626000000000005</v>
      </c>
      <c r="AB31" s="86">
        <f t="shared" si="7"/>
        <v>0.18660697032806586</v>
      </c>
      <c r="AC31" s="86">
        <f t="shared" si="8"/>
        <v>5.2081481547322776E-2</v>
      </c>
      <c r="AD31" s="1" t="b">
        <f>AND(ISNUMBER(AB31),ISNUMBER(AC31),AB31&gt;=0,AC31&gt;=0,AB31&lt;=0.95,AC31&lt;=0.95,ISNUMBER(D31),D31&gt;0,'Steel Beam Design'!$A$18="")</f>
        <v>1</v>
      </c>
      <c r="AE31" s="84">
        <f>'Steel Beam Design'!O26</f>
        <v>69.531249999999972</v>
      </c>
    </row>
    <row r="32" spans="1:31">
      <c r="A32" s="1" t="s">
        <v>467</v>
      </c>
      <c r="B32" s="1" t="str">
        <f>'Section Data'!B31</f>
        <v>203x203x52</v>
      </c>
      <c r="C32" s="1" t="s">
        <v>367</v>
      </c>
      <c r="D32" s="84">
        <f>'Section Data'!C31</f>
        <v>52</v>
      </c>
      <c r="E32" s="84">
        <f>'Section Data'!Q31</f>
        <v>5259</v>
      </c>
      <c r="F32" s="84">
        <f>'Steel Beam Design'!D7003</f>
        <v>43.457031249999979</v>
      </c>
      <c r="G32" s="84">
        <f>'Steel Beam Design'!D7027</f>
        <v>318.999074477352</v>
      </c>
      <c r="H32" s="84" t="str">
        <f>IF(TRIM($B32)="","",IFERROR('Steel Beam Design'!$D$7006,""))</f>
        <v>S355</v>
      </c>
      <c r="I32" s="84">
        <f>IF(TRIM($B32)="","",IFERROR(MAX(VLOOKUP($B32,'Section Data'!$B$5:$AC$35,5,FALSE),VLOOKUP($B32,'Section Data'!$B$5:$AC$35,6,FALSE)),""))</f>
        <v>12.5</v>
      </c>
      <c r="J32" s="84">
        <f>IF(TRIM($B32)="","",IFERROR(IF(I32&gt;150,"",INDEX('Section Data'!$AH$5:$AK$10,IF(I32&lt;=16,1,IF(I32&lt;=40,2,IF(I32&lt;=63,3,IF(I32&lt;=80,4,IF(I32&lt;=100,5,6))))),MATCH(H32,'Section Data'!$AH$4:$AK$4,0))),""))</f>
        <v>355</v>
      </c>
      <c r="K32" s="84">
        <f t="shared" si="0"/>
        <v>0.88014083380101371</v>
      </c>
      <c r="L32" s="84">
        <f>IF(TRIM($B32)="","",IFERROR(VLOOKUP($B32,'Section Data'!$B$5:$AC$35,9,FALSE),""))</f>
        <v>8.17</v>
      </c>
      <c r="M32" s="84">
        <f>IF(TRIM($B32)="","",IFERROR(VLOOKUP($B32,'Section Data'!$B$5:$AC$35,10,FALSE),""))</f>
        <v>20.350000000000001</v>
      </c>
      <c r="N32" s="84">
        <f t="shared" si="1"/>
        <v>13</v>
      </c>
      <c r="O32" s="84">
        <f t="shared" si="2"/>
        <v>80</v>
      </c>
      <c r="P32" s="84">
        <f>IF(TRIM($B32)="","",IFERROR(VLOOKUP($B32,'Section Data'!$B$5:$AC$35,5,FALSE)*VLOOKUP($B32,'Section Data'!$B$5:$AC$35,3,FALSE),""))</f>
        <v>1628.98</v>
      </c>
      <c r="Q32" s="84">
        <f t="shared" si="3"/>
        <v>333.87467473410345</v>
      </c>
      <c r="R32" s="84">
        <f>'Steel Beam Design'!B3511</f>
        <v>111.25</v>
      </c>
      <c r="S32" s="84">
        <f t="shared" si="4"/>
        <v>0</v>
      </c>
      <c r="T32" s="84">
        <f>IF(TRIM($B32)="","",IFERROR(VLOOKUP($B32,'Section Data'!$B$5:$AC$35,20,FALSE),""))</f>
        <v>510</v>
      </c>
      <c r="U32" s="84">
        <f>IF(TRIM($B32)="","",IFERROR(VLOOKUP($B32,'Section Data'!$B$5:$AC$35,21,FALSE),""))</f>
        <v>174</v>
      </c>
      <c r="V32" s="84">
        <f>IF(TRIM($B32)="","",IFERROR(VLOOKUP($B32,'Section Data'!$B$5:$AC$35,22,FALSE),""))</f>
        <v>567</v>
      </c>
      <c r="W32" s="84">
        <f>IF(TRIM($B32)="","",IFERROR(VLOOKUP($B32,'Section Data'!$B$5:$AC$35,23,FALSE),""))</f>
        <v>264</v>
      </c>
      <c r="X32" s="84">
        <f>IF(TRIM($B32)="","",IFERROR((VLOOKUP($B32,'Section Data'!$B$5:$AC$35,5,FALSE)/10)*(VLOOKUP($B32,'Section Data'!$B$5:$AC$35,3,FALSE)/10)^2/4,""))</f>
        <v>83.973918999999981</v>
      </c>
      <c r="Y32" s="84">
        <f>IF(TRIM($B32)="","",IFERROR((VLOOKUP($B32,'Section Data'!$B$5:$AC$35,3,FALSE)/10)*(VLOOKUP($B32,'Section Data'!$B$5:$AC$35,5,FALSE)/10)^2/4,""))</f>
        <v>3.2172355000000001</v>
      </c>
      <c r="Z32" s="84">
        <f t="shared" si="5"/>
        <v>181.05</v>
      </c>
      <c r="AA32" s="84">
        <f t="shared" si="6"/>
        <v>61.77</v>
      </c>
      <c r="AB32" s="86">
        <f t="shared" si="7"/>
        <v>0.24002778928472784</v>
      </c>
      <c r="AC32" s="86">
        <f t="shared" si="8"/>
        <v>6.0657743768273813E-2</v>
      </c>
      <c r="AD32" s="1" t="b">
        <f>AND(ISNUMBER(AB32),ISNUMBER(AC32),AB32&gt;=0,AC32&gt;=0,AB32&lt;=0.95,AC32&lt;=0.95,ISNUMBER(D32),D32&gt;0,'Steel Beam Design'!$A$18="")</f>
        <v>1</v>
      </c>
      <c r="AE32" s="84">
        <f>'Steel Beam Design'!O26</f>
        <v>69.531249999999972</v>
      </c>
    </row>
    <row r="33" spans="1:31">
      <c r="A33" s="1" t="s">
        <v>467</v>
      </c>
      <c r="B33" s="1" t="str">
        <f>'Section Data'!B32</f>
        <v>203x203x46</v>
      </c>
      <c r="C33" s="1" t="s">
        <v>367</v>
      </c>
      <c r="D33" s="84">
        <f>'Section Data'!C32</f>
        <v>46.1</v>
      </c>
      <c r="E33" s="84">
        <f>'Section Data'!Q32</f>
        <v>4568</v>
      </c>
      <c r="F33" s="84">
        <f>'Steel Beam Design'!D7003</f>
        <v>43.457031249999979</v>
      </c>
      <c r="G33" s="84">
        <f>'Steel Beam Design'!D7027</f>
        <v>318.999074477352</v>
      </c>
      <c r="H33" s="84" t="str">
        <f>IF(TRIM($B33)="","",IFERROR('Steel Beam Design'!$D$7006,""))</f>
        <v>S355</v>
      </c>
      <c r="I33" s="84">
        <f>IF(TRIM($B33)="","",IFERROR(MAX(VLOOKUP($B33,'Section Data'!$B$5:$AC$35,5,FALSE),VLOOKUP($B33,'Section Data'!$B$5:$AC$35,6,FALSE)),""))</f>
        <v>11</v>
      </c>
      <c r="J33" s="84">
        <f>IF(TRIM($B33)="","",IFERROR(IF(I33&gt;150,"",INDEX('Section Data'!$AH$5:$AK$10,IF(I33&lt;=16,1,IF(I33&lt;=40,2,IF(I33&lt;=63,3,IF(I33&lt;=80,4,IF(I33&lt;=100,5,6))))),MATCH(H33,'Section Data'!$AH$4:$AK$4,0))),""))</f>
        <v>355</v>
      </c>
      <c r="K33" s="84">
        <f t="shared" si="0"/>
        <v>0.88014083380101371</v>
      </c>
      <c r="L33" s="84">
        <f>IF(TRIM($B33)="","",IFERROR(VLOOKUP($B33,'Section Data'!$B$5:$AC$35,9,FALSE),""))</f>
        <v>9.25</v>
      </c>
      <c r="M33" s="84">
        <f>IF(TRIM($B33)="","",IFERROR(VLOOKUP($B33,'Section Data'!$B$5:$AC$35,10,FALSE),""))</f>
        <v>22.33</v>
      </c>
      <c r="N33" s="84">
        <f t="shared" si="1"/>
        <v>13</v>
      </c>
      <c r="O33" s="84">
        <f t="shared" si="2"/>
        <v>80</v>
      </c>
      <c r="P33" s="84">
        <f>IF(TRIM($B33)="","",IFERROR(VLOOKUP($B33,'Section Data'!$B$5:$AC$35,5,FALSE)*VLOOKUP($B33,'Section Data'!$B$5:$AC$35,3,FALSE),""))</f>
        <v>1463.04</v>
      </c>
      <c r="Q33" s="84">
        <f t="shared" si="3"/>
        <v>299.86372093149254</v>
      </c>
      <c r="R33" s="84">
        <f>'Steel Beam Design'!B3511</f>
        <v>111.25</v>
      </c>
      <c r="S33" s="84">
        <f t="shared" si="4"/>
        <v>0</v>
      </c>
      <c r="T33" s="84">
        <f>IF(TRIM($B33)="","",IFERROR(VLOOKUP($B33,'Section Data'!$B$5:$AC$35,20,FALSE),""))</f>
        <v>450</v>
      </c>
      <c r="U33" s="84">
        <f>IF(TRIM($B33)="","",IFERROR(VLOOKUP($B33,'Section Data'!$B$5:$AC$35,21,FALSE),""))</f>
        <v>152</v>
      </c>
      <c r="V33" s="84">
        <f>IF(TRIM($B33)="","",IFERROR(VLOOKUP($B33,'Section Data'!$B$5:$AC$35,22,FALSE),""))</f>
        <v>497</v>
      </c>
      <c r="W33" s="84">
        <f>IF(TRIM($B33)="","",IFERROR(VLOOKUP($B33,'Section Data'!$B$5:$AC$35,23,FALSE),""))</f>
        <v>231</v>
      </c>
      <c r="X33" s="84">
        <f>IF(TRIM($B33)="","",IFERROR((VLOOKUP($B33,'Section Data'!$B$5:$AC$35,5,FALSE)/10)*(VLOOKUP($B33,'Section Data'!$B$5:$AC$35,3,FALSE)/10)^2/4,""))</f>
        <v>74.322431999999992</v>
      </c>
      <c r="Y33" s="84">
        <f>IF(TRIM($B33)="","",IFERROR((VLOOKUP($B33,'Section Data'!$B$5:$AC$35,3,FALSE)/10)*(VLOOKUP($B33,'Section Data'!$B$5:$AC$35,5,FALSE)/10)^2/4,""))</f>
        <v>2.6334719999999998</v>
      </c>
      <c r="Z33" s="84">
        <f t="shared" si="5"/>
        <v>159.75</v>
      </c>
      <c r="AA33" s="84">
        <f t="shared" si="6"/>
        <v>53.96</v>
      </c>
      <c r="AB33" s="86">
        <f t="shared" si="7"/>
        <v>0.2720314945226916</v>
      </c>
      <c r="AC33" s="86">
        <f t="shared" si="8"/>
        <v>6.9833422608877413E-2</v>
      </c>
      <c r="AD33" s="1" t="b">
        <f>AND(ISNUMBER(AB33),ISNUMBER(AC33),AB33&gt;=0,AC33&gt;=0,AB33&lt;=0.95,AC33&lt;=0.95,ISNUMBER(D33),D33&gt;0,'Steel Beam Design'!$A$18="")</f>
        <v>1</v>
      </c>
      <c r="AE33" s="84">
        <f>'Steel Beam Design'!O26</f>
        <v>69.531249999999972</v>
      </c>
    </row>
    <row r="34" spans="1:31">
      <c r="A34" s="1" t="s">
        <v>467</v>
      </c>
      <c r="B34" s="1" t="str">
        <f>'Section Data'!B33</f>
        <v>152x152x37</v>
      </c>
      <c r="C34" s="1" t="s">
        <v>367</v>
      </c>
      <c r="D34" s="84">
        <f>'Section Data'!C33</f>
        <v>37</v>
      </c>
      <c r="E34" s="84">
        <f>'Section Data'!Q33</f>
        <v>2210</v>
      </c>
      <c r="F34" s="84">
        <f>'Steel Beam Design'!D7003</f>
        <v>43.457031249999979</v>
      </c>
      <c r="G34" s="84">
        <f>'Steel Beam Design'!D7027</f>
        <v>318.999074477352</v>
      </c>
      <c r="H34" s="84" t="str">
        <f>IF(TRIM($B34)="","",IFERROR('Steel Beam Design'!$D$7006,""))</f>
        <v>S355</v>
      </c>
      <c r="I34" s="84">
        <f>IF(TRIM($B34)="","",IFERROR(MAX(VLOOKUP($B34,'Section Data'!$B$5:$AC$35,5,FALSE),VLOOKUP($B34,'Section Data'!$B$5:$AC$35,6,FALSE)),""))</f>
        <v>11.5</v>
      </c>
      <c r="J34" s="84">
        <f>IF(TRIM($B34)="","",IFERROR(IF(I34&gt;150,"",INDEX('Section Data'!$AH$5:$AK$10,IF(I34&lt;=16,1,IF(I34&lt;=40,2,IF(I34&lt;=63,3,IF(I34&lt;=80,4,IF(I34&lt;=100,5,6))))),MATCH(H34,'Section Data'!$AH$4:$AK$4,0))),""))</f>
        <v>355</v>
      </c>
      <c r="K34" s="84">
        <f t="shared" si="0"/>
        <v>0.88014083380101371</v>
      </c>
      <c r="L34" s="84">
        <f>IF(TRIM($B34)="","",IFERROR(VLOOKUP($B34,'Section Data'!$B$5:$AC$35,9,FALSE),""))</f>
        <v>6.71</v>
      </c>
      <c r="M34" s="84">
        <f>IF(TRIM($B34)="","",IFERROR(VLOOKUP($B34,'Section Data'!$B$5:$AC$35,10,FALSE),""))</f>
        <v>15.45</v>
      </c>
      <c r="N34" s="84">
        <f t="shared" si="1"/>
        <v>8</v>
      </c>
      <c r="O34" s="84">
        <f t="shared" si="2"/>
        <v>80</v>
      </c>
      <c r="P34" s="84">
        <f>IF(TRIM($B34)="","",IFERROR(VLOOKUP($B34,'Section Data'!$B$5:$AC$35,5,FALSE)*VLOOKUP($B34,'Section Data'!$B$5:$AC$35,3,FALSE),""))</f>
        <v>1294.4000000000001</v>
      </c>
      <c r="Q34" s="84">
        <f t="shared" si="3"/>
        <v>265.29937689586336</v>
      </c>
      <c r="R34" s="84">
        <f>'Steel Beam Design'!B3511</f>
        <v>111.25</v>
      </c>
      <c r="S34" s="84">
        <f t="shared" si="4"/>
        <v>0</v>
      </c>
      <c r="T34" s="84">
        <f>IF(TRIM($B34)="","",IFERROR(VLOOKUP($B34,'Section Data'!$B$5:$AC$35,20,FALSE),""))</f>
        <v>273</v>
      </c>
      <c r="U34" s="84">
        <f>IF(TRIM($B34)="","",IFERROR(VLOOKUP($B34,'Section Data'!$B$5:$AC$35,21,FALSE),""))</f>
        <v>91.5</v>
      </c>
      <c r="V34" s="84">
        <f>IF(TRIM($B34)="","",IFERROR(VLOOKUP($B34,'Section Data'!$B$5:$AC$35,22,FALSE),""))</f>
        <v>309</v>
      </c>
      <c r="W34" s="84">
        <f>IF(TRIM($B34)="","",IFERROR(VLOOKUP($B34,'Section Data'!$B$5:$AC$35,23,FALSE),""))</f>
        <v>140</v>
      </c>
      <c r="X34" s="84">
        <f>IF(TRIM($B34)="","",IFERROR((VLOOKUP($B34,'Section Data'!$B$5:$AC$35,5,FALSE)/10)*(VLOOKUP($B34,'Section Data'!$B$5:$AC$35,3,FALSE)/10)^2/4,""))</f>
        <v>52.35848</v>
      </c>
      <c r="Y34" s="84">
        <f>IF(TRIM($B34)="","",IFERROR((VLOOKUP($B34,'Section Data'!$B$5:$AC$35,3,FALSE)/10)*(VLOOKUP($B34,'Section Data'!$B$5:$AC$35,5,FALSE)/10)^2/4,""))</f>
        <v>2.5888000000000004</v>
      </c>
      <c r="Z34" s="84">
        <f t="shared" si="5"/>
        <v>109.69499999999999</v>
      </c>
      <c r="AA34" s="84">
        <f t="shared" si="6"/>
        <v>38.978999999999999</v>
      </c>
      <c r="AB34" s="86">
        <f t="shared" si="7"/>
        <v>0.39616237066411397</v>
      </c>
      <c r="AC34" s="86">
        <f t="shared" si="8"/>
        <v>0.14434347261418642</v>
      </c>
      <c r="AD34" s="1" t="b">
        <f>AND(ISNUMBER(AB34),ISNUMBER(AC34),AB34&gt;=0,AC34&gt;=0,AB34&lt;=0.95,AC34&lt;=0.95,ISNUMBER(D34),D34&gt;0,'Steel Beam Design'!$A$18="")</f>
        <v>1</v>
      </c>
      <c r="AE34" s="84">
        <f>'Steel Beam Design'!O26</f>
        <v>69.531249999999972</v>
      </c>
    </row>
    <row r="35" spans="1:31">
      <c r="A35" s="1" t="s">
        <v>467</v>
      </c>
      <c r="B35" s="1" t="str">
        <f>'Section Data'!B34</f>
        <v>152x152x30</v>
      </c>
      <c r="C35" s="1" t="s">
        <v>367</v>
      </c>
      <c r="D35" s="84">
        <f>'Section Data'!C34</f>
        <v>30</v>
      </c>
      <c r="E35" s="84">
        <f>'Section Data'!Q34</f>
        <v>1748</v>
      </c>
      <c r="F35" s="84">
        <f>'Steel Beam Design'!D7003</f>
        <v>43.457031249999979</v>
      </c>
      <c r="G35" s="84">
        <f>'Steel Beam Design'!D7027</f>
        <v>318.999074477352</v>
      </c>
      <c r="H35" s="84" t="str">
        <f>IF(TRIM($B35)="","",IFERROR('Steel Beam Design'!$D$7006,""))</f>
        <v>S355</v>
      </c>
      <c r="I35" s="84">
        <f>IF(TRIM($B35)="","",IFERROR(MAX(VLOOKUP($B35,'Section Data'!$B$5:$AC$35,5,FALSE),VLOOKUP($B35,'Section Data'!$B$5:$AC$35,6,FALSE)),""))</f>
        <v>9.4</v>
      </c>
      <c r="J35" s="84">
        <f>IF(TRIM($B35)="","",IFERROR(IF(I35&gt;150,"",INDEX('Section Data'!$AH$5:$AK$10,IF(I35&lt;=16,1,IF(I35&lt;=40,2,IF(I35&lt;=63,3,IF(I35&lt;=80,4,IF(I35&lt;=100,5,6))))),MATCH(H35,'Section Data'!$AH$4:$AK$4,0))),""))</f>
        <v>355</v>
      </c>
      <c r="K35" s="84">
        <f t="shared" si="0"/>
        <v>0.88014083380101371</v>
      </c>
      <c r="L35" s="84">
        <f>IF(TRIM($B35)="","",IFERROR(VLOOKUP($B35,'Section Data'!$B$5:$AC$35,9,FALSE),""))</f>
        <v>8.1300000000000008</v>
      </c>
      <c r="M35" s="84">
        <f>IF(TRIM($B35)="","",IFERROR(VLOOKUP($B35,'Section Data'!$B$5:$AC$35,10,FALSE),""))</f>
        <v>19.02</v>
      </c>
      <c r="N35" s="84">
        <f t="shared" si="1"/>
        <v>13</v>
      </c>
      <c r="O35" s="84">
        <f t="shared" si="2"/>
        <v>80</v>
      </c>
      <c r="P35" s="84">
        <f>IF(TRIM($B35)="","",IFERROR(VLOOKUP($B35,'Section Data'!$B$5:$AC$35,5,FALSE)*VLOOKUP($B35,'Section Data'!$B$5:$AC$35,3,FALSE),""))</f>
        <v>1024.3999999999999</v>
      </c>
      <c r="Q35" s="84">
        <f t="shared" si="3"/>
        <v>209.96035359403768</v>
      </c>
      <c r="R35" s="84">
        <f>'Steel Beam Design'!B3511</f>
        <v>111.25</v>
      </c>
      <c r="S35" s="84">
        <f t="shared" si="4"/>
        <v>0</v>
      </c>
      <c r="T35" s="84">
        <f>IF(TRIM($B35)="","",IFERROR(VLOOKUP($B35,'Section Data'!$B$5:$AC$35,20,FALSE),""))</f>
        <v>222</v>
      </c>
      <c r="U35" s="84">
        <f>IF(TRIM($B35)="","",IFERROR(VLOOKUP($B35,'Section Data'!$B$5:$AC$35,21,FALSE),""))</f>
        <v>73.3</v>
      </c>
      <c r="V35" s="84">
        <f>IF(TRIM($B35)="","",IFERROR(VLOOKUP($B35,'Section Data'!$B$5:$AC$35,22,FALSE),""))</f>
        <v>248</v>
      </c>
      <c r="W35" s="84">
        <f>IF(TRIM($B35)="","",IFERROR(VLOOKUP($B35,'Section Data'!$B$5:$AC$35,23,FALSE),""))</f>
        <v>112</v>
      </c>
      <c r="X35" s="84">
        <f>IF(TRIM($B35)="","",IFERROR((VLOOKUP($B35,'Section Data'!$B$5:$AC$35,5,FALSE)/10)*(VLOOKUP($B35,'Section Data'!$B$5:$AC$35,3,FALSE)/10)^2/4,""))</f>
        <v>40.361360000000005</v>
      </c>
      <c r="Y35" s="84">
        <f>IF(TRIM($B35)="","",IFERROR((VLOOKUP($B35,'Section Data'!$B$5:$AC$35,3,FALSE)/10)*(VLOOKUP($B35,'Section Data'!$B$5:$AC$35,5,FALSE)/10)^2/4,""))</f>
        <v>1.6646500000000002</v>
      </c>
      <c r="Z35" s="84">
        <f t="shared" si="5"/>
        <v>78.81</v>
      </c>
      <c r="AA35" s="84">
        <f t="shared" si="6"/>
        <v>26.0215</v>
      </c>
      <c r="AB35" s="86">
        <f t="shared" si="7"/>
        <v>0.55141519160005048</v>
      </c>
      <c r="AC35" s="86">
        <f t="shared" si="8"/>
        <v>0.18249374970100229</v>
      </c>
      <c r="AD35" s="1" t="b">
        <f>AND(ISNUMBER(AB35),ISNUMBER(AC35),AB35&gt;=0,AC35&gt;=0,AB35&lt;=0.95,AC35&lt;=0.95,ISNUMBER(D35),D35&gt;0,'Steel Beam Design'!$A$18="")</f>
        <v>1</v>
      </c>
      <c r="AE35" s="84">
        <f>'Steel Beam Design'!O26</f>
        <v>69.531249999999972</v>
      </c>
    </row>
    <row r="36" spans="1:31">
      <c r="A36" s="1" t="s">
        <v>467</v>
      </c>
      <c r="B36" s="1" t="str">
        <f>'Section Data'!B35</f>
        <v>152x152x23</v>
      </c>
      <c r="C36" s="1" t="s">
        <v>367</v>
      </c>
      <c r="D36" s="84">
        <f>'Section Data'!C35</f>
        <v>23</v>
      </c>
      <c r="E36" s="84">
        <f>'Section Data'!Q35</f>
        <v>1250</v>
      </c>
      <c r="F36" s="84">
        <f>'Steel Beam Design'!D7003</f>
        <v>43.457031249999979</v>
      </c>
      <c r="G36" s="84">
        <f>'Steel Beam Design'!D7027</f>
        <v>318.999074477352</v>
      </c>
      <c r="H36" s="84" t="str">
        <f>IF(TRIM($B36)="","",IFERROR('Steel Beam Design'!$D$7006,""))</f>
        <v>S355</v>
      </c>
      <c r="I36" s="84">
        <f>IF(TRIM($B36)="","",IFERROR(MAX(VLOOKUP($B36,'Section Data'!$B$5:$AC$35,5,FALSE),VLOOKUP($B36,'Section Data'!$B$5:$AC$35,6,FALSE)),""))</f>
        <v>6.8</v>
      </c>
      <c r="J36" s="84">
        <f>IF(TRIM($B36)="","",IFERROR(IF(I36&gt;150,"",INDEX('Section Data'!$AH$5:$AK$10,IF(I36&lt;=16,1,IF(I36&lt;=40,2,IF(I36&lt;=63,3,IF(I36&lt;=80,4,IF(I36&lt;=100,5,6))))),MATCH(H36,'Section Data'!$AH$4:$AK$4,0))),""))</f>
        <v>355</v>
      </c>
      <c r="K36" s="84">
        <f t="shared" si="0"/>
        <v>0.88014083380101371</v>
      </c>
      <c r="L36" s="84">
        <f>IF(TRIM($B36)="","",IFERROR(VLOOKUP($B36,'Section Data'!$B$5:$AC$35,9,FALSE),""))</f>
        <v>11.19</v>
      </c>
      <c r="M36" s="84">
        <f>IF(TRIM($B36)="","",IFERROR(VLOOKUP($B36,'Section Data'!$B$5:$AC$35,10,FALSE),""))</f>
        <v>21.31</v>
      </c>
      <c r="N36" s="84">
        <f t="shared" si="1"/>
        <v>13</v>
      </c>
      <c r="O36" s="84">
        <f t="shared" si="2"/>
        <v>80</v>
      </c>
      <c r="P36" s="84">
        <f>IF(TRIM($B36)="","",IFERROR(VLOOKUP($B36,'Section Data'!$B$5:$AC$35,5,FALSE)*VLOOKUP($B36,'Section Data'!$B$5:$AC$35,3,FALSE),""))</f>
        <v>883.92</v>
      </c>
      <c r="Q36" s="84">
        <f t="shared" si="3"/>
        <v>181.16766472944337</v>
      </c>
      <c r="R36" s="84">
        <f>'Steel Beam Design'!B3511</f>
        <v>111.25</v>
      </c>
      <c r="S36" s="84">
        <f t="shared" si="4"/>
        <v>5.2049734021197357E-2</v>
      </c>
      <c r="T36" s="84">
        <f>IF(TRIM($B36)="","",IFERROR(VLOOKUP($B36,'Section Data'!$B$5:$AC$35,20,FALSE),""))</f>
        <v>164</v>
      </c>
      <c r="U36" s="84">
        <f>IF(TRIM($B36)="","",IFERROR(VLOOKUP($B36,'Section Data'!$B$5:$AC$35,21,FALSE),""))</f>
        <v>52.6</v>
      </c>
      <c r="V36" s="84">
        <f>IF(TRIM($B36)="","",IFERROR(VLOOKUP($B36,'Section Data'!$B$5:$AC$35,22,FALSE),""))</f>
        <v>182</v>
      </c>
      <c r="W36" s="84">
        <f>IF(TRIM($B36)="","",IFERROR(VLOOKUP($B36,'Section Data'!$B$5:$AC$35,23,FALSE),""))</f>
        <v>80.2</v>
      </c>
      <c r="X36" s="84">
        <f>IF(TRIM($B36)="","",IFERROR((VLOOKUP($B36,'Section Data'!$B$5:$AC$35,5,FALSE)/10)*(VLOOKUP($B36,'Section Data'!$B$5:$AC$35,3,FALSE)/10)^2/4,""))</f>
        <v>33.677351999999999</v>
      </c>
      <c r="Y36" s="84">
        <f>IF(TRIM($B36)="","",IFERROR((VLOOKUP($B36,'Section Data'!$B$5:$AC$35,3,FALSE)/10)*(VLOOKUP($B36,'Section Data'!$B$5:$AC$35,5,FALSE)/10)^2/4,""))</f>
        <v>1.2816839999999998</v>
      </c>
      <c r="Z36" s="84">
        <f t="shared" si="5"/>
        <v>57.80514765932061</v>
      </c>
      <c r="AA36" s="84">
        <f t="shared" si="6"/>
        <v>18.657211656325849</v>
      </c>
      <c r="AB36" s="86">
        <f t="shared" si="7"/>
        <v>0.7517847978888933</v>
      </c>
      <c r="AC36" s="86">
        <f t="shared" si="8"/>
        <v>0.25519925958188161</v>
      </c>
      <c r="AD36" s="1" t="b">
        <f>AND(ISNUMBER(AB36),ISNUMBER(AC36),AB36&gt;=0,AC36&gt;=0,AB36&lt;=0.95,AC36&lt;=0.95,ISNUMBER(D36),D36&gt;0,'Steel Beam Design'!$A$18="")</f>
        <v>1</v>
      </c>
      <c r="AE36" s="84">
        <f>'Steel Beam Design'!O26</f>
        <v>69.531249999999972</v>
      </c>
    </row>
    <row r="37" spans="1:31">
      <c r="A37" s="1" t="s">
        <v>467</v>
      </c>
      <c r="B37" s="1" t="str">
        <f>'Section Data'!B36</f>
        <v>914x419x388</v>
      </c>
      <c r="C37" s="1" t="s">
        <v>368</v>
      </c>
      <c r="D37" s="84">
        <f>'Section Data'!C36</f>
        <v>338</v>
      </c>
      <c r="E37" s="84">
        <f>'Section Data'!Q36</f>
        <v>719600</v>
      </c>
      <c r="F37" s="84">
        <f>'Steel Beam Design'!D7003</f>
        <v>43.457031249999979</v>
      </c>
      <c r="G37" s="84">
        <f>'Steel Beam Design'!D7027</f>
        <v>318.999074477352</v>
      </c>
      <c r="H37" s="84" t="str">
        <f>IF(TRIM($B37)="","",IFERROR('Steel Beam Design'!$D$7006,""))</f>
        <v>S355</v>
      </c>
      <c r="I37" s="84">
        <f>IF(TRIM($B37)="","",IFERROR(MAX(VLOOKUP($B37,'Section Data'!$B$36:$AC$107,5,FALSE),VLOOKUP($B37,'Section Data'!$B$36:$AC$107,6,FALSE)),""))</f>
        <v>36.6</v>
      </c>
      <c r="J37" s="84">
        <f>IF(TRIM($B37)="","",IFERROR(IF(I37&gt;150,"",INDEX('Section Data'!$AH$5:$AK$10,IF(I37&lt;=16,1,IF(I37&lt;=40,2,IF(I37&lt;=63,3,IF(I37&lt;=80,4,IF(I37&lt;=100,5,6))))),MATCH(H37,'Section Data'!$AH$4:$AK$4,0))),""))</f>
        <v>345</v>
      </c>
      <c r="K37" s="84">
        <f t="shared" si="0"/>
        <v>0.8928053815224023</v>
      </c>
      <c r="L37" s="84">
        <f>IF(TRIM($B37)="","",IFERROR(VLOOKUP($B37,'Section Data'!$B$36:$AC$107,9,FALSE),""))</f>
        <v>5.74</v>
      </c>
      <c r="M37" s="84">
        <f>IF(TRIM($B37)="","",IFERROR(VLOOKUP($B37,'Section Data'!$B$36:$AC$107,10,FALSE),""))</f>
        <v>37.4</v>
      </c>
      <c r="N37" s="84">
        <f t="shared" si="1"/>
        <v>8</v>
      </c>
      <c r="O37" s="84">
        <f t="shared" si="2"/>
        <v>80</v>
      </c>
      <c r="P37" s="84">
        <f>IF(TRIM($B37)="","",IFERROR(VLOOKUP($B37,'Section Data'!$B$36:$AC$107,5,FALSE)*VLOOKUP($B37,'Section Data'!$B$36:$AC$107,3,FALSE),""))</f>
        <v>19709.399999999998</v>
      </c>
      <c r="Q37" s="84">
        <f t="shared" si="3"/>
        <v>3925.8334514702733</v>
      </c>
      <c r="R37" s="84">
        <f>'Steel Beam Design'!B3511</f>
        <v>111.25</v>
      </c>
      <c r="S37" s="84">
        <f t="shared" si="4"/>
        <v>0</v>
      </c>
      <c r="T37" s="84">
        <f>IF(TRIM($B37)="","",IFERROR(VLOOKUP($B37,'Section Data'!$B$36:$AC$107,20,FALSE),""))</f>
        <v>15630</v>
      </c>
      <c r="U37" s="84">
        <f>IF(TRIM($B37)="","",IFERROR(VLOOKUP($B37,'Section Data'!$B$36:$AC$107,21,FALSE),""))</f>
        <v>2161</v>
      </c>
      <c r="V37" s="84">
        <f>IF(TRIM($B37)="","",IFERROR(VLOOKUP($B37,'Section Data'!$B$36:$AC$107,22,FALSE),""))</f>
        <v>17670</v>
      </c>
      <c r="W37" s="84">
        <f>IF(TRIM($B37)="","",IFERROR(VLOOKUP($B37,'Section Data'!$B$36:$AC$107,23,FALSE),""))</f>
        <v>3341</v>
      </c>
      <c r="X37" s="84">
        <f>IF(TRIM($B37)="","",IFERROR((VLOOKUP($B37,'Section Data'!$B$36:$AC$107,5,FALSE)/10)*(VLOOKUP($B37,'Section Data'!$B$36:$AC$107,3,FALSE)/10)^2/4,""))</f>
        <v>4538.0893499999993</v>
      </c>
      <c r="Y37" s="84">
        <f>IF(TRIM($B37)="","",IFERROR((VLOOKUP($B37,'Section Data'!$B$36:$AC$107,3,FALSE)/10)*(VLOOKUP($B37,'Section Data'!$B$36:$AC$107,5,FALSE)/10)^2/4,""))</f>
        <v>105.44528999999996</v>
      </c>
      <c r="Z37" s="84">
        <f t="shared" si="5"/>
        <v>6096.15</v>
      </c>
      <c r="AA37" s="84">
        <f t="shared" si="6"/>
        <v>894.65399999999988</v>
      </c>
      <c r="AB37" s="86">
        <f t="shared" si="7"/>
        <v>7.1286026836609962E-3</v>
      </c>
      <c r="AC37" s="86">
        <f t="shared" si="8"/>
        <v>4.4330054818976099E-4</v>
      </c>
      <c r="AD37" s="1" t="b">
        <f>AND(ISNUMBER(AB37),ISNUMBER(AC37),AB37&gt;=0,AC37&gt;=0,AB37&lt;=0.95,AC37&lt;=0.95,ISNUMBER(D37),D37&gt;0,'Steel Beam Design'!$A$18="")</f>
        <v>1</v>
      </c>
      <c r="AE37" s="84">
        <f>'Steel Beam Design'!O26</f>
        <v>69.531249999999972</v>
      </c>
    </row>
    <row r="38" spans="1:31">
      <c r="A38" s="1" t="s">
        <v>467</v>
      </c>
      <c r="B38" s="1" t="str">
        <f>'Section Data'!B37</f>
        <v>914x419x343</v>
      </c>
      <c r="C38" s="1" t="s">
        <v>368</v>
      </c>
      <c r="D38" s="84">
        <f>'Section Data'!C37</f>
        <v>343.3</v>
      </c>
      <c r="E38" s="84">
        <f>'Section Data'!Q37</f>
        <v>625800</v>
      </c>
      <c r="F38" s="84">
        <f>'Steel Beam Design'!D7003</f>
        <v>43.457031249999979</v>
      </c>
      <c r="G38" s="84">
        <f>'Steel Beam Design'!D7027</f>
        <v>318.999074477352</v>
      </c>
      <c r="H38" s="84" t="str">
        <f>IF(TRIM($B38)="","",IFERROR('Steel Beam Design'!$D$7006,""))</f>
        <v>S355</v>
      </c>
      <c r="I38" s="84">
        <f>IF(TRIM($B38)="","",IFERROR(MAX(VLOOKUP($B38,'Section Data'!$B$36:$AC$107,5,FALSE),VLOOKUP($B38,'Section Data'!$B$36:$AC$107,6,FALSE)),""))</f>
        <v>32</v>
      </c>
      <c r="J38" s="84">
        <f>IF(TRIM($B38)="","",IFERROR(IF(I38&gt;150,"",INDEX('Section Data'!$AH$5:$AK$10,IF(I38&lt;=16,1,IF(I38&lt;=40,2,IF(I38&lt;=63,3,IF(I38&lt;=80,4,IF(I38&lt;=100,5,6))))),MATCH(H38,'Section Data'!$AH$4:$AK$4,0))),""))</f>
        <v>345</v>
      </c>
      <c r="K38" s="84">
        <f t="shared" si="0"/>
        <v>0.8928053815224023</v>
      </c>
      <c r="L38" s="84">
        <f>IF(TRIM($B38)="","",IFERROR(VLOOKUP($B38,'Section Data'!$B$36:$AC$107,9,FALSE),""))</f>
        <v>6.54</v>
      </c>
      <c r="M38" s="84">
        <f>IF(TRIM($B38)="","",IFERROR(VLOOKUP($B38,'Section Data'!$B$36:$AC$107,10,FALSE),""))</f>
        <v>41.2</v>
      </c>
      <c r="N38" s="84">
        <f t="shared" si="1"/>
        <v>8</v>
      </c>
      <c r="O38" s="84">
        <f t="shared" si="2"/>
        <v>80</v>
      </c>
      <c r="P38" s="84">
        <f>IF(TRIM($B38)="","",IFERROR(VLOOKUP($B38,'Section Data'!$B$36:$AC$107,5,FALSE)*VLOOKUP($B38,'Section Data'!$B$36:$AC$107,3,FALSE),""))</f>
        <v>17688.919999999998</v>
      </c>
      <c r="Q38" s="84">
        <f t="shared" si="3"/>
        <v>3523.3824396674449</v>
      </c>
      <c r="R38" s="84">
        <f>'Steel Beam Design'!B3511</f>
        <v>111.25</v>
      </c>
      <c r="S38" s="84">
        <f t="shared" si="4"/>
        <v>0</v>
      </c>
      <c r="T38" s="84">
        <f>IF(TRIM($B38)="","",IFERROR(VLOOKUP($B38,'Section Data'!$B$36:$AC$107,20,FALSE),""))</f>
        <v>13730</v>
      </c>
      <c r="U38" s="84">
        <f>IF(TRIM($B38)="","",IFERROR(VLOOKUP($B38,'Section Data'!$B$36:$AC$107,21,FALSE),""))</f>
        <v>1871</v>
      </c>
      <c r="V38" s="84">
        <f>IF(TRIM($B38)="","",IFERROR(VLOOKUP($B38,'Section Data'!$B$36:$AC$107,22,FALSE),""))</f>
        <v>15480</v>
      </c>
      <c r="W38" s="84">
        <f>IF(TRIM($B38)="","",IFERROR(VLOOKUP($B38,'Section Data'!$B$36:$AC$107,23,FALSE),""))</f>
        <v>2890</v>
      </c>
      <c r="X38" s="84">
        <f>IF(TRIM($B38)="","",IFERROR((VLOOKUP($B38,'Section Data'!$B$36:$AC$107,5,FALSE)/10)*(VLOOKUP($B38,'Section Data'!$B$36:$AC$107,3,FALSE)/10)^2/4,""))</f>
        <v>4032.1893139999993</v>
      </c>
      <c r="Y38" s="84">
        <f>IF(TRIM($B38)="","",IFERROR((VLOOKUP($B38,'Section Data'!$B$36:$AC$107,3,FALSE)/10)*(VLOOKUP($B38,'Section Data'!$B$36:$AC$107,5,FALSE)/10)^2/4,""))</f>
        <v>85.791261999999989</v>
      </c>
      <c r="Z38" s="84">
        <f t="shared" si="5"/>
        <v>5340.6</v>
      </c>
      <c r="AA38" s="84">
        <f t="shared" si="6"/>
        <v>774.59399999999994</v>
      </c>
      <c r="AB38" s="86">
        <f t="shared" si="7"/>
        <v>8.1371065516983067E-3</v>
      </c>
      <c r="AC38" s="86">
        <f t="shared" si="8"/>
        <v>5.0974604422715248E-4</v>
      </c>
      <c r="AD38" s="1" t="b">
        <f>AND(ISNUMBER(AB38),ISNUMBER(AC38),AB38&gt;=0,AC38&gt;=0,AB38&lt;=0.95,AC38&lt;=0.95,ISNUMBER(D38),D38&gt;0,'Steel Beam Design'!$A$18="")</f>
        <v>1</v>
      </c>
      <c r="AE38" s="84">
        <f>'Steel Beam Design'!O26</f>
        <v>69.531249999999972</v>
      </c>
    </row>
    <row r="39" spans="1:31">
      <c r="A39" s="1" t="s">
        <v>467</v>
      </c>
      <c r="B39" s="1" t="str">
        <f>'Section Data'!B38</f>
        <v>914x305x289</v>
      </c>
      <c r="C39" s="1" t="s">
        <v>368</v>
      </c>
      <c r="D39" s="84">
        <f>'Section Data'!C38</f>
        <v>289.10000000000002</v>
      </c>
      <c r="E39" s="84">
        <f>'Section Data'!Q38</f>
        <v>504200</v>
      </c>
      <c r="F39" s="84">
        <f>'Steel Beam Design'!D7003</f>
        <v>43.457031249999979</v>
      </c>
      <c r="G39" s="84">
        <f>'Steel Beam Design'!D7027</f>
        <v>318.999074477352</v>
      </c>
      <c r="H39" s="84" t="str">
        <f>IF(TRIM($B39)="","",IFERROR('Steel Beam Design'!$D$7006,""))</f>
        <v>S355</v>
      </c>
      <c r="I39" s="84">
        <f>IF(TRIM($B39)="","",IFERROR(MAX(VLOOKUP($B39,'Section Data'!$B$36:$AC$107,5,FALSE),VLOOKUP($B39,'Section Data'!$B$36:$AC$107,6,FALSE)),""))</f>
        <v>32</v>
      </c>
      <c r="J39" s="84">
        <f>IF(TRIM($B39)="","",IFERROR(IF(I39&gt;150,"",INDEX('Section Data'!$AH$5:$AK$10,IF(I39&lt;=16,1,IF(I39&lt;=40,2,IF(I39&lt;=63,3,IF(I39&lt;=80,4,IF(I39&lt;=100,5,6))))),MATCH(H39,'Section Data'!$AH$4:$AK$4,0))),""))</f>
        <v>345</v>
      </c>
      <c r="K39" s="84">
        <f t="shared" si="0"/>
        <v>0.8928053815224023</v>
      </c>
      <c r="L39" s="84">
        <f>IF(TRIM($B39)="","",IFERROR(VLOOKUP($B39,'Section Data'!$B$36:$AC$107,9,FALSE),""))</f>
        <v>4.8099999999999996</v>
      </c>
      <c r="M39" s="84">
        <f>IF(TRIM($B39)="","",IFERROR(VLOOKUP($B39,'Section Data'!$B$36:$AC$107,10,FALSE),""))</f>
        <v>42.3</v>
      </c>
      <c r="N39" s="84">
        <f t="shared" si="1"/>
        <v>8</v>
      </c>
      <c r="O39" s="84">
        <f t="shared" si="2"/>
        <v>80</v>
      </c>
      <c r="P39" s="84">
        <f>IF(TRIM($B39)="","",IFERROR(VLOOKUP($B39,'Section Data'!$B$36:$AC$107,5,FALSE)*VLOOKUP($B39,'Section Data'!$B$36:$AC$107,3,FALSE),""))</f>
        <v>18068.7</v>
      </c>
      <c r="Q39" s="84">
        <f t="shared" si="3"/>
        <v>3599.0292390727741</v>
      </c>
      <c r="R39" s="84">
        <f>'Steel Beam Design'!B3511</f>
        <v>111.25</v>
      </c>
      <c r="S39" s="84">
        <f t="shared" si="4"/>
        <v>0</v>
      </c>
      <c r="T39" s="84">
        <f>IF(TRIM($B39)="","",IFERROR(VLOOKUP($B39,'Section Data'!$B$36:$AC$107,20,FALSE),""))</f>
        <v>10880</v>
      </c>
      <c r="U39" s="84">
        <f>IF(TRIM($B39)="","",IFERROR(VLOOKUP($B39,'Section Data'!$B$36:$AC$107,21,FALSE),""))</f>
        <v>1014</v>
      </c>
      <c r="V39" s="84">
        <f>IF(TRIM($B39)="","",IFERROR(VLOOKUP($B39,'Section Data'!$B$36:$AC$107,22,FALSE),""))</f>
        <v>12570</v>
      </c>
      <c r="W39" s="84">
        <f>IF(TRIM($B39)="","",IFERROR(VLOOKUP($B39,'Section Data'!$B$36:$AC$107,23,FALSE),""))</f>
        <v>1601</v>
      </c>
      <c r="X39" s="84">
        <f>IF(TRIM($B39)="","",IFERROR((VLOOKUP($B39,'Section Data'!$B$36:$AC$107,5,FALSE)/10)*(VLOOKUP($B39,'Section Data'!$B$36:$AC$107,3,FALSE)/10)^2/4,""))</f>
        <v>4185.6143549999997</v>
      </c>
      <c r="Y39" s="84">
        <f>IF(TRIM($B39)="","",IFERROR((VLOOKUP($B39,'Section Data'!$B$36:$AC$107,3,FALSE)/10)*(VLOOKUP($B39,'Section Data'!$B$36:$AC$107,5,FALSE)/10)^2/4,""))</f>
        <v>88.084912499999987</v>
      </c>
      <c r="Z39" s="84">
        <f t="shared" si="5"/>
        <v>4336.6499999999996</v>
      </c>
      <c r="AA39" s="84">
        <f t="shared" si="6"/>
        <v>419.79599999999999</v>
      </c>
      <c r="AB39" s="86">
        <f t="shared" si="7"/>
        <v>1.0020875848869515E-2</v>
      </c>
      <c r="AC39" s="86">
        <f t="shared" si="8"/>
        <v>6.326836066587703E-4</v>
      </c>
      <c r="AD39" s="1" t="b">
        <f>AND(ISNUMBER(AB39),ISNUMBER(AC39),AB39&gt;=0,AC39&gt;=0,AB39&lt;=0.95,AC39&lt;=0.95,ISNUMBER(D39),D39&gt;0,'Steel Beam Design'!$A$18="")</f>
        <v>1</v>
      </c>
      <c r="AE39" s="84">
        <f>'Steel Beam Design'!O26</f>
        <v>69.531249999999972</v>
      </c>
    </row>
    <row r="40" spans="1:31">
      <c r="A40" s="1" t="s">
        <v>467</v>
      </c>
      <c r="B40" s="1" t="str">
        <f>'Section Data'!B39</f>
        <v>914x305x253</v>
      </c>
      <c r="C40" s="1" t="s">
        <v>368</v>
      </c>
      <c r="D40" s="84">
        <f>'Section Data'!C39</f>
        <v>253.4</v>
      </c>
      <c r="E40" s="84">
        <f>'Section Data'!Q39</f>
        <v>436300</v>
      </c>
      <c r="F40" s="84">
        <f>'Steel Beam Design'!D7003</f>
        <v>43.457031249999979</v>
      </c>
      <c r="G40" s="84">
        <f>'Steel Beam Design'!D7027</f>
        <v>318.999074477352</v>
      </c>
      <c r="H40" s="84" t="str">
        <f>IF(TRIM($B40)="","",IFERROR('Steel Beam Design'!$D$7006,""))</f>
        <v>S355</v>
      </c>
      <c r="I40" s="84">
        <f>IF(TRIM($B40)="","",IFERROR(MAX(VLOOKUP($B40,'Section Data'!$B$36:$AC$107,5,FALSE),VLOOKUP($B40,'Section Data'!$B$36:$AC$107,6,FALSE)),""))</f>
        <v>27.9</v>
      </c>
      <c r="J40" s="84">
        <f>IF(TRIM($B40)="","",IFERROR(IF(I40&gt;150,"",INDEX('Section Data'!$AH$5:$AK$10,IF(I40&lt;=16,1,IF(I40&lt;=40,2,IF(I40&lt;=63,3,IF(I40&lt;=80,4,IF(I40&lt;=100,5,6))))),MATCH(H40,'Section Data'!$AH$4:$AK$4,0))),""))</f>
        <v>345</v>
      </c>
      <c r="K40" s="84">
        <f t="shared" si="0"/>
        <v>0.8928053815224023</v>
      </c>
      <c r="L40" s="84">
        <f>IF(TRIM($B40)="","",IFERROR(VLOOKUP($B40,'Section Data'!$B$36:$AC$107,9,FALSE),""))</f>
        <v>5.47</v>
      </c>
      <c r="M40" s="84">
        <f>IF(TRIM($B40)="","",IFERROR(VLOOKUP($B40,'Section Data'!$B$36:$AC$107,10,FALSE),""))</f>
        <v>47.7</v>
      </c>
      <c r="N40" s="84">
        <f t="shared" si="1"/>
        <v>8</v>
      </c>
      <c r="O40" s="84">
        <f t="shared" si="2"/>
        <v>80</v>
      </c>
      <c r="P40" s="84">
        <f>IF(TRIM($B40)="","",IFERROR(VLOOKUP($B40,'Section Data'!$B$36:$AC$107,5,FALSE)*VLOOKUP($B40,'Section Data'!$B$36:$AC$107,3,FALSE),""))</f>
        <v>15888.32</v>
      </c>
      <c r="Q40" s="84">
        <f t="shared" si="3"/>
        <v>3164.7284109949655</v>
      </c>
      <c r="R40" s="84">
        <f>'Steel Beam Design'!B3511</f>
        <v>111.25</v>
      </c>
      <c r="S40" s="84">
        <f t="shared" si="4"/>
        <v>0</v>
      </c>
      <c r="T40" s="84">
        <f>IF(TRIM($B40)="","",IFERROR(VLOOKUP($B40,'Section Data'!$B$36:$AC$107,20,FALSE),""))</f>
        <v>9501</v>
      </c>
      <c r="U40" s="84">
        <f>IF(TRIM($B40)="","",IFERROR(VLOOKUP($B40,'Section Data'!$B$36:$AC$107,21,FALSE),""))</f>
        <v>871</v>
      </c>
      <c r="V40" s="84">
        <f>IF(TRIM($B40)="","",IFERROR(VLOOKUP($B40,'Section Data'!$B$36:$AC$107,22,FALSE),""))</f>
        <v>10940</v>
      </c>
      <c r="W40" s="84">
        <f>IF(TRIM($B40)="","",IFERROR(VLOOKUP($B40,'Section Data'!$B$36:$AC$107,23,FALSE),""))</f>
        <v>1371</v>
      </c>
      <c r="X40" s="84">
        <f>IF(TRIM($B40)="","",IFERROR((VLOOKUP($B40,'Section Data'!$B$36:$AC$107,5,FALSE)/10)*(VLOOKUP($B40,'Section Data'!$B$36:$AC$107,3,FALSE)/10)^2/4,""))</f>
        <v>3647.9582720000003</v>
      </c>
      <c r="Y40" s="84">
        <f>IF(TRIM($B40)="","",IFERROR((VLOOKUP($B40,'Section Data'!$B$36:$AC$107,3,FALSE)/10)*(VLOOKUP($B40,'Section Data'!$B$36:$AC$107,5,FALSE)/10)^2/4,""))</f>
        <v>68.716984000000011</v>
      </c>
      <c r="Z40" s="84">
        <f t="shared" si="5"/>
        <v>3774.3</v>
      </c>
      <c r="AA40" s="84">
        <f t="shared" si="6"/>
        <v>360.59399999999999</v>
      </c>
      <c r="AB40" s="86">
        <f t="shared" si="7"/>
        <v>1.1513931391251352E-2</v>
      </c>
      <c r="AC40" s="86">
        <f t="shared" si="8"/>
        <v>7.3114617116055926E-4</v>
      </c>
      <c r="AD40" s="1" t="b">
        <f>AND(ISNUMBER(AB40),ISNUMBER(AC40),AB40&gt;=0,AC40&gt;=0,AB40&lt;=0.95,AC40&lt;=0.95,ISNUMBER(D40),D40&gt;0,'Steel Beam Design'!$A$18="")</f>
        <v>1</v>
      </c>
      <c r="AE40" s="84">
        <f>'Steel Beam Design'!O26</f>
        <v>69.531249999999972</v>
      </c>
    </row>
    <row r="41" spans="1:31">
      <c r="A41" s="1" t="s">
        <v>467</v>
      </c>
      <c r="B41" s="1" t="str">
        <f>'Section Data'!B40</f>
        <v>914x305x224</v>
      </c>
      <c r="C41" s="1" t="s">
        <v>368</v>
      </c>
      <c r="D41" s="84">
        <f>'Section Data'!C40</f>
        <v>224.2</v>
      </c>
      <c r="E41" s="84">
        <f>'Section Data'!Q40</f>
        <v>376400</v>
      </c>
      <c r="F41" s="84">
        <f>'Steel Beam Design'!D7003</f>
        <v>43.457031249999979</v>
      </c>
      <c r="G41" s="84">
        <f>'Steel Beam Design'!D7027</f>
        <v>318.999074477352</v>
      </c>
      <c r="H41" s="84" t="str">
        <f>IF(TRIM($B41)="","",IFERROR('Steel Beam Design'!$D$7006,""))</f>
        <v>S355</v>
      </c>
      <c r="I41" s="84">
        <f>IF(TRIM($B41)="","",IFERROR(MAX(VLOOKUP($B41,'Section Data'!$B$36:$AC$107,5,FALSE),VLOOKUP($B41,'Section Data'!$B$36:$AC$107,6,FALSE)),""))</f>
        <v>23.9</v>
      </c>
      <c r="J41" s="84">
        <f>IF(TRIM($B41)="","",IFERROR(IF(I41&gt;150,"",INDEX('Section Data'!$AH$5:$AK$10,IF(I41&lt;=16,1,IF(I41&lt;=40,2,IF(I41&lt;=63,3,IF(I41&lt;=80,4,IF(I41&lt;=100,5,6))))),MATCH(H41,'Section Data'!$AH$4:$AK$4,0))),""))</f>
        <v>345</v>
      </c>
      <c r="K41" s="84">
        <f t="shared" si="0"/>
        <v>0.8928053815224023</v>
      </c>
      <c r="L41" s="84">
        <f>IF(TRIM($B41)="","",IFERROR(VLOOKUP($B41,'Section Data'!$B$36:$AC$107,9,FALSE),""))</f>
        <v>6.36</v>
      </c>
      <c r="M41" s="84">
        <f>IF(TRIM($B41)="","",IFERROR(VLOOKUP($B41,'Section Data'!$B$36:$AC$107,10,FALSE),""))</f>
        <v>51.8</v>
      </c>
      <c r="N41" s="84">
        <f t="shared" si="1"/>
        <v>8</v>
      </c>
      <c r="O41" s="84">
        <f t="shared" si="2"/>
        <v>80</v>
      </c>
      <c r="P41" s="84">
        <f>IF(TRIM($B41)="","",IFERROR(VLOOKUP($B41,'Section Data'!$B$36:$AC$107,5,FALSE)*VLOOKUP($B41,'Section Data'!$B$36:$AC$107,3,FALSE),""))</f>
        <v>14475.36</v>
      </c>
      <c r="Q41" s="84">
        <f t="shared" si="3"/>
        <v>2883.2867824527762</v>
      </c>
      <c r="R41" s="84">
        <f>'Steel Beam Design'!B3511</f>
        <v>111.25</v>
      </c>
      <c r="S41" s="84">
        <f t="shared" si="4"/>
        <v>0</v>
      </c>
      <c r="T41" s="84">
        <f>IF(TRIM($B41)="","",IFERROR(VLOOKUP($B41,'Section Data'!$B$36:$AC$107,20,FALSE),""))</f>
        <v>8269</v>
      </c>
      <c r="U41" s="84">
        <f>IF(TRIM($B41)="","",IFERROR(VLOOKUP($B41,'Section Data'!$B$36:$AC$107,21,FALSE),""))</f>
        <v>739</v>
      </c>
      <c r="V41" s="84">
        <f>IF(TRIM($B41)="","",IFERROR(VLOOKUP($B41,'Section Data'!$B$36:$AC$107,22,FALSE),""))</f>
        <v>9535</v>
      </c>
      <c r="W41" s="84">
        <f>IF(TRIM($B41)="","",IFERROR(VLOOKUP($B41,'Section Data'!$B$36:$AC$107,23,FALSE),""))</f>
        <v>1163</v>
      </c>
      <c r="X41" s="84">
        <f>IF(TRIM($B41)="","",IFERROR((VLOOKUP($B41,'Section Data'!$B$36:$AC$107,5,FALSE)/10)*(VLOOKUP($B41,'Section Data'!$B$36:$AC$107,3,FALSE)/10)^2/4,""))</f>
        <v>3294.5919359999994</v>
      </c>
      <c r="Y41" s="84">
        <f>IF(TRIM($B41)="","",IFERROR((VLOOKUP($B41,'Section Data'!$B$36:$AC$107,3,FALSE)/10)*(VLOOKUP($B41,'Section Data'!$B$36:$AC$107,5,FALSE)/10)^2/4,""))</f>
        <v>57.539555999999997</v>
      </c>
      <c r="Z41" s="84">
        <f t="shared" si="5"/>
        <v>3289.5749999999998</v>
      </c>
      <c r="AA41" s="84">
        <f t="shared" si="6"/>
        <v>305.94600000000003</v>
      </c>
      <c r="AB41" s="86">
        <f t="shared" si="7"/>
        <v>1.3210530615657032E-2</v>
      </c>
      <c r="AC41" s="86">
        <f t="shared" si="8"/>
        <v>8.4750019786756646E-4</v>
      </c>
      <c r="AD41" s="1" t="b">
        <f>AND(ISNUMBER(AB41),ISNUMBER(AC41),AB41&gt;=0,AC41&gt;=0,AB41&lt;=0.95,AC41&lt;=0.95,ISNUMBER(D41),D41&gt;0,'Steel Beam Design'!$A$18="")</f>
        <v>1</v>
      </c>
      <c r="AE41" s="84">
        <f>'Steel Beam Design'!O26</f>
        <v>69.531249999999972</v>
      </c>
    </row>
    <row r="42" spans="1:31">
      <c r="A42" s="1" t="s">
        <v>467</v>
      </c>
      <c r="B42" s="1" t="str">
        <f>'Section Data'!B41</f>
        <v>914x305x201</v>
      </c>
      <c r="C42" s="1" t="s">
        <v>368</v>
      </c>
      <c r="D42" s="84">
        <f>'Section Data'!C41</f>
        <v>200.9</v>
      </c>
      <c r="E42" s="84">
        <f>'Section Data'!Q41</f>
        <v>325300</v>
      </c>
      <c r="F42" s="84">
        <f>'Steel Beam Design'!D7003</f>
        <v>43.457031249999979</v>
      </c>
      <c r="G42" s="84">
        <f>'Steel Beam Design'!D7027</f>
        <v>318.999074477352</v>
      </c>
      <c r="H42" s="84" t="str">
        <f>IF(TRIM($B42)="","",IFERROR('Steel Beam Design'!$D$7006,""))</f>
        <v>S355</v>
      </c>
      <c r="I42" s="84">
        <f>IF(TRIM($B42)="","",IFERROR(MAX(VLOOKUP($B42,'Section Data'!$B$36:$AC$107,5,FALSE),VLOOKUP($B42,'Section Data'!$B$36:$AC$107,6,FALSE)),""))</f>
        <v>20.2</v>
      </c>
      <c r="J42" s="84">
        <f>IF(TRIM($B42)="","",IFERROR(IF(I42&gt;150,"",INDEX('Section Data'!$AH$5:$AK$10,IF(I42&lt;=16,1,IF(I42&lt;=40,2,IF(I42&lt;=63,3,IF(I42&lt;=80,4,IF(I42&lt;=100,5,6))))),MATCH(H42,'Section Data'!$AH$4:$AK$4,0))),""))</f>
        <v>345</v>
      </c>
      <c r="K42" s="84">
        <f t="shared" si="0"/>
        <v>0.8928053815224023</v>
      </c>
      <c r="L42" s="84">
        <f>IF(TRIM($B42)="","",IFERROR(VLOOKUP($B42,'Section Data'!$B$36:$AC$107,9,FALSE),""))</f>
        <v>7.51</v>
      </c>
      <c r="M42" s="84">
        <f>IF(TRIM($B42)="","",IFERROR(VLOOKUP($B42,'Section Data'!$B$36:$AC$107,10,FALSE),""))</f>
        <v>54.6</v>
      </c>
      <c r="N42" s="84">
        <f t="shared" si="1"/>
        <v>9</v>
      </c>
      <c r="O42" s="84">
        <f t="shared" si="2"/>
        <v>80</v>
      </c>
      <c r="P42" s="84">
        <f>IF(TRIM($B42)="","",IFERROR(VLOOKUP($B42,'Section Data'!$B$36:$AC$107,5,FALSE)*VLOOKUP($B42,'Section Data'!$B$36:$AC$107,3,FALSE),""))</f>
        <v>13635.3</v>
      </c>
      <c r="Q42" s="84">
        <f t="shared" si="3"/>
        <v>2715.9587232910503</v>
      </c>
      <c r="R42" s="84">
        <f>'Steel Beam Design'!B3511</f>
        <v>111.25</v>
      </c>
      <c r="S42" s="84">
        <f t="shared" si="4"/>
        <v>0</v>
      </c>
      <c r="T42" s="84">
        <f>IF(TRIM($B42)="","",IFERROR(VLOOKUP($B42,'Section Data'!$B$36:$AC$107,20,FALSE),""))</f>
        <v>7204</v>
      </c>
      <c r="U42" s="84">
        <f>IF(TRIM($B42)="","",IFERROR(VLOOKUP($B42,'Section Data'!$B$36:$AC$107,21,FALSE),""))</f>
        <v>621</v>
      </c>
      <c r="V42" s="84">
        <f>IF(TRIM($B42)="","",IFERROR(VLOOKUP($B42,'Section Data'!$B$36:$AC$107,22,FALSE),""))</f>
        <v>8351</v>
      </c>
      <c r="W42" s="84">
        <f>IF(TRIM($B42)="","",IFERROR(VLOOKUP($B42,'Section Data'!$B$36:$AC$107,23,FALSE),""))</f>
        <v>982</v>
      </c>
      <c r="X42" s="84">
        <f>IF(TRIM($B42)="","",IFERROR((VLOOKUP($B42,'Section Data'!$B$36:$AC$107,5,FALSE)/10)*(VLOOKUP($B42,'Section Data'!$B$36:$AC$107,3,FALSE)/10)^2/4,""))</f>
        <v>3078.1689749999996</v>
      </c>
      <c r="Y42" s="84">
        <f>IF(TRIM($B42)="","",IFERROR((VLOOKUP($B42,'Section Data'!$B$36:$AC$107,3,FALSE)/10)*(VLOOKUP($B42,'Section Data'!$B$36:$AC$107,5,FALSE)/10)^2/4,""))</f>
        <v>51.473257499999995</v>
      </c>
      <c r="Z42" s="84">
        <f t="shared" si="5"/>
        <v>2881.0949999999998</v>
      </c>
      <c r="AA42" s="84">
        <f t="shared" si="6"/>
        <v>257.09399999999999</v>
      </c>
      <c r="AB42" s="86">
        <f t="shared" si="7"/>
        <v>1.5083512084814968E-2</v>
      </c>
      <c r="AC42" s="86">
        <f t="shared" si="8"/>
        <v>9.8063041646895797E-4</v>
      </c>
      <c r="AD42" s="1" t="b">
        <f>AND(ISNUMBER(AB42),ISNUMBER(AC42),AB42&gt;=0,AC42&gt;=0,AB42&lt;=0.95,AC42&lt;=0.95,ISNUMBER(D42),D42&gt;0,'Steel Beam Design'!$A$18="")</f>
        <v>1</v>
      </c>
      <c r="AE42" s="84">
        <f>'Steel Beam Design'!O26</f>
        <v>69.531249999999972</v>
      </c>
    </row>
    <row r="43" spans="1:31">
      <c r="A43" s="1" t="s">
        <v>467</v>
      </c>
      <c r="B43" s="1" t="str">
        <f>'Section Data'!B42</f>
        <v>838x292x226</v>
      </c>
      <c r="C43" s="1" t="s">
        <v>368</v>
      </c>
      <c r="D43" s="84">
        <f>'Section Data'!C42</f>
        <v>226.5</v>
      </c>
      <c r="E43" s="84">
        <f>'Section Data'!Q42</f>
        <v>339700</v>
      </c>
      <c r="F43" s="84">
        <f>'Steel Beam Design'!D7003</f>
        <v>43.457031249999979</v>
      </c>
      <c r="G43" s="84">
        <f>'Steel Beam Design'!D7027</f>
        <v>318.999074477352</v>
      </c>
      <c r="H43" s="84" t="str">
        <f>IF(TRIM($B43)="","",IFERROR('Steel Beam Design'!$D$7006,""))</f>
        <v>S355</v>
      </c>
      <c r="I43" s="84">
        <f>IF(TRIM($B43)="","",IFERROR(MAX(VLOOKUP($B43,'Section Data'!$B$36:$AC$107,5,FALSE),VLOOKUP($B43,'Section Data'!$B$36:$AC$107,6,FALSE)),""))</f>
        <v>26.8</v>
      </c>
      <c r="J43" s="84">
        <f>IF(TRIM($B43)="","",IFERROR(IF(I43&gt;150,"",INDEX('Section Data'!$AH$5:$AK$10,IF(I43&lt;=16,1,IF(I43&lt;=40,2,IF(I43&lt;=63,3,IF(I43&lt;=80,4,IF(I43&lt;=100,5,6))))),MATCH(H43,'Section Data'!$AH$4:$AK$4,0))),""))</f>
        <v>345</v>
      </c>
      <c r="K43" s="84">
        <f t="shared" si="0"/>
        <v>0.8928053815224023</v>
      </c>
      <c r="L43" s="84">
        <f>IF(TRIM($B43)="","",IFERROR(VLOOKUP($B43,'Section Data'!$B$36:$AC$107,9,FALSE),""))</f>
        <v>5.48</v>
      </c>
      <c r="M43" s="84">
        <f>IF(TRIM($B43)="","",IFERROR(VLOOKUP($B43,'Section Data'!$B$36:$AC$107,10,FALSE),""))</f>
        <v>47.3</v>
      </c>
      <c r="N43" s="84">
        <f t="shared" si="1"/>
        <v>8</v>
      </c>
      <c r="O43" s="84">
        <f t="shared" si="2"/>
        <v>80</v>
      </c>
      <c r="P43" s="84">
        <f>IF(TRIM($B43)="","",IFERROR(VLOOKUP($B43,'Section Data'!$B$36:$AC$107,5,FALSE)*VLOOKUP($B43,'Section Data'!$B$36:$AC$107,3,FALSE),""))</f>
        <v>13699.490000000002</v>
      </c>
      <c r="Q43" s="84">
        <f t="shared" si="3"/>
        <v>2728.7444625449025</v>
      </c>
      <c r="R43" s="84">
        <f>'Steel Beam Design'!B3511</f>
        <v>111.25</v>
      </c>
      <c r="S43" s="84">
        <f t="shared" si="4"/>
        <v>0</v>
      </c>
      <c r="T43" s="84">
        <f>IF(TRIM($B43)="","",IFERROR(VLOOKUP($B43,'Section Data'!$B$36:$AC$107,20,FALSE),""))</f>
        <v>7985</v>
      </c>
      <c r="U43" s="84">
        <f>IF(TRIM($B43)="","",IFERROR(VLOOKUP($B43,'Section Data'!$B$36:$AC$107,21,FALSE),""))</f>
        <v>773</v>
      </c>
      <c r="V43" s="84">
        <f>IF(TRIM($B43)="","",IFERROR(VLOOKUP($B43,'Section Data'!$B$36:$AC$107,22,FALSE),""))</f>
        <v>9155</v>
      </c>
      <c r="W43" s="84">
        <f>IF(TRIM($B43)="","",IFERROR(VLOOKUP($B43,'Section Data'!$B$36:$AC$107,23,FALSE),""))</f>
        <v>1212</v>
      </c>
      <c r="X43" s="84">
        <f>IF(TRIM($B43)="","",IFERROR((VLOOKUP($B43,'Section Data'!$B$36:$AC$107,5,FALSE)/10)*(VLOOKUP($B43,'Section Data'!$B$36:$AC$107,3,FALSE)/10)^2/4,""))</f>
        <v>2914.2240102500004</v>
      </c>
      <c r="Y43" s="84">
        <f>IF(TRIM($B43)="","",IFERROR((VLOOKUP($B43,'Section Data'!$B$36:$AC$107,3,FALSE)/10)*(VLOOKUP($B43,'Section Data'!$B$36:$AC$107,5,FALSE)/10)^2/4,""))</f>
        <v>55.140447250000008</v>
      </c>
      <c r="Z43" s="84">
        <f t="shared" si="5"/>
        <v>3158.4749999999999</v>
      </c>
      <c r="AA43" s="84">
        <f t="shared" si="6"/>
        <v>320.02199999999993</v>
      </c>
      <c r="AB43" s="86">
        <f t="shared" si="7"/>
        <v>1.375886503771598E-2</v>
      </c>
      <c r="AC43" s="86">
        <f t="shared" si="8"/>
        <v>9.3906115536459233E-4</v>
      </c>
      <c r="AD43" s="1" t="b">
        <f>AND(ISNUMBER(AB43),ISNUMBER(AC43),AB43&gt;=0,AC43&gt;=0,AB43&lt;=0.95,AC43&lt;=0.95,ISNUMBER(D43),D43&gt;0,'Steel Beam Design'!$A$18="")</f>
        <v>1</v>
      </c>
      <c r="AE43" s="84">
        <f>'Steel Beam Design'!O26</f>
        <v>69.531249999999972</v>
      </c>
    </row>
    <row r="44" spans="1:31">
      <c r="A44" s="1" t="s">
        <v>467</v>
      </c>
      <c r="B44" s="1" t="str">
        <f>'Section Data'!B43</f>
        <v>838x292x194</v>
      </c>
      <c r="C44" s="1" t="s">
        <v>368</v>
      </c>
      <c r="D44" s="84">
        <f>'Section Data'!C43</f>
        <v>193.8</v>
      </c>
      <c r="E44" s="84">
        <f>'Section Data'!Q43</f>
        <v>279200</v>
      </c>
      <c r="F44" s="84">
        <f>'Steel Beam Design'!D7003</f>
        <v>43.457031249999979</v>
      </c>
      <c r="G44" s="84">
        <f>'Steel Beam Design'!D7027</f>
        <v>318.999074477352</v>
      </c>
      <c r="H44" s="84" t="str">
        <f>IF(TRIM($B44)="","",IFERROR('Steel Beam Design'!$D$7006,""))</f>
        <v>S355</v>
      </c>
      <c r="I44" s="84">
        <f>IF(TRIM($B44)="","",IFERROR(MAX(VLOOKUP($B44,'Section Data'!$B$36:$AC$107,5,FALSE),VLOOKUP($B44,'Section Data'!$B$36:$AC$107,6,FALSE)),""))</f>
        <v>21.7</v>
      </c>
      <c r="J44" s="84">
        <f>IF(TRIM($B44)="","",IFERROR(IF(I44&gt;150,"",INDEX('Section Data'!$AH$5:$AK$10,IF(I44&lt;=16,1,IF(I44&lt;=40,2,IF(I44&lt;=63,3,IF(I44&lt;=80,4,IF(I44&lt;=100,5,6))))),MATCH(H44,'Section Data'!$AH$4:$AK$4,0))),""))</f>
        <v>345</v>
      </c>
      <c r="K44" s="84">
        <f t="shared" si="0"/>
        <v>0.8928053815224023</v>
      </c>
      <c r="L44" s="84">
        <f>IF(TRIM($B44)="","",IFERROR(VLOOKUP($B44,'Section Data'!$B$36:$AC$107,9,FALSE),""))</f>
        <v>6.74</v>
      </c>
      <c r="M44" s="84">
        <f>IF(TRIM($B44)="","",IFERROR(VLOOKUP($B44,'Section Data'!$B$36:$AC$107,10,FALSE),""))</f>
        <v>51.8</v>
      </c>
      <c r="N44" s="84">
        <f t="shared" si="1"/>
        <v>8</v>
      </c>
      <c r="O44" s="84">
        <f t="shared" si="2"/>
        <v>80</v>
      </c>
      <c r="P44" s="84">
        <f>IF(TRIM($B44)="","",IFERROR(VLOOKUP($B44,'Section Data'!$B$36:$AC$107,5,FALSE)*VLOOKUP($B44,'Section Data'!$B$36:$AC$107,3,FALSE),""))</f>
        <v>12358.29</v>
      </c>
      <c r="Q44" s="84">
        <f t="shared" si="3"/>
        <v>2461.5964100870942</v>
      </c>
      <c r="R44" s="84">
        <f>'Steel Beam Design'!B3511</f>
        <v>111.25</v>
      </c>
      <c r="S44" s="84">
        <f t="shared" si="4"/>
        <v>0</v>
      </c>
      <c r="T44" s="84">
        <f>IF(TRIM($B44)="","",IFERROR(VLOOKUP($B44,'Section Data'!$B$36:$AC$107,20,FALSE),""))</f>
        <v>6641</v>
      </c>
      <c r="U44" s="84">
        <f>IF(TRIM($B44)="","",IFERROR(VLOOKUP($B44,'Section Data'!$B$36:$AC$107,21,FALSE),""))</f>
        <v>620</v>
      </c>
      <c r="V44" s="84">
        <f>IF(TRIM($B44)="","",IFERROR(VLOOKUP($B44,'Section Data'!$B$36:$AC$107,22,FALSE),""))</f>
        <v>7640</v>
      </c>
      <c r="W44" s="84">
        <f>IF(TRIM($B44)="","",IFERROR(VLOOKUP($B44,'Section Data'!$B$36:$AC$107,23,FALSE),""))</f>
        <v>974</v>
      </c>
      <c r="X44" s="84">
        <f>IF(TRIM($B44)="","",IFERROR((VLOOKUP($B44,'Section Data'!$B$36:$AC$107,5,FALSE)/10)*(VLOOKUP($B44,'Section Data'!$B$36:$AC$107,3,FALSE)/10)^2/4,""))</f>
        <v>2597.4036007500004</v>
      </c>
      <c r="Y44" s="84">
        <f>IF(TRIM($B44)="","",IFERROR((VLOOKUP($B44,'Section Data'!$B$36:$AC$107,3,FALSE)/10)*(VLOOKUP($B44,'Section Data'!$B$36:$AC$107,5,FALSE)/10)^2/4,""))</f>
        <v>45.416715750000002</v>
      </c>
      <c r="Z44" s="84">
        <f t="shared" si="5"/>
        <v>2635.8</v>
      </c>
      <c r="AA44" s="84">
        <f t="shared" si="6"/>
        <v>256.68</v>
      </c>
      <c r="AB44" s="86">
        <f t="shared" si="7"/>
        <v>1.6487226363912276E-2</v>
      </c>
      <c r="AC44" s="86">
        <f t="shared" si="8"/>
        <v>1.1425468283572779E-3</v>
      </c>
      <c r="AD44" s="1" t="b">
        <f>AND(ISNUMBER(AB44),ISNUMBER(AC44),AB44&gt;=0,AC44&gt;=0,AB44&lt;=0.95,AC44&lt;=0.95,ISNUMBER(D44),D44&gt;0,'Steel Beam Design'!$A$18="")</f>
        <v>1</v>
      </c>
      <c r="AE44" s="84">
        <f>'Steel Beam Design'!O26</f>
        <v>69.531249999999972</v>
      </c>
    </row>
    <row r="45" spans="1:31">
      <c r="A45" s="1" t="s">
        <v>467</v>
      </c>
      <c r="B45" s="1" t="str">
        <f>'Section Data'!B44</f>
        <v>838x292x176</v>
      </c>
      <c r="C45" s="1" t="s">
        <v>368</v>
      </c>
      <c r="D45" s="84">
        <f>'Section Data'!C44</f>
        <v>175.9</v>
      </c>
      <c r="E45" s="84">
        <f>'Section Data'!Q44</f>
        <v>246000</v>
      </c>
      <c r="F45" s="84">
        <f>'Steel Beam Design'!D7003</f>
        <v>43.457031249999979</v>
      </c>
      <c r="G45" s="84">
        <f>'Steel Beam Design'!D7027</f>
        <v>318.999074477352</v>
      </c>
      <c r="H45" s="84" t="str">
        <f>IF(TRIM($B45)="","",IFERROR('Steel Beam Design'!$D$7006,""))</f>
        <v>S355</v>
      </c>
      <c r="I45" s="84">
        <f>IF(TRIM($B45)="","",IFERROR(MAX(VLOOKUP($B45,'Section Data'!$B$36:$AC$107,5,FALSE),VLOOKUP($B45,'Section Data'!$B$36:$AC$107,6,FALSE)),""))</f>
        <v>18.8</v>
      </c>
      <c r="J45" s="84">
        <f>IF(TRIM($B45)="","",IFERROR(IF(I45&gt;150,"",INDEX('Section Data'!$AH$5:$AK$10,IF(I45&lt;=16,1,IF(I45&lt;=40,2,IF(I45&lt;=63,3,IF(I45&lt;=80,4,IF(I45&lt;=100,5,6))))),MATCH(H45,'Section Data'!$AH$4:$AK$4,0))),""))</f>
        <v>345</v>
      </c>
      <c r="K45" s="84">
        <f t="shared" si="0"/>
        <v>0.8928053815224023</v>
      </c>
      <c r="L45" s="84">
        <f>IF(TRIM($B45)="","",IFERROR(VLOOKUP($B45,'Section Data'!$B$36:$AC$107,9,FALSE),""))</f>
        <v>7.76</v>
      </c>
      <c r="M45" s="84">
        <f>IF(TRIM($B45)="","",IFERROR(VLOOKUP($B45,'Section Data'!$B$36:$AC$107,10,FALSE),""))</f>
        <v>54.4</v>
      </c>
      <c r="N45" s="84">
        <f t="shared" si="1"/>
        <v>9</v>
      </c>
      <c r="O45" s="84">
        <f t="shared" si="2"/>
        <v>80</v>
      </c>
      <c r="P45" s="84">
        <f>IF(TRIM($B45)="","",IFERROR(VLOOKUP($B45,'Section Data'!$B$36:$AC$107,5,FALSE)*VLOOKUP($B45,'Section Data'!$B$36:$AC$107,3,FALSE),""))</f>
        <v>11688.6</v>
      </c>
      <c r="Q45" s="84">
        <f t="shared" si="3"/>
        <v>2328.203642975202</v>
      </c>
      <c r="R45" s="84">
        <f>'Steel Beam Design'!B3511</f>
        <v>111.25</v>
      </c>
      <c r="S45" s="84">
        <f t="shared" si="4"/>
        <v>0</v>
      </c>
      <c r="T45" s="84">
        <f>IF(TRIM($B45)="","",IFERROR(VLOOKUP($B45,'Section Data'!$B$36:$AC$107,20,FALSE),""))</f>
        <v>5893</v>
      </c>
      <c r="U45" s="84">
        <f>IF(TRIM($B45)="","",IFERROR(VLOOKUP($B45,'Section Data'!$B$36:$AC$107,21,FALSE),""))</f>
        <v>535</v>
      </c>
      <c r="V45" s="84">
        <f>IF(TRIM($B45)="","",IFERROR(VLOOKUP($B45,'Section Data'!$B$36:$AC$107,22,FALSE),""))</f>
        <v>6808</v>
      </c>
      <c r="W45" s="84">
        <f>IF(TRIM($B45)="","",IFERROR(VLOOKUP($B45,'Section Data'!$B$36:$AC$107,23,FALSE),""))</f>
        <v>842</v>
      </c>
      <c r="X45" s="84">
        <f>IF(TRIM($B45)="","",IFERROR((VLOOKUP($B45,'Section Data'!$B$36:$AC$107,5,FALSE)/10)*(VLOOKUP($B45,'Section Data'!$B$36:$AC$107,3,FALSE)/10)^2/4,""))</f>
        <v>2439.7030349999995</v>
      </c>
      <c r="Y45" s="84">
        <f>IF(TRIM($B45)="","",IFERROR((VLOOKUP($B45,'Section Data'!$B$36:$AC$107,3,FALSE)/10)*(VLOOKUP($B45,'Section Data'!$B$36:$AC$107,5,FALSE)/10)^2/4,""))</f>
        <v>40.910099999999993</v>
      </c>
      <c r="Z45" s="84">
        <f t="shared" si="5"/>
        <v>2348.7600000000002</v>
      </c>
      <c r="AA45" s="84">
        <f t="shared" si="6"/>
        <v>221.49</v>
      </c>
      <c r="AB45" s="86">
        <f t="shared" si="7"/>
        <v>1.8502116542345737E-2</v>
      </c>
      <c r="AC45" s="86">
        <f t="shared" si="8"/>
        <v>1.2967442051924878E-3</v>
      </c>
      <c r="AD45" s="1" t="b">
        <f>AND(ISNUMBER(AB45),ISNUMBER(AC45),AB45&gt;=0,AC45&gt;=0,AB45&lt;=0.95,AC45&lt;=0.95,ISNUMBER(D45),D45&gt;0,'Steel Beam Design'!$A$18="")</f>
        <v>1</v>
      </c>
      <c r="AE45" s="84">
        <f>'Steel Beam Design'!O26</f>
        <v>69.531249999999972</v>
      </c>
    </row>
    <row r="46" spans="1:31">
      <c r="A46" s="1" t="s">
        <v>467</v>
      </c>
      <c r="B46" s="1" t="str">
        <f>'Section Data'!B45</f>
        <v>762x267x197</v>
      </c>
      <c r="C46" s="1" t="s">
        <v>368</v>
      </c>
      <c r="D46" s="84">
        <f>'Section Data'!C45</f>
        <v>196.8</v>
      </c>
      <c r="E46" s="84">
        <f>'Section Data'!Q45</f>
        <v>240000</v>
      </c>
      <c r="F46" s="84">
        <f>'Steel Beam Design'!D7003</f>
        <v>43.457031249999979</v>
      </c>
      <c r="G46" s="84">
        <f>'Steel Beam Design'!D7027</f>
        <v>318.999074477352</v>
      </c>
      <c r="H46" s="84" t="str">
        <f>IF(TRIM($B46)="","",IFERROR('Steel Beam Design'!$D$7006,""))</f>
        <v>S355</v>
      </c>
      <c r="I46" s="84">
        <f>IF(TRIM($B46)="","",IFERROR(MAX(VLOOKUP($B46,'Section Data'!$B$36:$AC$107,5,FALSE),VLOOKUP($B46,'Section Data'!$B$36:$AC$107,6,FALSE)),""))</f>
        <v>25.4</v>
      </c>
      <c r="J46" s="84">
        <f>IF(TRIM($B46)="","",IFERROR(IF(I46&gt;150,"",INDEX('Section Data'!$AH$5:$AK$10,IF(I46&lt;=16,1,IF(I46&lt;=40,2,IF(I46&lt;=63,3,IF(I46&lt;=80,4,IF(I46&lt;=100,5,6))))),MATCH(H46,'Section Data'!$AH$4:$AK$4,0))),""))</f>
        <v>345</v>
      </c>
      <c r="K46" s="84">
        <f t="shared" si="0"/>
        <v>0.8928053815224023</v>
      </c>
      <c r="L46" s="84">
        <f>IF(TRIM($B46)="","",IFERROR(VLOOKUP($B46,'Section Data'!$B$36:$AC$107,9,FALSE),""))</f>
        <v>5.28</v>
      </c>
      <c r="M46" s="84">
        <f>IF(TRIM($B46)="","",IFERROR(VLOOKUP($B46,'Section Data'!$B$36:$AC$107,10,FALSE),""))</f>
        <v>44</v>
      </c>
      <c r="N46" s="84">
        <f t="shared" si="1"/>
        <v>8</v>
      </c>
      <c r="O46" s="84">
        <f t="shared" si="2"/>
        <v>80</v>
      </c>
      <c r="P46" s="84">
        <f>IF(TRIM($B46)="","",IFERROR(VLOOKUP($B46,'Section Data'!$B$36:$AC$107,5,FALSE)*VLOOKUP($B46,'Section Data'!$B$36:$AC$107,3,FALSE),""))</f>
        <v>12008.88</v>
      </c>
      <c r="Q46" s="84">
        <f t="shared" si="3"/>
        <v>2391.9988847297395</v>
      </c>
      <c r="R46" s="84">
        <f>'Steel Beam Design'!B3511</f>
        <v>111.25</v>
      </c>
      <c r="S46" s="84">
        <f t="shared" si="4"/>
        <v>0</v>
      </c>
      <c r="T46" s="84">
        <f>IF(TRIM($B46)="","",IFERROR(VLOOKUP($B46,'Section Data'!$B$36:$AC$107,20,FALSE),""))</f>
        <v>6234</v>
      </c>
      <c r="U46" s="84">
        <f>IF(TRIM($B46)="","",IFERROR(VLOOKUP($B46,'Section Data'!$B$36:$AC$107,21,FALSE),""))</f>
        <v>610</v>
      </c>
      <c r="V46" s="84">
        <f>IF(TRIM($B46)="","",IFERROR(VLOOKUP($B46,'Section Data'!$B$36:$AC$107,22,FALSE),""))</f>
        <v>7167</v>
      </c>
      <c r="W46" s="84">
        <f>IF(TRIM($B46)="","",IFERROR(VLOOKUP($B46,'Section Data'!$B$36:$AC$107,23,FALSE),""))</f>
        <v>959</v>
      </c>
      <c r="X46" s="84">
        <f>IF(TRIM($B46)="","",IFERROR((VLOOKUP($B46,'Section Data'!$B$36:$AC$107,5,FALSE)/10)*(VLOOKUP($B46,'Section Data'!$B$36:$AC$107,3,FALSE)/10)^2/4,""))</f>
        <v>2311.1089559999996</v>
      </c>
      <c r="Y46" s="84">
        <f>IF(TRIM($B46)="","",IFERROR((VLOOKUP($B46,'Section Data'!$B$36:$AC$107,3,FALSE)/10)*(VLOOKUP($B46,'Section Data'!$B$36:$AC$107,5,FALSE)/10)^2/4,""))</f>
        <v>46.834631999999999</v>
      </c>
      <c r="Z46" s="84">
        <f t="shared" si="5"/>
        <v>2472.6149999999998</v>
      </c>
      <c r="AA46" s="84">
        <f t="shared" si="6"/>
        <v>252.54</v>
      </c>
      <c r="AB46" s="86">
        <f t="shared" si="7"/>
        <v>1.7575332694333725E-2</v>
      </c>
      <c r="AC46" s="86">
        <f t="shared" si="8"/>
        <v>1.3291628103223E-3</v>
      </c>
      <c r="AD46" s="1" t="b">
        <f>AND(ISNUMBER(AB46),ISNUMBER(AC46),AB46&gt;=0,AC46&gt;=0,AB46&lt;=0.95,AC46&lt;=0.95,ISNUMBER(D46),D46&gt;0,'Steel Beam Design'!$A$18="")</f>
        <v>1</v>
      </c>
      <c r="AE46" s="84">
        <f>'Steel Beam Design'!O26</f>
        <v>69.531249999999972</v>
      </c>
    </row>
    <row r="47" spans="1:31">
      <c r="A47" s="1" t="s">
        <v>467</v>
      </c>
      <c r="B47" s="1" t="str">
        <f>'Section Data'!B46</f>
        <v>762x267x173</v>
      </c>
      <c r="C47" s="1" t="s">
        <v>368</v>
      </c>
      <c r="D47" s="84">
        <f>'Section Data'!C46</f>
        <v>173</v>
      </c>
      <c r="E47" s="84">
        <f>'Section Data'!Q46</f>
        <v>205300</v>
      </c>
      <c r="F47" s="84">
        <f>'Steel Beam Design'!D7003</f>
        <v>43.457031249999979</v>
      </c>
      <c r="G47" s="84">
        <f>'Steel Beam Design'!D7027</f>
        <v>318.999074477352</v>
      </c>
      <c r="H47" s="84" t="str">
        <f>IF(TRIM($B47)="","",IFERROR('Steel Beam Design'!$D$7006,""))</f>
        <v>S355</v>
      </c>
      <c r="I47" s="84">
        <f>IF(TRIM($B47)="","",IFERROR(MAX(VLOOKUP($B47,'Section Data'!$B$36:$AC$107,5,FALSE),VLOOKUP($B47,'Section Data'!$B$36:$AC$107,6,FALSE)),""))</f>
        <v>21.6</v>
      </c>
      <c r="J47" s="84">
        <f>IF(TRIM($B47)="","",IFERROR(IF(I47&gt;150,"",INDEX('Section Data'!$AH$5:$AK$10,IF(I47&lt;=16,1,IF(I47&lt;=40,2,IF(I47&lt;=63,3,IF(I47&lt;=80,4,IF(I47&lt;=100,5,6))))),MATCH(H47,'Section Data'!$AH$4:$AK$4,0))),""))</f>
        <v>345</v>
      </c>
      <c r="K47" s="84">
        <f t="shared" si="0"/>
        <v>0.8928053815224023</v>
      </c>
      <c r="L47" s="84">
        <f>IF(TRIM($B47)="","",IFERROR(VLOOKUP($B47,'Section Data'!$B$36:$AC$107,9,FALSE),""))</f>
        <v>6.17</v>
      </c>
      <c r="M47" s="84">
        <f>IF(TRIM($B47)="","",IFERROR(VLOOKUP($B47,'Section Data'!$B$36:$AC$107,10,FALSE),""))</f>
        <v>48</v>
      </c>
      <c r="N47" s="84">
        <f t="shared" si="1"/>
        <v>8</v>
      </c>
      <c r="O47" s="84">
        <f t="shared" si="2"/>
        <v>80</v>
      </c>
      <c r="P47" s="84">
        <f>IF(TRIM($B47)="","",IFERROR(VLOOKUP($B47,'Section Data'!$B$36:$AC$107,5,FALSE)*VLOOKUP($B47,'Section Data'!$B$36:$AC$107,3,FALSE),""))</f>
        <v>10899.460000000001</v>
      </c>
      <c r="Q47" s="84">
        <f t="shared" si="3"/>
        <v>2171.018126932438</v>
      </c>
      <c r="R47" s="84">
        <f>'Steel Beam Design'!B3511</f>
        <v>111.25</v>
      </c>
      <c r="S47" s="84">
        <f t="shared" si="4"/>
        <v>0</v>
      </c>
      <c r="T47" s="84">
        <f>IF(TRIM($B47)="","",IFERROR(VLOOKUP($B47,'Section Data'!$B$36:$AC$107,20,FALSE),""))</f>
        <v>5387</v>
      </c>
      <c r="U47" s="84">
        <f>IF(TRIM($B47)="","",IFERROR(VLOOKUP($B47,'Section Data'!$B$36:$AC$107,21,FALSE),""))</f>
        <v>514</v>
      </c>
      <c r="V47" s="84">
        <f>IF(TRIM($B47)="","",IFERROR(VLOOKUP($B47,'Section Data'!$B$36:$AC$107,22,FALSE),""))</f>
        <v>6198</v>
      </c>
      <c r="W47" s="84">
        <f>IF(TRIM($B47)="","",IFERROR(VLOOKUP($B47,'Section Data'!$B$36:$AC$107,23,FALSE),""))</f>
        <v>807</v>
      </c>
      <c r="X47" s="84">
        <f>IF(TRIM($B47)="","",IFERROR((VLOOKUP($B47,'Section Data'!$B$36:$AC$107,5,FALSE)/10)*(VLOOKUP($B47,'Section Data'!$B$36:$AC$107,3,FALSE)/10)^2/4,""))</f>
        <v>2076.8921030000001</v>
      </c>
      <c r="Y47" s="84">
        <f>IF(TRIM($B47)="","",IFERROR((VLOOKUP($B47,'Section Data'!$B$36:$AC$107,3,FALSE)/10)*(VLOOKUP($B47,'Section Data'!$B$36:$AC$107,5,FALSE)/10)^2/4,""))</f>
        <v>38.965569500000008</v>
      </c>
      <c r="Z47" s="84">
        <f t="shared" si="5"/>
        <v>2138.31</v>
      </c>
      <c r="AA47" s="84">
        <f t="shared" si="6"/>
        <v>212.79599999999996</v>
      </c>
      <c r="AB47" s="86">
        <f t="shared" si="7"/>
        <v>2.0323073478588222E-2</v>
      </c>
      <c r="AC47" s="86">
        <f t="shared" si="8"/>
        <v>1.5538191645267999E-3</v>
      </c>
      <c r="AD47" s="1" t="b">
        <f>AND(ISNUMBER(AB47),ISNUMBER(AC47),AB47&gt;=0,AC47&gt;=0,AB47&lt;=0.95,AC47&lt;=0.95,ISNUMBER(D47),D47&gt;0,'Steel Beam Design'!$A$18="")</f>
        <v>1</v>
      </c>
      <c r="AE47" s="84">
        <f>'Steel Beam Design'!O26</f>
        <v>69.531249999999972</v>
      </c>
    </row>
    <row r="48" spans="1:31">
      <c r="A48" s="1" t="s">
        <v>467</v>
      </c>
      <c r="B48" s="1" t="str">
        <f>'Section Data'!B47</f>
        <v>762x267x147</v>
      </c>
      <c r="C48" s="1" t="s">
        <v>368</v>
      </c>
      <c r="D48" s="84">
        <f>'Section Data'!C47</f>
        <v>146.9</v>
      </c>
      <c r="E48" s="84">
        <f>'Section Data'!Q47</f>
        <v>168500</v>
      </c>
      <c r="F48" s="84">
        <f>'Steel Beam Design'!D7003</f>
        <v>43.457031249999979</v>
      </c>
      <c r="G48" s="84">
        <f>'Steel Beam Design'!D7027</f>
        <v>318.999074477352</v>
      </c>
      <c r="H48" s="84" t="str">
        <f>IF(TRIM($B48)="","",IFERROR('Steel Beam Design'!$D$7006,""))</f>
        <v>S355</v>
      </c>
      <c r="I48" s="84">
        <f>IF(TRIM($B48)="","",IFERROR(MAX(VLOOKUP($B48,'Section Data'!$B$36:$AC$107,5,FALSE),VLOOKUP($B48,'Section Data'!$B$36:$AC$107,6,FALSE)),""))</f>
        <v>17.5</v>
      </c>
      <c r="J48" s="84">
        <f>IF(TRIM($B48)="","",IFERROR(IF(I48&gt;150,"",INDEX('Section Data'!$AH$5:$AK$10,IF(I48&lt;=16,1,IF(I48&lt;=40,2,IF(I48&lt;=63,3,IF(I48&lt;=80,4,IF(I48&lt;=100,5,6))))),MATCH(H48,'Section Data'!$AH$4:$AK$4,0))),""))</f>
        <v>345</v>
      </c>
      <c r="K48" s="84">
        <f t="shared" si="0"/>
        <v>0.8928053815224023</v>
      </c>
      <c r="L48" s="84">
        <f>IF(TRIM($B48)="","",IFERROR(VLOOKUP($B48,'Section Data'!$B$36:$AC$107,9,FALSE),""))</f>
        <v>7.58</v>
      </c>
      <c r="M48" s="84">
        <f>IF(TRIM($B48)="","",IFERROR(VLOOKUP($B48,'Section Data'!$B$36:$AC$107,10,FALSE),""))</f>
        <v>53.6</v>
      </c>
      <c r="N48" s="84">
        <f t="shared" si="1"/>
        <v>9</v>
      </c>
      <c r="O48" s="84">
        <f t="shared" si="2"/>
        <v>80</v>
      </c>
      <c r="P48" s="84">
        <f>IF(TRIM($B48)="","",IFERROR(VLOOKUP($B48,'Section Data'!$B$36:$AC$107,5,FALSE)*VLOOKUP($B48,'Section Data'!$B$36:$AC$107,3,FALSE),""))</f>
        <v>9651.2000000000007</v>
      </c>
      <c r="Q48" s="84">
        <f t="shared" si="3"/>
        <v>1922.3824067110065</v>
      </c>
      <c r="R48" s="84">
        <f>'Steel Beam Design'!B3511</f>
        <v>111.25</v>
      </c>
      <c r="S48" s="84">
        <f t="shared" si="4"/>
        <v>0</v>
      </c>
      <c r="T48" s="84">
        <f>IF(TRIM($B48)="","",IFERROR(VLOOKUP($B48,'Section Data'!$B$36:$AC$107,20,FALSE),""))</f>
        <v>4470</v>
      </c>
      <c r="U48" s="84">
        <f>IF(TRIM($B48)="","",IFERROR(VLOOKUP($B48,'Section Data'!$B$36:$AC$107,21,FALSE),""))</f>
        <v>411</v>
      </c>
      <c r="V48" s="84">
        <f>IF(TRIM($B48)="","",IFERROR(VLOOKUP($B48,'Section Data'!$B$36:$AC$107,22,FALSE),""))</f>
        <v>5156</v>
      </c>
      <c r="W48" s="84">
        <f>IF(TRIM($B48)="","",IFERROR(VLOOKUP($B48,'Section Data'!$B$36:$AC$107,23,FALSE),""))</f>
        <v>647</v>
      </c>
      <c r="X48" s="84">
        <f>IF(TRIM($B48)="","",IFERROR((VLOOKUP($B48,'Section Data'!$B$36:$AC$107,5,FALSE)/10)*(VLOOKUP($B48,'Section Data'!$B$36:$AC$107,3,FALSE)/10)^2/4,""))</f>
        <v>1819.2512000000004</v>
      </c>
      <c r="Y48" s="84">
        <f>IF(TRIM($B48)="","",IFERROR((VLOOKUP($B48,'Section Data'!$B$36:$AC$107,3,FALSE)/10)*(VLOOKUP($B48,'Section Data'!$B$36:$AC$107,5,FALSE)/10)^2/4,""))</f>
        <v>30.883840000000003</v>
      </c>
      <c r="Z48" s="84">
        <f t="shared" si="5"/>
        <v>1778.82</v>
      </c>
      <c r="AA48" s="84">
        <f t="shared" si="6"/>
        <v>170.154</v>
      </c>
      <c r="AB48" s="86">
        <f t="shared" si="7"/>
        <v>2.4430257839466601E-2</v>
      </c>
      <c r="AC48" s="86">
        <f t="shared" si="8"/>
        <v>1.8931695814679644E-3</v>
      </c>
      <c r="AD48" s="1" t="b">
        <f>AND(ISNUMBER(AB48),ISNUMBER(AC48),AB48&gt;=0,AC48&gt;=0,AB48&lt;=0.95,AC48&lt;=0.95,ISNUMBER(D48),D48&gt;0,'Steel Beam Design'!$A$18="")</f>
        <v>1</v>
      </c>
      <c r="AE48" s="84">
        <f>'Steel Beam Design'!O26</f>
        <v>69.531249999999972</v>
      </c>
    </row>
    <row r="49" spans="1:31">
      <c r="A49" s="1" t="s">
        <v>467</v>
      </c>
      <c r="B49" s="1" t="str">
        <f>'Section Data'!B48</f>
        <v>762x267x134</v>
      </c>
      <c r="C49" s="1" t="s">
        <v>368</v>
      </c>
      <c r="D49" s="84">
        <f>'Section Data'!C48</f>
        <v>133.9</v>
      </c>
      <c r="E49" s="84">
        <f>'Section Data'!Q48</f>
        <v>150700</v>
      </c>
      <c r="F49" s="84">
        <f>'Steel Beam Design'!D7003</f>
        <v>43.457031249999979</v>
      </c>
      <c r="G49" s="84">
        <f>'Steel Beam Design'!D7027</f>
        <v>318.999074477352</v>
      </c>
      <c r="H49" s="84" t="str">
        <f>IF(TRIM($B49)="","",IFERROR('Steel Beam Design'!$D$7006,""))</f>
        <v>S355</v>
      </c>
      <c r="I49" s="84">
        <f>IF(TRIM($B49)="","",IFERROR(MAX(VLOOKUP($B49,'Section Data'!$B$36:$AC$107,5,FALSE),VLOOKUP($B49,'Section Data'!$B$36:$AC$107,6,FALSE)),""))</f>
        <v>15.5</v>
      </c>
      <c r="J49" s="84">
        <f>IF(TRIM($B49)="","",IFERROR(IF(I49&gt;150,"",INDEX('Section Data'!$AH$5:$AK$10,IF(I49&lt;=16,1,IF(I49&lt;=40,2,IF(I49&lt;=63,3,IF(I49&lt;=80,4,IF(I49&lt;=100,5,6))))),MATCH(H49,'Section Data'!$AH$4:$AK$4,0))),""))</f>
        <v>355</v>
      </c>
      <c r="K49" s="84">
        <f t="shared" si="0"/>
        <v>0.88014083380101371</v>
      </c>
      <c r="L49" s="84">
        <f>IF(TRIM($B49)="","",IFERROR(VLOOKUP($B49,'Section Data'!$B$36:$AC$107,9,FALSE),""))</f>
        <v>8.5299999999999994</v>
      </c>
      <c r="M49" s="84">
        <f>IF(TRIM($B49)="","",IFERROR(VLOOKUP($B49,'Section Data'!$B$36:$AC$107,10,FALSE),""))</f>
        <v>57.2</v>
      </c>
      <c r="N49" s="84">
        <f t="shared" si="1"/>
        <v>13</v>
      </c>
      <c r="O49" s="84">
        <f t="shared" si="2"/>
        <v>80</v>
      </c>
      <c r="P49" s="84">
        <f>IF(TRIM($B49)="","",IFERROR(VLOOKUP($B49,'Section Data'!$B$36:$AC$107,5,FALSE)*VLOOKUP($B49,'Section Data'!$B$36:$AC$107,3,FALSE),""))</f>
        <v>9000</v>
      </c>
      <c r="Q49" s="84">
        <f t="shared" si="3"/>
        <v>1844.6341100608543</v>
      </c>
      <c r="R49" s="84">
        <f>'Steel Beam Design'!B3511</f>
        <v>111.25</v>
      </c>
      <c r="S49" s="84">
        <f t="shared" si="4"/>
        <v>0</v>
      </c>
      <c r="T49" s="84">
        <f>IF(TRIM($B49)="","",IFERROR(VLOOKUP($B49,'Section Data'!$B$36:$AC$107,20,FALSE),""))</f>
        <v>4018</v>
      </c>
      <c r="U49" s="84">
        <f>IF(TRIM($B49)="","",IFERROR(VLOOKUP($B49,'Section Data'!$B$36:$AC$107,21,FALSE),""))</f>
        <v>362</v>
      </c>
      <c r="V49" s="84">
        <f>IF(TRIM($B49)="","",IFERROR(VLOOKUP($B49,'Section Data'!$B$36:$AC$107,22,FALSE),""))</f>
        <v>4644</v>
      </c>
      <c r="W49" s="84">
        <f>IF(TRIM($B49)="","",IFERROR(VLOOKUP($B49,'Section Data'!$B$36:$AC$107,23,FALSE),""))</f>
        <v>540</v>
      </c>
      <c r="X49" s="84">
        <f>IF(TRIM($B49)="","",IFERROR((VLOOKUP($B49,'Section Data'!$B$36:$AC$107,5,FALSE)/10)*(VLOOKUP($B49,'Section Data'!$B$36:$AC$107,3,FALSE)/10)^2/4,""))</f>
        <v>1687.5</v>
      </c>
      <c r="Y49" s="84">
        <f>IF(TRIM($B49)="","",IFERROR((VLOOKUP($B49,'Section Data'!$B$36:$AC$107,3,FALSE)/10)*(VLOOKUP($B49,'Section Data'!$B$36:$AC$107,5,FALSE)/10)^2/4,""))</f>
        <v>27</v>
      </c>
      <c r="Z49" s="84">
        <f t="shared" si="5"/>
        <v>1426.39</v>
      </c>
      <c r="AA49" s="84">
        <f t="shared" si="6"/>
        <v>128.51</v>
      </c>
      <c r="AB49" s="86">
        <f t="shared" si="7"/>
        <v>3.0466444135194424E-2</v>
      </c>
      <c r="AC49" s="86">
        <f t="shared" si="8"/>
        <v>2.1167821796771865E-3</v>
      </c>
      <c r="AD49" s="1" t="b">
        <f>AND(ISNUMBER(AB49),ISNUMBER(AC49),AB49&gt;=0,AC49&gt;=0,AB49&lt;=0.95,AC49&lt;=0.95,ISNUMBER(D49),D49&gt;0,'Steel Beam Design'!$A$18="")</f>
        <v>1</v>
      </c>
      <c r="AE49" s="84">
        <f>'Steel Beam Design'!O26</f>
        <v>69.531249999999972</v>
      </c>
    </row>
    <row r="50" spans="1:31">
      <c r="A50" s="1" t="s">
        <v>467</v>
      </c>
      <c r="B50" s="1" t="str">
        <f>'Section Data'!B49</f>
        <v>686x254x170</v>
      </c>
      <c r="C50" s="1" t="s">
        <v>368</v>
      </c>
      <c r="D50" s="84">
        <f>'Section Data'!C49</f>
        <v>170.2</v>
      </c>
      <c r="E50" s="84">
        <f>'Section Data'!Q49</f>
        <v>170300</v>
      </c>
      <c r="F50" s="84">
        <f>'Steel Beam Design'!D7003</f>
        <v>43.457031249999979</v>
      </c>
      <c r="G50" s="84">
        <f>'Steel Beam Design'!D7027</f>
        <v>318.999074477352</v>
      </c>
      <c r="H50" s="84" t="str">
        <f>IF(TRIM($B50)="","",IFERROR('Steel Beam Design'!$D$7006,""))</f>
        <v>S355</v>
      </c>
      <c r="I50" s="84">
        <f>IF(TRIM($B50)="","",IFERROR(MAX(VLOOKUP($B50,'Section Data'!$B$36:$AC$107,5,FALSE),VLOOKUP($B50,'Section Data'!$B$36:$AC$107,6,FALSE)),""))</f>
        <v>23.7</v>
      </c>
      <c r="J50" s="84">
        <f>IF(TRIM($B50)="","",IFERROR(IF(I50&gt;150,"",INDEX('Section Data'!$AH$5:$AK$10,IF(I50&lt;=16,1,IF(I50&lt;=40,2,IF(I50&lt;=63,3,IF(I50&lt;=80,4,IF(I50&lt;=100,5,6))))),MATCH(H50,'Section Data'!$AH$4:$AK$4,0))),""))</f>
        <v>345</v>
      </c>
      <c r="K50" s="84">
        <f t="shared" si="0"/>
        <v>0.8928053815224023</v>
      </c>
      <c r="L50" s="84">
        <f>IF(TRIM($B50)="","",IFERROR(VLOOKUP($B50,'Section Data'!$B$36:$AC$107,9,FALSE),""))</f>
        <v>5.4</v>
      </c>
      <c r="M50" s="84">
        <f>IF(TRIM($B50)="","",IFERROR(VLOOKUP($B50,'Section Data'!$B$36:$AC$107,10,FALSE),""))</f>
        <v>42.4</v>
      </c>
      <c r="N50" s="84">
        <f t="shared" si="1"/>
        <v>8</v>
      </c>
      <c r="O50" s="84">
        <f t="shared" si="2"/>
        <v>80</v>
      </c>
      <c r="P50" s="84">
        <f>IF(TRIM($B50)="","",IFERROR(VLOOKUP($B50,'Section Data'!$B$36:$AC$107,5,FALSE)*VLOOKUP($B50,'Section Data'!$B$36:$AC$107,3,FALSE),""))</f>
        <v>10047.049999999999</v>
      </c>
      <c r="Q50" s="84">
        <f t="shared" si="3"/>
        <v>2001.2301226112622</v>
      </c>
      <c r="R50" s="84">
        <f>'Steel Beam Design'!B3511</f>
        <v>111.25</v>
      </c>
      <c r="S50" s="84">
        <f t="shared" si="4"/>
        <v>0</v>
      </c>
      <c r="T50" s="84">
        <f>IF(TRIM($B50)="","",IFERROR(VLOOKUP($B50,'Section Data'!$B$36:$AC$107,20,FALSE),""))</f>
        <v>4918</v>
      </c>
      <c r="U50" s="84">
        <f>IF(TRIM($B50)="","",IFERROR(VLOOKUP($B50,'Section Data'!$B$36:$AC$107,21,FALSE),""))</f>
        <v>518</v>
      </c>
      <c r="V50" s="84">
        <f>IF(TRIM($B50)="","",IFERROR(VLOOKUP($B50,'Section Data'!$B$36:$AC$107,22,FALSE),""))</f>
        <v>5631</v>
      </c>
      <c r="W50" s="84">
        <f>IF(TRIM($B50)="","",IFERROR(VLOOKUP($B50,'Section Data'!$B$36:$AC$107,23,FALSE),""))</f>
        <v>811</v>
      </c>
      <c r="X50" s="84">
        <f>IF(TRIM($B50)="","",IFERROR((VLOOKUP($B50,'Section Data'!$B$36:$AC$107,5,FALSE)/10)*(VLOOKUP($B50,'Section Data'!$B$36:$AC$107,3,FALSE)/10)^2/4,""))</f>
        <v>1740.4002362499994</v>
      </c>
      <c r="Y50" s="84">
        <f>IF(TRIM($B50)="","",IFERROR((VLOOKUP($B50,'Section Data'!$B$36:$AC$107,3,FALSE)/10)*(VLOOKUP($B50,'Section Data'!$B$36:$AC$107,5,FALSE)/10)^2/4,""))</f>
        <v>36.420556249999997</v>
      </c>
      <c r="Z50" s="84">
        <f t="shared" si="5"/>
        <v>1942.6949999999999</v>
      </c>
      <c r="AA50" s="84">
        <f t="shared" si="6"/>
        <v>214.452</v>
      </c>
      <c r="AB50" s="86">
        <f t="shared" si="7"/>
        <v>2.2369456476698597E-2</v>
      </c>
      <c r="AC50" s="86">
        <f t="shared" si="8"/>
        <v>1.8731595682757018E-3</v>
      </c>
      <c r="AD50" s="1" t="b">
        <f>AND(ISNUMBER(AB50),ISNUMBER(AC50),AB50&gt;=0,AC50&gt;=0,AB50&lt;=0.95,AC50&lt;=0.95,ISNUMBER(D50),D50&gt;0,'Steel Beam Design'!$A$18="")</f>
        <v>1</v>
      </c>
      <c r="AE50" s="84">
        <f>'Steel Beam Design'!O26</f>
        <v>69.531249999999972</v>
      </c>
    </row>
    <row r="51" spans="1:31">
      <c r="A51" s="1" t="s">
        <v>467</v>
      </c>
      <c r="B51" s="1" t="str">
        <f>'Section Data'!B50</f>
        <v>686x254x152</v>
      </c>
      <c r="C51" s="1" t="s">
        <v>368</v>
      </c>
      <c r="D51" s="84">
        <f>'Section Data'!C50</f>
        <v>152.4</v>
      </c>
      <c r="E51" s="84">
        <f>'Section Data'!Q50</f>
        <v>150400</v>
      </c>
      <c r="F51" s="84">
        <f>'Steel Beam Design'!D7003</f>
        <v>43.457031249999979</v>
      </c>
      <c r="G51" s="84">
        <f>'Steel Beam Design'!D7027</f>
        <v>318.999074477352</v>
      </c>
      <c r="H51" s="84" t="str">
        <f>IF(TRIM($B51)="","",IFERROR('Steel Beam Design'!$D$7006,""))</f>
        <v>S355</v>
      </c>
      <c r="I51" s="84">
        <f>IF(TRIM($B51)="","",IFERROR(MAX(VLOOKUP($B51,'Section Data'!$B$36:$AC$107,5,FALSE),VLOOKUP($B51,'Section Data'!$B$36:$AC$107,6,FALSE)),""))</f>
        <v>21</v>
      </c>
      <c r="J51" s="84">
        <f>IF(TRIM($B51)="","",IFERROR(IF(I51&gt;150,"",INDEX('Section Data'!$AH$5:$AK$10,IF(I51&lt;=16,1,IF(I51&lt;=40,2,IF(I51&lt;=63,3,IF(I51&lt;=80,4,IF(I51&lt;=100,5,6))))),MATCH(H51,'Section Data'!$AH$4:$AK$4,0))),""))</f>
        <v>345</v>
      </c>
      <c r="K51" s="84">
        <f t="shared" si="0"/>
        <v>0.8928053815224023</v>
      </c>
      <c r="L51" s="84">
        <f>IF(TRIM($B51)="","",IFERROR(VLOOKUP($B51,'Section Data'!$B$36:$AC$107,9,FALSE),""))</f>
        <v>6.06</v>
      </c>
      <c r="M51" s="84">
        <f>IF(TRIM($B51)="","",IFERROR(VLOOKUP($B51,'Section Data'!$B$36:$AC$107,10,FALSE),""))</f>
        <v>46.6</v>
      </c>
      <c r="N51" s="84">
        <f t="shared" si="1"/>
        <v>8</v>
      </c>
      <c r="O51" s="84">
        <f t="shared" si="2"/>
        <v>80</v>
      </c>
      <c r="P51" s="84">
        <f>IF(TRIM($B51)="","",IFERROR(VLOOKUP($B51,'Section Data'!$B$36:$AC$107,5,FALSE)*VLOOKUP($B51,'Section Data'!$B$36:$AC$107,3,FALSE),""))</f>
        <v>9075</v>
      </c>
      <c r="Q51" s="84">
        <f t="shared" si="3"/>
        <v>1807.6115240490697</v>
      </c>
      <c r="R51" s="84">
        <f>'Steel Beam Design'!B3511</f>
        <v>111.25</v>
      </c>
      <c r="S51" s="84">
        <f t="shared" si="4"/>
        <v>0</v>
      </c>
      <c r="T51" s="84">
        <f>IF(TRIM($B51)="","",IFERROR(VLOOKUP($B51,'Section Data'!$B$36:$AC$107,20,FALSE),""))</f>
        <v>4374</v>
      </c>
      <c r="U51" s="84">
        <f>IF(TRIM($B51)="","",IFERROR(VLOOKUP($B51,'Section Data'!$B$36:$AC$107,21,FALSE),""))</f>
        <v>455</v>
      </c>
      <c r="V51" s="84">
        <f>IF(TRIM($B51)="","",IFERROR(VLOOKUP($B51,'Section Data'!$B$36:$AC$107,22,FALSE),""))</f>
        <v>5000</v>
      </c>
      <c r="W51" s="84">
        <f>IF(TRIM($B51)="","",IFERROR(VLOOKUP($B51,'Section Data'!$B$36:$AC$107,23,FALSE),""))</f>
        <v>710</v>
      </c>
      <c r="X51" s="84">
        <f>IF(TRIM($B51)="","",IFERROR((VLOOKUP($B51,'Section Data'!$B$36:$AC$107,5,FALSE)/10)*(VLOOKUP($B51,'Section Data'!$B$36:$AC$107,3,FALSE)/10)^2/4,""))</f>
        <v>1559.7656249999998</v>
      </c>
      <c r="Y51" s="84">
        <f>IF(TRIM($B51)="","",IFERROR((VLOOKUP($B51,'Section Data'!$B$36:$AC$107,3,FALSE)/10)*(VLOOKUP($B51,'Section Data'!$B$36:$AC$107,5,FALSE)/10)^2/4,""))</f>
        <v>29.947499999999991</v>
      </c>
      <c r="Z51" s="84">
        <f t="shared" si="5"/>
        <v>1725</v>
      </c>
      <c r="AA51" s="84">
        <f t="shared" si="6"/>
        <v>188.37</v>
      </c>
      <c r="AB51" s="86">
        <f t="shared" si="7"/>
        <v>2.5192481884057958E-2</v>
      </c>
      <c r="AC51" s="86">
        <f t="shared" si="8"/>
        <v>2.1210044845568618E-3</v>
      </c>
      <c r="AD51" s="1" t="b">
        <f>AND(ISNUMBER(AB51),ISNUMBER(AC51),AB51&gt;=0,AC51&gt;=0,AB51&lt;=0.95,AC51&lt;=0.95,ISNUMBER(D51),D51&gt;0,'Steel Beam Design'!$A$18="")</f>
        <v>1</v>
      </c>
      <c r="AE51" s="84">
        <f>'Steel Beam Design'!O26</f>
        <v>69.531249999999972</v>
      </c>
    </row>
    <row r="52" spans="1:31">
      <c r="A52" s="1" t="s">
        <v>467</v>
      </c>
      <c r="B52" s="1" t="str">
        <f>'Section Data'!B51</f>
        <v>686x254x140</v>
      </c>
      <c r="C52" s="1" t="s">
        <v>368</v>
      </c>
      <c r="D52" s="84">
        <f>'Section Data'!C51</f>
        <v>140.1</v>
      </c>
      <c r="E52" s="84">
        <f>'Section Data'!Q51</f>
        <v>136300</v>
      </c>
      <c r="F52" s="84">
        <f>'Steel Beam Design'!D7003</f>
        <v>43.457031249999979</v>
      </c>
      <c r="G52" s="84">
        <f>'Steel Beam Design'!D7027</f>
        <v>318.999074477352</v>
      </c>
      <c r="H52" s="84" t="str">
        <f>IF(TRIM($B52)="","",IFERROR('Steel Beam Design'!$D$7006,""))</f>
        <v>S355</v>
      </c>
      <c r="I52" s="84">
        <f>IF(TRIM($B52)="","",IFERROR(MAX(VLOOKUP($B52,'Section Data'!$B$36:$AC$107,5,FALSE),VLOOKUP($B52,'Section Data'!$B$36:$AC$107,6,FALSE)),""))</f>
        <v>19</v>
      </c>
      <c r="J52" s="84">
        <f>IF(TRIM($B52)="","",IFERROR(IF(I52&gt;150,"",INDEX('Section Data'!$AH$5:$AK$10,IF(I52&lt;=16,1,IF(I52&lt;=40,2,IF(I52&lt;=63,3,IF(I52&lt;=80,4,IF(I52&lt;=100,5,6))))),MATCH(H52,'Section Data'!$AH$4:$AK$4,0))),""))</f>
        <v>345</v>
      </c>
      <c r="K52" s="84">
        <f t="shared" si="0"/>
        <v>0.8928053815224023</v>
      </c>
      <c r="L52" s="84">
        <f>IF(TRIM($B52)="","",IFERROR(VLOOKUP($B52,'Section Data'!$B$36:$AC$107,9,FALSE),""))</f>
        <v>6.68</v>
      </c>
      <c r="M52" s="84">
        <f>IF(TRIM($B52)="","",IFERROR(VLOOKUP($B52,'Section Data'!$B$36:$AC$107,10,FALSE),""))</f>
        <v>49.6</v>
      </c>
      <c r="N52" s="84">
        <f t="shared" si="1"/>
        <v>8</v>
      </c>
      <c r="O52" s="84">
        <f t="shared" si="2"/>
        <v>80</v>
      </c>
      <c r="P52" s="84">
        <f>IF(TRIM($B52)="","",IFERROR(VLOOKUP($B52,'Section Data'!$B$36:$AC$107,5,FALSE)*VLOOKUP($B52,'Section Data'!$B$36:$AC$107,3,FALSE),""))</f>
        <v>8475.4</v>
      </c>
      <c r="Q52" s="84">
        <f t="shared" si="3"/>
        <v>1688.1796926639652</v>
      </c>
      <c r="R52" s="84">
        <f>'Steel Beam Design'!B3511</f>
        <v>111.25</v>
      </c>
      <c r="S52" s="84">
        <f t="shared" si="4"/>
        <v>0</v>
      </c>
      <c r="T52" s="84">
        <f>IF(TRIM($B52)="","",IFERROR(VLOOKUP($B52,'Section Data'!$B$36:$AC$107,20,FALSE),""))</f>
        <v>3987</v>
      </c>
      <c r="U52" s="84">
        <f>IF(TRIM($B52)="","",IFERROR(VLOOKUP($B52,'Section Data'!$B$36:$AC$107,21,FALSE),""))</f>
        <v>409</v>
      </c>
      <c r="V52" s="84">
        <f>IF(TRIM($B52)="","",IFERROR(VLOOKUP($B52,'Section Data'!$B$36:$AC$107,22,FALSE),""))</f>
        <v>4558</v>
      </c>
      <c r="W52" s="84">
        <f>IF(TRIM($B52)="","",IFERROR(VLOOKUP($B52,'Section Data'!$B$36:$AC$107,23,FALSE),""))</f>
        <v>638</v>
      </c>
      <c r="X52" s="84">
        <f>IF(TRIM($B52)="","",IFERROR((VLOOKUP($B52,'Section Data'!$B$36:$AC$107,5,FALSE)/10)*(VLOOKUP($B52,'Section Data'!$B$36:$AC$107,3,FALSE)/10)^2/4,""))</f>
        <v>1448.2339749999996</v>
      </c>
      <c r="Y52" s="84">
        <f>IF(TRIM($B52)="","",IFERROR((VLOOKUP($B52,'Section Data'!$B$36:$AC$107,3,FALSE)/10)*(VLOOKUP($B52,'Section Data'!$B$36:$AC$107,5,FALSE)/10)^2/4,""))</f>
        <v>26.27374</v>
      </c>
      <c r="Z52" s="84">
        <f t="shared" si="5"/>
        <v>1572.51</v>
      </c>
      <c r="AA52" s="84">
        <f t="shared" si="6"/>
        <v>169.32599999999996</v>
      </c>
      <c r="AB52" s="86">
        <f t="shared" si="7"/>
        <v>2.7635456213315004E-2</v>
      </c>
      <c r="AC52" s="86">
        <f t="shared" si="8"/>
        <v>2.3404187415799853E-3</v>
      </c>
      <c r="AD52" s="1" t="b">
        <f>AND(ISNUMBER(AB52),ISNUMBER(AC52),AB52&gt;=0,AC52&gt;=0,AB52&lt;=0.95,AC52&lt;=0.95,ISNUMBER(D52),D52&gt;0,'Steel Beam Design'!$A$18="")</f>
        <v>1</v>
      </c>
      <c r="AE52" s="84">
        <f>'Steel Beam Design'!O26</f>
        <v>69.531249999999972</v>
      </c>
    </row>
    <row r="53" spans="1:31">
      <c r="A53" s="1" t="s">
        <v>467</v>
      </c>
      <c r="B53" s="1" t="str">
        <f>'Section Data'!B52</f>
        <v>686x254x125</v>
      </c>
      <c r="C53" s="1" t="s">
        <v>368</v>
      </c>
      <c r="D53" s="84">
        <f>'Section Data'!C52</f>
        <v>125.2</v>
      </c>
      <c r="E53" s="84">
        <f>'Section Data'!Q52</f>
        <v>118000</v>
      </c>
      <c r="F53" s="84">
        <f>'Steel Beam Design'!D7003</f>
        <v>43.457031249999979</v>
      </c>
      <c r="G53" s="84">
        <f>'Steel Beam Design'!D7027</f>
        <v>318.999074477352</v>
      </c>
      <c r="H53" s="84" t="str">
        <f>IF(TRIM($B53)="","",IFERROR('Steel Beam Design'!$D$7006,""))</f>
        <v>S355</v>
      </c>
      <c r="I53" s="84">
        <f>IF(TRIM($B53)="","",IFERROR(MAX(VLOOKUP($B53,'Section Data'!$B$36:$AC$107,5,FALSE),VLOOKUP($B53,'Section Data'!$B$36:$AC$107,6,FALSE)),""))</f>
        <v>16.2</v>
      </c>
      <c r="J53" s="84">
        <f>IF(TRIM($B53)="","",IFERROR(IF(I53&gt;150,"",INDEX('Section Data'!$AH$5:$AK$10,IF(I53&lt;=16,1,IF(I53&lt;=40,2,IF(I53&lt;=63,3,IF(I53&lt;=80,4,IF(I53&lt;=100,5,6))))),MATCH(H53,'Section Data'!$AH$4:$AK$4,0))),""))</f>
        <v>345</v>
      </c>
      <c r="K53" s="84">
        <f t="shared" si="0"/>
        <v>0.8928053815224023</v>
      </c>
      <c r="L53" s="84">
        <f>IF(TRIM($B53)="","",IFERROR(VLOOKUP($B53,'Section Data'!$B$36:$AC$107,9,FALSE),""))</f>
        <v>7.81</v>
      </c>
      <c r="M53" s="84">
        <f>IF(TRIM($B53)="","",IFERROR(VLOOKUP($B53,'Section Data'!$B$36:$AC$107,10,FALSE),""))</f>
        <v>52.6</v>
      </c>
      <c r="N53" s="84">
        <f t="shared" si="1"/>
        <v>9</v>
      </c>
      <c r="O53" s="84">
        <f t="shared" si="2"/>
        <v>80</v>
      </c>
      <c r="P53" s="84">
        <f>IF(TRIM($B53)="","",IFERROR(VLOOKUP($B53,'Section Data'!$B$36:$AC$107,5,FALSE)*VLOOKUP($B53,'Section Data'!$B$36:$AC$107,3,FALSE),""))</f>
        <v>7931.4299999999994</v>
      </c>
      <c r="Q53" s="84">
        <f t="shared" si="3"/>
        <v>1579.8285697177423</v>
      </c>
      <c r="R53" s="84">
        <f>'Steel Beam Design'!B3511</f>
        <v>111.25</v>
      </c>
      <c r="S53" s="84">
        <f t="shared" si="4"/>
        <v>0</v>
      </c>
      <c r="T53" s="84">
        <f>IF(TRIM($B53)="","",IFERROR(VLOOKUP($B53,'Section Data'!$B$36:$AC$107,20,FALSE),""))</f>
        <v>3481</v>
      </c>
      <c r="U53" s="84">
        <f>IF(TRIM($B53)="","",IFERROR(VLOOKUP($B53,'Section Data'!$B$36:$AC$107,21,FALSE),""))</f>
        <v>346</v>
      </c>
      <c r="V53" s="84">
        <f>IF(TRIM($B53)="","",IFERROR(VLOOKUP($B53,'Section Data'!$B$36:$AC$107,22,FALSE),""))</f>
        <v>3994</v>
      </c>
      <c r="W53" s="84">
        <f>IF(TRIM($B53)="","",IFERROR(VLOOKUP($B53,'Section Data'!$B$36:$AC$107,23,FALSE),""))</f>
        <v>542</v>
      </c>
      <c r="X53" s="84">
        <f>IF(TRIM($B53)="","",IFERROR((VLOOKUP($B53,'Section Data'!$B$36:$AC$107,5,FALSE)/10)*(VLOOKUP($B53,'Section Data'!$B$36:$AC$107,3,FALSE)/10)^2/4,""))</f>
        <v>1344.1790992499996</v>
      </c>
      <c r="Y53" s="84">
        <f>IF(TRIM($B53)="","",IFERROR((VLOOKUP($B53,'Section Data'!$B$36:$AC$107,3,FALSE)/10)*(VLOOKUP($B53,'Section Data'!$B$36:$AC$107,5,FALSE)/10)^2/4,""))</f>
        <v>23.199432749999993</v>
      </c>
      <c r="Z53" s="84">
        <f t="shared" si="5"/>
        <v>1377.93</v>
      </c>
      <c r="AA53" s="84">
        <f t="shared" si="6"/>
        <v>143.244</v>
      </c>
      <c r="AB53" s="86">
        <f t="shared" si="7"/>
        <v>3.1537909218900796E-2</v>
      </c>
      <c r="AC53" s="86">
        <f t="shared" si="8"/>
        <v>2.7033819870962033E-3</v>
      </c>
      <c r="AD53" s="1" t="b">
        <f>AND(ISNUMBER(AB53),ISNUMBER(AC53),AB53&gt;=0,AC53&gt;=0,AB53&lt;=0.95,AC53&lt;=0.95,ISNUMBER(D53),D53&gt;0,'Steel Beam Design'!$A$18="")</f>
        <v>1</v>
      </c>
      <c r="AE53" s="84">
        <f>'Steel Beam Design'!O26</f>
        <v>69.531249999999972</v>
      </c>
    </row>
    <row r="54" spans="1:31">
      <c r="A54" s="1" t="s">
        <v>467</v>
      </c>
      <c r="B54" s="1" t="str">
        <f>'Section Data'!B53</f>
        <v>610x305x238</v>
      </c>
      <c r="C54" s="1" t="s">
        <v>368</v>
      </c>
      <c r="D54" s="84">
        <f>'Section Data'!C53</f>
        <v>238.1</v>
      </c>
      <c r="E54" s="84">
        <f>'Section Data'!Q53</f>
        <v>209500</v>
      </c>
      <c r="F54" s="84">
        <f>'Steel Beam Design'!D7003</f>
        <v>43.457031249999979</v>
      </c>
      <c r="G54" s="84">
        <f>'Steel Beam Design'!D7027</f>
        <v>318.999074477352</v>
      </c>
      <c r="H54" s="84" t="str">
        <f>IF(TRIM($B54)="","",IFERROR('Steel Beam Design'!$D$7006,""))</f>
        <v>S355</v>
      </c>
      <c r="I54" s="84">
        <f>IF(TRIM($B54)="","",IFERROR(MAX(VLOOKUP($B54,'Section Data'!$B$36:$AC$107,5,FALSE),VLOOKUP($B54,'Section Data'!$B$36:$AC$107,6,FALSE)),""))</f>
        <v>31.4</v>
      </c>
      <c r="J54" s="84">
        <f>IF(TRIM($B54)="","",IFERROR(IF(I54&gt;150,"",INDEX('Section Data'!$AH$5:$AK$10,IF(I54&lt;=16,1,IF(I54&lt;=40,2,IF(I54&lt;=63,3,IF(I54&lt;=80,4,IF(I54&lt;=100,5,6))))),MATCH(H54,'Section Data'!$AH$4:$AK$4,0))),""))</f>
        <v>345</v>
      </c>
      <c r="K54" s="84">
        <f t="shared" si="0"/>
        <v>0.8928053815224023</v>
      </c>
      <c r="L54" s="84">
        <f>IF(TRIM($B54)="","",IFERROR(VLOOKUP($B54,'Section Data'!$B$36:$AC$107,9,FALSE),""))</f>
        <v>4.96</v>
      </c>
      <c r="M54" s="84">
        <f>IF(TRIM($B54)="","",IFERROR(VLOOKUP($B54,'Section Data'!$B$36:$AC$107,10,FALSE),""))</f>
        <v>29.3</v>
      </c>
      <c r="N54" s="84">
        <f t="shared" si="1"/>
        <v>8</v>
      </c>
      <c r="O54" s="84">
        <f t="shared" si="2"/>
        <v>80</v>
      </c>
      <c r="P54" s="84">
        <f>IF(TRIM($B54)="","",IFERROR(VLOOKUP($B54,'Section Data'!$B$36:$AC$107,5,FALSE)*VLOOKUP($B54,'Section Data'!$B$36:$AC$107,3,FALSE),""))</f>
        <v>11698.719999999998</v>
      </c>
      <c r="Q54" s="84">
        <f t="shared" si="3"/>
        <v>2330.2194037050499</v>
      </c>
      <c r="R54" s="84">
        <f>'Steel Beam Design'!B3511</f>
        <v>111.25</v>
      </c>
      <c r="S54" s="84">
        <f t="shared" si="4"/>
        <v>0</v>
      </c>
      <c r="T54" s="84">
        <f>IF(TRIM($B54)="","",IFERROR(VLOOKUP($B54,'Section Data'!$B$36:$AC$107,20,FALSE),""))</f>
        <v>6589</v>
      </c>
      <c r="U54" s="84">
        <f>IF(TRIM($B54)="","",IFERROR(VLOOKUP($B54,'Section Data'!$B$36:$AC$107,21,FALSE),""))</f>
        <v>1017</v>
      </c>
      <c r="V54" s="84">
        <f>IF(TRIM($B54)="","",IFERROR(VLOOKUP($B54,'Section Data'!$B$36:$AC$107,22,FALSE),""))</f>
        <v>7486</v>
      </c>
      <c r="W54" s="84">
        <f>IF(TRIM($B54)="","",IFERROR(VLOOKUP($B54,'Section Data'!$B$36:$AC$107,23,FALSE),""))</f>
        <v>1574</v>
      </c>
      <c r="X54" s="84">
        <f>IF(TRIM($B54)="","",IFERROR((VLOOKUP($B54,'Section Data'!$B$36:$AC$107,5,FALSE)/10)*(VLOOKUP($B54,'Section Data'!$B$36:$AC$107,3,FALSE)/10)^2/4,""))</f>
        <v>1859.5115439999997</v>
      </c>
      <c r="Y54" s="84">
        <f>IF(TRIM($B54)="","",IFERROR((VLOOKUP($B54,'Section Data'!$B$36:$AC$107,3,FALSE)/10)*(VLOOKUP($B54,'Section Data'!$B$36:$AC$107,5,FALSE)/10)^2/4,""))</f>
        <v>53.814111999999987</v>
      </c>
      <c r="Z54" s="84">
        <f t="shared" si="5"/>
        <v>2582.67</v>
      </c>
      <c r="AA54" s="84">
        <f t="shared" si="6"/>
        <v>421.03799999999995</v>
      </c>
      <c r="AB54" s="86">
        <f t="shared" si="7"/>
        <v>1.6826397197473923E-2</v>
      </c>
      <c r="AC54" s="86">
        <f t="shared" si="8"/>
        <v>1.5226686132570502E-3</v>
      </c>
      <c r="AD54" s="1" t="b">
        <f>AND(ISNUMBER(AB54),ISNUMBER(AC54),AB54&gt;=0,AC54&gt;=0,AB54&lt;=0.95,AC54&lt;=0.95,ISNUMBER(D54),D54&gt;0,'Steel Beam Design'!$A$18="")</f>
        <v>1</v>
      </c>
      <c r="AE54" s="84">
        <f>'Steel Beam Design'!O26</f>
        <v>69.531249999999972</v>
      </c>
    </row>
    <row r="55" spans="1:31">
      <c r="A55" s="1" t="s">
        <v>467</v>
      </c>
      <c r="B55" s="1" t="str">
        <f>'Section Data'!B54</f>
        <v>610x305x179</v>
      </c>
      <c r="C55" s="1" t="s">
        <v>368</v>
      </c>
      <c r="D55" s="84">
        <f>'Section Data'!C54</f>
        <v>179</v>
      </c>
      <c r="E55" s="84">
        <f>'Section Data'!Q54</f>
        <v>153000</v>
      </c>
      <c r="F55" s="84">
        <f>'Steel Beam Design'!D7003</f>
        <v>43.457031249999979</v>
      </c>
      <c r="G55" s="84">
        <f>'Steel Beam Design'!D7027</f>
        <v>318.999074477352</v>
      </c>
      <c r="H55" s="84" t="str">
        <f>IF(TRIM($B55)="","",IFERROR('Steel Beam Design'!$D$7006,""))</f>
        <v>S355</v>
      </c>
      <c r="I55" s="84">
        <f>IF(TRIM($B55)="","",IFERROR(MAX(VLOOKUP($B55,'Section Data'!$B$36:$AC$107,5,FALSE),VLOOKUP($B55,'Section Data'!$B$36:$AC$107,6,FALSE)),""))</f>
        <v>23.6</v>
      </c>
      <c r="J55" s="84">
        <f>IF(TRIM($B55)="","",IFERROR(IF(I55&gt;150,"",INDEX('Section Data'!$AH$5:$AK$10,IF(I55&lt;=16,1,IF(I55&lt;=40,2,IF(I55&lt;=63,3,IF(I55&lt;=80,4,IF(I55&lt;=100,5,6))))),MATCH(H55,'Section Data'!$AH$4:$AK$4,0))),""))</f>
        <v>345</v>
      </c>
      <c r="K55" s="84">
        <f t="shared" si="0"/>
        <v>0.8928053815224023</v>
      </c>
      <c r="L55" s="84">
        <f>IF(TRIM($B55)="","",IFERROR(VLOOKUP($B55,'Section Data'!$B$36:$AC$107,9,FALSE),""))</f>
        <v>6.51</v>
      </c>
      <c r="M55" s="84">
        <f>IF(TRIM($B55)="","",IFERROR(VLOOKUP($B55,'Section Data'!$B$36:$AC$107,10,FALSE),""))</f>
        <v>38.299999999999997</v>
      </c>
      <c r="N55" s="84">
        <f t="shared" si="1"/>
        <v>8</v>
      </c>
      <c r="O55" s="84">
        <f t="shared" si="2"/>
        <v>80</v>
      </c>
      <c r="P55" s="84">
        <f>IF(TRIM($B55)="","",IFERROR(VLOOKUP($B55,'Section Data'!$B$36:$AC$107,5,FALSE)*VLOOKUP($B55,'Section Data'!$B$36:$AC$107,3,FALSE),""))</f>
        <v>8744.82</v>
      </c>
      <c r="Q55" s="84">
        <f t="shared" si="3"/>
        <v>1741.844342450114</v>
      </c>
      <c r="R55" s="84">
        <f>'Steel Beam Design'!B3511</f>
        <v>111.25</v>
      </c>
      <c r="S55" s="84">
        <f t="shared" si="4"/>
        <v>0</v>
      </c>
      <c r="T55" s="84">
        <f>IF(TRIM($B55)="","",IFERROR(VLOOKUP($B55,'Section Data'!$B$36:$AC$107,20,FALSE),""))</f>
        <v>4935</v>
      </c>
      <c r="U55" s="84">
        <f>IF(TRIM($B55)="","",IFERROR(VLOOKUP($B55,'Section Data'!$B$36:$AC$107,21,FALSE),""))</f>
        <v>743</v>
      </c>
      <c r="V55" s="84">
        <f>IF(TRIM($B55)="","",IFERROR(VLOOKUP($B55,'Section Data'!$B$36:$AC$107,22,FALSE),""))</f>
        <v>5547</v>
      </c>
      <c r="W55" s="84">
        <f>IF(TRIM($B55)="","",IFERROR(VLOOKUP($B55,'Section Data'!$B$36:$AC$107,23,FALSE),""))</f>
        <v>1144</v>
      </c>
      <c r="X55" s="84">
        <f>IF(TRIM($B55)="","",IFERROR((VLOOKUP($B55,'Section Data'!$B$36:$AC$107,5,FALSE)/10)*(VLOOKUP($B55,'Section Data'!$B$36:$AC$107,3,FALSE)/10)^2/4,""))</f>
        <v>1355.8843409999999</v>
      </c>
      <c r="Y55" s="84">
        <f>IF(TRIM($B55)="","",IFERROR((VLOOKUP($B55,'Section Data'!$B$36:$AC$107,3,FALSE)/10)*(VLOOKUP($B55,'Section Data'!$B$36:$AC$107,5,FALSE)/10)^2/4,""))</f>
        <v>30.825490499999997</v>
      </c>
      <c r="Z55" s="84">
        <f t="shared" si="5"/>
        <v>1913.7149999999999</v>
      </c>
      <c r="AA55" s="84">
        <f t="shared" si="6"/>
        <v>307.60199999999998</v>
      </c>
      <c r="AB55" s="86">
        <f t="shared" si="7"/>
        <v>2.2708204330320857E-2</v>
      </c>
      <c r="AC55" s="86">
        <f t="shared" si="8"/>
        <v>2.0849612710938038E-3</v>
      </c>
      <c r="AD55" s="1" t="b">
        <f>AND(ISNUMBER(AB55),ISNUMBER(AC55),AB55&gt;=0,AC55&gt;=0,AB55&lt;=0.95,AC55&lt;=0.95,ISNUMBER(D55),D55&gt;0,'Steel Beam Design'!$A$18="")</f>
        <v>1</v>
      </c>
      <c r="AE55" s="84">
        <f>'Steel Beam Design'!O26</f>
        <v>69.531249999999972</v>
      </c>
    </row>
    <row r="56" spans="1:31">
      <c r="A56" s="1" t="s">
        <v>467</v>
      </c>
      <c r="B56" s="1" t="str">
        <f>'Section Data'!B55</f>
        <v>610x305x149</v>
      </c>
      <c r="C56" s="1" t="s">
        <v>368</v>
      </c>
      <c r="D56" s="84">
        <f>'Section Data'!C55</f>
        <v>149.19999999999999</v>
      </c>
      <c r="E56" s="84">
        <f>'Section Data'!Q55</f>
        <v>125900</v>
      </c>
      <c r="F56" s="84">
        <f>'Steel Beam Design'!D7003</f>
        <v>43.457031249999979</v>
      </c>
      <c r="G56" s="84">
        <f>'Steel Beam Design'!D7027</f>
        <v>318.999074477352</v>
      </c>
      <c r="H56" s="84" t="str">
        <f>IF(TRIM($B56)="","",IFERROR('Steel Beam Design'!$D$7006,""))</f>
        <v>S355</v>
      </c>
      <c r="I56" s="84">
        <f>IF(TRIM($B56)="","",IFERROR(MAX(VLOOKUP($B56,'Section Data'!$B$36:$AC$107,5,FALSE),VLOOKUP($B56,'Section Data'!$B$36:$AC$107,6,FALSE)),""))</f>
        <v>19.7</v>
      </c>
      <c r="J56" s="84">
        <f>IF(TRIM($B56)="","",IFERROR(IF(I56&gt;150,"",INDEX('Section Data'!$AH$5:$AK$10,IF(I56&lt;=16,1,IF(I56&lt;=40,2,IF(I56&lt;=63,3,IF(I56&lt;=80,4,IF(I56&lt;=100,5,6))))),MATCH(H56,'Section Data'!$AH$4:$AK$4,0))),""))</f>
        <v>345</v>
      </c>
      <c r="K56" s="84">
        <f t="shared" si="0"/>
        <v>0.8928053815224023</v>
      </c>
      <c r="L56" s="84">
        <f>IF(TRIM($B56)="","",IFERROR(VLOOKUP($B56,'Section Data'!$B$36:$AC$107,9,FALSE),""))</f>
        <v>7.74</v>
      </c>
      <c r="M56" s="84">
        <f>IF(TRIM($B56)="","",IFERROR(VLOOKUP($B56,'Section Data'!$B$36:$AC$107,10,FALSE),""))</f>
        <v>45.8</v>
      </c>
      <c r="N56" s="84">
        <f t="shared" si="1"/>
        <v>9</v>
      </c>
      <c r="O56" s="84">
        <f t="shared" si="2"/>
        <v>80</v>
      </c>
      <c r="P56" s="84">
        <f>IF(TRIM($B56)="","",IFERROR(VLOOKUP($B56,'Section Data'!$B$36:$AC$107,5,FALSE)*VLOOKUP($B56,'Section Data'!$B$36:$AC$107,3,FALSE),""))</f>
        <v>7226.3200000000006</v>
      </c>
      <c r="Q56" s="84">
        <f t="shared" si="3"/>
        <v>1439.3806400513802</v>
      </c>
      <c r="R56" s="84">
        <f>'Steel Beam Design'!B3511</f>
        <v>111.25</v>
      </c>
      <c r="S56" s="84">
        <f t="shared" si="4"/>
        <v>0</v>
      </c>
      <c r="T56" s="84">
        <f>IF(TRIM($B56)="","",IFERROR(VLOOKUP($B56,'Section Data'!$B$36:$AC$107,20,FALSE),""))</f>
        <v>4111</v>
      </c>
      <c r="U56" s="84">
        <f>IF(TRIM($B56)="","",IFERROR(VLOOKUP($B56,'Section Data'!$B$36:$AC$107,21,FALSE),""))</f>
        <v>611</v>
      </c>
      <c r="V56" s="84">
        <f>IF(TRIM($B56)="","",IFERROR(VLOOKUP($B56,'Section Data'!$B$36:$AC$107,22,FALSE),""))</f>
        <v>4594</v>
      </c>
      <c r="W56" s="84">
        <f>IF(TRIM($B56)="","",IFERROR(VLOOKUP($B56,'Section Data'!$B$36:$AC$107,23,FALSE),""))</f>
        <v>937</v>
      </c>
      <c r="X56" s="84">
        <f>IF(TRIM($B56)="","",IFERROR((VLOOKUP($B56,'Section Data'!$B$36:$AC$107,5,FALSE)/10)*(VLOOKUP($B56,'Section Data'!$B$36:$AC$107,3,FALSE)/10)^2/4,""))</f>
        <v>1106.349592</v>
      </c>
      <c r="Y56" s="84">
        <f>IF(TRIM($B56)="","",IFERROR((VLOOKUP($B56,'Section Data'!$B$36:$AC$107,3,FALSE)/10)*(VLOOKUP($B56,'Section Data'!$B$36:$AC$107,5,FALSE)/10)^2/4,""))</f>
        <v>21.317644000000001</v>
      </c>
      <c r="Z56" s="84">
        <f t="shared" si="5"/>
        <v>1584.93</v>
      </c>
      <c r="AA56" s="84">
        <f t="shared" si="6"/>
        <v>252.95399999999998</v>
      </c>
      <c r="AB56" s="86">
        <f t="shared" si="7"/>
        <v>2.7418896260402652E-2</v>
      </c>
      <c r="AC56" s="86">
        <f t="shared" si="8"/>
        <v>2.5337495987081174E-3</v>
      </c>
      <c r="AD56" s="1" t="b">
        <f>AND(ISNUMBER(AB56),ISNUMBER(AC56),AB56&gt;=0,AC56&gt;=0,AB56&lt;=0.95,AC56&lt;=0.95,ISNUMBER(D56),D56&gt;0,'Steel Beam Design'!$A$18="")</f>
        <v>1</v>
      </c>
      <c r="AE56" s="84">
        <f>'Steel Beam Design'!O26</f>
        <v>69.531249999999972</v>
      </c>
    </row>
    <row r="57" spans="1:31">
      <c r="A57" s="1" t="s">
        <v>467</v>
      </c>
      <c r="B57" s="1" t="str">
        <f>'Section Data'!B56</f>
        <v>610x229x140</v>
      </c>
      <c r="C57" s="1" t="s">
        <v>368</v>
      </c>
      <c r="D57" s="84">
        <f>'Section Data'!C56</f>
        <v>139.9</v>
      </c>
      <c r="E57" s="84">
        <f>'Section Data'!Q56</f>
        <v>111800</v>
      </c>
      <c r="F57" s="84">
        <f>'Steel Beam Design'!D7003</f>
        <v>43.457031249999979</v>
      </c>
      <c r="G57" s="84">
        <f>'Steel Beam Design'!D7027</f>
        <v>318.999074477352</v>
      </c>
      <c r="H57" s="84" t="str">
        <f>IF(TRIM($B57)="","",IFERROR('Steel Beam Design'!$D$7006,""))</f>
        <v>S355</v>
      </c>
      <c r="I57" s="84">
        <f>IF(TRIM($B57)="","",IFERROR(MAX(VLOOKUP($B57,'Section Data'!$B$36:$AC$107,5,FALSE),VLOOKUP($B57,'Section Data'!$B$36:$AC$107,6,FALSE)),""))</f>
        <v>22.1</v>
      </c>
      <c r="J57" s="84">
        <f>IF(TRIM($B57)="","",IFERROR(IF(I57&gt;150,"",INDEX('Section Data'!$AH$5:$AK$10,IF(I57&lt;=16,1,IF(I57&lt;=40,2,IF(I57&lt;=63,3,IF(I57&lt;=80,4,IF(I57&lt;=100,5,6))))),MATCH(H57,'Section Data'!$AH$4:$AK$4,0))),""))</f>
        <v>345</v>
      </c>
      <c r="K57" s="84">
        <f t="shared" si="0"/>
        <v>0.8928053815224023</v>
      </c>
      <c r="L57" s="84">
        <f>IF(TRIM($B57)="","",IFERROR(VLOOKUP($B57,'Section Data'!$B$36:$AC$107,9,FALSE),""))</f>
        <v>5.21</v>
      </c>
      <c r="M57" s="84">
        <f>IF(TRIM($B57)="","",IFERROR(VLOOKUP($B57,'Section Data'!$B$36:$AC$107,10,FALSE),""))</f>
        <v>41.8</v>
      </c>
      <c r="N57" s="84">
        <f t="shared" si="1"/>
        <v>8</v>
      </c>
      <c r="O57" s="84">
        <f t="shared" si="2"/>
        <v>80</v>
      </c>
      <c r="P57" s="84">
        <f>IF(TRIM($B57)="","",IFERROR(VLOOKUP($B57,'Section Data'!$B$36:$AC$107,5,FALSE)*VLOOKUP($B57,'Section Data'!$B$36:$AC$107,3,FALSE),""))</f>
        <v>8085.3200000000006</v>
      </c>
      <c r="Q57" s="84">
        <f t="shared" si="3"/>
        <v>1610.4812790770718</v>
      </c>
      <c r="R57" s="84">
        <f>'Steel Beam Design'!B3511</f>
        <v>111.25</v>
      </c>
      <c r="S57" s="84">
        <f t="shared" si="4"/>
        <v>0</v>
      </c>
      <c r="T57" s="84">
        <f>IF(TRIM($B57)="","",IFERROR(VLOOKUP($B57,'Section Data'!$B$36:$AC$107,20,FALSE),""))</f>
        <v>3622</v>
      </c>
      <c r="U57" s="84">
        <f>IF(TRIM($B57)="","",IFERROR(VLOOKUP($B57,'Section Data'!$B$36:$AC$107,21,FALSE),""))</f>
        <v>391</v>
      </c>
      <c r="V57" s="84">
        <f>IF(TRIM($B57)="","",IFERROR(VLOOKUP($B57,'Section Data'!$B$36:$AC$107,22,FALSE),""))</f>
        <v>4142</v>
      </c>
      <c r="W57" s="84">
        <f>IF(TRIM($B57)="","",IFERROR(VLOOKUP($B57,'Section Data'!$B$36:$AC$107,23,FALSE),""))</f>
        <v>611</v>
      </c>
      <c r="X57" s="84">
        <f>IF(TRIM($B57)="","",IFERROR((VLOOKUP($B57,'Section Data'!$B$36:$AC$107,5,FALSE)/10)*(VLOOKUP($B57,'Section Data'!$B$36:$AC$107,3,FALSE)/10)^2/4,""))</f>
        <v>1247.5648760000001</v>
      </c>
      <c r="Y57" s="84">
        <f>IF(TRIM($B57)="","",IFERROR((VLOOKUP($B57,'Section Data'!$B$36:$AC$107,3,FALSE)/10)*(VLOOKUP($B57,'Section Data'!$B$36:$AC$107,5,FALSE)/10)^2/4,""))</f>
        <v>26.479423000000004</v>
      </c>
      <c r="Z57" s="84">
        <f t="shared" si="5"/>
        <v>1428.99</v>
      </c>
      <c r="AA57" s="84">
        <f t="shared" si="6"/>
        <v>161.874</v>
      </c>
      <c r="AB57" s="86">
        <f t="shared" si="7"/>
        <v>3.0411011448645532E-2</v>
      </c>
      <c r="AC57" s="86">
        <f t="shared" si="8"/>
        <v>2.8533012028385688E-3</v>
      </c>
      <c r="AD57" s="1" t="b">
        <f>AND(ISNUMBER(AB57),ISNUMBER(AC57),AB57&gt;=0,AC57&gt;=0,AB57&lt;=0.95,AC57&lt;=0.95,ISNUMBER(D57),D57&gt;0,'Steel Beam Design'!$A$18="")</f>
        <v>1</v>
      </c>
      <c r="AE57" s="84">
        <f>'Steel Beam Design'!O26</f>
        <v>69.531249999999972</v>
      </c>
    </row>
    <row r="58" spans="1:31">
      <c r="A58" s="1" t="s">
        <v>467</v>
      </c>
      <c r="B58" s="1" t="str">
        <f>'Section Data'!B57</f>
        <v>610x229x125</v>
      </c>
      <c r="C58" s="1" t="s">
        <v>368</v>
      </c>
      <c r="D58" s="84">
        <f>'Section Data'!C57</f>
        <v>125.1</v>
      </c>
      <c r="E58" s="84">
        <f>'Section Data'!Q57</f>
        <v>98610</v>
      </c>
      <c r="F58" s="84">
        <f>'Steel Beam Design'!D7003</f>
        <v>43.457031249999979</v>
      </c>
      <c r="G58" s="84">
        <f>'Steel Beam Design'!D7027</f>
        <v>318.999074477352</v>
      </c>
      <c r="H58" s="84" t="str">
        <f>IF(TRIM($B58)="","",IFERROR('Steel Beam Design'!$D$7006,""))</f>
        <v>S355</v>
      </c>
      <c r="I58" s="84">
        <f>IF(TRIM($B58)="","",IFERROR(MAX(VLOOKUP($B58,'Section Data'!$B$36:$AC$107,5,FALSE),VLOOKUP($B58,'Section Data'!$B$36:$AC$107,6,FALSE)),""))</f>
        <v>19.600000000000001</v>
      </c>
      <c r="J58" s="84">
        <f>IF(TRIM($B58)="","",IFERROR(IF(I58&gt;150,"",INDEX('Section Data'!$AH$5:$AK$10,IF(I58&lt;=16,1,IF(I58&lt;=40,2,IF(I58&lt;=63,3,IF(I58&lt;=80,4,IF(I58&lt;=100,5,6))))),MATCH(H58,'Section Data'!$AH$4:$AK$4,0))),""))</f>
        <v>345</v>
      </c>
      <c r="K58" s="84">
        <f t="shared" si="0"/>
        <v>0.8928053815224023</v>
      </c>
      <c r="L58" s="84">
        <f>IF(TRIM($B58)="","",IFERROR(VLOOKUP($B58,'Section Data'!$B$36:$AC$107,9,FALSE),""))</f>
        <v>5.84</v>
      </c>
      <c r="M58" s="84">
        <f>IF(TRIM($B58)="","",IFERROR(VLOOKUP($B58,'Section Data'!$B$36:$AC$107,10,FALSE),""))</f>
        <v>46</v>
      </c>
      <c r="N58" s="84">
        <f t="shared" si="1"/>
        <v>8</v>
      </c>
      <c r="O58" s="84">
        <f t="shared" si="2"/>
        <v>80</v>
      </c>
      <c r="P58" s="84">
        <f>IF(TRIM($B58)="","",IFERROR(VLOOKUP($B58,'Section Data'!$B$36:$AC$107,5,FALSE)*VLOOKUP($B58,'Section Data'!$B$36:$AC$107,3,FALSE),""))</f>
        <v>7285.1800000000012</v>
      </c>
      <c r="Q58" s="84">
        <f t="shared" si="3"/>
        <v>1451.1047187627332</v>
      </c>
      <c r="R58" s="84">
        <f>'Steel Beam Design'!B3511</f>
        <v>111.25</v>
      </c>
      <c r="S58" s="84">
        <f t="shared" si="4"/>
        <v>0</v>
      </c>
      <c r="T58" s="84">
        <f>IF(TRIM($B58)="","",IFERROR(VLOOKUP($B58,'Section Data'!$B$36:$AC$107,20,FALSE),""))</f>
        <v>3221</v>
      </c>
      <c r="U58" s="84">
        <f>IF(TRIM($B58)="","",IFERROR(VLOOKUP($B58,'Section Data'!$B$36:$AC$107,21,FALSE),""))</f>
        <v>343</v>
      </c>
      <c r="V58" s="84">
        <f>IF(TRIM($B58)="","",IFERROR(VLOOKUP($B58,'Section Data'!$B$36:$AC$107,22,FALSE),""))</f>
        <v>3676</v>
      </c>
      <c r="W58" s="84">
        <f>IF(TRIM($B58)="","",IFERROR(VLOOKUP($B58,'Section Data'!$B$36:$AC$107,23,FALSE),""))</f>
        <v>535</v>
      </c>
      <c r="X58" s="84">
        <f>IF(TRIM($B58)="","",IFERROR((VLOOKUP($B58,'Section Data'!$B$36:$AC$107,5,FALSE)/10)*(VLOOKUP($B58,'Section Data'!$B$36:$AC$107,3,FALSE)/10)^2/4,""))</f>
        <v>1114.9967990000002</v>
      </c>
      <c r="Y58" s="84">
        <f>IF(TRIM($B58)="","",IFERROR((VLOOKUP($B58,'Section Data'!$B$36:$AC$107,3,FALSE)/10)*(VLOOKUP($B58,'Section Data'!$B$36:$AC$107,5,FALSE)/10)^2/4,""))</f>
        <v>21.673410499999999</v>
      </c>
      <c r="Z58" s="84">
        <f t="shared" si="5"/>
        <v>1268.22</v>
      </c>
      <c r="AA58" s="84">
        <f t="shared" si="6"/>
        <v>142.00200000000001</v>
      </c>
      <c r="AB58" s="86">
        <f t="shared" si="7"/>
        <v>3.426616143098199E-2</v>
      </c>
      <c r="AC58" s="86">
        <f t="shared" si="8"/>
        <v>3.2349566420986917E-3</v>
      </c>
      <c r="AD58" s="1" t="b">
        <f>AND(ISNUMBER(AB58),ISNUMBER(AC58),AB58&gt;=0,AC58&gt;=0,AB58&lt;=0.95,AC58&lt;=0.95,ISNUMBER(D58),D58&gt;0,'Steel Beam Design'!$A$18="")</f>
        <v>1</v>
      </c>
      <c r="AE58" s="84">
        <f>'Steel Beam Design'!O26</f>
        <v>69.531249999999972</v>
      </c>
    </row>
    <row r="59" spans="1:31">
      <c r="A59" s="1" t="s">
        <v>467</v>
      </c>
      <c r="B59" s="1" t="str">
        <f>'Section Data'!B58</f>
        <v>610x229x113</v>
      </c>
      <c r="C59" s="1" t="s">
        <v>368</v>
      </c>
      <c r="D59" s="84">
        <f>'Section Data'!C58</f>
        <v>113</v>
      </c>
      <c r="E59" s="84">
        <f>'Section Data'!Q58</f>
        <v>87320</v>
      </c>
      <c r="F59" s="84">
        <f>'Steel Beam Design'!D7003</f>
        <v>43.457031249999979</v>
      </c>
      <c r="G59" s="84">
        <f>'Steel Beam Design'!D7027</f>
        <v>318.999074477352</v>
      </c>
      <c r="H59" s="84" t="str">
        <f>IF(TRIM($B59)="","",IFERROR('Steel Beam Design'!$D$7006,""))</f>
        <v>S355</v>
      </c>
      <c r="I59" s="84">
        <f>IF(TRIM($B59)="","",IFERROR(MAX(VLOOKUP($B59,'Section Data'!$B$36:$AC$107,5,FALSE),VLOOKUP($B59,'Section Data'!$B$36:$AC$107,6,FALSE)),""))</f>
        <v>17.3</v>
      </c>
      <c r="J59" s="84">
        <f>IF(TRIM($B59)="","",IFERROR(IF(I59&gt;150,"",INDEX('Section Data'!$AH$5:$AK$10,IF(I59&lt;=16,1,IF(I59&lt;=40,2,IF(I59&lt;=63,3,IF(I59&lt;=80,4,IF(I59&lt;=100,5,6))))),MATCH(H59,'Section Data'!$AH$4:$AK$4,0))),""))</f>
        <v>345</v>
      </c>
      <c r="K59" s="84">
        <f t="shared" si="0"/>
        <v>0.8928053815224023</v>
      </c>
      <c r="L59" s="84">
        <f>IF(TRIM($B59)="","",IFERROR(VLOOKUP($B59,'Section Data'!$B$36:$AC$107,9,FALSE),""))</f>
        <v>6.6</v>
      </c>
      <c r="M59" s="84">
        <f>IF(TRIM($B59)="","",IFERROR(VLOOKUP($B59,'Section Data'!$B$36:$AC$107,10,FALSE),""))</f>
        <v>49.3</v>
      </c>
      <c r="N59" s="84">
        <f t="shared" si="1"/>
        <v>8</v>
      </c>
      <c r="O59" s="84">
        <f t="shared" si="2"/>
        <v>80</v>
      </c>
      <c r="P59" s="84">
        <f>IF(TRIM($B59)="","",IFERROR(VLOOKUP($B59,'Section Data'!$B$36:$AC$107,5,FALSE)*VLOOKUP($B59,'Section Data'!$B$36:$AC$107,3,FALSE),""))</f>
        <v>6744.36</v>
      </c>
      <c r="Q59" s="84">
        <f t="shared" si="3"/>
        <v>1343.3810312215519</v>
      </c>
      <c r="R59" s="84">
        <f>'Steel Beam Design'!B3511</f>
        <v>111.25</v>
      </c>
      <c r="S59" s="84">
        <f t="shared" si="4"/>
        <v>0</v>
      </c>
      <c r="T59" s="84">
        <f>IF(TRIM($B59)="","",IFERROR(VLOOKUP($B59,'Section Data'!$B$36:$AC$107,20,FALSE),""))</f>
        <v>2874</v>
      </c>
      <c r="U59" s="84">
        <f>IF(TRIM($B59)="","",IFERROR(VLOOKUP($B59,'Section Data'!$B$36:$AC$107,21,FALSE),""))</f>
        <v>301</v>
      </c>
      <c r="V59" s="84">
        <f>IF(TRIM($B59)="","",IFERROR(VLOOKUP($B59,'Section Data'!$B$36:$AC$107,22,FALSE),""))</f>
        <v>3281</v>
      </c>
      <c r="W59" s="84">
        <f>IF(TRIM($B59)="","",IFERROR(VLOOKUP($B59,'Section Data'!$B$36:$AC$107,23,FALSE),""))</f>
        <v>469</v>
      </c>
      <c r="X59" s="84">
        <f>IF(TRIM($B59)="","",IFERROR((VLOOKUP($B59,'Section Data'!$B$36:$AC$107,5,FALSE)/10)*(VLOOKUP($B59,'Section Data'!$B$36:$AC$107,3,FALSE)/10)^2/4,""))</f>
        <v>1024.468284</v>
      </c>
      <c r="Y59" s="84">
        <f>IF(TRIM($B59)="","",IFERROR((VLOOKUP($B59,'Section Data'!$B$36:$AC$107,3,FALSE)/10)*(VLOOKUP($B59,'Section Data'!$B$36:$AC$107,5,FALSE)/10)^2/4,""))</f>
        <v>18.715598999999997</v>
      </c>
      <c r="Z59" s="84">
        <f t="shared" si="5"/>
        <v>1131.9449999999999</v>
      </c>
      <c r="AA59" s="84">
        <f t="shared" si="6"/>
        <v>124.614</v>
      </c>
      <c r="AB59" s="86">
        <f t="shared" si="7"/>
        <v>3.8391468887622612E-2</v>
      </c>
      <c r="AC59" s="86">
        <f t="shared" si="8"/>
        <v>3.6532189014813559E-3</v>
      </c>
      <c r="AD59" s="1" t="b">
        <f>AND(ISNUMBER(AB59),ISNUMBER(AC59),AB59&gt;=0,AC59&gt;=0,AB59&lt;=0.95,AC59&lt;=0.95,ISNUMBER(D59),D59&gt;0,'Steel Beam Design'!$A$18="")</f>
        <v>1</v>
      </c>
      <c r="AE59" s="84">
        <f>'Steel Beam Design'!O26</f>
        <v>69.531249999999972</v>
      </c>
    </row>
    <row r="60" spans="1:31">
      <c r="A60" s="1" t="s">
        <v>467</v>
      </c>
      <c r="B60" s="1" t="str">
        <f>'Section Data'!B59</f>
        <v>610x229x101</v>
      </c>
      <c r="C60" s="1" t="s">
        <v>368</v>
      </c>
      <c r="D60" s="84">
        <f>'Section Data'!C59</f>
        <v>101.2</v>
      </c>
      <c r="E60" s="84">
        <f>'Section Data'!Q59</f>
        <v>75780</v>
      </c>
      <c r="F60" s="84">
        <f>'Steel Beam Design'!D7003</f>
        <v>43.457031249999979</v>
      </c>
      <c r="G60" s="84">
        <f>'Steel Beam Design'!D7027</f>
        <v>318.999074477352</v>
      </c>
      <c r="H60" s="84" t="str">
        <f>IF(TRIM($B60)="","",IFERROR('Steel Beam Design'!$D$7006,""))</f>
        <v>S355</v>
      </c>
      <c r="I60" s="84">
        <f>IF(TRIM($B60)="","",IFERROR(MAX(VLOOKUP($B60,'Section Data'!$B$36:$AC$107,5,FALSE),VLOOKUP($B60,'Section Data'!$B$36:$AC$107,6,FALSE)),""))</f>
        <v>14.8</v>
      </c>
      <c r="J60" s="84">
        <f>IF(TRIM($B60)="","",IFERROR(IF(I60&gt;150,"",INDEX('Section Data'!$AH$5:$AK$10,IF(I60&lt;=16,1,IF(I60&lt;=40,2,IF(I60&lt;=63,3,IF(I60&lt;=80,4,IF(I60&lt;=100,5,6))))),MATCH(H60,'Section Data'!$AH$4:$AK$4,0))),""))</f>
        <v>355</v>
      </c>
      <c r="K60" s="84">
        <f t="shared" si="0"/>
        <v>0.88014083380101371</v>
      </c>
      <c r="L60" s="84">
        <f>IF(TRIM($B60)="","",IFERROR(VLOOKUP($B60,'Section Data'!$B$36:$AC$107,9,FALSE),""))</f>
        <v>7.69</v>
      </c>
      <c r="M60" s="84">
        <f>IF(TRIM($B60)="","",IFERROR(VLOOKUP($B60,'Section Data'!$B$36:$AC$107,10,FALSE),""))</f>
        <v>52.2</v>
      </c>
      <c r="N60" s="84">
        <f t="shared" si="1"/>
        <v>9</v>
      </c>
      <c r="O60" s="84">
        <f t="shared" si="2"/>
        <v>80</v>
      </c>
      <c r="P60" s="84">
        <f>IF(TRIM($B60)="","",IFERROR(VLOOKUP($B60,'Section Data'!$B$36:$AC$107,5,FALSE)*VLOOKUP($B60,'Section Data'!$B$36:$AC$107,3,FALSE),""))</f>
        <v>6327.3</v>
      </c>
      <c r="Q60" s="84">
        <f t="shared" si="3"/>
        <v>1296.8392671764493</v>
      </c>
      <c r="R60" s="84">
        <f>'Steel Beam Design'!B3511</f>
        <v>111.25</v>
      </c>
      <c r="S60" s="84">
        <f t="shared" si="4"/>
        <v>0</v>
      </c>
      <c r="T60" s="84">
        <f>IF(TRIM($B60)="","",IFERROR(VLOOKUP($B60,'Section Data'!$B$36:$AC$107,20,FALSE),""))</f>
        <v>2515</v>
      </c>
      <c r="U60" s="84">
        <f>IF(TRIM($B60)="","",IFERROR(VLOOKUP($B60,'Section Data'!$B$36:$AC$107,21,FALSE),""))</f>
        <v>256</v>
      </c>
      <c r="V60" s="84">
        <f>IF(TRIM($B60)="","",IFERROR(VLOOKUP($B60,'Section Data'!$B$36:$AC$107,22,FALSE),""))</f>
        <v>2881</v>
      </c>
      <c r="W60" s="84">
        <f>IF(TRIM($B60)="","",IFERROR(VLOOKUP($B60,'Section Data'!$B$36:$AC$107,23,FALSE),""))</f>
        <v>400</v>
      </c>
      <c r="X60" s="84">
        <f>IF(TRIM($B60)="","",IFERROR((VLOOKUP($B60,'Section Data'!$B$36:$AC$107,5,FALSE)/10)*(VLOOKUP($B60,'Section Data'!$B$36:$AC$107,3,FALSE)/10)^2/4,""))</f>
        <v>953.20774500000016</v>
      </c>
      <c r="Y60" s="84">
        <f>IF(TRIM($B60)="","",IFERROR((VLOOKUP($B60,'Section Data'!$B$36:$AC$107,3,FALSE)/10)*(VLOOKUP($B60,'Section Data'!$B$36:$AC$107,5,FALSE)/10)^2/4,""))</f>
        <v>16.609162500000004</v>
      </c>
      <c r="Z60" s="84">
        <f t="shared" si="5"/>
        <v>1022.755</v>
      </c>
      <c r="AA60" s="84">
        <f t="shared" si="6"/>
        <v>109.056</v>
      </c>
      <c r="AB60" s="86">
        <f t="shared" si="7"/>
        <v>4.2490167488792509E-2</v>
      </c>
      <c r="AC60" s="86">
        <f t="shared" si="8"/>
        <v>4.2095417587404592E-3</v>
      </c>
      <c r="AD60" s="1" t="b">
        <f>AND(ISNUMBER(AB60),ISNUMBER(AC60),AB60&gt;=0,AC60&gt;=0,AB60&lt;=0.95,AC60&lt;=0.95,ISNUMBER(D60),D60&gt;0,'Steel Beam Design'!$A$18="")</f>
        <v>1</v>
      </c>
      <c r="AE60" s="84">
        <f>'Steel Beam Design'!O26</f>
        <v>69.531249999999972</v>
      </c>
    </row>
    <row r="61" spans="1:31">
      <c r="A61" s="1" t="s">
        <v>467</v>
      </c>
      <c r="B61" s="1" t="str">
        <f>'Section Data'!B60</f>
        <v>533x210x122</v>
      </c>
      <c r="C61" s="1" t="s">
        <v>368</v>
      </c>
      <c r="D61" s="84">
        <f>'Section Data'!C60</f>
        <v>122</v>
      </c>
      <c r="E61" s="84">
        <f>'Section Data'!Q60</f>
        <v>76040</v>
      </c>
      <c r="F61" s="84">
        <f>'Steel Beam Design'!D7003</f>
        <v>43.457031249999979</v>
      </c>
      <c r="G61" s="84">
        <f>'Steel Beam Design'!D7027</f>
        <v>318.999074477352</v>
      </c>
      <c r="H61" s="84" t="str">
        <f>IF(TRIM($B61)="","",IFERROR('Steel Beam Design'!$D$7006,""))</f>
        <v>S355</v>
      </c>
      <c r="I61" s="84">
        <f>IF(TRIM($B61)="","",IFERROR(MAX(VLOOKUP($B61,'Section Data'!$B$36:$AC$107,5,FALSE),VLOOKUP($B61,'Section Data'!$B$36:$AC$107,6,FALSE)),""))</f>
        <v>21.3</v>
      </c>
      <c r="J61" s="84">
        <f>IF(TRIM($B61)="","",IFERROR(IF(I61&gt;150,"",INDEX('Section Data'!$AH$5:$AK$10,IF(I61&lt;=16,1,IF(I61&lt;=40,2,IF(I61&lt;=63,3,IF(I61&lt;=80,4,IF(I61&lt;=100,5,6))))),MATCH(H61,'Section Data'!$AH$4:$AK$4,0))),""))</f>
        <v>345</v>
      </c>
      <c r="K61" s="84">
        <f t="shared" si="0"/>
        <v>0.8928053815224023</v>
      </c>
      <c r="L61" s="84">
        <f>IF(TRIM($B61)="","",IFERROR(VLOOKUP($B61,'Section Data'!$B$36:$AC$107,9,FALSE),""))</f>
        <v>4.97</v>
      </c>
      <c r="M61" s="84">
        <f>IF(TRIM($B61)="","",IFERROR(VLOOKUP($B61,'Section Data'!$B$36:$AC$107,10,FALSE),""))</f>
        <v>37.299999999999997</v>
      </c>
      <c r="N61" s="84">
        <f t="shared" si="1"/>
        <v>8</v>
      </c>
      <c r="O61" s="84">
        <f t="shared" si="2"/>
        <v>80</v>
      </c>
      <c r="P61" s="84">
        <f>IF(TRIM($B61)="","",IFERROR(VLOOKUP($B61,'Section Data'!$B$36:$AC$107,5,FALSE)*VLOOKUP($B61,'Section Data'!$B$36:$AC$107,3,FALSE),""))</f>
        <v>6958.71</v>
      </c>
      <c r="Q61" s="84">
        <f t="shared" si="3"/>
        <v>1386.0765166408269</v>
      </c>
      <c r="R61" s="84">
        <f>'Steel Beam Design'!B3511</f>
        <v>111.25</v>
      </c>
      <c r="S61" s="84">
        <f t="shared" si="4"/>
        <v>0</v>
      </c>
      <c r="T61" s="84">
        <f>IF(TRIM($B61)="","",IFERROR(VLOOKUP($B61,'Section Data'!$B$36:$AC$107,20,FALSE),""))</f>
        <v>2793</v>
      </c>
      <c r="U61" s="84">
        <f>IF(TRIM($B61)="","",IFERROR(VLOOKUP($B61,'Section Data'!$B$36:$AC$107,21,FALSE),""))</f>
        <v>320</v>
      </c>
      <c r="V61" s="84">
        <f>IF(TRIM($B61)="","",IFERROR(VLOOKUP($B61,'Section Data'!$B$36:$AC$107,22,FALSE),""))</f>
        <v>3196</v>
      </c>
      <c r="W61" s="84">
        <f>IF(TRIM($B61)="","",IFERROR(VLOOKUP($B61,'Section Data'!$B$36:$AC$107,23,FALSE),""))</f>
        <v>500</v>
      </c>
      <c r="X61" s="84">
        <f>IF(TRIM($B61)="","",IFERROR((VLOOKUP($B61,'Section Data'!$B$36:$AC$107,5,FALSE)/10)*(VLOOKUP($B61,'Section Data'!$B$36:$AC$107,3,FALSE)/10)^2/4,""))</f>
        <v>947.25439875000006</v>
      </c>
      <c r="Y61" s="84">
        <f>IF(TRIM($B61)="","",IFERROR((VLOOKUP($B61,'Section Data'!$B$36:$AC$107,3,FALSE)/10)*(VLOOKUP($B61,'Section Data'!$B$36:$AC$107,5,FALSE)/10)^2/4,""))</f>
        <v>22.233078450000001</v>
      </c>
      <c r="Z61" s="84">
        <f t="shared" si="5"/>
        <v>1102.6199999999999</v>
      </c>
      <c r="AA61" s="84">
        <f t="shared" si="6"/>
        <v>132.47999999999999</v>
      </c>
      <c r="AB61" s="86">
        <f t="shared" si="7"/>
        <v>3.9412518592080663E-2</v>
      </c>
      <c r="AC61" s="86">
        <f t="shared" si="8"/>
        <v>4.195148270349185E-3</v>
      </c>
      <c r="AD61" s="1" t="b">
        <f>AND(ISNUMBER(AB61),ISNUMBER(AC61),AB61&gt;=0,AC61&gt;=0,AB61&lt;=0.95,AC61&lt;=0.95,ISNUMBER(D61),D61&gt;0,'Steel Beam Design'!$A$18="")</f>
        <v>1</v>
      </c>
      <c r="AE61" s="84">
        <f>'Steel Beam Design'!O26</f>
        <v>69.531249999999972</v>
      </c>
    </row>
    <row r="62" spans="1:31">
      <c r="A62" s="1" t="s">
        <v>467</v>
      </c>
      <c r="B62" s="1" t="str">
        <f>'Section Data'!B61</f>
        <v>533x210x109</v>
      </c>
      <c r="C62" s="1" t="s">
        <v>368</v>
      </c>
      <c r="D62" s="84">
        <f>'Section Data'!C61</f>
        <v>109</v>
      </c>
      <c r="E62" s="84">
        <f>'Section Data'!Q61</f>
        <v>66820</v>
      </c>
      <c r="F62" s="84">
        <f>'Steel Beam Design'!D7003</f>
        <v>43.457031249999979</v>
      </c>
      <c r="G62" s="84">
        <f>'Steel Beam Design'!D7027</f>
        <v>318.999074477352</v>
      </c>
      <c r="H62" s="84" t="str">
        <f>IF(TRIM($B62)="","",IFERROR('Steel Beam Design'!$D$7006,""))</f>
        <v>S355</v>
      </c>
      <c r="I62" s="84">
        <f>IF(TRIM($B62)="","",IFERROR(MAX(VLOOKUP($B62,'Section Data'!$B$36:$AC$107,5,FALSE),VLOOKUP($B62,'Section Data'!$B$36:$AC$107,6,FALSE)),""))</f>
        <v>18.8</v>
      </c>
      <c r="J62" s="84">
        <f>IF(TRIM($B62)="","",IFERROR(IF(I62&gt;150,"",INDEX('Section Data'!$AH$5:$AK$10,IF(I62&lt;=16,1,IF(I62&lt;=40,2,IF(I62&lt;=63,3,IF(I62&lt;=80,4,IF(I62&lt;=100,5,6))))),MATCH(H62,'Section Data'!$AH$4:$AK$4,0))),""))</f>
        <v>345</v>
      </c>
      <c r="K62" s="84">
        <f t="shared" si="0"/>
        <v>0.8928053815224023</v>
      </c>
      <c r="L62" s="84">
        <f>IF(TRIM($B62)="","",IFERROR(VLOOKUP($B62,'Section Data'!$B$36:$AC$107,9,FALSE),""))</f>
        <v>5.61</v>
      </c>
      <c r="M62" s="84">
        <f>IF(TRIM($B62)="","",IFERROR(VLOOKUP($B62,'Section Data'!$B$36:$AC$107,10,FALSE),""))</f>
        <v>41.1</v>
      </c>
      <c r="N62" s="84">
        <f t="shared" si="1"/>
        <v>8</v>
      </c>
      <c r="O62" s="84">
        <f t="shared" si="2"/>
        <v>80</v>
      </c>
      <c r="P62" s="84">
        <f>IF(TRIM($B62)="","",IFERROR(VLOOKUP($B62,'Section Data'!$B$36:$AC$107,5,FALSE)*VLOOKUP($B62,'Section Data'!$B$36:$AC$107,3,FALSE),""))</f>
        <v>6258.2</v>
      </c>
      <c r="Q62" s="84">
        <f t="shared" si="3"/>
        <v>1246.544841851668</v>
      </c>
      <c r="R62" s="84">
        <f>'Steel Beam Design'!B3511</f>
        <v>111.25</v>
      </c>
      <c r="S62" s="84">
        <f t="shared" si="4"/>
        <v>0</v>
      </c>
      <c r="T62" s="84">
        <f>IF(TRIM($B62)="","",IFERROR(VLOOKUP($B62,'Section Data'!$B$36:$AC$107,20,FALSE),""))</f>
        <v>2477</v>
      </c>
      <c r="U62" s="84">
        <f>IF(TRIM($B62)="","",IFERROR(VLOOKUP($B62,'Section Data'!$B$36:$AC$107,21,FALSE),""))</f>
        <v>279</v>
      </c>
      <c r="V62" s="84">
        <f>IF(TRIM($B62)="","",IFERROR(VLOOKUP($B62,'Section Data'!$B$36:$AC$107,22,FALSE),""))</f>
        <v>2828</v>
      </c>
      <c r="W62" s="84">
        <f>IF(TRIM($B62)="","",IFERROR(VLOOKUP($B62,'Section Data'!$B$36:$AC$107,23,FALSE),""))</f>
        <v>436</v>
      </c>
      <c r="X62" s="84">
        <f>IF(TRIM($B62)="","",IFERROR((VLOOKUP($B62,'Section Data'!$B$36:$AC$107,5,FALSE)/10)*(VLOOKUP($B62,'Section Data'!$B$36:$AC$107,3,FALSE)/10)^2/4,""))</f>
        <v>844.07472500000006</v>
      </c>
      <c r="Y62" s="84">
        <f>IF(TRIM($B62)="","",IFERROR((VLOOKUP($B62,'Section Data'!$B$36:$AC$107,3,FALSE)/10)*(VLOOKUP($B62,'Section Data'!$B$36:$AC$107,5,FALSE)/10)^2/4,""))</f>
        <v>18.148779999999999</v>
      </c>
      <c r="Z62" s="84">
        <f t="shared" si="5"/>
        <v>975.66</v>
      </c>
      <c r="AA62" s="84">
        <f t="shared" si="6"/>
        <v>115.506</v>
      </c>
      <c r="AB62" s="86">
        <f t="shared" si="7"/>
        <v>4.4541163161347173E-2</v>
      </c>
      <c r="AC62" s="86">
        <f t="shared" si="8"/>
        <v>4.7740059035820412E-3</v>
      </c>
      <c r="AD62" s="1" t="b">
        <f>AND(ISNUMBER(AB62),ISNUMBER(AC62),AB62&gt;=0,AC62&gt;=0,AB62&lt;=0.95,AC62&lt;=0.95,ISNUMBER(D62),D62&gt;0,'Steel Beam Design'!$A$18="")</f>
        <v>1</v>
      </c>
      <c r="AE62" s="84">
        <f>'Steel Beam Design'!O26</f>
        <v>69.531249999999972</v>
      </c>
    </row>
    <row r="63" spans="1:31">
      <c r="A63" s="1" t="s">
        <v>467</v>
      </c>
      <c r="B63" s="1" t="str">
        <f>'Section Data'!B62</f>
        <v>533x210x101</v>
      </c>
      <c r="C63" s="1" t="s">
        <v>368</v>
      </c>
      <c r="D63" s="84">
        <f>'Section Data'!C62</f>
        <v>101</v>
      </c>
      <c r="E63" s="84">
        <f>'Section Data'!Q62</f>
        <v>61520</v>
      </c>
      <c r="F63" s="84">
        <f>'Steel Beam Design'!D7003</f>
        <v>43.457031249999979</v>
      </c>
      <c r="G63" s="84">
        <f>'Steel Beam Design'!D7027</f>
        <v>318.999074477352</v>
      </c>
      <c r="H63" s="84" t="str">
        <f>IF(TRIM($B63)="","",IFERROR('Steel Beam Design'!$D$7006,""))</f>
        <v>S355</v>
      </c>
      <c r="I63" s="84">
        <f>IF(TRIM($B63)="","",IFERROR(MAX(VLOOKUP($B63,'Section Data'!$B$36:$AC$107,5,FALSE),VLOOKUP($B63,'Section Data'!$B$36:$AC$107,6,FALSE)),""))</f>
        <v>17.399999999999999</v>
      </c>
      <c r="J63" s="84">
        <f>IF(TRIM($B63)="","",IFERROR(IF(I63&gt;150,"",INDEX('Section Data'!$AH$5:$AK$10,IF(I63&lt;=16,1,IF(I63&lt;=40,2,IF(I63&lt;=63,3,IF(I63&lt;=80,4,IF(I63&lt;=100,5,6))))),MATCH(H63,'Section Data'!$AH$4:$AK$4,0))),""))</f>
        <v>345</v>
      </c>
      <c r="K63" s="84">
        <f t="shared" si="0"/>
        <v>0.8928053815224023</v>
      </c>
      <c r="L63" s="84">
        <f>IF(TRIM($B63)="","",IFERROR(VLOOKUP($B63,'Section Data'!$B$36:$AC$107,9,FALSE),""))</f>
        <v>6.03</v>
      </c>
      <c r="M63" s="84">
        <f>IF(TRIM($B63)="","",IFERROR(VLOOKUP($B63,'Section Data'!$B$36:$AC$107,10,FALSE),""))</f>
        <v>44.1</v>
      </c>
      <c r="N63" s="84">
        <f t="shared" si="1"/>
        <v>8</v>
      </c>
      <c r="O63" s="84">
        <f t="shared" si="2"/>
        <v>80</v>
      </c>
      <c r="P63" s="84">
        <f>IF(TRIM($B63)="","",IFERROR(VLOOKUP($B63,'Section Data'!$B$36:$AC$107,5,FALSE)*VLOOKUP($B63,'Section Data'!$B$36:$AC$107,3,FALSE),""))</f>
        <v>5796.3600000000006</v>
      </c>
      <c r="Q63" s="84">
        <f t="shared" si="3"/>
        <v>1154.5528521803928</v>
      </c>
      <c r="R63" s="84">
        <f>'Steel Beam Design'!B3511</f>
        <v>111.25</v>
      </c>
      <c r="S63" s="84">
        <f t="shared" si="4"/>
        <v>0</v>
      </c>
      <c r="T63" s="84">
        <f>IF(TRIM($B63)="","",IFERROR(VLOOKUP($B63,'Section Data'!$B$36:$AC$107,20,FALSE),""))</f>
        <v>2292</v>
      </c>
      <c r="U63" s="84">
        <f>IF(TRIM($B63)="","",IFERROR(VLOOKUP($B63,'Section Data'!$B$36:$AC$107,21,FALSE),""))</f>
        <v>258</v>
      </c>
      <c r="V63" s="84">
        <f>IF(TRIM($B63)="","",IFERROR(VLOOKUP($B63,'Section Data'!$B$36:$AC$107,22,FALSE),""))</f>
        <v>2612</v>
      </c>
      <c r="W63" s="84">
        <f>IF(TRIM($B63)="","",IFERROR(VLOOKUP($B63,'Section Data'!$B$36:$AC$107,23,FALSE),""))</f>
        <v>399</v>
      </c>
      <c r="X63" s="84">
        <f>IF(TRIM($B63)="","",IFERROR((VLOOKUP($B63,'Section Data'!$B$36:$AC$107,5,FALSE)/10)*(VLOOKUP($B63,'Section Data'!$B$36:$AC$107,3,FALSE)/10)^2/4,""))</f>
        <v>777.72660300000018</v>
      </c>
      <c r="Y63" s="84">
        <f>IF(TRIM($B63)="","",IFERROR((VLOOKUP($B63,'Section Data'!$B$36:$AC$107,3,FALSE)/10)*(VLOOKUP($B63,'Section Data'!$B$36:$AC$107,5,FALSE)/10)^2/4,""))</f>
        <v>15.650172000000001</v>
      </c>
      <c r="Z63" s="84">
        <f t="shared" si="5"/>
        <v>901.14</v>
      </c>
      <c r="AA63" s="84">
        <f t="shared" si="6"/>
        <v>106.81199999999998</v>
      </c>
      <c r="AB63" s="86">
        <f t="shared" si="7"/>
        <v>4.8224505903633155E-2</v>
      </c>
      <c r="AC63" s="86">
        <f t="shared" si="8"/>
        <v>5.1852905474211964E-3</v>
      </c>
      <c r="AD63" s="1" t="b">
        <f>AND(ISNUMBER(AB63),ISNUMBER(AC63),AB63&gt;=0,AC63&gt;=0,AB63&lt;=0.95,AC63&lt;=0.95,ISNUMBER(D63),D63&gt;0,'Steel Beam Design'!$A$18="")</f>
        <v>1</v>
      </c>
      <c r="AE63" s="84">
        <f>'Steel Beam Design'!O26</f>
        <v>69.531249999999972</v>
      </c>
    </row>
    <row r="64" spans="1:31">
      <c r="A64" s="1" t="s">
        <v>467</v>
      </c>
      <c r="B64" s="1" t="str">
        <f>'Section Data'!B63</f>
        <v>533x210x92</v>
      </c>
      <c r="C64" s="1" t="s">
        <v>368</v>
      </c>
      <c r="D64" s="84">
        <f>'Section Data'!C63</f>
        <v>92.1</v>
      </c>
      <c r="E64" s="84">
        <f>'Section Data'!Q63</f>
        <v>55230</v>
      </c>
      <c r="F64" s="84">
        <f>'Steel Beam Design'!D7003</f>
        <v>43.457031249999979</v>
      </c>
      <c r="G64" s="84">
        <f>'Steel Beam Design'!D7027</f>
        <v>318.999074477352</v>
      </c>
      <c r="H64" s="84" t="str">
        <f>IF(TRIM($B64)="","",IFERROR('Steel Beam Design'!$D$7006,""))</f>
        <v>S355</v>
      </c>
      <c r="I64" s="84">
        <f>IF(TRIM($B64)="","",IFERROR(MAX(VLOOKUP($B64,'Section Data'!$B$36:$AC$107,5,FALSE),VLOOKUP($B64,'Section Data'!$B$36:$AC$107,6,FALSE)),""))</f>
        <v>15.6</v>
      </c>
      <c r="J64" s="84">
        <f>IF(TRIM($B64)="","",IFERROR(IF(I64&gt;150,"",INDEX('Section Data'!$AH$5:$AK$10,IF(I64&lt;=16,1,IF(I64&lt;=40,2,IF(I64&lt;=63,3,IF(I64&lt;=80,4,IF(I64&lt;=100,5,6))))),MATCH(H64,'Section Data'!$AH$4:$AK$4,0))),""))</f>
        <v>355</v>
      </c>
      <c r="K64" s="84">
        <f t="shared" si="0"/>
        <v>0.88014083380101371</v>
      </c>
      <c r="L64" s="84">
        <f>IF(TRIM($B64)="","",IFERROR(VLOOKUP($B64,'Section Data'!$B$36:$AC$107,9,FALSE),""))</f>
        <v>6.71</v>
      </c>
      <c r="M64" s="84">
        <f>IF(TRIM($B64)="","",IFERROR(VLOOKUP($B64,'Section Data'!$B$36:$AC$107,10,FALSE),""))</f>
        <v>47.2</v>
      </c>
      <c r="N64" s="84">
        <f t="shared" si="1"/>
        <v>8</v>
      </c>
      <c r="O64" s="84">
        <f t="shared" si="2"/>
        <v>80</v>
      </c>
      <c r="P64" s="84">
        <f>IF(TRIM($B64)="","",IFERROR(VLOOKUP($B64,'Section Data'!$B$36:$AC$107,5,FALSE)*VLOOKUP($B64,'Section Data'!$B$36:$AC$107,3,FALSE),""))</f>
        <v>5384.31</v>
      </c>
      <c r="Q64" s="84">
        <f t="shared" si="3"/>
        <v>1103.56465390464</v>
      </c>
      <c r="R64" s="84">
        <f>'Steel Beam Design'!B3511</f>
        <v>111.25</v>
      </c>
      <c r="S64" s="84">
        <f t="shared" si="4"/>
        <v>0</v>
      </c>
      <c r="T64" s="84">
        <f>IF(TRIM($B64)="","",IFERROR(VLOOKUP($B64,'Section Data'!$B$36:$AC$107,20,FALSE),""))</f>
        <v>2072</v>
      </c>
      <c r="U64" s="84">
        <f>IF(TRIM($B64)="","",IFERROR(VLOOKUP($B64,'Section Data'!$B$36:$AC$107,21,FALSE),""))</f>
        <v>228</v>
      </c>
      <c r="V64" s="84">
        <f>IF(TRIM($B64)="","",IFERROR(VLOOKUP($B64,'Section Data'!$B$36:$AC$107,22,FALSE),""))</f>
        <v>2360</v>
      </c>
      <c r="W64" s="84">
        <f>IF(TRIM($B64)="","",IFERROR(VLOOKUP($B64,'Section Data'!$B$36:$AC$107,23,FALSE),""))</f>
        <v>356</v>
      </c>
      <c r="X64" s="84">
        <f>IF(TRIM($B64)="","",IFERROR((VLOOKUP($B64,'Section Data'!$B$36:$AC$107,5,FALSE)/10)*(VLOOKUP($B64,'Section Data'!$B$36:$AC$107,3,FALSE)/10)^2/4,""))</f>
        <v>717.59391525000012</v>
      </c>
      <c r="Y64" s="84">
        <f>IF(TRIM($B64)="","",IFERROR((VLOOKUP($B64,'Section Data'!$B$36:$AC$107,3,FALSE)/10)*(VLOOKUP($B64,'Section Data'!$B$36:$AC$107,5,FALSE)/10)^2/4,""))</f>
        <v>13.595382750000001</v>
      </c>
      <c r="Z64" s="84">
        <f t="shared" si="5"/>
        <v>837.8</v>
      </c>
      <c r="AA64" s="84">
        <f t="shared" si="6"/>
        <v>97.127999999999986</v>
      </c>
      <c r="AB64" s="86">
        <f t="shared" si="7"/>
        <v>5.1870412091191191E-2</v>
      </c>
      <c r="AC64" s="86">
        <f t="shared" si="8"/>
        <v>5.7758297026498642E-3</v>
      </c>
      <c r="AD64" s="1" t="b">
        <f>AND(ISNUMBER(AB64),ISNUMBER(AC64),AB64&gt;=0,AC64&gt;=0,AB64&lt;=0.95,AC64&lt;=0.95,ISNUMBER(D64),D64&gt;0,'Steel Beam Design'!$A$18="")</f>
        <v>1</v>
      </c>
      <c r="AE64" s="84">
        <f>'Steel Beam Design'!O26</f>
        <v>69.531249999999972</v>
      </c>
    </row>
    <row r="65" spans="1:31">
      <c r="A65" s="1" t="s">
        <v>467</v>
      </c>
      <c r="B65" s="1" t="str">
        <f>'Section Data'!B64</f>
        <v>533x210x82</v>
      </c>
      <c r="C65" s="1" t="s">
        <v>368</v>
      </c>
      <c r="D65" s="84">
        <f>'Section Data'!C64</f>
        <v>82.2</v>
      </c>
      <c r="E65" s="84">
        <f>'Section Data'!Q64</f>
        <v>47540</v>
      </c>
      <c r="F65" s="84">
        <f>'Steel Beam Design'!D7003</f>
        <v>43.457031249999979</v>
      </c>
      <c r="G65" s="84">
        <f>'Steel Beam Design'!D7027</f>
        <v>318.999074477352</v>
      </c>
      <c r="H65" s="84" t="str">
        <f>IF(TRIM($B65)="","",IFERROR('Steel Beam Design'!$D$7006,""))</f>
        <v>S355</v>
      </c>
      <c r="I65" s="84">
        <f>IF(TRIM($B65)="","",IFERROR(MAX(VLOOKUP($B65,'Section Data'!$B$36:$AC$107,5,FALSE),VLOOKUP($B65,'Section Data'!$B$36:$AC$107,6,FALSE)),""))</f>
        <v>13.2</v>
      </c>
      <c r="J65" s="84">
        <f>IF(TRIM($B65)="","",IFERROR(IF(I65&gt;150,"",INDEX('Section Data'!$AH$5:$AK$10,IF(I65&lt;=16,1,IF(I65&lt;=40,2,IF(I65&lt;=63,3,IF(I65&lt;=80,4,IF(I65&lt;=100,5,6))))),MATCH(H65,'Section Data'!$AH$4:$AK$4,0))),""))</f>
        <v>355</v>
      </c>
      <c r="K65" s="84">
        <f t="shared" si="0"/>
        <v>0.88014083380101371</v>
      </c>
      <c r="L65" s="84">
        <f>IF(TRIM($B65)="","",IFERROR(VLOOKUP($B65,'Section Data'!$B$36:$AC$107,9,FALSE),""))</f>
        <v>7.91</v>
      </c>
      <c r="M65" s="84">
        <f>IF(TRIM($B65)="","",IFERROR(VLOOKUP($B65,'Section Data'!$B$36:$AC$107,10,FALSE),""))</f>
        <v>49.6</v>
      </c>
      <c r="N65" s="84">
        <f t="shared" si="1"/>
        <v>9</v>
      </c>
      <c r="O65" s="84">
        <f t="shared" si="2"/>
        <v>80</v>
      </c>
      <c r="P65" s="84">
        <f>IF(TRIM($B65)="","",IFERROR(VLOOKUP($B65,'Section Data'!$B$36:$AC$107,5,FALSE)*VLOOKUP($B65,'Section Data'!$B$36:$AC$107,3,FALSE),""))</f>
        <v>5071.6799999999994</v>
      </c>
      <c r="Q65" s="84">
        <f t="shared" si="3"/>
        <v>1039.4882137014924</v>
      </c>
      <c r="R65" s="84">
        <f>'Steel Beam Design'!B3511</f>
        <v>111.25</v>
      </c>
      <c r="S65" s="84">
        <f t="shared" si="4"/>
        <v>0</v>
      </c>
      <c r="T65" s="84">
        <f>IF(TRIM($B65)="","",IFERROR(VLOOKUP($B65,'Section Data'!$B$36:$AC$107,20,FALSE),""))</f>
        <v>1800</v>
      </c>
      <c r="U65" s="84">
        <f>IF(TRIM($B65)="","",IFERROR(VLOOKUP($B65,'Section Data'!$B$36:$AC$107,21,FALSE),""))</f>
        <v>192</v>
      </c>
      <c r="V65" s="84">
        <f>IF(TRIM($B65)="","",IFERROR(VLOOKUP($B65,'Section Data'!$B$36:$AC$107,22,FALSE),""))</f>
        <v>2059</v>
      </c>
      <c r="W65" s="84">
        <f>IF(TRIM($B65)="","",IFERROR(VLOOKUP($B65,'Section Data'!$B$36:$AC$107,23,FALSE),""))</f>
        <v>300</v>
      </c>
      <c r="X65" s="84">
        <f>IF(TRIM($B65)="","",IFERROR((VLOOKUP($B65,'Section Data'!$B$36:$AC$107,5,FALSE)/10)*(VLOOKUP($B65,'Section Data'!$B$36:$AC$107,3,FALSE)/10)^2/4,""))</f>
        <v>669.84213599999998</v>
      </c>
      <c r="Y65" s="84">
        <f>IF(TRIM($B65)="","",IFERROR((VLOOKUP($B65,'Section Data'!$B$36:$AC$107,3,FALSE)/10)*(VLOOKUP($B65,'Section Data'!$B$36:$AC$107,5,FALSE)/10)^2/4,""))</f>
        <v>12.172032</v>
      </c>
      <c r="Z65" s="84">
        <f t="shared" si="5"/>
        <v>730.94500000000005</v>
      </c>
      <c r="AA65" s="84">
        <f t="shared" si="6"/>
        <v>81.791999999999987</v>
      </c>
      <c r="AB65" s="86">
        <f t="shared" si="7"/>
        <v>5.9453216384269647E-2</v>
      </c>
      <c r="AC65" s="86">
        <f t="shared" si="8"/>
        <v>6.7101193621655871E-3</v>
      </c>
      <c r="AD65" s="1" t="b">
        <f>AND(ISNUMBER(AB65),ISNUMBER(AC65),AB65&gt;=0,AC65&gt;=0,AB65&lt;=0.95,AC65&lt;=0.95,ISNUMBER(D65),D65&gt;0,'Steel Beam Design'!$A$18="")</f>
        <v>1</v>
      </c>
      <c r="AE65" s="84">
        <f>'Steel Beam Design'!O26</f>
        <v>69.531249999999972</v>
      </c>
    </row>
    <row r="66" spans="1:31">
      <c r="A66" s="1" t="s">
        <v>467</v>
      </c>
      <c r="B66" s="1" t="str">
        <f>'Section Data'!B65</f>
        <v>457x191x98</v>
      </c>
      <c r="C66" s="1" t="s">
        <v>368</v>
      </c>
      <c r="D66" s="84">
        <f>'Section Data'!C65</f>
        <v>98.3</v>
      </c>
      <c r="E66" s="84">
        <f>'Section Data'!Q65</f>
        <v>45730</v>
      </c>
      <c r="F66" s="84">
        <f>'Steel Beam Design'!D7003</f>
        <v>43.457031249999979</v>
      </c>
      <c r="G66" s="84">
        <f>'Steel Beam Design'!D7027</f>
        <v>318.999074477352</v>
      </c>
      <c r="H66" s="84" t="str">
        <f>IF(TRIM($B66)="","",IFERROR('Steel Beam Design'!$D$7006,""))</f>
        <v>S355</v>
      </c>
      <c r="I66" s="84">
        <f>IF(TRIM($B66)="","",IFERROR(MAX(VLOOKUP($B66,'Section Data'!$B$36:$AC$107,5,FALSE),VLOOKUP($B66,'Section Data'!$B$36:$AC$107,6,FALSE)),""))</f>
        <v>19.600000000000001</v>
      </c>
      <c r="J66" s="84">
        <f>IF(TRIM($B66)="","",IFERROR(IF(I66&gt;150,"",INDEX('Section Data'!$AH$5:$AK$10,IF(I66&lt;=16,1,IF(I66&lt;=40,2,IF(I66&lt;=63,3,IF(I66&lt;=80,4,IF(I66&lt;=100,5,6))))),MATCH(H66,'Section Data'!$AH$4:$AK$4,0))),""))</f>
        <v>345</v>
      </c>
      <c r="K66" s="84">
        <f t="shared" si="0"/>
        <v>0.8928053815224023</v>
      </c>
      <c r="L66" s="84">
        <f>IF(TRIM($B66)="","",IFERROR(VLOOKUP($B66,'Section Data'!$B$36:$AC$107,9,FALSE),""))</f>
        <v>4.92</v>
      </c>
      <c r="M66" s="84">
        <f>IF(TRIM($B66)="","",IFERROR(VLOOKUP($B66,'Section Data'!$B$36:$AC$107,10,FALSE),""))</f>
        <v>35.799999999999997</v>
      </c>
      <c r="N66" s="84">
        <f t="shared" si="1"/>
        <v>8</v>
      </c>
      <c r="O66" s="84">
        <f t="shared" si="2"/>
        <v>80</v>
      </c>
      <c r="P66" s="84">
        <f>IF(TRIM($B66)="","",IFERROR(VLOOKUP($B66,'Section Data'!$B$36:$AC$107,5,FALSE)*VLOOKUP($B66,'Section Data'!$B$36:$AC$107,3,FALSE),""))</f>
        <v>5326.08</v>
      </c>
      <c r="Q66" s="84">
        <f t="shared" si="3"/>
        <v>1060.8797339952912</v>
      </c>
      <c r="R66" s="84">
        <f>'Steel Beam Design'!B3511</f>
        <v>111.25</v>
      </c>
      <c r="S66" s="84">
        <f t="shared" si="4"/>
        <v>0</v>
      </c>
      <c r="T66" s="84">
        <f>IF(TRIM($B66)="","",IFERROR(VLOOKUP($B66,'Section Data'!$B$36:$AC$107,20,FALSE),""))</f>
        <v>1957</v>
      </c>
      <c r="U66" s="84">
        <f>IF(TRIM($B66)="","",IFERROR(VLOOKUP($B66,'Section Data'!$B$36:$AC$107,21,FALSE),""))</f>
        <v>243</v>
      </c>
      <c r="V66" s="84">
        <f>IF(TRIM($B66)="","",IFERROR(VLOOKUP($B66,'Section Data'!$B$36:$AC$107,22,FALSE),""))</f>
        <v>2232</v>
      </c>
      <c r="W66" s="84">
        <f>IF(TRIM($B66)="","",IFERROR(VLOOKUP($B66,'Section Data'!$B$36:$AC$107,23,FALSE),""))</f>
        <v>379</v>
      </c>
      <c r="X66" s="84">
        <f>IF(TRIM($B66)="","",IFERROR((VLOOKUP($B66,'Section Data'!$B$36:$AC$107,5,FALSE)/10)*(VLOOKUP($B66,'Section Data'!$B$36:$AC$107,3,FALSE)/10)^2/4,""))</f>
        <v>622.08614399999999</v>
      </c>
      <c r="Y66" s="84">
        <f>IF(TRIM($B66)="","",IFERROR((VLOOKUP($B66,'Section Data'!$B$36:$AC$107,3,FALSE)/10)*(VLOOKUP($B66,'Section Data'!$B$36:$AC$107,5,FALSE)/10)^2/4,""))</f>
        <v>15.179328000000003</v>
      </c>
      <c r="Z66" s="84">
        <f t="shared" si="5"/>
        <v>770.04</v>
      </c>
      <c r="AA66" s="84">
        <f t="shared" si="6"/>
        <v>100.60199999999999</v>
      </c>
      <c r="AB66" s="86">
        <f t="shared" si="7"/>
        <v>5.6434771245649551E-2</v>
      </c>
      <c r="AC66" s="86">
        <f t="shared" si="8"/>
        <v>6.975706854960682E-3</v>
      </c>
      <c r="AD66" s="1" t="b">
        <f>AND(ISNUMBER(AB66),ISNUMBER(AC66),AB66&gt;=0,AC66&gt;=0,AB66&lt;=0.95,AC66&lt;=0.95,ISNUMBER(D66),D66&gt;0,'Steel Beam Design'!$A$18="")</f>
        <v>1</v>
      </c>
      <c r="AE66" s="84">
        <f>'Steel Beam Design'!O26</f>
        <v>69.531249999999972</v>
      </c>
    </row>
    <row r="67" spans="1:31">
      <c r="A67" s="1" t="s">
        <v>467</v>
      </c>
      <c r="B67" s="1" t="str">
        <f>'Section Data'!B66</f>
        <v>457x191x89</v>
      </c>
      <c r="C67" s="1" t="s">
        <v>368</v>
      </c>
      <c r="D67" s="84">
        <f>'Section Data'!C66</f>
        <v>89.3</v>
      </c>
      <c r="E67" s="84">
        <f>'Section Data'!Q66</f>
        <v>41020</v>
      </c>
      <c r="F67" s="84">
        <f>'Steel Beam Design'!D7003</f>
        <v>43.457031249999979</v>
      </c>
      <c r="G67" s="84">
        <f>'Steel Beam Design'!D7027</f>
        <v>318.999074477352</v>
      </c>
      <c r="H67" s="84" t="str">
        <f>IF(TRIM($B67)="","",IFERROR('Steel Beam Design'!$D$7006,""))</f>
        <v>S355</v>
      </c>
      <c r="I67" s="84">
        <f>IF(TRIM($B67)="","",IFERROR(MAX(VLOOKUP($B67,'Section Data'!$B$36:$AC$107,5,FALSE),VLOOKUP($B67,'Section Data'!$B$36:$AC$107,6,FALSE)),""))</f>
        <v>17.7</v>
      </c>
      <c r="J67" s="84">
        <f>IF(TRIM($B67)="","",IFERROR(IF(I67&gt;150,"",INDEX('Section Data'!$AH$5:$AK$10,IF(I67&lt;=16,1,IF(I67&lt;=40,2,IF(I67&lt;=63,3,IF(I67&lt;=80,4,IF(I67&lt;=100,5,6))))),MATCH(H67,'Section Data'!$AH$4:$AK$4,0))),""))</f>
        <v>345</v>
      </c>
      <c r="K67" s="84">
        <f t="shared" si="0"/>
        <v>0.8928053815224023</v>
      </c>
      <c r="L67" s="84">
        <f>IF(TRIM($B67)="","",IFERROR(VLOOKUP($B67,'Section Data'!$B$36:$AC$107,9,FALSE),""))</f>
        <v>5.42</v>
      </c>
      <c r="M67" s="84">
        <f>IF(TRIM($B67)="","",IFERROR(VLOOKUP($B67,'Section Data'!$B$36:$AC$107,10,FALSE),""))</f>
        <v>38.799999999999997</v>
      </c>
      <c r="N67" s="84">
        <f t="shared" si="1"/>
        <v>8</v>
      </c>
      <c r="O67" s="84">
        <f t="shared" si="2"/>
        <v>80</v>
      </c>
      <c r="P67" s="84">
        <f>IF(TRIM($B67)="","",IFERROR(VLOOKUP($B67,'Section Data'!$B$36:$AC$107,5,FALSE)*VLOOKUP($B67,'Section Data'!$B$36:$AC$107,3,FALSE),""))</f>
        <v>4865.7</v>
      </c>
      <c r="Q67" s="84">
        <f t="shared" si="3"/>
        <v>969.17855565460707</v>
      </c>
      <c r="R67" s="84">
        <f>'Steel Beam Design'!B3511</f>
        <v>111.25</v>
      </c>
      <c r="S67" s="84">
        <f t="shared" si="4"/>
        <v>0</v>
      </c>
      <c r="T67" s="84">
        <f>IF(TRIM($B67)="","",IFERROR(VLOOKUP($B67,'Section Data'!$B$36:$AC$107,20,FALSE),""))</f>
        <v>1770</v>
      </c>
      <c r="U67" s="84">
        <f>IF(TRIM($B67)="","",IFERROR(VLOOKUP($B67,'Section Data'!$B$36:$AC$107,21,FALSE),""))</f>
        <v>218</v>
      </c>
      <c r="V67" s="84">
        <f>IF(TRIM($B67)="","",IFERROR(VLOOKUP($B67,'Section Data'!$B$36:$AC$107,22,FALSE),""))</f>
        <v>2015</v>
      </c>
      <c r="W67" s="84">
        <f>IF(TRIM($B67)="","",IFERROR(VLOOKUP($B67,'Section Data'!$B$36:$AC$107,23,FALSE),""))</f>
        <v>338</v>
      </c>
      <c r="X67" s="84">
        <f>IF(TRIM($B67)="","",IFERROR((VLOOKUP($B67,'Section Data'!$B$36:$AC$107,5,FALSE)/10)*(VLOOKUP($B67,'Section Data'!$B$36:$AC$107,3,FALSE)/10)^2/4,""))</f>
        <v>563.69134499999996</v>
      </c>
      <c r="Y67" s="84">
        <f>IF(TRIM($B67)="","",IFERROR((VLOOKUP($B67,'Section Data'!$B$36:$AC$107,3,FALSE)/10)*(VLOOKUP($B67,'Section Data'!$B$36:$AC$107,5,FALSE)/10)^2/4,""))</f>
        <v>12.7724625</v>
      </c>
      <c r="Z67" s="84">
        <f t="shared" si="5"/>
        <v>695.17499999999995</v>
      </c>
      <c r="AA67" s="84">
        <f t="shared" si="6"/>
        <v>90.251999999999981</v>
      </c>
      <c r="AB67" s="86">
        <f t="shared" si="7"/>
        <v>6.2512361995181037E-2</v>
      </c>
      <c r="AC67" s="86">
        <f t="shared" si="8"/>
        <v>7.7766717327487078E-3</v>
      </c>
      <c r="AD67" s="1" t="b">
        <f>AND(ISNUMBER(AB67),ISNUMBER(AC67),AB67&gt;=0,AC67&gt;=0,AB67&lt;=0.95,AC67&lt;=0.95,ISNUMBER(D67),D67&gt;0,'Steel Beam Design'!$A$18="")</f>
        <v>1</v>
      </c>
      <c r="AE67" s="84">
        <f>'Steel Beam Design'!O26</f>
        <v>69.531249999999972</v>
      </c>
    </row>
    <row r="68" spans="1:31">
      <c r="A68" s="1" t="s">
        <v>467</v>
      </c>
      <c r="B68" s="1" t="str">
        <f>'Section Data'!B67</f>
        <v>457x191x82</v>
      </c>
      <c r="C68" s="1" t="s">
        <v>368</v>
      </c>
      <c r="D68" s="84">
        <f>'Section Data'!C67</f>
        <v>82</v>
      </c>
      <c r="E68" s="84">
        <f>'Section Data'!Q67</f>
        <v>37050</v>
      </c>
      <c r="F68" s="84">
        <f>'Steel Beam Design'!D7003</f>
        <v>43.457031249999979</v>
      </c>
      <c r="G68" s="84">
        <f>'Steel Beam Design'!D7027</f>
        <v>318.999074477352</v>
      </c>
      <c r="H68" s="84" t="str">
        <f>IF(TRIM($B68)="","",IFERROR('Steel Beam Design'!$D$7006,""))</f>
        <v>S355</v>
      </c>
      <c r="I68" s="84">
        <f>IF(TRIM($B68)="","",IFERROR(MAX(VLOOKUP($B68,'Section Data'!$B$36:$AC$107,5,FALSE),VLOOKUP($B68,'Section Data'!$B$36:$AC$107,6,FALSE)),""))</f>
        <v>16</v>
      </c>
      <c r="J68" s="84">
        <f>IF(TRIM($B68)="","",IFERROR(IF(I68&gt;150,"",INDEX('Section Data'!$AH$5:$AK$10,IF(I68&lt;=16,1,IF(I68&lt;=40,2,IF(I68&lt;=63,3,IF(I68&lt;=80,4,IF(I68&lt;=100,5,6))))),MATCH(H68,'Section Data'!$AH$4:$AK$4,0))),""))</f>
        <v>355</v>
      </c>
      <c r="K68" s="84">
        <f t="shared" si="0"/>
        <v>0.88014083380101371</v>
      </c>
      <c r="L68" s="84">
        <f>IF(TRIM($B68)="","",IFERROR(VLOOKUP($B68,'Section Data'!$B$36:$AC$107,9,FALSE),""))</f>
        <v>5.98</v>
      </c>
      <c r="M68" s="84">
        <f>IF(TRIM($B68)="","",IFERROR(VLOOKUP($B68,'Section Data'!$B$36:$AC$107,10,FALSE),""))</f>
        <v>41.2</v>
      </c>
      <c r="N68" s="84">
        <f t="shared" si="1"/>
        <v>8</v>
      </c>
      <c r="O68" s="84">
        <f t="shared" si="2"/>
        <v>80</v>
      </c>
      <c r="P68" s="84">
        <f>IF(TRIM($B68)="","",IFERROR(VLOOKUP($B68,'Section Data'!$B$36:$AC$107,5,FALSE)*VLOOKUP($B68,'Section Data'!$B$36:$AC$107,3,FALSE),""))</f>
        <v>4554</v>
      </c>
      <c r="Q68" s="84">
        <f t="shared" si="3"/>
        <v>933.38485969079238</v>
      </c>
      <c r="R68" s="84">
        <f>'Steel Beam Design'!B3511</f>
        <v>111.25</v>
      </c>
      <c r="S68" s="84">
        <f t="shared" si="4"/>
        <v>0</v>
      </c>
      <c r="T68" s="84">
        <f>IF(TRIM($B68)="","",IFERROR(VLOOKUP($B68,'Section Data'!$B$36:$AC$107,20,FALSE),""))</f>
        <v>1611</v>
      </c>
      <c r="U68" s="84">
        <f>IF(TRIM($B68)="","",IFERROR(VLOOKUP($B68,'Section Data'!$B$36:$AC$107,21,FALSE),""))</f>
        <v>196</v>
      </c>
      <c r="V68" s="84">
        <f>IF(TRIM($B68)="","",IFERROR(VLOOKUP($B68,'Section Data'!$B$36:$AC$107,22,FALSE),""))</f>
        <v>1831</v>
      </c>
      <c r="W68" s="84">
        <f>IF(TRIM($B68)="","",IFERROR(VLOOKUP($B68,'Section Data'!$B$36:$AC$107,23,FALSE),""))</f>
        <v>304</v>
      </c>
      <c r="X68" s="84">
        <f>IF(TRIM($B68)="","",IFERROR((VLOOKUP($B68,'Section Data'!$B$36:$AC$107,5,FALSE)/10)*(VLOOKUP($B68,'Section Data'!$B$36:$AC$107,3,FALSE)/10)^2/4,""))</f>
        <v>523.71</v>
      </c>
      <c r="Y68" s="84">
        <f>IF(TRIM($B68)="","",IFERROR((VLOOKUP($B68,'Section Data'!$B$36:$AC$107,3,FALSE)/10)*(VLOOKUP($B68,'Section Data'!$B$36:$AC$107,5,FALSE)/10)^2/4,""))</f>
        <v>11.27115</v>
      </c>
      <c r="Z68" s="84">
        <f t="shared" si="5"/>
        <v>650.005</v>
      </c>
      <c r="AA68" s="84">
        <f t="shared" si="6"/>
        <v>83.495999999999995</v>
      </c>
      <c r="AB68" s="86">
        <f t="shared" si="7"/>
        <v>6.6856456873408632E-2</v>
      </c>
      <c r="AC68" s="86">
        <f t="shared" si="8"/>
        <v>8.6099615243549789E-3</v>
      </c>
      <c r="AD68" s="1" t="b">
        <f>AND(ISNUMBER(AB68),ISNUMBER(AC68),AB68&gt;=0,AC68&gt;=0,AB68&lt;=0.95,AC68&lt;=0.95,ISNUMBER(D68),D68&gt;0,'Steel Beam Design'!$A$18="")</f>
        <v>1</v>
      </c>
      <c r="AE68" s="84">
        <f>'Steel Beam Design'!O26</f>
        <v>69.531249999999972</v>
      </c>
    </row>
    <row r="69" spans="1:31">
      <c r="A69" s="1" t="s">
        <v>467</v>
      </c>
      <c r="B69" s="1" t="str">
        <f>'Section Data'!B68</f>
        <v>457x191x74</v>
      </c>
      <c r="C69" s="1" t="s">
        <v>368</v>
      </c>
      <c r="D69" s="84">
        <f>'Section Data'!C68</f>
        <v>74.3</v>
      </c>
      <c r="E69" s="84">
        <f>'Section Data'!Q68</f>
        <v>33320</v>
      </c>
      <c r="F69" s="84">
        <f>'Steel Beam Design'!D7003</f>
        <v>43.457031249999979</v>
      </c>
      <c r="G69" s="84">
        <f>'Steel Beam Design'!D7027</f>
        <v>318.999074477352</v>
      </c>
      <c r="H69" s="84" t="str">
        <f>IF(TRIM($B69)="","",IFERROR('Steel Beam Design'!$D$7006,""))</f>
        <v>S355</v>
      </c>
      <c r="I69" s="84">
        <f>IF(TRIM($B69)="","",IFERROR(MAX(VLOOKUP($B69,'Section Data'!$B$36:$AC$107,5,FALSE),VLOOKUP($B69,'Section Data'!$B$36:$AC$107,6,FALSE)),""))</f>
        <v>14.5</v>
      </c>
      <c r="J69" s="84">
        <f>IF(TRIM($B69)="","",IFERROR(IF(I69&gt;150,"",INDEX('Section Data'!$AH$5:$AK$10,IF(I69&lt;=16,1,IF(I69&lt;=40,2,IF(I69&lt;=63,3,IF(I69&lt;=80,4,IF(I69&lt;=100,5,6))))),MATCH(H69,'Section Data'!$AH$4:$AK$4,0))),""))</f>
        <v>355</v>
      </c>
      <c r="K69" s="84">
        <f t="shared" si="0"/>
        <v>0.88014083380101371</v>
      </c>
      <c r="L69" s="84">
        <f>IF(TRIM($B69)="","",IFERROR(VLOOKUP($B69,'Section Data'!$B$36:$AC$107,9,FALSE),""))</f>
        <v>6.57</v>
      </c>
      <c r="M69" s="84">
        <f>IF(TRIM($B69)="","",IFERROR(VLOOKUP($B69,'Section Data'!$B$36:$AC$107,10,FALSE),""))</f>
        <v>45.3</v>
      </c>
      <c r="N69" s="84">
        <f t="shared" si="1"/>
        <v>8</v>
      </c>
      <c r="O69" s="84">
        <f t="shared" si="2"/>
        <v>80</v>
      </c>
      <c r="P69" s="84">
        <f>IF(TRIM($B69)="","",IFERROR(VLOOKUP($B69,'Section Data'!$B$36:$AC$107,5,FALSE)*VLOOKUP($B69,'Section Data'!$B$36:$AC$107,3,FALSE),""))</f>
        <v>4113</v>
      </c>
      <c r="Q69" s="84">
        <f t="shared" si="3"/>
        <v>842.99778829781053</v>
      </c>
      <c r="R69" s="84">
        <f>'Steel Beam Design'!B3511</f>
        <v>111.25</v>
      </c>
      <c r="S69" s="84">
        <f t="shared" si="4"/>
        <v>0</v>
      </c>
      <c r="T69" s="84">
        <f>IF(TRIM($B69)="","",IFERROR(VLOOKUP($B69,'Section Data'!$B$36:$AC$107,20,FALSE),""))</f>
        <v>1458</v>
      </c>
      <c r="U69" s="84">
        <f>IF(TRIM($B69)="","",IFERROR(VLOOKUP($B69,'Section Data'!$B$36:$AC$107,21,FALSE),""))</f>
        <v>176</v>
      </c>
      <c r="V69" s="84">
        <f>IF(TRIM($B69)="","",IFERROR(VLOOKUP($B69,'Section Data'!$B$36:$AC$107,22,FALSE),""))</f>
        <v>1653</v>
      </c>
      <c r="W69" s="84">
        <f>IF(TRIM($B69)="","",IFERROR(VLOOKUP($B69,'Section Data'!$B$36:$AC$107,23,FALSE),""))</f>
        <v>272</v>
      </c>
      <c r="X69" s="84">
        <f>IF(TRIM($B69)="","",IFERROR((VLOOKUP($B69,'Section Data'!$B$36:$AC$107,5,FALSE)/10)*(VLOOKUP($B69,'Section Data'!$B$36:$AC$107,3,FALSE)/10)^2/4,""))</f>
        <v>469.91025000000008</v>
      </c>
      <c r="Y69" s="84">
        <f>IF(TRIM($B69)="","",IFERROR((VLOOKUP($B69,'Section Data'!$B$36:$AC$107,3,FALSE)/10)*(VLOOKUP($B69,'Section Data'!$B$36:$AC$107,5,FALSE)/10)^2/4,""))</f>
        <v>9.2542500000000008</v>
      </c>
      <c r="Z69" s="84">
        <f t="shared" si="5"/>
        <v>586.81500000000005</v>
      </c>
      <c r="AA69" s="84">
        <f t="shared" si="6"/>
        <v>74.975999999999999</v>
      </c>
      <c r="AB69" s="86">
        <f t="shared" si="7"/>
        <v>7.4055760759353412E-2</v>
      </c>
      <c r="AC69" s="86">
        <f t="shared" si="8"/>
        <v>9.5738017550225686E-3</v>
      </c>
      <c r="AD69" s="1" t="b">
        <f>AND(ISNUMBER(AB69),ISNUMBER(AC69),AB69&gt;=0,AC69&gt;=0,AB69&lt;=0.95,AC69&lt;=0.95,ISNUMBER(D69),D69&gt;0,'Steel Beam Design'!$A$18="")</f>
        <v>1</v>
      </c>
      <c r="AE69" s="84">
        <f>'Steel Beam Design'!O26</f>
        <v>69.531249999999972</v>
      </c>
    </row>
    <row r="70" spans="1:31">
      <c r="A70" s="1" t="s">
        <v>467</v>
      </c>
      <c r="B70" s="1" t="str">
        <f>'Section Data'!B69</f>
        <v>457x191x67</v>
      </c>
      <c r="C70" s="1" t="s">
        <v>368</v>
      </c>
      <c r="D70" s="84">
        <f>'Section Data'!C69</f>
        <v>67.099999999999994</v>
      </c>
      <c r="E70" s="84">
        <f>'Section Data'!Q69</f>
        <v>29380</v>
      </c>
      <c r="F70" s="84">
        <f>'Steel Beam Design'!D7003</f>
        <v>43.457031249999979</v>
      </c>
      <c r="G70" s="84">
        <f>'Steel Beam Design'!D7027</f>
        <v>318.999074477352</v>
      </c>
      <c r="H70" s="84" t="str">
        <f>IF(TRIM($B70)="","",IFERROR('Steel Beam Design'!$D$7006,""))</f>
        <v>S355</v>
      </c>
      <c r="I70" s="84">
        <f>IF(TRIM($B70)="","",IFERROR(MAX(VLOOKUP($B70,'Section Data'!$B$36:$AC$107,5,FALSE),VLOOKUP($B70,'Section Data'!$B$36:$AC$107,6,FALSE)),""))</f>
        <v>12.7</v>
      </c>
      <c r="J70" s="84">
        <f>IF(TRIM($B70)="","",IFERROR(IF(I70&gt;150,"",INDEX('Section Data'!$AH$5:$AK$10,IF(I70&lt;=16,1,IF(I70&lt;=40,2,IF(I70&lt;=63,3,IF(I70&lt;=80,4,IF(I70&lt;=100,5,6))))),MATCH(H70,'Section Data'!$AH$4:$AK$4,0))),""))</f>
        <v>355</v>
      </c>
      <c r="K70" s="84">
        <f t="shared" ref="K70:K133" si="9">IF(ISNUMBER(J70),IF(J70&gt;0,SQRT(275/J70),""),"")</f>
        <v>0.88014083380101371</v>
      </c>
      <c r="L70" s="84">
        <f>IF(TRIM($B70)="","",IFERROR(VLOOKUP($B70,'Section Data'!$B$36:$AC$107,9,FALSE),""))</f>
        <v>7.48</v>
      </c>
      <c r="M70" s="84">
        <f>IF(TRIM($B70)="","",IFERROR(VLOOKUP($B70,'Section Data'!$B$36:$AC$107,10,FALSE),""))</f>
        <v>48</v>
      </c>
      <c r="N70" s="84">
        <f t="shared" ref="N70:N133" si="10">IF(COUNT(L70,K70)=2,IF(L70&lt;=8*K70,8,IF(L70&lt;=9*K70,9,13)),"")</f>
        <v>9</v>
      </c>
      <c r="O70" s="84">
        <f t="shared" ref="O70:O133" si="11">IF(COUNT(M70,K70)=2,IF(M70&lt;=80*K70,80,IF(M70&lt;=100*K70,100,120)),"")</f>
        <v>80</v>
      </c>
      <c r="P70" s="84">
        <f>IF(TRIM($B70)="","",IFERROR(VLOOKUP($B70,'Section Data'!$B$36:$AC$107,5,FALSE)*VLOOKUP($B70,'Section Data'!$B$36:$AC$107,3,FALSE),""))</f>
        <v>3853.8999999999996</v>
      </c>
      <c r="Q70" s="84">
        <f t="shared" ref="Q70:Q133" si="12">IF(TRIM($B70)="","",IFERROR(J70*P70/SQRT(3)/1000,""))</f>
        <v>789.89282186261403</v>
      </c>
      <c r="R70" s="84">
        <f>'Steel Beam Design'!B3511</f>
        <v>111.25</v>
      </c>
      <c r="S70" s="84">
        <f t="shared" ref="S70:S133" si="13">IF(AND(ISNUMBER(Q70),Q70&gt;0),IF(R70&lt;=0.6*Q70,0,(2*R70/Q70-1)^2),"")</f>
        <v>0</v>
      </c>
      <c r="T70" s="84">
        <f>IF(TRIM($B70)="","",IFERROR(VLOOKUP($B70,'Section Data'!$B$36:$AC$107,20,FALSE),""))</f>
        <v>1296</v>
      </c>
      <c r="U70" s="84">
        <f>IF(TRIM($B70)="","",IFERROR(VLOOKUP($B70,'Section Data'!$B$36:$AC$107,21,FALSE),""))</f>
        <v>153</v>
      </c>
      <c r="V70" s="84">
        <f>IF(TRIM($B70)="","",IFERROR(VLOOKUP($B70,'Section Data'!$B$36:$AC$107,22,FALSE),""))</f>
        <v>1471</v>
      </c>
      <c r="W70" s="84">
        <f>IF(TRIM($B70)="","",IFERROR(VLOOKUP($B70,'Section Data'!$B$36:$AC$107,23,FALSE),""))</f>
        <v>237</v>
      </c>
      <c r="X70" s="84">
        <f>IF(TRIM($B70)="","",IFERROR((VLOOKUP($B70,'Section Data'!$B$36:$AC$107,5,FALSE)/10)*(VLOOKUP($B70,'Section Data'!$B$36:$AC$107,3,FALSE)/10)^2/4,""))</f>
        <v>436.83956499999988</v>
      </c>
      <c r="Y70" s="84">
        <f>IF(TRIM($B70)="","",IFERROR((VLOOKUP($B70,'Section Data'!$B$36:$AC$107,3,FALSE)/10)*(VLOOKUP($B70,'Section Data'!$B$36:$AC$107,5,FALSE)/10)^2/4,""))</f>
        <v>8.1895374999999984</v>
      </c>
      <c r="Z70" s="84">
        <f t="shared" ref="Z70:Z133" si="14">IF(TRIM($B70)="","",IFERROR(IF(AND(J70&gt;0,R70&lt;=Q70,L70&lt;=13*K70,M70&lt;=120*K70),IF(R70&lt;=0.6*Q70,IF(OR(N70=13,O70=120),T70,MIN(V70,1.2*T70)),IF(OR(N70=13,O70=120),T70-S70*X70/1.5,MIN(V70-S70*X70,1.2*(T70-S70*X70/1.5))))*J70/1000,""),""))</f>
        <v>522.20500000000004</v>
      </c>
      <c r="AA70" s="84">
        <f t="shared" ref="AA70:AA133" si="15">IF(TRIM($B70)="","",IFERROR(IF(AND(J70&gt;0,R70&lt;=Q70,L70&lt;=13*K70,M70&lt;=120*K70),IF(R70&lt;=0.6*Q70,IF(OR(N70=13,O70=120),U70,MIN(W70,1.2*U70)),IF(OR(N70=13,O70=120),U70-S70*Y70/1.5,MIN(W70-S70*Y70,1.2*(U70-S70*Y70/1.5))))*J70/1000,""),""))</f>
        <v>65.177999999999997</v>
      </c>
      <c r="AB70" s="86">
        <f t="shared" ref="AB70:AB133" si="16">IF(AND(ISNUMBER(F70),ISNUMBER(Z70),Z70&gt;0),F70/Z70,"")</f>
        <v>8.3218336189810463E-2</v>
      </c>
      <c r="AC70" s="86">
        <f t="shared" ref="AC70:AC133" si="17">IF(AND(ISNUMBER(G70),ISNUMBER(E70),E70&gt;0),G70/E70,"")</f>
        <v>1.085769484266004E-2</v>
      </c>
      <c r="AD70" s="1" t="b">
        <f>AND(ISNUMBER(AB70),ISNUMBER(AC70),AB70&gt;=0,AC70&gt;=0,AB70&lt;=0.95,AC70&lt;=0.95,ISNUMBER(D70),D70&gt;0,'Steel Beam Design'!$A$18="")</f>
        <v>1</v>
      </c>
      <c r="AE70" s="84">
        <f>'Steel Beam Design'!O26</f>
        <v>69.531249999999972</v>
      </c>
    </row>
    <row r="71" spans="1:31">
      <c r="A71" s="1" t="s">
        <v>467</v>
      </c>
      <c r="B71" s="1" t="str">
        <f>'Section Data'!B70</f>
        <v>457x152x82</v>
      </c>
      <c r="C71" s="1" t="s">
        <v>368</v>
      </c>
      <c r="D71" s="84">
        <f>'Section Data'!C70</f>
        <v>82.1</v>
      </c>
      <c r="E71" s="84">
        <f>'Section Data'!Q70</f>
        <v>36590</v>
      </c>
      <c r="F71" s="84">
        <f>'Steel Beam Design'!D7003</f>
        <v>43.457031249999979</v>
      </c>
      <c r="G71" s="84">
        <f>'Steel Beam Design'!D7027</f>
        <v>318.999074477352</v>
      </c>
      <c r="H71" s="84" t="str">
        <f>IF(TRIM($B71)="","",IFERROR('Steel Beam Design'!$D$7006,""))</f>
        <v>S355</v>
      </c>
      <c r="I71" s="84">
        <f>IF(TRIM($B71)="","",IFERROR(MAX(VLOOKUP($B71,'Section Data'!$B$36:$AC$107,5,FALSE),VLOOKUP($B71,'Section Data'!$B$36:$AC$107,6,FALSE)),""))</f>
        <v>18.899999999999999</v>
      </c>
      <c r="J71" s="84">
        <f>IF(TRIM($B71)="","",IFERROR(IF(I71&gt;150,"",INDEX('Section Data'!$AH$5:$AK$10,IF(I71&lt;=16,1,IF(I71&lt;=40,2,IF(I71&lt;=63,3,IF(I71&lt;=80,4,IF(I71&lt;=100,5,6))))),MATCH(H71,'Section Data'!$AH$4:$AK$4,0))),""))</f>
        <v>345</v>
      </c>
      <c r="K71" s="84">
        <f t="shared" si="9"/>
        <v>0.8928053815224023</v>
      </c>
      <c r="L71" s="84">
        <f>IF(TRIM($B71)="","",IFERROR(VLOOKUP($B71,'Section Data'!$B$36:$AC$107,9,FALSE),""))</f>
        <v>4.1100000000000003</v>
      </c>
      <c r="M71" s="84">
        <f>IF(TRIM($B71)="","",IFERROR(VLOOKUP($B71,'Section Data'!$B$36:$AC$107,10,FALSE),""))</f>
        <v>38.1</v>
      </c>
      <c r="N71" s="84">
        <f t="shared" si="10"/>
        <v>8</v>
      </c>
      <c r="O71" s="84">
        <f t="shared" si="11"/>
        <v>80</v>
      </c>
      <c r="P71" s="84">
        <f>IF(TRIM($B71)="","",IFERROR(VLOOKUP($B71,'Section Data'!$B$36:$AC$107,5,FALSE)*VLOOKUP($B71,'Section Data'!$B$36:$AC$107,3,FALSE),""))</f>
        <v>4984.0599999999995</v>
      </c>
      <c r="Q71" s="84">
        <f t="shared" si="12"/>
        <v>992.75419201674993</v>
      </c>
      <c r="R71" s="84">
        <f>'Steel Beam Design'!B3511</f>
        <v>111.25</v>
      </c>
      <c r="S71" s="84">
        <f t="shared" si="13"/>
        <v>0</v>
      </c>
      <c r="T71" s="84">
        <f>IF(TRIM($B71)="","",IFERROR(VLOOKUP($B71,'Section Data'!$B$36:$AC$107,20,FALSE),""))</f>
        <v>1571</v>
      </c>
      <c r="U71" s="84">
        <f>IF(TRIM($B71)="","",IFERROR(VLOOKUP($B71,'Section Data'!$B$36:$AC$107,21,FALSE),""))</f>
        <v>153</v>
      </c>
      <c r="V71" s="84">
        <f>IF(TRIM($B71)="","",IFERROR(VLOOKUP($B71,'Section Data'!$B$36:$AC$107,22,FALSE),""))</f>
        <v>1811</v>
      </c>
      <c r="W71" s="84">
        <f>IF(TRIM($B71)="","",IFERROR(VLOOKUP($B71,'Section Data'!$B$36:$AC$107,23,FALSE),""))</f>
        <v>240</v>
      </c>
      <c r="X71" s="84">
        <f>IF(TRIM($B71)="","",IFERROR((VLOOKUP($B71,'Section Data'!$B$36:$AC$107,5,FALSE)/10)*(VLOOKUP($B71,'Section Data'!$B$36:$AC$107,3,FALSE)/10)^2/4,""))</f>
        <v>580.39378699999986</v>
      </c>
      <c r="Y71" s="84">
        <f>IF(TRIM($B71)="","",IFERROR((VLOOKUP($B71,'Section Data'!$B$36:$AC$107,3,FALSE)/10)*(VLOOKUP($B71,'Section Data'!$B$36:$AC$107,5,FALSE)/10)^2/4,""))</f>
        <v>13.332360499999995</v>
      </c>
      <c r="Z71" s="84">
        <f t="shared" si="14"/>
        <v>624.79499999999996</v>
      </c>
      <c r="AA71" s="84">
        <f t="shared" si="15"/>
        <v>63.341999999999999</v>
      </c>
      <c r="AB71" s="86">
        <f t="shared" si="16"/>
        <v>6.9554063732904362E-2</v>
      </c>
      <c r="AC71" s="86">
        <f t="shared" si="17"/>
        <v>8.718203729908499E-3</v>
      </c>
      <c r="AD71" s="1" t="b">
        <f>AND(ISNUMBER(AB71),ISNUMBER(AC71),AB71&gt;=0,AC71&gt;=0,AB71&lt;=0.95,AC71&lt;=0.95,ISNUMBER(D71),D71&gt;0,'Steel Beam Design'!$A$18="")</f>
        <v>1</v>
      </c>
      <c r="AE71" s="84">
        <f>'Steel Beam Design'!O26</f>
        <v>69.531249999999972</v>
      </c>
    </row>
    <row r="72" spans="1:31">
      <c r="A72" s="1" t="s">
        <v>467</v>
      </c>
      <c r="B72" s="1" t="str">
        <f>'Section Data'!B71</f>
        <v>457x152x74</v>
      </c>
      <c r="C72" s="1" t="s">
        <v>368</v>
      </c>
      <c r="D72" s="84">
        <f>'Section Data'!C71</f>
        <v>74.2</v>
      </c>
      <c r="E72" s="84">
        <f>'Section Data'!Q71</f>
        <v>32670</v>
      </c>
      <c r="F72" s="84">
        <f>'Steel Beam Design'!D7003</f>
        <v>43.457031249999979</v>
      </c>
      <c r="G72" s="84">
        <f>'Steel Beam Design'!D7027</f>
        <v>318.999074477352</v>
      </c>
      <c r="H72" s="84" t="str">
        <f>IF(TRIM($B72)="","",IFERROR('Steel Beam Design'!$D$7006,""))</f>
        <v>S355</v>
      </c>
      <c r="I72" s="84">
        <f>IF(TRIM($B72)="","",IFERROR(MAX(VLOOKUP($B72,'Section Data'!$B$36:$AC$107,5,FALSE),VLOOKUP($B72,'Section Data'!$B$36:$AC$107,6,FALSE)),""))</f>
        <v>17</v>
      </c>
      <c r="J72" s="84">
        <f>IF(TRIM($B72)="","",IFERROR(IF(I72&gt;150,"",INDEX('Section Data'!$AH$5:$AK$10,IF(I72&lt;=16,1,IF(I72&lt;=40,2,IF(I72&lt;=63,3,IF(I72&lt;=80,4,IF(I72&lt;=100,5,6))))),MATCH(H72,'Section Data'!$AH$4:$AK$4,0))),""))</f>
        <v>345</v>
      </c>
      <c r="K72" s="84">
        <f t="shared" si="9"/>
        <v>0.8928053815224023</v>
      </c>
      <c r="L72" s="84">
        <f>IF(TRIM($B72)="","",IFERROR(VLOOKUP($B72,'Section Data'!$B$36:$AC$107,9,FALSE),""))</f>
        <v>4.54</v>
      </c>
      <c r="M72" s="84">
        <f>IF(TRIM($B72)="","",IFERROR(VLOOKUP($B72,'Section Data'!$B$36:$AC$107,10,FALSE),""))</f>
        <v>42.5</v>
      </c>
      <c r="N72" s="84">
        <f t="shared" si="10"/>
        <v>8</v>
      </c>
      <c r="O72" s="84">
        <f t="shared" si="11"/>
        <v>80</v>
      </c>
      <c r="P72" s="84">
        <f>IF(TRIM($B72)="","",IFERROR(VLOOKUP($B72,'Section Data'!$B$36:$AC$107,5,FALSE)*VLOOKUP($B72,'Section Data'!$B$36:$AC$107,3,FALSE),""))</f>
        <v>4435.2</v>
      </c>
      <c r="Q72" s="84">
        <f t="shared" si="12"/>
        <v>883.42905029889084</v>
      </c>
      <c r="R72" s="84">
        <f>'Steel Beam Design'!B3511</f>
        <v>111.25</v>
      </c>
      <c r="S72" s="84">
        <f t="shared" si="13"/>
        <v>0</v>
      </c>
      <c r="T72" s="84">
        <f>IF(TRIM($B72)="","",IFERROR(VLOOKUP($B72,'Section Data'!$B$36:$AC$107,20,FALSE),""))</f>
        <v>1414</v>
      </c>
      <c r="U72" s="84">
        <f>IF(TRIM($B72)="","",IFERROR(VLOOKUP($B72,'Section Data'!$B$36:$AC$107,21,FALSE),""))</f>
        <v>136</v>
      </c>
      <c r="V72" s="84">
        <f>IF(TRIM($B72)="","",IFERROR(VLOOKUP($B72,'Section Data'!$B$36:$AC$107,22,FALSE),""))</f>
        <v>1627</v>
      </c>
      <c r="W72" s="84">
        <f>IF(TRIM($B72)="","",IFERROR(VLOOKUP($B72,'Section Data'!$B$36:$AC$107,23,FALSE),""))</f>
        <v>213</v>
      </c>
      <c r="X72" s="84">
        <f>IF(TRIM($B72)="","",IFERROR((VLOOKUP($B72,'Section Data'!$B$36:$AC$107,5,FALSE)/10)*(VLOOKUP($B72,'Section Data'!$B$36:$AC$107,3,FALSE)/10)^2/4,""))</f>
        <v>512.26559999999995</v>
      </c>
      <c r="Y72" s="84">
        <f>IF(TRIM($B72)="","",IFERROR((VLOOKUP($B72,'Section Data'!$B$36:$AC$107,3,FALSE)/10)*(VLOOKUP($B72,'Section Data'!$B$36:$AC$107,5,FALSE)/10)^2/4,""))</f>
        <v>10.64448</v>
      </c>
      <c r="Z72" s="84">
        <f t="shared" si="14"/>
        <v>561.31500000000005</v>
      </c>
      <c r="AA72" s="84">
        <f t="shared" si="15"/>
        <v>56.303999999999995</v>
      </c>
      <c r="AB72" s="86">
        <f t="shared" si="16"/>
        <v>7.7420042667664279E-2</v>
      </c>
      <c r="AC72" s="86">
        <f t="shared" si="17"/>
        <v>9.7642814348745631E-3</v>
      </c>
      <c r="AD72" s="1" t="b">
        <f>AND(ISNUMBER(AB72),ISNUMBER(AC72),AB72&gt;=0,AC72&gt;=0,AB72&lt;=0.95,AC72&lt;=0.95,ISNUMBER(D72),D72&gt;0,'Steel Beam Design'!$A$18="")</f>
        <v>1</v>
      </c>
      <c r="AE72" s="84">
        <f>'Steel Beam Design'!O26</f>
        <v>69.531249999999972</v>
      </c>
    </row>
    <row r="73" spans="1:31">
      <c r="A73" s="1" t="s">
        <v>467</v>
      </c>
      <c r="B73" s="1" t="str">
        <f>'Section Data'!B72</f>
        <v>457x152x67</v>
      </c>
      <c r="C73" s="1" t="s">
        <v>368</v>
      </c>
      <c r="D73" s="84">
        <f>'Section Data'!C72</f>
        <v>67.2</v>
      </c>
      <c r="E73" s="84">
        <f>'Section Data'!Q72</f>
        <v>28930</v>
      </c>
      <c r="F73" s="84">
        <f>'Steel Beam Design'!D7003</f>
        <v>43.457031249999979</v>
      </c>
      <c r="G73" s="84">
        <f>'Steel Beam Design'!D7027</f>
        <v>318.999074477352</v>
      </c>
      <c r="H73" s="84" t="str">
        <f>IF(TRIM($B73)="","",IFERROR('Steel Beam Design'!$D$7006,""))</f>
        <v>S355</v>
      </c>
      <c r="I73" s="84">
        <f>IF(TRIM($B73)="","",IFERROR(MAX(VLOOKUP($B73,'Section Data'!$B$36:$AC$107,5,FALSE),VLOOKUP($B73,'Section Data'!$B$36:$AC$107,6,FALSE)),""))</f>
        <v>15</v>
      </c>
      <c r="J73" s="84">
        <f>IF(TRIM($B73)="","",IFERROR(IF(I73&gt;150,"",INDEX('Section Data'!$AH$5:$AK$10,IF(I73&lt;=16,1,IF(I73&lt;=40,2,IF(I73&lt;=63,3,IF(I73&lt;=80,4,IF(I73&lt;=100,5,6))))),MATCH(H73,'Section Data'!$AH$4:$AK$4,0))),""))</f>
        <v>355</v>
      </c>
      <c r="K73" s="84">
        <f t="shared" si="9"/>
        <v>0.88014083380101371</v>
      </c>
      <c r="L73" s="84">
        <f>IF(TRIM($B73)="","",IFERROR(VLOOKUP($B73,'Section Data'!$B$36:$AC$107,9,FALSE),""))</f>
        <v>5.13</v>
      </c>
      <c r="M73" s="84">
        <f>IF(TRIM($B73)="","",IFERROR(VLOOKUP($B73,'Section Data'!$B$36:$AC$107,10,FALSE),""))</f>
        <v>45.3</v>
      </c>
      <c r="N73" s="84">
        <f t="shared" si="10"/>
        <v>8</v>
      </c>
      <c r="O73" s="84">
        <f t="shared" si="11"/>
        <v>80</v>
      </c>
      <c r="P73" s="84">
        <f>IF(TRIM($B73)="","",IFERROR(VLOOKUP($B73,'Section Data'!$B$36:$AC$107,5,FALSE)*VLOOKUP($B73,'Section Data'!$B$36:$AC$107,3,FALSE),""))</f>
        <v>4122</v>
      </c>
      <c r="Q73" s="84">
        <f t="shared" si="12"/>
        <v>844.84242240787137</v>
      </c>
      <c r="R73" s="84">
        <f>'Steel Beam Design'!B3511</f>
        <v>111.25</v>
      </c>
      <c r="S73" s="84">
        <f t="shared" si="13"/>
        <v>0</v>
      </c>
      <c r="T73" s="84">
        <f>IF(TRIM($B73)="","",IFERROR(VLOOKUP($B73,'Section Data'!$B$36:$AC$107,20,FALSE),""))</f>
        <v>1263</v>
      </c>
      <c r="U73" s="84">
        <f>IF(TRIM($B73)="","",IFERROR(VLOOKUP($B73,'Section Data'!$B$36:$AC$107,21,FALSE),""))</f>
        <v>119</v>
      </c>
      <c r="V73" s="84">
        <f>IF(TRIM($B73)="","",IFERROR(VLOOKUP($B73,'Section Data'!$B$36:$AC$107,22,FALSE),""))</f>
        <v>1453</v>
      </c>
      <c r="W73" s="84">
        <f>IF(TRIM($B73)="","",IFERROR(VLOOKUP($B73,'Section Data'!$B$36:$AC$107,23,FALSE),""))</f>
        <v>187</v>
      </c>
      <c r="X73" s="84">
        <f>IF(TRIM($B73)="","",IFERROR((VLOOKUP($B73,'Section Data'!$B$36:$AC$107,5,FALSE)/10)*(VLOOKUP($B73,'Section Data'!$B$36:$AC$107,3,FALSE)/10)^2/4,""))</f>
        <v>471.96899999999999</v>
      </c>
      <c r="Y73" s="84">
        <f>IF(TRIM($B73)="","",IFERROR((VLOOKUP($B73,'Section Data'!$B$36:$AC$107,3,FALSE)/10)*(VLOOKUP($B73,'Section Data'!$B$36:$AC$107,5,FALSE)/10)^2/4,""))</f>
        <v>9.2744999999999997</v>
      </c>
      <c r="Z73" s="84">
        <f t="shared" si="14"/>
        <v>515.81500000000005</v>
      </c>
      <c r="AA73" s="84">
        <f t="shared" si="15"/>
        <v>50.693999999999996</v>
      </c>
      <c r="AB73" s="86">
        <f t="shared" si="16"/>
        <v>8.42492584550662E-2</v>
      </c>
      <c r="AC73" s="86">
        <f t="shared" si="17"/>
        <v>1.1026583977786105E-2</v>
      </c>
      <c r="AD73" s="1" t="b">
        <f>AND(ISNUMBER(AB73),ISNUMBER(AC73),AB73&gt;=0,AC73&gt;=0,AB73&lt;=0.95,AC73&lt;=0.95,ISNUMBER(D73),D73&gt;0,'Steel Beam Design'!$A$18="")</f>
        <v>1</v>
      </c>
      <c r="AE73" s="84">
        <f>'Steel Beam Design'!O26</f>
        <v>69.531249999999972</v>
      </c>
    </row>
    <row r="74" spans="1:31">
      <c r="A74" s="1" t="s">
        <v>467</v>
      </c>
      <c r="B74" s="1" t="str">
        <f>'Section Data'!B73</f>
        <v>457x152x60</v>
      </c>
      <c r="C74" s="1" t="s">
        <v>368</v>
      </c>
      <c r="D74" s="84">
        <f>'Section Data'!C73</f>
        <v>59.8</v>
      </c>
      <c r="E74" s="84">
        <f>'Section Data'!Q73</f>
        <v>25500</v>
      </c>
      <c r="F74" s="84">
        <f>'Steel Beam Design'!D7003</f>
        <v>43.457031249999979</v>
      </c>
      <c r="G74" s="84">
        <f>'Steel Beam Design'!D7027</f>
        <v>318.999074477352</v>
      </c>
      <c r="H74" s="84" t="str">
        <f>IF(TRIM($B74)="","",IFERROR('Steel Beam Design'!$D$7006,""))</f>
        <v>S355</v>
      </c>
      <c r="I74" s="84">
        <f>IF(TRIM($B74)="","",IFERROR(MAX(VLOOKUP($B74,'Section Data'!$B$36:$AC$107,5,FALSE),VLOOKUP($B74,'Section Data'!$B$36:$AC$107,6,FALSE)),""))</f>
        <v>13.3</v>
      </c>
      <c r="J74" s="84">
        <f>IF(TRIM($B74)="","",IFERROR(IF(I74&gt;150,"",INDEX('Section Data'!$AH$5:$AK$10,IF(I74&lt;=16,1,IF(I74&lt;=40,2,IF(I74&lt;=63,3,IF(I74&lt;=80,4,IF(I74&lt;=100,5,6))))),MATCH(H74,'Section Data'!$AH$4:$AK$4,0))),""))</f>
        <v>355</v>
      </c>
      <c r="K74" s="84">
        <f t="shared" si="9"/>
        <v>0.88014083380101371</v>
      </c>
      <c r="L74" s="84">
        <f>IF(TRIM($B74)="","",IFERROR(VLOOKUP($B74,'Section Data'!$B$36:$AC$107,9,FALSE),""))</f>
        <v>5.76</v>
      </c>
      <c r="M74" s="84">
        <f>IF(TRIM($B74)="","",IFERROR(VLOOKUP($B74,'Section Data'!$B$36:$AC$107,10,FALSE),""))</f>
        <v>50.3</v>
      </c>
      <c r="N74" s="84">
        <f t="shared" si="10"/>
        <v>8</v>
      </c>
      <c r="O74" s="84">
        <f t="shared" si="11"/>
        <v>80</v>
      </c>
      <c r="P74" s="84">
        <f>IF(TRIM($B74)="","",IFERROR(VLOOKUP($B74,'Section Data'!$B$36:$AC$107,5,FALSE)*VLOOKUP($B74,'Section Data'!$B$36:$AC$107,3,FALSE),""))</f>
        <v>3682.26</v>
      </c>
      <c r="Q74" s="84">
        <f t="shared" si="12"/>
        <v>754.71359979029808</v>
      </c>
      <c r="R74" s="84">
        <f>'Steel Beam Design'!B3511</f>
        <v>111.25</v>
      </c>
      <c r="S74" s="84">
        <f t="shared" si="13"/>
        <v>0</v>
      </c>
      <c r="T74" s="84">
        <f>IF(TRIM($B74)="","",IFERROR(VLOOKUP($B74,'Section Data'!$B$36:$AC$107,20,FALSE),""))</f>
        <v>1122</v>
      </c>
      <c r="U74" s="84">
        <f>IF(TRIM($B74)="","",IFERROR(VLOOKUP($B74,'Section Data'!$B$36:$AC$107,21,FALSE),""))</f>
        <v>104</v>
      </c>
      <c r="V74" s="84">
        <f>IF(TRIM($B74)="","",IFERROR(VLOOKUP($B74,'Section Data'!$B$36:$AC$107,22,FALSE),""))</f>
        <v>1287</v>
      </c>
      <c r="W74" s="84">
        <f>IF(TRIM($B74)="","",IFERROR(VLOOKUP($B74,'Section Data'!$B$36:$AC$107,23,FALSE),""))</f>
        <v>163</v>
      </c>
      <c r="X74" s="84">
        <f>IF(TRIM($B74)="","",IFERROR((VLOOKUP($B74,'Section Data'!$B$36:$AC$107,5,FALSE)/10)*(VLOOKUP($B74,'Section Data'!$B$36:$AC$107,3,FALSE)/10)^2/4,""))</f>
        <v>418.48884900000002</v>
      </c>
      <c r="Y74" s="84">
        <f>IF(TRIM($B74)="","",IFERROR((VLOOKUP($B74,'Section Data'!$B$36:$AC$107,3,FALSE)/10)*(VLOOKUP($B74,'Section Data'!$B$36:$AC$107,5,FALSE)/10)^2/4,""))</f>
        <v>7.4565764999999988</v>
      </c>
      <c r="Z74" s="84">
        <f t="shared" si="14"/>
        <v>456.88499999999999</v>
      </c>
      <c r="AA74" s="84">
        <f t="shared" si="15"/>
        <v>44.304000000000002</v>
      </c>
      <c r="AB74" s="86">
        <f t="shared" si="16"/>
        <v>9.511590717576629E-2</v>
      </c>
      <c r="AC74" s="86">
        <f t="shared" si="17"/>
        <v>1.2509767626562824E-2</v>
      </c>
      <c r="AD74" s="1" t="b">
        <f>AND(ISNUMBER(AB74),ISNUMBER(AC74),AB74&gt;=0,AC74&gt;=0,AB74&lt;=0.95,AC74&lt;=0.95,ISNUMBER(D74),D74&gt;0,'Steel Beam Design'!$A$18="")</f>
        <v>1</v>
      </c>
      <c r="AE74" s="84">
        <f>'Steel Beam Design'!O26</f>
        <v>69.531249999999972</v>
      </c>
    </row>
    <row r="75" spans="1:31">
      <c r="A75" s="1" t="s">
        <v>467</v>
      </c>
      <c r="B75" s="1" t="str">
        <f>'Section Data'!B74</f>
        <v>457x152x52</v>
      </c>
      <c r="C75" s="1" t="s">
        <v>368</v>
      </c>
      <c r="D75" s="84">
        <f>'Section Data'!C74</f>
        <v>52.3</v>
      </c>
      <c r="E75" s="84">
        <f>'Section Data'!Q74</f>
        <v>21370</v>
      </c>
      <c r="F75" s="84">
        <f>'Steel Beam Design'!D7003</f>
        <v>43.457031249999979</v>
      </c>
      <c r="G75" s="84">
        <f>'Steel Beam Design'!D7027</f>
        <v>318.999074477352</v>
      </c>
      <c r="H75" s="84" t="str">
        <f>IF(TRIM($B75)="","",IFERROR('Steel Beam Design'!$D$7006,""))</f>
        <v>S355</v>
      </c>
      <c r="I75" s="84">
        <f>IF(TRIM($B75)="","",IFERROR(MAX(VLOOKUP($B75,'Section Data'!$B$36:$AC$107,5,FALSE),VLOOKUP($B75,'Section Data'!$B$36:$AC$107,6,FALSE)),""))</f>
        <v>10.9</v>
      </c>
      <c r="J75" s="84">
        <f>IF(TRIM($B75)="","",IFERROR(IF(I75&gt;150,"",INDEX('Section Data'!$AH$5:$AK$10,IF(I75&lt;=16,1,IF(I75&lt;=40,2,IF(I75&lt;=63,3,IF(I75&lt;=80,4,IF(I75&lt;=100,5,6))))),MATCH(H75,'Section Data'!$AH$4:$AK$4,0))),""))</f>
        <v>355</v>
      </c>
      <c r="K75" s="84">
        <f t="shared" si="9"/>
        <v>0.88014083380101371</v>
      </c>
      <c r="L75" s="84">
        <f>IF(TRIM($B75)="","",IFERROR(VLOOKUP($B75,'Section Data'!$B$36:$AC$107,9,FALSE),""))</f>
        <v>6.99</v>
      </c>
      <c r="M75" s="84">
        <f>IF(TRIM($B75)="","",IFERROR(VLOOKUP($B75,'Section Data'!$B$36:$AC$107,10,FALSE),""))</f>
        <v>53.6</v>
      </c>
      <c r="N75" s="84">
        <f t="shared" si="10"/>
        <v>8</v>
      </c>
      <c r="O75" s="84">
        <f t="shared" si="11"/>
        <v>80</v>
      </c>
      <c r="P75" s="84">
        <f>IF(TRIM($B75)="","",IFERROR(VLOOKUP($B75,'Section Data'!$B$36:$AC$107,5,FALSE)*VLOOKUP($B75,'Section Data'!$B$36:$AC$107,3,FALSE),""))</f>
        <v>3418.48</v>
      </c>
      <c r="Q75" s="84">
        <f t="shared" si="12"/>
        <v>700.64942361786984</v>
      </c>
      <c r="R75" s="84">
        <f>'Steel Beam Design'!B3511</f>
        <v>111.25</v>
      </c>
      <c r="S75" s="84">
        <f t="shared" si="13"/>
        <v>0</v>
      </c>
      <c r="T75" s="84">
        <f>IF(TRIM($B75)="","",IFERROR(VLOOKUP($B75,'Section Data'!$B$36:$AC$107,20,FALSE),""))</f>
        <v>950</v>
      </c>
      <c r="U75" s="84">
        <f>IF(TRIM($B75)="","",IFERROR(VLOOKUP($B75,'Section Data'!$B$36:$AC$107,21,FALSE),""))</f>
        <v>84.6</v>
      </c>
      <c r="V75" s="84">
        <f>IF(TRIM($B75)="","",IFERROR(VLOOKUP($B75,'Section Data'!$B$36:$AC$107,22,FALSE),""))</f>
        <v>1096</v>
      </c>
      <c r="W75" s="84">
        <f>IF(TRIM($B75)="","",IFERROR(VLOOKUP($B75,'Section Data'!$B$36:$AC$107,23,FALSE),""))</f>
        <v>133</v>
      </c>
      <c r="X75" s="84">
        <f>IF(TRIM($B75)="","",IFERROR((VLOOKUP($B75,'Section Data'!$B$36:$AC$107,5,FALSE)/10)*(VLOOKUP($B75,'Section Data'!$B$36:$AC$107,3,FALSE)/10)^2/4,""))</f>
        <v>384.40807600000011</v>
      </c>
      <c r="Y75" s="84">
        <f>IF(TRIM($B75)="","",IFERROR((VLOOKUP($B75,'Section Data'!$B$36:$AC$107,3,FALSE)/10)*(VLOOKUP($B75,'Section Data'!$B$36:$AC$107,5,FALSE)/10)^2/4,""))</f>
        <v>6.4951120000000007</v>
      </c>
      <c r="Z75" s="84">
        <f t="shared" si="14"/>
        <v>389.08</v>
      </c>
      <c r="AA75" s="84">
        <f t="shared" si="15"/>
        <v>36.0396</v>
      </c>
      <c r="AB75" s="86">
        <f t="shared" si="16"/>
        <v>0.11169176326205403</v>
      </c>
      <c r="AC75" s="86">
        <f t="shared" si="17"/>
        <v>1.4927425104227983E-2</v>
      </c>
      <c r="AD75" s="1" t="b">
        <f>AND(ISNUMBER(AB75),ISNUMBER(AC75),AB75&gt;=0,AC75&gt;=0,AB75&lt;=0.95,AC75&lt;=0.95,ISNUMBER(D75),D75&gt;0,'Steel Beam Design'!$A$18="")</f>
        <v>1</v>
      </c>
      <c r="AE75" s="84">
        <f>'Steel Beam Design'!O26</f>
        <v>69.531249999999972</v>
      </c>
    </row>
    <row r="76" spans="1:31">
      <c r="A76" s="1" t="s">
        <v>467</v>
      </c>
      <c r="B76" s="1" t="str">
        <f>'Section Data'!B75</f>
        <v>406x178x74</v>
      </c>
      <c r="C76" s="1" t="s">
        <v>368</v>
      </c>
      <c r="D76" s="84">
        <f>'Section Data'!C75</f>
        <v>74.2</v>
      </c>
      <c r="E76" s="84">
        <f>'Section Data'!Q75</f>
        <v>27310</v>
      </c>
      <c r="F76" s="84">
        <f>'Steel Beam Design'!D7003</f>
        <v>43.457031249999979</v>
      </c>
      <c r="G76" s="84">
        <f>'Steel Beam Design'!D7027</f>
        <v>318.999074477352</v>
      </c>
      <c r="H76" s="84" t="str">
        <f>IF(TRIM($B76)="","",IFERROR('Steel Beam Design'!$D$7006,""))</f>
        <v>S355</v>
      </c>
      <c r="I76" s="84">
        <f>IF(TRIM($B76)="","",IFERROR(MAX(VLOOKUP($B76,'Section Data'!$B$36:$AC$107,5,FALSE),VLOOKUP($B76,'Section Data'!$B$36:$AC$107,6,FALSE)),""))</f>
        <v>16</v>
      </c>
      <c r="J76" s="84">
        <f>IF(TRIM($B76)="","",IFERROR(IF(I76&gt;150,"",INDEX('Section Data'!$AH$5:$AK$10,IF(I76&lt;=16,1,IF(I76&lt;=40,2,IF(I76&lt;=63,3,IF(I76&lt;=80,4,IF(I76&lt;=100,5,6))))),MATCH(H76,'Section Data'!$AH$4:$AK$4,0))),""))</f>
        <v>355</v>
      </c>
      <c r="K76" s="84">
        <f t="shared" si="9"/>
        <v>0.88014083380101371</v>
      </c>
      <c r="L76" s="84">
        <f>IF(TRIM($B76)="","",IFERROR(VLOOKUP($B76,'Section Data'!$B$36:$AC$107,9,FALSE),""))</f>
        <v>5.61</v>
      </c>
      <c r="M76" s="84">
        <f>IF(TRIM($B76)="","",IFERROR(VLOOKUP($B76,'Section Data'!$B$36:$AC$107,10,FALSE),""))</f>
        <v>37.9</v>
      </c>
      <c r="N76" s="84">
        <f t="shared" si="10"/>
        <v>8</v>
      </c>
      <c r="O76" s="84">
        <f t="shared" si="11"/>
        <v>80</v>
      </c>
      <c r="P76" s="84">
        <f>IF(TRIM($B76)="","",IFERROR(VLOOKUP($B76,'Section Data'!$B$36:$AC$107,5,FALSE)*VLOOKUP($B76,'Section Data'!$B$36:$AC$107,3,FALSE),""))</f>
        <v>3921.6</v>
      </c>
      <c r="Q76" s="84">
        <f t="shared" si="12"/>
        <v>803.7685695571829</v>
      </c>
      <c r="R76" s="84">
        <f>'Steel Beam Design'!B3511</f>
        <v>111.25</v>
      </c>
      <c r="S76" s="84">
        <f t="shared" si="13"/>
        <v>0</v>
      </c>
      <c r="T76" s="84">
        <f>IF(TRIM($B76)="","",IFERROR(VLOOKUP($B76,'Section Data'!$B$36:$AC$107,20,FALSE),""))</f>
        <v>1323</v>
      </c>
      <c r="U76" s="84">
        <f>IF(TRIM($B76)="","",IFERROR(VLOOKUP($B76,'Section Data'!$B$36:$AC$107,21,FALSE),""))</f>
        <v>172</v>
      </c>
      <c r="V76" s="84">
        <f>IF(TRIM($B76)="","",IFERROR(VLOOKUP($B76,'Section Data'!$B$36:$AC$107,22,FALSE),""))</f>
        <v>1501</v>
      </c>
      <c r="W76" s="84">
        <f>IF(TRIM($B76)="","",IFERROR(VLOOKUP($B76,'Section Data'!$B$36:$AC$107,23,FALSE),""))</f>
        <v>267</v>
      </c>
      <c r="X76" s="84">
        <f>IF(TRIM($B76)="","",IFERROR((VLOOKUP($B76,'Section Data'!$B$36:$AC$107,5,FALSE)/10)*(VLOOKUP($B76,'Section Data'!$B$36:$AC$107,3,FALSE)/10)^2/4,""))</f>
        <v>404.70912000000004</v>
      </c>
      <c r="Y76" s="84">
        <f>IF(TRIM($B76)="","",IFERROR((VLOOKUP($B76,'Section Data'!$B$36:$AC$107,3,FALSE)/10)*(VLOOKUP($B76,'Section Data'!$B$36:$AC$107,5,FALSE)/10)^2/4,""))</f>
        <v>9.3138000000000005</v>
      </c>
      <c r="Z76" s="84">
        <f t="shared" si="14"/>
        <v>532.85500000000002</v>
      </c>
      <c r="AA76" s="84">
        <f t="shared" si="15"/>
        <v>73.272000000000006</v>
      </c>
      <c r="AB76" s="86">
        <f t="shared" si="16"/>
        <v>8.15550783046044E-2</v>
      </c>
      <c r="AC76" s="86">
        <f t="shared" si="17"/>
        <v>1.1680669149665032E-2</v>
      </c>
      <c r="AD76" s="1" t="b">
        <f>AND(ISNUMBER(AB76),ISNUMBER(AC76),AB76&gt;=0,AC76&gt;=0,AB76&lt;=0.95,AC76&lt;=0.95,ISNUMBER(D76),D76&gt;0,'Steel Beam Design'!$A$18="")</f>
        <v>1</v>
      </c>
      <c r="AE76" s="84">
        <f>'Steel Beam Design'!O26</f>
        <v>69.531249999999972</v>
      </c>
    </row>
    <row r="77" spans="1:31">
      <c r="A77" s="1" t="s">
        <v>467</v>
      </c>
      <c r="B77" s="1" t="str">
        <f>'Section Data'!B76</f>
        <v>406x178x67</v>
      </c>
      <c r="C77" s="1" t="s">
        <v>368</v>
      </c>
      <c r="D77" s="84">
        <f>'Section Data'!C76</f>
        <v>67.099999999999994</v>
      </c>
      <c r="E77" s="84">
        <f>'Section Data'!Q76</f>
        <v>24330</v>
      </c>
      <c r="F77" s="84">
        <f>'Steel Beam Design'!D7003</f>
        <v>43.457031249999979</v>
      </c>
      <c r="G77" s="84">
        <f>'Steel Beam Design'!D7027</f>
        <v>318.999074477352</v>
      </c>
      <c r="H77" s="84" t="str">
        <f>IF(TRIM($B77)="","",IFERROR('Steel Beam Design'!$D$7006,""))</f>
        <v>S355</v>
      </c>
      <c r="I77" s="84">
        <f>IF(TRIM($B77)="","",IFERROR(MAX(VLOOKUP($B77,'Section Data'!$B$36:$AC$107,5,FALSE),VLOOKUP($B77,'Section Data'!$B$36:$AC$107,6,FALSE)),""))</f>
        <v>14.3</v>
      </c>
      <c r="J77" s="84">
        <f>IF(TRIM($B77)="","",IFERROR(IF(I77&gt;150,"",INDEX('Section Data'!$AH$5:$AK$10,IF(I77&lt;=16,1,IF(I77&lt;=40,2,IF(I77&lt;=63,3,IF(I77&lt;=80,4,IF(I77&lt;=100,5,6))))),MATCH(H77,'Section Data'!$AH$4:$AK$4,0))),""))</f>
        <v>355</v>
      </c>
      <c r="K77" s="84">
        <f t="shared" si="9"/>
        <v>0.88014083380101371</v>
      </c>
      <c r="L77" s="84">
        <f>IF(TRIM($B77)="","",IFERROR(VLOOKUP($B77,'Section Data'!$B$36:$AC$107,9,FALSE),""))</f>
        <v>6.25</v>
      </c>
      <c r="M77" s="84">
        <f>IF(TRIM($B77)="","",IFERROR(VLOOKUP($B77,'Section Data'!$B$36:$AC$107,10,FALSE),""))</f>
        <v>41</v>
      </c>
      <c r="N77" s="84">
        <f t="shared" si="10"/>
        <v>8</v>
      </c>
      <c r="O77" s="84">
        <f t="shared" si="11"/>
        <v>80</v>
      </c>
      <c r="P77" s="84">
        <f>IF(TRIM($B77)="","",IFERROR(VLOOKUP($B77,'Section Data'!$B$36:$AC$107,5,FALSE)*VLOOKUP($B77,'Section Data'!$B$36:$AC$107,3,FALSE),""))</f>
        <v>3602.7200000000003</v>
      </c>
      <c r="Q77" s="84">
        <f t="shared" si="12"/>
        <v>738.41113344427129</v>
      </c>
      <c r="R77" s="84">
        <f>'Steel Beam Design'!B3511</f>
        <v>111.25</v>
      </c>
      <c r="S77" s="84">
        <f t="shared" si="13"/>
        <v>0</v>
      </c>
      <c r="T77" s="84">
        <f>IF(TRIM($B77)="","",IFERROR(VLOOKUP($B77,'Section Data'!$B$36:$AC$107,20,FALSE),""))</f>
        <v>1189</v>
      </c>
      <c r="U77" s="84">
        <f>IF(TRIM($B77)="","",IFERROR(VLOOKUP($B77,'Section Data'!$B$36:$AC$107,21,FALSE),""))</f>
        <v>153</v>
      </c>
      <c r="V77" s="84">
        <f>IF(TRIM($B77)="","",IFERROR(VLOOKUP($B77,'Section Data'!$B$36:$AC$107,22,FALSE),""))</f>
        <v>1346</v>
      </c>
      <c r="W77" s="84">
        <f>IF(TRIM($B77)="","",IFERROR(VLOOKUP($B77,'Section Data'!$B$36:$AC$107,23,FALSE),""))</f>
        <v>237</v>
      </c>
      <c r="X77" s="84">
        <f>IF(TRIM($B77)="","",IFERROR((VLOOKUP($B77,'Section Data'!$B$36:$AC$107,5,FALSE)/10)*(VLOOKUP($B77,'Section Data'!$B$36:$AC$107,3,FALSE)/10)^2/4,""))</f>
        <v>368.73839199999998</v>
      </c>
      <c r="Y77" s="84">
        <f>IF(TRIM($B77)="","",IFERROR((VLOOKUP($B77,'Section Data'!$B$36:$AC$107,3,FALSE)/10)*(VLOOKUP($B77,'Section Data'!$B$36:$AC$107,5,FALSE)/10)^2/4,""))</f>
        <v>7.9259840000000015</v>
      </c>
      <c r="Z77" s="84">
        <f t="shared" si="14"/>
        <v>477.83</v>
      </c>
      <c r="AA77" s="84">
        <f t="shared" si="15"/>
        <v>65.177999999999997</v>
      </c>
      <c r="AB77" s="86">
        <f t="shared" si="16"/>
        <v>9.0946636356026164E-2</v>
      </c>
      <c r="AC77" s="86">
        <f t="shared" si="17"/>
        <v>1.3111347080861159E-2</v>
      </c>
      <c r="AD77" s="1" t="b">
        <f>AND(ISNUMBER(AB77),ISNUMBER(AC77),AB77&gt;=0,AC77&gt;=0,AB77&lt;=0.95,AC77&lt;=0.95,ISNUMBER(D77),D77&gt;0,'Steel Beam Design'!$A$18="")</f>
        <v>1</v>
      </c>
      <c r="AE77" s="84">
        <f>'Steel Beam Design'!O26</f>
        <v>69.531249999999972</v>
      </c>
    </row>
    <row r="78" spans="1:31">
      <c r="A78" s="1" t="s">
        <v>467</v>
      </c>
      <c r="B78" s="1" t="str">
        <f>'Section Data'!B77</f>
        <v>406x178x60</v>
      </c>
      <c r="C78" s="1" t="s">
        <v>368</v>
      </c>
      <c r="D78" s="84">
        <f>'Section Data'!C77</f>
        <v>6.1</v>
      </c>
      <c r="E78" s="84">
        <f>'Section Data'!Q77</f>
        <v>21600</v>
      </c>
      <c r="F78" s="84">
        <f>'Steel Beam Design'!D7003</f>
        <v>43.457031249999979</v>
      </c>
      <c r="G78" s="84">
        <f>'Steel Beam Design'!D7027</f>
        <v>318.999074477352</v>
      </c>
      <c r="H78" s="84" t="str">
        <f>IF(TRIM($B78)="","",IFERROR('Steel Beam Design'!$D$7006,""))</f>
        <v>S355</v>
      </c>
      <c r="I78" s="84">
        <f>IF(TRIM($B78)="","",IFERROR(MAX(VLOOKUP($B78,'Section Data'!$B$36:$AC$107,5,FALSE),VLOOKUP($B78,'Section Data'!$B$36:$AC$107,6,FALSE)),""))</f>
        <v>12.8</v>
      </c>
      <c r="J78" s="84">
        <f>IF(TRIM($B78)="","",IFERROR(IF(I78&gt;150,"",INDEX('Section Data'!$AH$5:$AK$10,IF(I78&lt;=16,1,IF(I78&lt;=40,2,IF(I78&lt;=63,3,IF(I78&lt;=80,4,IF(I78&lt;=100,5,6))))),MATCH(H78,'Section Data'!$AH$4:$AK$4,0))),""))</f>
        <v>355</v>
      </c>
      <c r="K78" s="84">
        <f t="shared" si="9"/>
        <v>0.88014083380101371</v>
      </c>
      <c r="L78" s="84">
        <f>IF(TRIM($B78)="","",IFERROR(VLOOKUP($B78,'Section Data'!$B$36:$AC$107,9,FALSE),""))</f>
        <v>6.95</v>
      </c>
      <c r="M78" s="84">
        <f>IF(TRIM($B78)="","",IFERROR(VLOOKUP($B78,'Section Data'!$B$36:$AC$107,10,FALSE),""))</f>
        <v>45.6</v>
      </c>
      <c r="N78" s="84">
        <f t="shared" si="10"/>
        <v>8</v>
      </c>
      <c r="O78" s="84">
        <f t="shared" si="11"/>
        <v>80</v>
      </c>
      <c r="P78" s="84">
        <f>IF(TRIM($B78)="","",IFERROR(VLOOKUP($B78,'Section Data'!$B$36:$AC$107,5,FALSE)*VLOOKUP($B78,'Section Data'!$B$36:$AC$107,3,FALSE),""))</f>
        <v>3210.56</v>
      </c>
      <c r="Q78" s="84">
        <f t="shared" si="12"/>
        <v>658.03427648855302</v>
      </c>
      <c r="R78" s="84">
        <f>'Steel Beam Design'!B3511</f>
        <v>111.25</v>
      </c>
      <c r="S78" s="84">
        <f t="shared" si="13"/>
        <v>0</v>
      </c>
      <c r="T78" s="84">
        <f>IF(TRIM($B78)="","",IFERROR(VLOOKUP($B78,'Section Data'!$B$36:$AC$107,20,FALSE),""))</f>
        <v>1063</v>
      </c>
      <c r="U78" s="84">
        <f>IF(TRIM($B78)="","",IFERROR(VLOOKUP($B78,'Section Data'!$B$36:$AC$107,21,FALSE),""))</f>
        <v>135</v>
      </c>
      <c r="V78" s="84">
        <f>IF(TRIM($B78)="","",IFERROR(VLOOKUP($B78,'Section Data'!$B$36:$AC$107,22,FALSE),""))</f>
        <v>1199</v>
      </c>
      <c r="W78" s="84">
        <f>IF(TRIM($B78)="","",IFERROR(VLOOKUP($B78,'Section Data'!$B$36:$AC$107,23,FALSE),""))</f>
        <v>209</v>
      </c>
      <c r="X78" s="84">
        <f>IF(TRIM($B78)="","",IFERROR((VLOOKUP($B78,'Section Data'!$B$36:$AC$107,5,FALSE)/10)*(VLOOKUP($B78,'Section Data'!$B$36:$AC$107,3,FALSE)/10)^2/4,""))</f>
        <v>326.19289600000002</v>
      </c>
      <c r="Y78" s="84">
        <f>IF(TRIM($B78)="","",IFERROR((VLOOKUP($B78,'Section Data'!$B$36:$AC$107,3,FALSE)/10)*(VLOOKUP($B78,'Section Data'!$B$36:$AC$107,5,FALSE)/10)^2/4,""))</f>
        <v>6.3408560000000014</v>
      </c>
      <c r="Z78" s="84">
        <f t="shared" si="14"/>
        <v>425.64499999999998</v>
      </c>
      <c r="AA78" s="84">
        <f t="shared" si="15"/>
        <v>57.51</v>
      </c>
      <c r="AB78" s="86">
        <f t="shared" si="16"/>
        <v>0.10209689118866656</v>
      </c>
      <c r="AC78" s="86">
        <f t="shared" si="17"/>
        <v>1.4768475670247777E-2</v>
      </c>
      <c r="AD78" s="1" t="b">
        <f>AND(ISNUMBER(AB78),ISNUMBER(AC78),AB78&gt;=0,AC78&gt;=0,AB78&lt;=0.95,AC78&lt;=0.95,ISNUMBER(D78),D78&gt;0,'Steel Beam Design'!$A$18="")</f>
        <v>1</v>
      </c>
      <c r="AE78" s="84">
        <f>'Steel Beam Design'!O26</f>
        <v>69.531249999999972</v>
      </c>
    </row>
    <row r="79" spans="1:31">
      <c r="A79" s="1" t="s">
        <v>467</v>
      </c>
      <c r="B79" s="1" t="str">
        <f>'Section Data'!B78</f>
        <v>406x178x54</v>
      </c>
      <c r="C79" s="1" t="s">
        <v>368</v>
      </c>
      <c r="D79" s="84">
        <f>'Section Data'!C78</f>
        <v>54.1</v>
      </c>
      <c r="E79" s="84">
        <f>'Section Data'!Q78</f>
        <v>18720</v>
      </c>
      <c r="F79" s="84">
        <f>'Steel Beam Design'!D7003</f>
        <v>43.457031249999979</v>
      </c>
      <c r="G79" s="84">
        <f>'Steel Beam Design'!D7027</f>
        <v>318.999074477352</v>
      </c>
      <c r="H79" s="84" t="str">
        <f>IF(TRIM($B79)="","",IFERROR('Steel Beam Design'!$D$7006,""))</f>
        <v>S355</v>
      </c>
      <c r="I79" s="84">
        <f>IF(TRIM($B79)="","",IFERROR(MAX(VLOOKUP($B79,'Section Data'!$B$36:$AC$107,5,FALSE),VLOOKUP($B79,'Section Data'!$B$36:$AC$107,6,FALSE)),""))</f>
        <v>10.9</v>
      </c>
      <c r="J79" s="84">
        <f>IF(TRIM($B79)="","",IFERROR(IF(I79&gt;150,"",INDEX('Section Data'!$AH$5:$AK$10,IF(I79&lt;=16,1,IF(I79&lt;=40,2,IF(I79&lt;=63,3,IF(I79&lt;=80,4,IF(I79&lt;=100,5,6))))),MATCH(H79,'Section Data'!$AH$4:$AK$4,0))),""))</f>
        <v>355</v>
      </c>
      <c r="K79" s="84">
        <f t="shared" si="9"/>
        <v>0.88014083380101371</v>
      </c>
      <c r="L79" s="84">
        <f>IF(TRIM($B79)="","",IFERROR(VLOOKUP($B79,'Section Data'!$B$36:$AC$107,9,FALSE),""))</f>
        <v>8.15</v>
      </c>
      <c r="M79" s="84">
        <f>IF(TRIM($B79)="","",IFERROR(VLOOKUP($B79,'Section Data'!$B$36:$AC$107,10,FALSE),""))</f>
        <v>46.8</v>
      </c>
      <c r="N79" s="84">
        <f t="shared" si="10"/>
        <v>13</v>
      </c>
      <c r="O79" s="84">
        <f t="shared" si="11"/>
        <v>80</v>
      </c>
      <c r="P79" s="84">
        <f>IF(TRIM($B79)="","",IFERROR(VLOOKUP($B79,'Section Data'!$B$36:$AC$107,5,FALSE)*VLOOKUP($B79,'Section Data'!$B$36:$AC$107,3,FALSE),""))</f>
        <v>3100.0200000000004</v>
      </c>
      <c r="Q79" s="84">
        <f t="shared" si="12"/>
        <v>635.37807043009445</v>
      </c>
      <c r="R79" s="84">
        <f>'Steel Beam Design'!B3511</f>
        <v>111.25</v>
      </c>
      <c r="S79" s="84">
        <f t="shared" si="13"/>
        <v>0</v>
      </c>
      <c r="T79" s="84">
        <f>IF(TRIM($B79)="","",IFERROR(VLOOKUP($B79,'Section Data'!$B$36:$AC$107,20,FALSE),""))</f>
        <v>930</v>
      </c>
      <c r="U79" s="84">
        <f>IF(TRIM($B79)="","",IFERROR(VLOOKUP($B79,'Section Data'!$B$36:$AC$107,21,FALSE),""))</f>
        <v>115</v>
      </c>
      <c r="V79" s="84">
        <f>IF(TRIM($B79)="","",IFERROR(VLOOKUP($B79,'Section Data'!$B$36:$AC$107,22,FALSE),""))</f>
        <v>1055</v>
      </c>
      <c r="W79" s="84">
        <f>IF(TRIM($B79)="","",IFERROR(VLOOKUP($B79,'Section Data'!$B$36:$AC$107,23,FALSE),""))</f>
        <v>178</v>
      </c>
      <c r="X79" s="84">
        <f>IF(TRIM($B79)="","",IFERROR((VLOOKUP($B79,'Section Data'!$B$36:$AC$107,5,FALSE)/10)*(VLOOKUP($B79,'Section Data'!$B$36:$AC$107,3,FALSE)/10)^2/4,""))</f>
        <v>312.01701300000008</v>
      </c>
      <c r="Y79" s="84">
        <f>IF(TRIM($B79)="","",IFERROR((VLOOKUP($B79,'Section Data'!$B$36:$AC$107,3,FALSE)/10)*(VLOOKUP($B79,'Section Data'!$B$36:$AC$107,5,FALSE)/10)^2/4,""))</f>
        <v>5.9675385000000007</v>
      </c>
      <c r="Z79" s="84">
        <f t="shared" si="14"/>
        <v>330.15</v>
      </c>
      <c r="AA79" s="84">
        <f t="shared" si="15"/>
        <v>40.825000000000003</v>
      </c>
      <c r="AB79" s="86">
        <f t="shared" si="16"/>
        <v>0.13162814251097979</v>
      </c>
      <c r="AC79" s="86">
        <f t="shared" si="17"/>
        <v>1.7040548850285896E-2</v>
      </c>
      <c r="AD79" s="1" t="b">
        <f>AND(ISNUMBER(AB79),ISNUMBER(AC79),AB79&gt;=0,AC79&gt;=0,AB79&lt;=0.95,AC79&lt;=0.95,ISNUMBER(D79),D79&gt;0,'Steel Beam Design'!$A$18="")</f>
        <v>1</v>
      </c>
      <c r="AE79" s="84">
        <f>'Steel Beam Design'!O26</f>
        <v>69.531249999999972</v>
      </c>
    </row>
    <row r="80" spans="1:31">
      <c r="A80" s="1" t="s">
        <v>467</v>
      </c>
      <c r="B80" s="1" t="str">
        <f>'Section Data'!B79</f>
        <v>406x140x46</v>
      </c>
      <c r="C80" s="1" t="s">
        <v>368</v>
      </c>
      <c r="D80" s="84">
        <f>'Section Data'!C79</f>
        <v>46</v>
      </c>
      <c r="E80" s="84">
        <f>'Section Data'!Q79</f>
        <v>15690</v>
      </c>
      <c r="F80" s="84">
        <f>'Steel Beam Design'!D7003</f>
        <v>43.457031249999979</v>
      </c>
      <c r="G80" s="84">
        <f>'Steel Beam Design'!D7027</f>
        <v>318.999074477352</v>
      </c>
      <c r="H80" s="84" t="str">
        <f>IF(TRIM($B80)="","",IFERROR('Steel Beam Design'!$D$7006,""))</f>
        <v>S355</v>
      </c>
      <c r="I80" s="84">
        <f>IF(TRIM($B80)="","",IFERROR(MAX(VLOOKUP($B80,'Section Data'!$B$36:$AC$107,5,FALSE),VLOOKUP($B80,'Section Data'!$B$36:$AC$107,6,FALSE)),""))</f>
        <v>11.2</v>
      </c>
      <c r="J80" s="84">
        <f>IF(TRIM($B80)="","",IFERROR(IF(I80&gt;150,"",INDEX('Section Data'!$AH$5:$AK$10,IF(I80&lt;=16,1,IF(I80&lt;=40,2,IF(I80&lt;=63,3,IF(I80&lt;=80,4,IF(I80&lt;=100,5,6))))),MATCH(H80,'Section Data'!$AH$4:$AK$4,0))),""))</f>
        <v>355</v>
      </c>
      <c r="K80" s="84">
        <f t="shared" si="9"/>
        <v>0.88014083380101371</v>
      </c>
      <c r="L80" s="84">
        <f>IF(TRIM($B80)="","",IFERROR(VLOOKUP($B80,'Section Data'!$B$36:$AC$107,9,FALSE),""))</f>
        <v>6.35</v>
      </c>
      <c r="M80" s="84">
        <f>IF(TRIM($B80)="","",IFERROR(VLOOKUP($B80,'Section Data'!$B$36:$AC$107,10,FALSE),""))</f>
        <v>53</v>
      </c>
      <c r="N80" s="84">
        <f t="shared" si="10"/>
        <v>8</v>
      </c>
      <c r="O80" s="84">
        <f t="shared" si="11"/>
        <v>80</v>
      </c>
      <c r="P80" s="84">
        <f>IF(TRIM($B80)="","",IFERROR(VLOOKUP($B80,'Section Data'!$B$36:$AC$107,5,FALSE)*VLOOKUP($B80,'Section Data'!$B$36:$AC$107,3,FALSE),""))</f>
        <v>2741.7599999999998</v>
      </c>
      <c r="Q80" s="84">
        <f t="shared" si="12"/>
        <v>561.94933528893864</v>
      </c>
      <c r="R80" s="84">
        <f>'Steel Beam Design'!B3511</f>
        <v>111.25</v>
      </c>
      <c r="S80" s="84">
        <f t="shared" si="13"/>
        <v>0</v>
      </c>
      <c r="T80" s="84">
        <f>IF(TRIM($B80)="","",IFERROR(VLOOKUP($B80,'Section Data'!$B$36:$AC$107,20,FALSE),""))</f>
        <v>778</v>
      </c>
      <c r="U80" s="84">
        <f>IF(TRIM($B80)="","",IFERROR(VLOOKUP($B80,'Section Data'!$B$36:$AC$107,21,FALSE),""))</f>
        <v>75.7</v>
      </c>
      <c r="V80" s="84">
        <f>IF(TRIM($B80)="","",IFERROR(VLOOKUP($B80,'Section Data'!$B$36:$AC$107,22,FALSE),""))</f>
        <v>888</v>
      </c>
      <c r="W80" s="84">
        <f>IF(TRIM($B80)="","",IFERROR(VLOOKUP($B80,'Section Data'!$B$36:$AC$107,23,FALSE),""))</f>
        <v>118</v>
      </c>
      <c r="X80" s="84">
        <f>IF(TRIM($B80)="","",IFERROR((VLOOKUP($B80,'Section Data'!$B$36:$AC$107,5,FALSE)/10)*(VLOOKUP($B80,'Section Data'!$B$36:$AC$107,3,FALSE)/10)^2/4,""))</f>
        <v>276.36940800000002</v>
      </c>
      <c r="Y80" s="84">
        <f>IF(TRIM($B80)="","",IFERROR((VLOOKUP($B80,'Section Data'!$B$36:$AC$107,3,FALSE)/10)*(VLOOKUP($B80,'Section Data'!$B$36:$AC$107,5,FALSE)/10)^2/4,""))</f>
        <v>4.6609919999999994</v>
      </c>
      <c r="Z80" s="84">
        <f t="shared" si="14"/>
        <v>315.24</v>
      </c>
      <c r="AA80" s="84">
        <f t="shared" si="15"/>
        <v>32.248200000000004</v>
      </c>
      <c r="AB80" s="86">
        <f t="shared" si="16"/>
        <v>0.13785379790001262</v>
      </c>
      <c r="AC80" s="86">
        <f t="shared" si="17"/>
        <v>2.0331362299385085E-2</v>
      </c>
      <c r="AD80" s="1" t="b">
        <f>AND(ISNUMBER(AB80),ISNUMBER(AC80),AB80&gt;=0,AC80&gt;=0,AB80&lt;=0.95,AC80&lt;=0.95,ISNUMBER(D80),D80&gt;0,'Steel Beam Design'!$A$18="")</f>
        <v>1</v>
      </c>
      <c r="AE80" s="84">
        <f>'Steel Beam Design'!O26</f>
        <v>69.531249999999972</v>
      </c>
    </row>
    <row r="81" spans="1:31">
      <c r="A81" s="1" t="s">
        <v>467</v>
      </c>
      <c r="B81" s="1" t="str">
        <f>'Section Data'!B80</f>
        <v>406x140x36</v>
      </c>
      <c r="C81" s="1" t="s">
        <v>368</v>
      </c>
      <c r="D81" s="84">
        <f>'Section Data'!C80</f>
        <v>39</v>
      </c>
      <c r="E81" s="84">
        <f>'Section Data'!Q80</f>
        <v>12510</v>
      </c>
      <c r="F81" s="84">
        <f>'Steel Beam Design'!D7003</f>
        <v>43.457031249999979</v>
      </c>
      <c r="G81" s="84">
        <f>'Steel Beam Design'!D7027</f>
        <v>318.999074477352</v>
      </c>
      <c r="H81" s="84" t="str">
        <f>IF(TRIM($B81)="","",IFERROR('Steel Beam Design'!$D$7006,""))</f>
        <v>S355</v>
      </c>
      <c r="I81" s="84">
        <f>IF(TRIM($B81)="","",IFERROR(MAX(VLOOKUP($B81,'Section Data'!$B$36:$AC$107,5,FALSE),VLOOKUP($B81,'Section Data'!$B$36:$AC$107,6,FALSE)),""))</f>
        <v>8.6</v>
      </c>
      <c r="J81" s="84">
        <f>IF(TRIM($B81)="","",IFERROR(IF(I81&gt;150,"",INDEX('Section Data'!$AH$5:$AK$10,IF(I81&lt;=16,1,IF(I81&lt;=40,2,IF(I81&lt;=63,3,IF(I81&lt;=80,4,IF(I81&lt;=100,5,6))))),MATCH(H81,'Section Data'!$AH$4:$AK$4,0))),""))</f>
        <v>355</v>
      </c>
      <c r="K81" s="84">
        <f t="shared" si="9"/>
        <v>0.88014083380101371</v>
      </c>
      <c r="L81" s="84">
        <f>IF(TRIM($B81)="","",IFERROR(VLOOKUP($B81,'Section Data'!$B$36:$AC$107,9,FALSE),""))</f>
        <v>8.24</v>
      </c>
      <c r="M81" s="84">
        <f>IF(TRIM($B81)="","",IFERROR(VLOOKUP($B81,'Section Data'!$B$36:$AC$107,10,FALSE),""))</f>
        <v>56.3</v>
      </c>
      <c r="N81" s="84">
        <f t="shared" si="10"/>
        <v>13</v>
      </c>
      <c r="O81" s="84">
        <f t="shared" si="11"/>
        <v>80</v>
      </c>
      <c r="P81" s="84">
        <f>IF(TRIM($B81)="","",IFERROR(VLOOKUP($B81,'Section Data'!$B$36:$AC$107,5,FALSE)*VLOOKUP($B81,'Section Data'!$B$36:$AC$107,3,FALSE),""))</f>
        <v>2547.2000000000003</v>
      </c>
      <c r="Q81" s="84">
        <f t="shared" si="12"/>
        <v>522.07244501633431</v>
      </c>
      <c r="R81" s="84">
        <f>'Steel Beam Design'!B3511</f>
        <v>111.25</v>
      </c>
      <c r="S81" s="84">
        <f t="shared" si="13"/>
        <v>0</v>
      </c>
      <c r="T81" s="84">
        <f>IF(TRIM($B81)="","",IFERROR(VLOOKUP($B81,'Section Data'!$B$36:$AC$107,20,FALSE),""))</f>
        <v>629</v>
      </c>
      <c r="U81" s="84">
        <f>IF(TRIM($B81)="","",IFERROR(VLOOKUP($B81,'Section Data'!$B$36:$AC$107,21,FALSE),""))</f>
        <v>57.8</v>
      </c>
      <c r="V81" s="84">
        <f>IF(TRIM($B81)="","",IFERROR(VLOOKUP($B81,'Section Data'!$B$36:$AC$107,22,FALSE),""))</f>
        <v>724</v>
      </c>
      <c r="W81" s="84">
        <f>IF(TRIM($B81)="","",IFERROR(VLOOKUP($B81,'Section Data'!$B$36:$AC$107,23,FALSE),""))</f>
        <v>90.8</v>
      </c>
      <c r="X81" s="84">
        <f>IF(TRIM($B81)="","",IFERROR((VLOOKUP($B81,'Section Data'!$B$36:$AC$107,5,FALSE)/10)*(VLOOKUP($B81,'Section Data'!$B$36:$AC$107,3,FALSE)/10)^2/4,""))</f>
        <v>253.44639999999995</v>
      </c>
      <c r="Y81" s="84">
        <f>IF(TRIM($B81)="","",IFERROR((VLOOKUP($B81,'Section Data'!$B$36:$AC$107,3,FALSE)/10)*(VLOOKUP($B81,'Section Data'!$B$36:$AC$107,5,FALSE)/10)^2/4,""))</f>
        <v>4.07552</v>
      </c>
      <c r="Z81" s="84">
        <f t="shared" si="14"/>
        <v>223.29499999999999</v>
      </c>
      <c r="AA81" s="84">
        <f t="shared" si="15"/>
        <v>20.518999999999998</v>
      </c>
      <c r="AB81" s="86">
        <f t="shared" si="16"/>
        <v>0.19461712644707665</v>
      </c>
      <c r="AC81" s="86">
        <f t="shared" si="17"/>
        <v>2.5499526337118467E-2</v>
      </c>
      <c r="AD81" s="1" t="b">
        <f>AND(ISNUMBER(AB81),ISNUMBER(AC81),AB81&gt;=0,AC81&gt;=0,AB81&lt;=0.95,AC81&lt;=0.95,ISNUMBER(D81),D81&gt;0,'Steel Beam Design'!$A$18="")</f>
        <v>1</v>
      </c>
      <c r="AE81" s="84">
        <f>'Steel Beam Design'!O26</f>
        <v>69.531249999999972</v>
      </c>
    </row>
    <row r="82" spans="1:31">
      <c r="A82" s="1" t="s">
        <v>467</v>
      </c>
      <c r="B82" s="1" t="str">
        <f>'Section Data'!B81</f>
        <v>356x171x67</v>
      </c>
      <c r="C82" s="1" t="s">
        <v>368</v>
      </c>
      <c r="D82" s="84">
        <f>'Section Data'!C81</f>
        <v>67.099999999999994</v>
      </c>
      <c r="E82" s="84">
        <f>'Section Data'!Q81</f>
        <v>19460</v>
      </c>
      <c r="F82" s="84">
        <f>'Steel Beam Design'!D7003</f>
        <v>43.457031249999979</v>
      </c>
      <c r="G82" s="84">
        <f>'Steel Beam Design'!D7027</f>
        <v>318.999074477352</v>
      </c>
      <c r="H82" s="84" t="str">
        <f>IF(TRIM($B82)="","",IFERROR('Steel Beam Design'!$D$7006,""))</f>
        <v>S355</v>
      </c>
      <c r="I82" s="84">
        <f>IF(TRIM($B82)="","",IFERROR(MAX(VLOOKUP($B82,'Section Data'!$B$36:$AC$107,5,FALSE),VLOOKUP($B82,'Section Data'!$B$36:$AC$107,6,FALSE)),""))</f>
        <v>15.7</v>
      </c>
      <c r="J82" s="84">
        <f>IF(TRIM($B82)="","",IFERROR(IF(I82&gt;150,"",INDEX('Section Data'!$AH$5:$AK$10,IF(I82&lt;=16,1,IF(I82&lt;=40,2,IF(I82&lt;=63,3,IF(I82&lt;=80,4,IF(I82&lt;=100,5,6))))),MATCH(H82,'Section Data'!$AH$4:$AK$4,0))),""))</f>
        <v>355</v>
      </c>
      <c r="K82" s="84">
        <f t="shared" si="9"/>
        <v>0.88014083380101371</v>
      </c>
      <c r="L82" s="84">
        <f>IF(TRIM($B82)="","",IFERROR(VLOOKUP($B82,'Section Data'!$B$36:$AC$107,9,FALSE),""))</f>
        <v>5.52</v>
      </c>
      <c r="M82" s="84">
        <f>IF(TRIM($B82)="","",IFERROR(VLOOKUP($B82,'Section Data'!$B$36:$AC$107,10,FALSE),""))</f>
        <v>34.200000000000003</v>
      </c>
      <c r="N82" s="84">
        <f t="shared" si="10"/>
        <v>8</v>
      </c>
      <c r="O82" s="84">
        <f t="shared" si="11"/>
        <v>80</v>
      </c>
      <c r="P82" s="84">
        <f>IF(TRIM($B82)="","",IFERROR(VLOOKUP($B82,'Section Data'!$B$36:$AC$107,5,FALSE)*VLOOKUP($B82,'Section Data'!$B$36:$AC$107,3,FALSE),""))</f>
        <v>3306.9399999999996</v>
      </c>
      <c r="Q82" s="84">
        <f t="shared" si="12"/>
        <v>677.78825821384908</v>
      </c>
      <c r="R82" s="84">
        <f>'Steel Beam Design'!B3511</f>
        <v>111.25</v>
      </c>
      <c r="S82" s="84">
        <f t="shared" si="13"/>
        <v>0</v>
      </c>
      <c r="T82" s="84">
        <f>IF(TRIM($B82)="","",IFERROR(VLOOKUP($B82,'Section Data'!$B$36:$AC$107,20,FALSE),""))</f>
        <v>1071</v>
      </c>
      <c r="U82" s="84">
        <f>IF(TRIM($B82)="","",IFERROR(VLOOKUP($B82,'Section Data'!$B$36:$AC$107,21,FALSE),""))</f>
        <v>157</v>
      </c>
      <c r="V82" s="84">
        <f>IF(TRIM($B82)="","",IFERROR(VLOOKUP($B82,'Section Data'!$B$36:$AC$107,22,FALSE),""))</f>
        <v>1211</v>
      </c>
      <c r="W82" s="84">
        <f>IF(TRIM($B82)="","",IFERROR(VLOOKUP($B82,'Section Data'!$B$36:$AC$107,23,FALSE),""))</f>
        <v>243</v>
      </c>
      <c r="X82" s="84">
        <f>IF(TRIM($B82)="","",IFERROR((VLOOKUP($B82,'Section Data'!$B$36:$AC$107,5,FALSE)/10)*(VLOOKUP($B82,'Section Data'!$B$36:$AC$107,3,FALSE)/10)^2/4,""))</f>
        <v>300.43549899999988</v>
      </c>
      <c r="Y82" s="84">
        <f>IF(TRIM($B82)="","",IFERROR((VLOOKUP($B82,'Section Data'!$B$36:$AC$107,3,FALSE)/10)*(VLOOKUP($B82,'Section Data'!$B$36:$AC$107,5,FALSE)/10)^2/4,""))</f>
        <v>7.5232884999999978</v>
      </c>
      <c r="Z82" s="84">
        <f t="shared" si="14"/>
        <v>429.90499999999997</v>
      </c>
      <c r="AA82" s="84">
        <f t="shared" si="15"/>
        <v>66.882000000000005</v>
      </c>
      <c r="AB82" s="86">
        <f t="shared" si="16"/>
        <v>0.10108519614798614</v>
      </c>
      <c r="AC82" s="86">
        <f t="shared" si="17"/>
        <v>1.639255264529044E-2</v>
      </c>
      <c r="AD82" s="1" t="b">
        <f>AND(ISNUMBER(AB82),ISNUMBER(AC82),AB82&gt;=0,AC82&gt;=0,AB82&lt;=0.95,AC82&lt;=0.95,ISNUMBER(D82),D82&gt;0,'Steel Beam Design'!$A$18="")</f>
        <v>1</v>
      </c>
      <c r="AE82" s="84">
        <f>'Steel Beam Design'!O26</f>
        <v>69.531249999999972</v>
      </c>
    </row>
    <row r="83" spans="1:31">
      <c r="A83" s="1" t="s">
        <v>467</v>
      </c>
      <c r="B83" s="1" t="str">
        <f>'Section Data'!B82</f>
        <v>356x171x57</v>
      </c>
      <c r="C83" s="1" t="s">
        <v>368</v>
      </c>
      <c r="D83" s="84">
        <f>'Section Data'!C82</f>
        <v>54</v>
      </c>
      <c r="E83" s="84">
        <f>'Section Data'!Q82</f>
        <v>16040</v>
      </c>
      <c r="F83" s="84">
        <f>'Steel Beam Design'!D7003</f>
        <v>43.457031249999979</v>
      </c>
      <c r="G83" s="84">
        <f>'Steel Beam Design'!D7027</f>
        <v>318.999074477352</v>
      </c>
      <c r="H83" s="84" t="str">
        <f>IF(TRIM($B83)="","",IFERROR('Steel Beam Design'!$D$7006,""))</f>
        <v>S355</v>
      </c>
      <c r="I83" s="84">
        <f>IF(TRIM($B83)="","",IFERROR(MAX(VLOOKUP($B83,'Section Data'!$B$36:$AC$107,5,FALSE),VLOOKUP($B83,'Section Data'!$B$36:$AC$107,6,FALSE)),""))</f>
        <v>13</v>
      </c>
      <c r="J83" s="84">
        <f>IF(TRIM($B83)="","",IFERROR(IF(I83&gt;150,"",INDEX('Section Data'!$AH$5:$AK$10,IF(I83&lt;=16,1,IF(I83&lt;=40,2,IF(I83&lt;=63,3,IF(I83&lt;=80,4,IF(I83&lt;=100,5,6))))),MATCH(H83,'Section Data'!$AH$4:$AK$4,0))),""))</f>
        <v>355</v>
      </c>
      <c r="K83" s="84">
        <f t="shared" si="9"/>
        <v>0.88014083380101371</v>
      </c>
      <c r="L83" s="84">
        <f>IF(TRIM($B83)="","",IFERROR(VLOOKUP($B83,'Section Data'!$B$36:$AC$107,9,FALSE),""))</f>
        <v>6.62</v>
      </c>
      <c r="M83" s="84">
        <f>IF(TRIM($B83)="","",IFERROR(VLOOKUP($B83,'Section Data'!$B$36:$AC$107,10,FALSE),""))</f>
        <v>38.5</v>
      </c>
      <c r="N83" s="84">
        <f t="shared" si="10"/>
        <v>8</v>
      </c>
      <c r="O83" s="84">
        <f t="shared" si="11"/>
        <v>80</v>
      </c>
      <c r="P83" s="84">
        <f>IF(TRIM($B83)="","",IFERROR(VLOOKUP($B83,'Section Data'!$B$36:$AC$107,5,FALSE)*VLOOKUP($B83,'Section Data'!$B$36:$AC$107,3,FALSE),""))</f>
        <v>2899.7999999999997</v>
      </c>
      <c r="Q83" s="84">
        <f t="shared" si="12"/>
        <v>594.34111026160724</v>
      </c>
      <c r="R83" s="84">
        <f>'Steel Beam Design'!B3511</f>
        <v>111.25</v>
      </c>
      <c r="S83" s="84">
        <f t="shared" si="13"/>
        <v>0</v>
      </c>
      <c r="T83" s="84">
        <f>IF(TRIM($B83)="","",IFERROR(VLOOKUP($B83,'Section Data'!$B$36:$AC$107,20,FALSE),""))</f>
        <v>896</v>
      </c>
      <c r="U83" s="84">
        <f>IF(TRIM($B83)="","",IFERROR(VLOOKUP($B83,'Section Data'!$B$36:$AC$107,21,FALSE),""))</f>
        <v>129</v>
      </c>
      <c r="V83" s="84">
        <f>IF(TRIM($B83)="","",IFERROR(VLOOKUP($B83,'Section Data'!$B$36:$AC$107,22,FALSE),""))</f>
        <v>1010</v>
      </c>
      <c r="W83" s="84">
        <f>IF(TRIM($B83)="","",IFERROR(VLOOKUP($B83,'Section Data'!$B$36:$AC$107,23,FALSE),""))</f>
        <v>199</v>
      </c>
      <c r="X83" s="84">
        <f>IF(TRIM($B83)="","",IFERROR((VLOOKUP($B83,'Section Data'!$B$36:$AC$107,5,FALSE)/10)*(VLOOKUP($B83,'Section Data'!$B$36:$AC$107,3,FALSE)/10)^2/4,""))</f>
        <v>259.53209999999996</v>
      </c>
      <c r="Y83" s="84">
        <f>IF(TRIM($B83)="","",IFERROR((VLOOKUP($B83,'Section Data'!$B$36:$AC$107,3,FALSE)/10)*(VLOOKUP($B83,'Section Data'!$B$36:$AC$107,5,FALSE)/10)^2/4,""))</f>
        <v>5.872094999999999</v>
      </c>
      <c r="Z83" s="84">
        <f t="shared" si="14"/>
        <v>358.55</v>
      </c>
      <c r="AA83" s="84">
        <f t="shared" si="15"/>
        <v>54.953999999999994</v>
      </c>
      <c r="AB83" s="86">
        <f t="shared" si="16"/>
        <v>0.12120215102496158</v>
      </c>
      <c r="AC83" s="86">
        <f t="shared" si="17"/>
        <v>1.9887722847715211E-2</v>
      </c>
      <c r="AD83" s="1" t="b">
        <f>AND(ISNUMBER(AB83),ISNUMBER(AC83),AB83&gt;=0,AC83&gt;=0,AB83&lt;=0.95,AC83&lt;=0.95,ISNUMBER(D83),D83&gt;0,'Steel Beam Design'!$A$18="")</f>
        <v>1</v>
      </c>
      <c r="AE83" s="84">
        <f>'Steel Beam Design'!O26</f>
        <v>69.531249999999972</v>
      </c>
    </row>
    <row r="84" spans="1:31">
      <c r="A84" s="1" t="s">
        <v>467</v>
      </c>
      <c r="B84" s="1" t="str">
        <f>'Section Data'!B83</f>
        <v>356x171x51</v>
      </c>
      <c r="C84" s="1" t="s">
        <v>368</v>
      </c>
      <c r="D84" s="84">
        <f>'Section Data'!C83</f>
        <v>51</v>
      </c>
      <c r="E84" s="84">
        <f>'Section Data'!Q83</f>
        <v>14140</v>
      </c>
      <c r="F84" s="84">
        <f>'Steel Beam Design'!D7003</f>
        <v>43.457031249999979</v>
      </c>
      <c r="G84" s="84">
        <f>'Steel Beam Design'!D7027</f>
        <v>318.999074477352</v>
      </c>
      <c r="H84" s="84" t="str">
        <f>IF(TRIM($B84)="","",IFERROR('Steel Beam Design'!$D$7006,""))</f>
        <v>S355</v>
      </c>
      <c r="I84" s="84">
        <f>IF(TRIM($B84)="","",IFERROR(MAX(VLOOKUP($B84,'Section Data'!$B$36:$AC$107,5,FALSE),VLOOKUP($B84,'Section Data'!$B$36:$AC$107,6,FALSE)),""))</f>
        <v>11.5</v>
      </c>
      <c r="J84" s="84">
        <f>IF(TRIM($B84)="","",IFERROR(IF(I84&gt;150,"",INDEX('Section Data'!$AH$5:$AK$10,IF(I84&lt;=16,1,IF(I84&lt;=40,2,IF(I84&lt;=63,3,IF(I84&lt;=80,4,IF(I84&lt;=100,5,6))))),MATCH(H84,'Section Data'!$AH$4:$AK$4,0))),""))</f>
        <v>355</v>
      </c>
      <c r="K84" s="84">
        <f t="shared" si="9"/>
        <v>0.88014083380101371</v>
      </c>
      <c r="L84" s="84">
        <f>IF(TRIM($B84)="","",IFERROR(VLOOKUP($B84,'Section Data'!$B$36:$AC$107,9,FALSE),""))</f>
        <v>7.46</v>
      </c>
      <c r="M84" s="84">
        <f>IF(TRIM($B84)="","",IFERROR(VLOOKUP($B84,'Section Data'!$B$36:$AC$107,10,FALSE),""))</f>
        <v>42.1</v>
      </c>
      <c r="N84" s="84">
        <f t="shared" si="10"/>
        <v>9</v>
      </c>
      <c r="O84" s="84">
        <f t="shared" si="11"/>
        <v>80</v>
      </c>
      <c r="P84" s="84">
        <f>IF(TRIM($B84)="","",IFERROR(VLOOKUP($B84,'Section Data'!$B$36:$AC$107,5,FALSE)*VLOOKUP($B84,'Section Data'!$B$36:$AC$107,3,FALSE),""))</f>
        <v>2627</v>
      </c>
      <c r="Q84" s="84">
        <f t="shared" si="12"/>
        <v>538.42820079220712</v>
      </c>
      <c r="R84" s="84">
        <f>'Steel Beam Design'!B3511</f>
        <v>111.25</v>
      </c>
      <c r="S84" s="84">
        <f t="shared" si="13"/>
        <v>0</v>
      </c>
      <c r="T84" s="84">
        <f>IF(TRIM($B84)="","",IFERROR(VLOOKUP($B84,'Section Data'!$B$36:$AC$107,20,FALSE),""))</f>
        <v>796</v>
      </c>
      <c r="U84" s="84">
        <f>IF(TRIM($B84)="","",IFERROR(VLOOKUP($B84,'Section Data'!$B$36:$AC$107,21,FALSE),""))</f>
        <v>113</v>
      </c>
      <c r="V84" s="84">
        <f>IF(TRIM($B84)="","",IFERROR(VLOOKUP($B84,'Section Data'!$B$36:$AC$107,22,FALSE),""))</f>
        <v>896</v>
      </c>
      <c r="W84" s="84">
        <f>IF(TRIM($B84)="","",IFERROR(VLOOKUP($B84,'Section Data'!$B$36:$AC$107,23,FALSE),""))</f>
        <v>174</v>
      </c>
      <c r="X84" s="84">
        <f>IF(TRIM($B84)="","",IFERROR((VLOOKUP($B84,'Section Data'!$B$36:$AC$107,5,FALSE)/10)*(VLOOKUP($B84,'Section Data'!$B$36:$AC$107,3,FALSE)/10)^2/4,""))</f>
        <v>233.14625000000001</v>
      </c>
      <c r="Y84" s="84">
        <f>IF(TRIM($B84)="","",IFERROR((VLOOKUP($B84,'Section Data'!$B$36:$AC$107,3,FALSE)/10)*(VLOOKUP($B84,'Section Data'!$B$36:$AC$107,5,FALSE)/10)^2/4,""))</f>
        <v>4.8599499999999995</v>
      </c>
      <c r="Z84" s="84">
        <f t="shared" si="14"/>
        <v>318.08</v>
      </c>
      <c r="AA84" s="84">
        <f t="shared" si="15"/>
        <v>48.137999999999998</v>
      </c>
      <c r="AB84" s="86">
        <f t="shared" si="16"/>
        <v>0.13662296041876251</v>
      </c>
      <c r="AC84" s="86">
        <f t="shared" si="17"/>
        <v>2.2560047699954171E-2</v>
      </c>
      <c r="AD84" s="1" t="b">
        <f>AND(ISNUMBER(AB84),ISNUMBER(AC84),AB84&gt;=0,AC84&gt;=0,AB84&lt;=0.95,AC84&lt;=0.95,ISNUMBER(D84),D84&gt;0,'Steel Beam Design'!$A$18="")</f>
        <v>1</v>
      </c>
      <c r="AE84" s="84">
        <f>'Steel Beam Design'!O26</f>
        <v>69.531249999999972</v>
      </c>
    </row>
    <row r="85" spans="1:31">
      <c r="A85" s="1" t="s">
        <v>467</v>
      </c>
      <c r="B85" s="1" t="str">
        <f>'Section Data'!B84</f>
        <v>356x171x45</v>
      </c>
      <c r="C85" s="1" t="s">
        <v>368</v>
      </c>
      <c r="D85" s="84">
        <f>'Section Data'!C84</f>
        <v>45</v>
      </c>
      <c r="E85" s="84">
        <f>'Section Data'!Q84</f>
        <v>12070</v>
      </c>
      <c r="F85" s="84">
        <f>'Steel Beam Design'!D7003</f>
        <v>43.457031249999979</v>
      </c>
      <c r="G85" s="84">
        <f>'Steel Beam Design'!D7027</f>
        <v>318.999074477352</v>
      </c>
      <c r="H85" s="84" t="str">
        <f>IF(TRIM($B85)="","",IFERROR('Steel Beam Design'!$D$7006,""))</f>
        <v>S355</v>
      </c>
      <c r="I85" s="84">
        <f>IF(TRIM($B85)="","",IFERROR(MAX(VLOOKUP($B85,'Section Data'!$B$36:$AC$107,5,FALSE),VLOOKUP($B85,'Section Data'!$B$36:$AC$107,6,FALSE)),""))</f>
        <v>9.6999999999999993</v>
      </c>
      <c r="J85" s="84">
        <f>IF(TRIM($B85)="","",IFERROR(IF(I85&gt;150,"",INDEX('Section Data'!$AH$5:$AK$10,IF(I85&lt;=16,1,IF(I85&lt;=40,2,IF(I85&lt;=63,3,IF(I85&lt;=80,4,IF(I85&lt;=100,5,6))))),MATCH(H85,'Section Data'!$AH$4:$AK$4,0))),""))</f>
        <v>355</v>
      </c>
      <c r="K85" s="84">
        <f t="shared" si="9"/>
        <v>0.88014083380101371</v>
      </c>
      <c r="L85" s="84">
        <f>IF(TRIM($B85)="","",IFERROR(VLOOKUP($B85,'Section Data'!$B$36:$AC$107,9,FALSE),""))</f>
        <v>8.82</v>
      </c>
      <c r="M85" s="84">
        <f>IF(TRIM($B85)="","",IFERROR(VLOOKUP($B85,'Section Data'!$B$36:$AC$107,10,FALSE),""))</f>
        <v>44.5</v>
      </c>
      <c r="N85" s="84">
        <f t="shared" si="10"/>
        <v>13</v>
      </c>
      <c r="O85" s="84">
        <f t="shared" si="11"/>
        <v>80</v>
      </c>
      <c r="P85" s="84">
        <f>IF(TRIM($B85)="","",IFERROR(VLOOKUP($B85,'Section Data'!$B$36:$AC$107,5,FALSE)*VLOOKUP($B85,'Section Data'!$B$36:$AC$107,3,FALSE),""))</f>
        <v>2459.7999999999997</v>
      </c>
      <c r="Q85" s="84">
        <f t="shared" si="12"/>
        <v>504.1589982141877</v>
      </c>
      <c r="R85" s="84">
        <f>'Steel Beam Design'!B3511</f>
        <v>111.25</v>
      </c>
      <c r="S85" s="84">
        <f t="shared" si="13"/>
        <v>0</v>
      </c>
      <c r="T85" s="84">
        <f>IF(TRIM($B85)="","",IFERROR(VLOOKUP($B85,'Section Data'!$B$36:$AC$107,20,FALSE),""))</f>
        <v>687</v>
      </c>
      <c r="U85" s="84">
        <f>IF(TRIM($B85)="","",IFERROR(VLOOKUP($B85,'Section Data'!$B$36:$AC$107,21,FALSE),""))</f>
        <v>94.8</v>
      </c>
      <c r="V85" s="84">
        <f>IF(TRIM($B85)="","",IFERROR(VLOOKUP($B85,'Section Data'!$B$36:$AC$107,22,FALSE),""))</f>
        <v>775</v>
      </c>
      <c r="W85" s="84">
        <f>IF(TRIM($B85)="","",IFERROR(VLOOKUP($B85,'Section Data'!$B$36:$AC$107,23,FALSE),""))</f>
        <v>147</v>
      </c>
      <c r="X85" s="84">
        <f>IF(TRIM($B85)="","",IFERROR((VLOOKUP($B85,'Section Data'!$B$36:$AC$107,5,FALSE)/10)*(VLOOKUP($B85,'Section Data'!$B$36:$AC$107,3,FALSE)/10)^2/4,""))</f>
        <v>216.09342999999998</v>
      </c>
      <c r="Y85" s="84">
        <f>IF(TRIM($B85)="","",IFERROR((VLOOKUP($B85,'Section Data'!$B$36:$AC$107,3,FALSE)/10)*(VLOOKUP($B85,'Section Data'!$B$36:$AC$107,5,FALSE)/10)^2/4,""))</f>
        <v>4.3046499999999996</v>
      </c>
      <c r="Z85" s="84">
        <f t="shared" si="14"/>
        <v>243.88499999999999</v>
      </c>
      <c r="AA85" s="84">
        <f t="shared" si="15"/>
        <v>33.654000000000003</v>
      </c>
      <c r="AB85" s="86">
        <f t="shared" si="16"/>
        <v>0.17818656846464515</v>
      </c>
      <c r="AC85" s="86">
        <f t="shared" si="17"/>
        <v>2.6429086534991882E-2</v>
      </c>
      <c r="AD85" s="1" t="b">
        <f>AND(ISNUMBER(AB85),ISNUMBER(AC85),AB85&gt;=0,AC85&gt;=0,AB85&lt;=0.95,AC85&lt;=0.95,ISNUMBER(D85),D85&gt;0,'Steel Beam Design'!$A$18="")</f>
        <v>1</v>
      </c>
      <c r="AE85" s="84">
        <f>'Steel Beam Design'!O26</f>
        <v>69.531249999999972</v>
      </c>
    </row>
    <row r="86" spans="1:31">
      <c r="A86" s="1" t="s">
        <v>467</v>
      </c>
      <c r="B86" s="1" t="str">
        <f>'Section Data'!B85</f>
        <v>356x127x39</v>
      </c>
      <c r="C86" s="1" t="s">
        <v>368</v>
      </c>
      <c r="D86" s="84">
        <f>'Section Data'!C85</f>
        <v>39.1</v>
      </c>
      <c r="E86" s="84">
        <f>'Section Data'!Q85</f>
        <v>10170</v>
      </c>
      <c r="F86" s="84">
        <f>'Steel Beam Design'!D7003</f>
        <v>43.457031249999979</v>
      </c>
      <c r="G86" s="84">
        <f>'Steel Beam Design'!D7027</f>
        <v>318.999074477352</v>
      </c>
      <c r="H86" s="84" t="str">
        <f>IF(TRIM($B86)="","",IFERROR('Steel Beam Design'!$D$7006,""))</f>
        <v>S355</v>
      </c>
      <c r="I86" s="84">
        <f>IF(TRIM($B86)="","",IFERROR(MAX(VLOOKUP($B86,'Section Data'!$B$36:$AC$107,5,FALSE),VLOOKUP($B86,'Section Data'!$B$36:$AC$107,6,FALSE)),""))</f>
        <v>10.7</v>
      </c>
      <c r="J86" s="84">
        <f>IF(TRIM($B86)="","",IFERROR(IF(I86&gt;150,"",INDEX('Section Data'!$AH$5:$AK$10,IF(I86&lt;=16,1,IF(I86&lt;=40,2,IF(I86&lt;=63,3,IF(I86&lt;=80,4,IF(I86&lt;=100,5,6))))),MATCH(H86,'Section Data'!$AH$4:$AK$4,0))),""))</f>
        <v>355</v>
      </c>
      <c r="K86" s="84">
        <f t="shared" si="9"/>
        <v>0.88014083380101371</v>
      </c>
      <c r="L86" s="84">
        <f>IF(TRIM($B86)="","",IFERROR(VLOOKUP($B86,'Section Data'!$B$36:$AC$107,9,FALSE),""))</f>
        <v>5.89</v>
      </c>
      <c r="M86" s="84">
        <f>IF(TRIM($B86)="","",IFERROR(VLOOKUP($B86,'Section Data'!$B$36:$AC$107,10,FALSE),""))</f>
        <v>47.2</v>
      </c>
      <c r="N86" s="84">
        <f t="shared" si="10"/>
        <v>8</v>
      </c>
      <c r="O86" s="84">
        <f t="shared" si="11"/>
        <v>80</v>
      </c>
      <c r="P86" s="84">
        <f>IF(TRIM($B86)="","",IFERROR(VLOOKUP($B86,'Section Data'!$B$36:$AC$107,5,FALSE)*VLOOKUP($B86,'Section Data'!$B$36:$AC$107,3,FALSE),""))</f>
        <v>2332.4399999999996</v>
      </c>
      <c r="Q86" s="84">
        <f t="shared" si="12"/>
        <v>478.05537596337098</v>
      </c>
      <c r="R86" s="84">
        <f>'Steel Beam Design'!B3511</f>
        <v>111.25</v>
      </c>
      <c r="S86" s="84">
        <f t="shared" si="13"/>
        <v>0</v>
      </c>
      <c r="T86" s="84">
        <f>IF(TRIM($B86)="","",IFERROR(VLOOKUP($B86,'Section Data'!$B$36:$AC$107,20,FALSE),""))</f>
        <v>576</v>
      </c>
      <c r="U86" s="84">
        <f>IF(TRIM($B86)="","",IFERROR(VLOOKUP($B86,'Section Data'!$B$36:$AC$107,21,FALSE),""))</f>
        <v>56.8</v>
      </c>
      <c r="V86" s="84">
        <f>IF(TRIM($B86)="","",IFERROR(VLOOKUP($B86,'Section Data'!$B$36:$AC$107,22,FALSE),""))</f>
        <v>659</v>
      </c>
      <c r="W86" s="84">
        <f>IF(TRIM($B86)="","",IFERROR(VLOOKUP($B86,'Section Data'!$B$36:$AC$107,23,FALSE),""))</f>
        <v>89.1</v>
      </c>
      <c r="X86" s="84">
        <f>IF(TRIM($B86)="","",IFERROR((VLOOKUP($B86,'Section Data'!$B$36:$AC$107,5,FALSE)/10)*(VLOOKUP($B86,'Section Data'!$B$36:$AC$107,3,FALSE)/10)^2/4,""))</f>
        <v>206.07107399999995</v>
      </c>
      <c r="Y86" s="84">
        <f>IF(TRIM($B86)="","",IFERROR((VLOOKUP($B86,'Section Data'!$B$36:$AC$107,3,FALSE)/10)*(VLOOKUP($B86,'Section Data'!$B$36:$AC$107,5,FALSE)/10)^2/4,""))</f>
        <v>3.8485259999999983</v>
      </c>
      <c r="Z86" s="84">
        <f t="shared" si="14"/>
        <v>233.94499999999999</v>
      </c>
      <c r="AA86" s="84">
        <f t="shared" si="15"/>
        <v>24.1968</v>
      </c>
      <c r="AB86" s="86">
        <f t="shared" si="16"/>
        <v>0.18575746970441762</v>
      </c>
      <c r="AC86" s="86">
        <f t="shared" si="17"/>
        <v>3.1366673989906786E-2</v>
      </c>
      <c r="AD86" s="1" t="b">
        <f>AND(ISNUMBER(AB86),ISNUMBER(AC86),AB86&gt;=0,AC86&gt;=0,AB86&lt;=0.95,AC86&lt;=0.95,ISNUMBER(D86),D86&gt;0,'Steel Beam Design'!$A$18="")</f>
        <v>1</v>
      </c>
      <c r="AE86" s="84">
        <f>'Steel Beam Design'!O26</f>
        <v>69.531249999999972</v>
      </c>
    </row>
    <row r="87" spans="1:31">
      <c r="A87" s="1" t="s">
        <v>467</v>
      </c>
      <c r="B87" s="1" t="str">
        <f>'Section Data'!B86</f>
        <v>356x127x33</v>
      </c>
      <c r="C87" s="1" t="s">
        <v>368</v>
      </c>
      <c r="D87" s="84">
        <f>'Section Data'!C86</f>
        <v>33.1</v>
      </c>
      <c r="E87" s="84">
        <f>'Section Data'!Q86</f>
        <v>8249</v>
      </c>
      <c r="F87" s="84">
        <f>'Steel Beam Design'!D7003</f>
        <v>43.457031249999979</v>
      </c>
      <c r="G87" s="84">
        <f>'Steel Beam Design'!D7027</f>
        <v>318.999074477352</v>
      </c>
      <c r="H87" s="84" t="str">
        <f>IF(TRIM($B87)="","",IFERROR('Steel Beam Design'!$D$7006,""))</f>
        <v>S355</v>
      </c>
      <c r="I87" s="84">
        <f>IF(TRIM($B87)="","",IFERROR(MAX(VLOOKUP($B87,'Section Data'!$B$36:$AC$107,5,FALSE),VLOOKUP($B87,'Section Data'!$B$36:$AC$107,6,FALSE)),""))</f>
        <v>8.5</v>
      </c>
      <c r="J87" s="84">
        <f>IF(TRIM($B87)="","",IFERROR(IF(I87&gt;150,"",INDEX('Section Data'!$AH$5:$AK$10,IF(I87&lt;=16,1,IF(I87&lt;=40,2,IF(I87&lt;=63,3,IF(I87&lt;=80,4,IF(I87&lt;=100,5,6))))),MATCH(H87,'Section Data'!$AH$4:$AK$4,0))),""))</f>
        <v>355</v>
      </c>
      <c r="K87" s="84">
        <f t="shared" si="9"/>
        <v>0.88014083380101371</v>
      </c>
      <c r="L87" s="84">
        <f>IF(TRIM($B87)="","",IFERROR(VLOOKUP($B87,'Section Data'!$B$36:$AC$107,9,FALSE),""))</f>
        <v>7.38</v>
      </c>
      <c r="M87" s="84">
        <f>IF(TRIM($B87)="","",IFERROR(VLOOKUP($B87,'Section Data'!$B$36:$AC$107,10,FALSE),""))</f>
        <v>51.9</v>
      </c>
      <c r="N87" s="84">
        <f t="shared" si="10"/>
        <v>9</v>
      </c>
      <c r="O87" s="84">
        <f t="shared" si="11"/>
        <v>80</v>
      </c>
      <c r="P87" s="84">
        <f>IF(TRIM($B87)="","",IFERROR(VLOOKUP($B87,'Section Data'!$B$36:$AC$107,5,FALSE)*VLOOKUP($B87,'Section Data'!$B$36:$AC$107,3,FALSE),""))</f>
        <v>2094</v>
      </c>
      <c r="Q87" s="84">
        <f t="shared" si="12"/>
        <v>429.18486960749209</v>
      </c>
      <c r="R87" s="84">
        <f>'Steel Beam Design'!B3511</f>
        <v>111.25</v>
      </c>
      <c r="S87" s="84">
        <f t="shared" si="13"/>
        <v>0</v>
      </c>
      <c r="T87" s="84">
        <f>IF(TRIM($B87)="","",IFERROR(VLOOKUP($B87,'Section Data'!$B$36:$AC$107,20,FALSE),""))</f>
        <v>473</v>
      </c>
      <c r="U87" s="84">
        <f>IF(TRIM($B87)="","",IFERROR(VLOOKUP($B87,'Section Data'!$B$36:$AC$107,21,FALSE),""))</f>
        <v>44.7</v>
      </c>
      <c r="V87" s="84">
        <f>IF(TRIM($B87)="","",IFERROR(VLOOKUP($B87,'Section Data'!$B$36:$AC$107,22,FALSE),""))</f>
        <v>543</v>
      </c>
      <c r="W87" s="84">
        <f>IF(TRIM($B87)="","",IFERROR(VLOOKUP($B87,'Section Data'!$B$36:$AC$107,23,FALSE),""))</f>
        <v>70.3</v>
      </c>
      <c r="X87" s="84">
        <f>IF(TRIM($B87)="","",IFERROR((VLOOKUP($B87,'Section Data'!$B$36:$AC$107,5,FALSE)/10)*(VLOOKUP($B87,'Section Data'!$B$36:$AC$107,3,FALSE)/10)^2/4,""))</f>
        <v>182.70149999999998</v>
      </c>
      <c r="Y87" s="84">
        <f>IF(TRIM($B87)="","",IFERROR((VLOOKUP($B87,'Section Data'!$B$36:$AC$107,3,FALSE)/10)*(VLOOKUP($B87,'Section Data'!$B$36:$AC$107,5,FALSE)/10)^2/4,""))</f>
        <v>3.1409999999999996</v>
      </c>
      <c r="Z87" s="84">
        <f t="shared" si="14"/>
        <v>192.76499999999999</v>
      </c>
      <c r="AA87" s="84">
        <f t="shared" si="15"/>
        <v>19.042200000000001</v>
      </c>
      <c r="AB87" s="86">
        <f t="shared" si="16"/>
        <v>0.2254404650740538</v>
      </c>
      <c r="AC87" s="86">
        <f t="shared" si="17"/>
        <v>3.8671241905364528E-2</v>
      </c>
      <c r="AD87" s="1" t="b">
        <f>AND(ISNUMBER(AB87),ISNUMBER(AC87),AB87&gt;=0,AC87&gt;=0,AB87&lt;=0.95,AC87&lt;=0.95,ISNUMBER(D87),D87&gt;0,'Steel Beam Design'!$A$18="")</f>
        <v>1</v>
      </c>
      <c r="AE87" s="84">
        <f>'Steel Beam Design'!O26</f>
        <v>69.531249999999972</v>
      </c>
    </row>
    <row r="88" spans="1:31">
      <c r="A88" s="1" t="s">
        <v>467</v>
      </c>
      <c r="B88" s="1" t="str">
        <f>'Section Data'!B87</f>
        <v>305x165x54</v>
      </c>
      <c r="C88" s="1" t="s">
        <v>368</v>
      </c>
      <c r="D88" s="84">
        <f>'Section Data'!C87</f>
        <v>54</v>
      </c>
      <c r="E88" s="84">
        <f>'Section Data'!Q87</f>
        <v>11700</v>
      </c>
      <c r="F88" s="84">
        <f>'Steel Beam Design'!D7003</f>
        <v>43.457031249999979</v>
      </c>
      <c r="G88" s="84">
        <f>'Steel Beam Design'!D7027</f>
        <v>318.999074477352</v>
      </c>
      <c r="H88" s="84" t="str">
        <f>IF(TRIM($B88)="","",IFERROR('Steel Beam Design'!$D$7006,""))</f>
        <v>S355</v>
      </c>
      <c r="I88" s="84">
        <f>IF(TRIM($B88)="","",IFERROR(MAX(VLOOKUP($B88,'Section Data'!$B$36:$AC$107,5,FALSE),VLOOKUP($B88,'Section Data'!$B$36:$AC$107,6,FALSE)),""))</f>
        <v>13.7</v>
      </c>
      <c r="J88" s="84">
        <f>IF(TRIM($B88)="","",IFERROR(IF(I88&gt;150,"",INDEX('Section Data'!$AH$5:$AK$10,IF(I88&lt;=16,1,IF(I88&lt;=40,2,IF(I88&lt;=63,3,IF(I88&lt;=80,4,IF(I88&lt;=100,5,6))))),MATCH(H88,'Section Data'!$AH$4:$AK$4,0))),""))</f>
        <v>355</v>
      </c>
      <c r="K88" s="84">
        <f t="shared" si="9"/>
        <v>0.88014083380101371</v>
      </c>
      <c r="L88" s="84">
        <f>IF(TRIM($B88)="","",IFERROR(VLOOKUP($B88,'Section Data'!$B$36:$AC$107,9,FALSE),""))</f>
        <v>6.09</v>
      </c>
      <c r="M88" s="84">
        <f>IF(TRIM($B88)="","",IFERROR(VLOOKUP($B88,'Section Data'!$B$36:$AC$107,10,FALSE),""))</f>
        <v>33.6</v>
      </c>
      <c r="N88" s="84">
        <f t="shared" si="10"/>
        <v>8</v>
      </c>
      <c r="O88" s="84">
        <f t="shared" si="11"/>
        <v>80</v>
      </c>
      <c r="P88" s="84">
        <f>IF(TRIM($B88)="","",IFERROR(VLOOKUP($B88,'Section Data'!$B$36:$AC$107,5,FALSE)*VLOOKUP($B88,'Section Data'!$B$36:$AC$107,3,FALSE),""))</f>
        <v>2452.16</v>
      </c>
      <c r="Q88" s="84">
        <f t="shared" si="12"/>
        <v>502.59310881409158</v>
      </c>
      <c r="R88" s="84">
        <f>'Steel Beam Design'!B3511</f>
        <v>111.25</v>
      </c>
      <c r="S88" s="84">
        <f t="shared" si="13"/>
        <v>0</v>
      </c>
      <c r="T88" s="84">
        <f>IF(TRIM($B88)="","",IFERROR(VLOOKUP($B88,'Section Data'!$B$36:$AC$107,20,FALSE),""))</f>
        <v>754</v>
      </c>
      <c r="U88" s="84">
        <f>IF(TRIM($B88)="","",IFERROR(VLOOKUP($B88,'Section Data'!$B$36:$AC$107,21,FALSE),""))</f>
        <v>127</v>
      </c>
      <c r="V88" s="84">
        <f>IF(TRIM($B88)="","",IFERROR(VLOOKUP($B88,'Section Data'!$B$36:$AC$107,22,FALSE),""))</f>
        <v>846</v>
      </c>
      <c r="W88" s="84">
        <f>IF(TRIM($B88)="","",IFERROR(VLOOKUP($B88,'Section Data'!$B$36:$AC$107,23,FALSE),""))</f>
        <v>196</v>
      </c>
      <c r="X88" s="84">
        <f>IF(TRIM($B88)="","",IFERROR((VLOOKUP($B88,'Section Data'!$B$36:$AC$107,5,FALSE)/10)*(VLOOKUP($B88,'Section Data'!$B$36:$AC$107,3,FALSE)/10)^2/4,""))</f>
        <v>190.28761600000001</v>
      </c>
      <c r="Y88" s="84">
        <f>IF(TRIM($B88)="","",IFERROR((VLOOKUP($B88,'Section Data'!$B$36:$AC$107,3,FALSE)/10)*(VLOOKUP($B88,'Section Data'!$B$36:$AC$107,5,FALSE)/10)^2/4,""))</f>
        <v>4.8430160000000004</v>
      </c>
      <c r="Z88" s="84">
        <f t="shared" si="14"/>
        <v>300.33</v>
      </c>
      <c r="AA88" s="84">
        <f t="shared" si="15"/>
        <v>54.101999999999997</v>
      </c>
      <c r="AB88" s="86">
        <f t="shared" si="16"/>
        <v>0.14469760346951679</v>
      </c>
      <c r="AC88" s="86">
        <f t="shared" si="17"/>
        <v>2.7264878160457435E-2</v>
      </c>
      <c r="AD88" s="1" t="b">
        <f>AND(ISNUMBER(AB88),ISNUMBER(AC88),AB88&gt;=0,AC88&gt;=0,AB88&lt;=0.95,AC88&lt;=0.95,ISNUMBER(D88),D88&gt;0,'Steel Beam Design'!$A$18="")</f>
        <v>1</v>
      </c>
      <c r="AE88" s="84">
        <f>'Steel Beam Design'!O26</f>
        <v>69.531249999999972</v>
      </c>
    </row>
    <row r="89" spans="1:31">
      <c r="A89" s="1" t="s">
        <v>467</v>
      </c>
      <c r="B89" s="1" t="str">
        <f>'Section Data'!B88</f>
        <v>305x165x46</v>
      </c>
      <c r="C89" s="1" t="s">
        <v>368</v>
      </c>
      <c r="D89" s="84">
        <f>'Section Data'!C88</f>
        <v>46.1</v>
      </c>
      <c r="E89" s="84">
        <f>'Section Data'!Q88</f>
        <v>9899</v>
      </c>
      <c r="F89" s="84">
        <f>'Steel Beam Design'!D7003</f>
        <v>43.457031249999979</v>
      </c>
      <c r="G89" s="84">
        <f>'Steel Beam Design'!D7027</f>
        <v>318.999074477352</v>
      </c>
      <c r="H89" s="84" t="str">
        <f>IF(TRIM($B89)="","",IFERROR('Steel Beam Design'!$D$7006,""))</f>
        <v>S355</v>
      </c>
      <c r="I89" s="84">
        <f>IF(TRIM($B89)="","",IFERROR(MAX(VLOOKUP($B89,'Section Data'!$B$36:$AC$107,5,FALSE),VLOOKUP($B89,'Section Data'!$B$36:$AC$107,6,FALSE)),""))</f>
        <v>11.8</v>
      </c>
      <c r="J89" s="84">
        <f>IF(TRIM($B89)="","",IFERROR(IF(I89&gt;150,"",INDEX('Section Data'!$AH$5:$AK$10,IF(I89&lt;=16,1,IF(I89&lt;=40,2,IF(I89&lt;=63,3,IF(I89&lt;=80,4,IF(I89&lt;=100,5,6))))),MATCH(H89,'Section Data'!$AH$4:$AK$4,0))),""))</f>
        <v>355</v>
      </c>
      <c r="K89" s="84">
        <f t="shared" si="9"/>
        <v>0.88014083380101371</v>
      </c>
      <c r="L89" s="84">
        <f>IF(TRIM($B89)="","",IFERROR(VLOOKUP($B89,'Section Data'!$B$36:$AC$107,9,FALSE),""))</f>
        <v>7.02</v>
      </c>
      <c r="M89" s="84">
        <f>IF(TRIM($B89)="","",IFERROR(VLOOKUP($B89,'Section Data'!$B$36:$AC$107,10,FALSE),""))</f>
        <v>39.6</v>
      </c>
      <c r="N89" s="84">
        <f t="shared" si="10"/>
        <v>8</v>
      </c>
      <c r="O89" s="84">
        <f t="shared" si="11"/>
        <v>80</v>
      </c>
      <c r="P89" s="84">
        <f>IF(TRIM($B89)="","",IFERROR(VLOOKUP($B89,'Section Data'!$B$36:$AC$107,5,FALSE)*VLOOKUP($B89,'Section Data'!$B$36:$AC$107,3,FALSE),""))</f>
        <v>2054.2200000000003</v>
      </c>
      <c r="Q89" s="84">
        <f t="shared" si="12"/>
        <v>421.03158684102317</v>
      </c>
      <c r="R89" s="84">
        <f>'Steel Beam Design'!B3511</f>
        <v>111.25</v>
      </c>
      <c r="S89" s="84">
        <f t="shared" si="13"/>
        <v>0</v>
      </c>
      <c r="T89" s="84">
        <f>IF(TRIM($B89)="","",IFERROR(VLOOKUP($B89,'Section Data'!$B$36:$AC$107,20,FALSE),""))</f>
        <v>646</v>
      </c>
      <c r="U89" s="84">
        <f>IF(TRIM($B89)="","",IFERROR(VLOOKUP($B89,'Section Data'!$B$36:$AC$107,21,FALSE),""))</f>
        <v>108</v>
      </c>
      <c r="V89" s="84">
        <f>IF(TRIM($B89)="","",IFERROR(VLOOKUP($B89,'Section Data'!$B$36:$AC$107,22,FALSE),""))</f>
        <v>720</v>
      </c>
      <c r="W89" s="84">
        <f>IF(TRIM($B89)="","",IFERROR(VLOOKUP($B89,'Section Data'!$B$36:$AC$107,23,FALSE),""))</f>
        <v>166</v>
      </c>
      <c r="X89" s="84">
        <f>IF(TRIM($B89)="","",IFERROR((VLOOKUP($B89,'Section Data'!$B$36:$AC$107,5,FALSE)/10)*(VLOOKUP($B89,'Section Data'!$B$36:$AC$107,3,FALSE)/10)^2/4,""))</f>
        <v>157.45596300000005</v>
      </c>
      <c r="Y89" s="84">
        <f>IF(TRIM($B89)="","",IFERROR((VLOOKUP($B89,'Section Data'!$B$36:$AC$107,3,FALSE)/10)*(VLOOKUP($B89,'Section Data'!$B$36:$AC$107,5,FALSE)/10)^2/4,""))</f>
        <v>3.4408185000000011</v>
      </c>
      <c r="Z89" s="84">
        <f t="shared" si="14"/>
        <v>255.6</v>
      </c>
      <c r="AA89" s="84">
        <f t="shared" si="15"/>
        <v>46.008000000000003</v>
      </c>
      <c r="AB89" s="86">
        <f t="shared" si="16"/>
        <v>0.17001968407668225</v>
      </c>
      <c r="AC89" s="86">
        <f t="shared" si="17"/>
        <v>3.2225383824361249E-2</v>
      </c>
      <c r="AD89" s="1" t="b">
        <f>AND(ISNUMBER(AB89),ISNUMBER(AC89),AB89&gt;=0,AC89&gt;=0,AB89&lt;=0.95,AC89&lt;=0.95,ISNUMBER(D89),D89&gt;0,'Steel Beam Design'!$A$18="")</f>
        <v>1</v>
      </c>
      <c r="AE89" s="84">
        <f>'Steel Beam Design'!O26</f>
        <v>69.531249999999972</v>
      </c>
    </row>
    <row r="90" spans="1:31">
      <c r="A90" s="1" t="s">
        <v>467</v>
      </c>
      <c r="B90" s="1" t="str">
        <f>'Section Data'!B89</f>
        <v>305x165x40</v>
      </c>
      <c r="C90" s="1" t="s">
        <v>368</v>
      </c>
      <c r="D90" s="84">
        <f>'Section Data'!C89</f>
        <v>40.299999999999997</v>
      </c>
      <c r="E90" s="84">
        <f>'Section Data'!Q89</f>
        <v>8503</v>
      </c>
      <c r="F90" s="84">
        <f>'Steel Beam Design'!D7003</f>
        <v>43.457031249999979</v>
      </c>
      <c r="G90" s="84">
        <f>'Steel Beam Design'!D7027</f>
        <v>318.999074477352</v>
      </c>
      <c r="H90" s="84" t="str">
        <f>IF(TRIM($B90)="","",IFERROR('Steel Beam Design'!$D$7006,""))</f>
        <v>S355</v>
      </c>
      <c r="I90" s="84">
        <f>IF(TRIM($B90)="","",IFERROR(MAX(VLOOKUP($B90,'Section Data'!$B$36:$AC$107,5,FALSE),VLOOKUP($B90,'Section Data'!$B$36:$AC$107,6,FALSE)),""))</f>
        <v>10.199999999999999</v>
      </c>
      <c r="J90" s="84">
        <f>IF(TRIM($B90)="","",IFERROR(IF(I90&gt;150,"",INDEX('Section Data'!$AH$5:$AK$10,IF(I90&lt;=16,1,IF(I90&lt;=40,2,IF(I90&lt;=63,3,IF(I90&lt;=80,4,IF(I90&lt;=100,5,6))))),MATCH(H90,'Section Data'!$AH$4:$AK$4,0))),""))</f>
        <v>355</v>
      </c>
      <c r="K90" s="84">
        <f t="shared" si="9"/>
        <v>0.88014083380101371</v>
      </c>
      <c r="L90" s="84">
        <f>IF(TRIM($B90)="","",IFERROR(VLOOKUP($B90,'Section Data'!$B$36:$AC$107,9,FALSE),""))</f>
        <v>8.09</v>
      </c>
      <c r="M90" s="84">
        <f>IF(TRIM($B90)="","",IFERROR(VLOOKUP($B90,'Section Data'!$B$36:$AC$107,10,FALSE),""))</f>
        <v>44.2</v>
      </c>
      <c r="N90" s="84">
        <f t="shared" si="10"/>
        <v>13</v>
      </c>
      <c r="O90" s="84">
        <f t="shared" si="11"/>
        <v>80</v>
      </c>
      <c r="P90" s="84">
        <f>IF(TRIM($B90)="","",IFERROR(VLOOKUP($B90,'Section Data'!$B$36:$AC$107,5,FALSE)*VLOOKUP($B90,'Section Data'!$B$36:$AC$107,3,FALSE),""))</f>
        <v>1820.3999999999999</v>
      </c>
      <c r="Q90" s="84">
        <f t="shared" si="12"/>
        <v>373.10799266164213</v>
      </c>
      <c r="R90" s="84">
        <f>'Steel Beam Design'!B3511</f>
        <v>111.25</v>
      </c>
      <c r="S90" s="84">
        <f t="shared" si="13"/>
        <v>0</v>
      </c>
      <c r="T90" s="84">
        <f>IF(TRIM($B90)="","",IFERROR(VLOOKUP($B90,'Section Data'!$B$36:$AC$107,20,FALSE),""))</f>
        <v>560</v>
      </c>
      <c r="U90" s="84">
        <f>IF(TRIM($B90)="","",IFERROR(VLOOKUP($B90,'Section Data'!$B$36:$AC$107,21,FALSE),""))</f>
        <v>92.6</v>
      </c>
      <c r="V90" s="84">
        <f>IF(TRIM($B90)="","",IFERROR(VLOOKUP($B90,'Section Data'!$B$36:$AC$107,22,FALSE),""))</f>
        <v>623</v>
      </c>
      <c r="W90" s="84">
        <f>IF(TRIM($B90)="","",IFERROR(VLOOKUP($B90,'Section Data'!$B$36:$AC$107,23,FALSE),""))</f>
        <v>142</v>
      </c>
      <c r="X90" s="84">
        <f>IF(TRIM($B90)="","",IFERROR((VLOOKUP($B90,'Section Data'!$B$36:$AC$107,5,FALSE)/10)*(VLOOKUP($B90,'Section Data'!$B$36:$AC$107,3,FALSE)/10)^2/4,""))</f>
        <v>138.07733999999996</v>
      </c>
      <c r="Y90" s="84">
        <f>IF(TRIM($B90)="","",IFERROR((VLOOKUP($B90,'Section Data'!$B$36:$AC$107,3,FALSE)/10)*(VLOOKUP($B90,'Section Data'!$B$36:$AC$107,5,FALSE)/10)^2/4,""))</f>
        <v>2.7305999999999995</v>
      </c>
      <c r="Z90" s="84">
        <f t="shared" si="14"/>
        <v>198.8</v>
      </c>
      <c r="AA90" s="84">
        <f t="shared" si="15"/>
        <v>32.872999999999998</v>
      </c>
      <c r="AB90" s="86">
        <f t="shared" si="16"/>
        <v>0.21859673667002</v>
      </c>
      <c r="AC90" s="86">
        <f t="shared" si="17"/>
        <v>3.7516061916659064E-2</v>
      </c>
      <c r="AD90" s="1" t="b">
        <f>AND(ISNUMBER(AB90),ISNUMBER(AC90),AB90&gt;=0,AC90&gt;=0,AB90&lt;=0.95,AC90&lt;=0.95,ISNUMBER(D90),D90&gt;0,'Steel Beam Design'!$A$18="")</f>
        <v>1</v>
      </c>
      <c r="AE90" s="84">
        <f>'Steel Beam Design'!O26</f>
        <v>69.531249999999972</v>
      </c>
    </row>
    <row r="91" spans="1:31">
      <c r="A91" s="1" t="s">
        <v>467</v>
      </c>
      <c r="B91" s="1" t="str">
        <f>'Section Data'!B90</f>
        <v>305x127x48</v>
      </c>
      <c r="C91" s="1" t="s">
        <v>368</v>
      </c>
      <c r="D91" s="84">
        <f>'Section Data'!C90</f>
        <v>48.1</v>
      </c>
      <c r="E91" s="84">
        <f>'Section Data'!Q90</f>
        <v>9575</v>
      </c>
      <c r="F91" s="84">
        <f>'Steel Beam Design'!D7003</f>
        <v>43.457031249999979</v>
      </c>
      <c r="G91" s="84">
        <f>'Steel Beam Design'!D7027</f>
        <v>318.999074477352</v>
      </c>
      <c r="H91" s="84" t="str">
        <f>IF(TRIM($B91)="","",IFERROR('Steel Beam Design'!$D$7006,""))</f>
        <v>S355</v>
      </c>
      <c r="I91" s="84">
        <f>IF(TRIM($B91)="","",IFERROR(MAX(VLOOKUP($B91,'Section Data'!$B$36:$AC$107,5,FALSE),VLOOKUP($B91,'Section Data'!$B$36:$AC$107,6,FALSE)),""))</f>
        <v>14</v>
      </c>
      <c r="J91" s="84">
        <f>IF(TRIM($B91)="","",IFERROR(IF(I91&gt;150,"",INDEX('Section Data'!$AH$5:$AK$10,IF(I91&lt;=16,1,IF(I91&lt;=40,2,IF(I91&lt;=63,3,IF(I91&lt;=80,4,IF(I91&lt;=100,5,6))))),MATCH(H91,'Section Data'!$AH$4:$AK$4,0))),""))</f>
        <v>355</v>
      </c>
      <c r="K91" s="84">
        <f t="shared" si="9"/>
        <v>0.88014083380101371</v>
      </c>
      <c r="L91" s="84">
        <f>IF(TRIM($B91)="","",IFERROR(VLOOKUP($B91,'Section Data'!$B$36:$AC$107,9,FALSE),""))</f>
        <v>4.4800000000000004</v>
      </c>
      <c r="M91" s="84">
        <f>IF(TRIM($B91)="","",IFERROR(VLOOKUP($B91,'Section Data'!$B$36:$AC$107,10,FALSE),""))</f>
        <v>29.5</v>
      </c>
      <c r="N91" s="84">
        <f t="shared" si="10"/>
        <v>8</v>
      </c>
      <c r="O91" s="84">
        <f t="shared" si="11"/>
        <v>80</v>
      </c>
      <c r="P91" s="84">
        <f>IF(TRIM($B91)="","",IFERROR(VLOOKUP($B91,'Section Data'!$B$36:$AC$107,5,FALSE)*VLOOKUP($B91,'Section Data'!$B$36:$AC$107,3,FALSE),""))</f>
        <v>2799</v>
      </c>
      <c r="Q91" s="84">
        <f t="shared" si="12"/>
        <v>573.6812082289257</v>
      </c>
      <c r="R91" s="84">
        <f>'Steel Beam Design'!B3511</f>
        <v>111.25</v>
      </c>
      <c r="S91" s="84">
        <f t="shared" si="13"/>
        <v>0</v>
      </c>
      <c r="T91" s="84">
        <f>IF(TRIM($B91)="","",IFERROR(VLOOKUP($B91,'Section Data'!$B$36:$AC$107,20,FALSE),""))</f>
        <v>616</v>
      </c>
      <c r="U91" s="84">
        <f>IF(TRIM($B91)="","",IFERROR(VLOOKUP($B91,'Section Data'!$B$36:$AC$107,21,FALSE),""))</f>
        <v>73.599999999999994</v>
      </c>
      <c r="V91" s="84">
        <f>IF(TRIM($B91)="","",IFERROR(VLOOKUP($B91,'Section Data'!$B$36:$AC$107,22,FALSE),""))</f>
        <v>711</v>
      </c>
      <c r="W91" s="84">
        <f>IF(TRIM($B91)="","",IFERROR(VLOOKUP($B91,'Section Data'!$B$36:$AC$107,23,FALSE),""))</f>
        <v>116</v>
      </c>
      <c r="X91" s="84">
        <f>IF(TRIM($B91)="","",IFERROR((VLOOKUP($B91,'Section Data'!$B$36:$AC$107,5,FALSE)/10)*(VLOOKUP($B91,'Section Data'!$B$36:$AC$107,3,FALSE)/10)^2/4,""))</f>
        <v>217.62225000000001</v>
      </c>
      <c r="Y91" s="84">
        <f>IF(TRIM($B91)="","",IFERROR((VLOOKUP($B91,'Section Data'!$B$36:$AC$107,3,FALSE)/10)*(VLOOKUP($B91,'Section Data'!$B$36:$AC$107,5,FALSE)/10)^2/4,""))</f>
        <v>6.2977500000000006</v>
      </c>
      <c r="Z91" s="84">
        <f t="shared" si="14"/>
        <v>252.405</v>
      </c>
      <c r="AA91" s="84">
        <f t="shared" si="15"/>
        <v>31.3536</v>
      </c>
      <c r="AB91" s="86">
        <f t="shared" si="16"/>
        <v>0.17217183197638708</v>
      </c>
      <c r="AC91" s="86">
        <f t="shared" si="17"/>
        <v>3.3315830232621621E-2</v>
      </c>
      <c r="AD91" s="1" t="b">
        <f>AND(ISNUMBER(AB91),ISNUMBER(AC91),AB91&gt;=0,AC91&gt;=0,AB91&lt;=0.95,AC91&lt;=0.95,ISNUMBER(D91),D91&gt;0,'Steel Beam Design'!$A$18="")</f>
        <v>1</v>
      </c>
      <c r="AE91" s="84">
        <f>'Steel Beam Design'!O26</f>
        <v>69.531249999999972</v>
      </c>
    </row>
    <row r="92" spans="1:31">
      <c r="A92" s="1" t="s">
        <v>467</v>
      </c>
      <c r="B92" s="1" t="str">
        <f>'Section Data'!B91</f>
        <v>305x127x42</v>
      </c>
      <c r="C92" s="1" t="s">
        <v>368</v>
      </c>
      <c r="D92" s="84">
        <f>'Section Data'!C91</f>
        <v>41.9</v>
      </c>
      <c r="E92" s="84">
        <f>'Section Data'!Q91</f>
        <v>8196</v>
      </c>
      <c r="F92" s="84">
        <f>'Steel Beam Design'!D7003</f>
        <v>43.457031249999979</v>
      </c>
      <c r="G92" s="84">
        <f>'Steel Beam Design'!D7027</f>
        <v>318.999074477352</v>
      </c>
      <c r="H92" s="84" t="str">
        <f>IF(TRIM($B92)="","",IFERROR('Steel Beam Design'!$D$7006,""))</f>
        <v>S355</v>
      </c>
      <c r="I92" s="84">
        <f>IF(TRIM($B92)="","",IFERROR(MAX(VLOOKUP($B92,'Section Data'!$B$36:$AC$107,5,FALSE),VLOOKUP($B92,'Section Data'!$B$36:$AC$107,6,FALSE)),""))</f>
        <v>12.1</v>
      </c>
      <c r="J92" s="84">
        <f>IF(TRIM($B92)="","",IFERROR(IF(I92&gt;150,"",INDEX('Section Data'!$AH$5:$AK$10,IF(I92&lt;=16,1,IF(I92&lt;=40,2,IF(I92&lt;=63,3,IF(I92&lt;=80,4,IF(I92&lt;=100,5,6))))),MATCH(H92,'Section Data'!$AH$4:$AK$4,0))),""))</f>
        <v>355</v>
      </c>
      <c r="K92" s="84">
        <f t="shared" si="9"/>
        <v>0.88014083380101371</v>
      </c>
      <c r="L92" s="84">
        <f>IF(TRIM($B92)="","",IFERROR(VLOOKUP($B92,'Section Data'!$B$36:$AC$107,9,FALSE),""))</f>
        <v>5.14</v>
      </c>
      <c r="M92" s="84">
        <f>IF(TRIM($B92)="","",IFERROR(VLOOKUP($B92,'Section Data'!$B$36:$AC$107,10,FALSE),""))</f>
        <v>33.200000000000003</v>
      </c>
      <c r="N92" s="84">
        <f t="shared" si="10"/>
        <v>8</v>
      </c>
      <c r="O92" s="84">
        <f t="shared" si="11"/>
        <v>80</v>
      </c>
      <c r="P92" s="84">
        <f>IF(TRIM($B92)="","",IFERROR(VLOOKUP($B92,'Section Data'!$B$36:$AC$107,5,FALSE)*VLOOKUP($B92,'Section Data'!$B$36:$AC$107,3,FALSE),""))</f>
        <v>2457.6</v>
      </c>
      <c r="Q92" s="84">
        <f t="shared" si="12"/>
        <v>503.70808765395066</v>
      </c>
      <c r="R92" s="84">
        <f>'Steel Beam Design'!B3511</f>
        <v>111.25</v>
      </c>
      <c r="S92" s="84">
        <f t="shared" si="13"/>
        <v>0</v>
      </c>
      <c r="T92" s="84">
        <f>IF(TRIM($B92)="","",IFERROR(VLOOKUP($B92,'Section Data'!$B$36:$AC$107,20,FALSE),""))</f>
        <v>534</v>
      </c>
      <c r="U92" s="84">
        <f>IF(TRIM($B92)="","",IFERROR(VLOOKUP($B92,'Section Data'!$B$36:$AC$107,21,FALSE),""))</f>
        <v>62.6</v>
      </c>
      <c r="V92" s="84">
        <f>IF(TRIM($B92)="","",IFERROR(VLOOKUP($B92,'Section Data'!$B$36:$AC$107,22,FALSE),""))</f>
        <v>614</v>
      </c>
      <c r="W92" s="84">
        <f>IF(TRIM($B92)="","",IFERROR(VLOOKUP($B92,'Section Data'!$B$36:$AC$107,23,FALSE),""))</f>
        <v>98.4</v>
      </c>
      <c r="X92" s="84">
        <f>IF(TRIM($B92)="","",IFERROR((VLOOKUP($B92,'Section Data'!$B$36:$AC$107,5,FALSE)/10)*(VLOOKUP($B92,'Section Data'!$B$36:$AC$107,3,FALSE)/10)^2/4,""))</f>
        <v>188.74368000000001</v>
      </c>
      <c r="Y92" s="84">
        <f>IF(TRIM($B92)="","",IFERROR((VLOOKUP($B92,'Section Data'!$B$36:$AC$107,3,FALSE)/10)*(VLOOKUP($B92,'Section Data'!$B$36:$AC$107,5,FALSE)/10)^2/4,""))</f>
        <v>4.9152000000000005</v>
      </c>
      <c r="Z92" s="84">
        <f t="shared" si="14"/>
        <v>217.97</v>
      </c>
      <c r="AA92" s="84">
        <f t="shared" si="15"/>
        <v>26.667600000000004</v>
      </c>
      <c r="AB92" s="86">
        <f t="shared" si="16"/>
        <v>0.19937161650685864</v>
      </c>
      <c r="AC92" s="86">
        <f t="shared" si="17"/>
        <v>3.8921312161707175E-2</v>
      </c>
      <c r="AD92" s="1" t="b">
        <f>AND(ISNUMBER(AB92),ISNUMBER(AC92),AB92&gt;=0,AC92&gt;=0,AB92&lt;=0.95,AC92&lt;=0.95,ISNUMBER(D92),D92&gt;0,'Steel Beam Design'!$A$18="")</f>
        <v>1</v>
      </c>
      <c r="AE92" s="84">
        <f>'Steel Beam Design'!O26</f>
        <v>69.531249999999972</v>
      </c>
    </row>
    <row r="93" spans="1:31">
      <c r="A93" s="1" t="s">
        <v>467</v>
      </c>
      <c r="B93" s="1" t="str">
        <f>'Section Data'!B92</f>
        <v>305x127x37</v>
      </c>
      <c r="C93" s="1" t="s">
        <v>368</v>
      </c>
      <c r="D93" s="84">
        <f>'Section Data'!C92</f>
        <v>37</v>
      </c>
      <c r="E93" s="84">
        <f>'Section Data'!Q92</f>
        <v>7171</v>
      </c>
      <c r="F93" s="84">
        <f>'Steel Beam Design'!D7003</f>
        <v>43.457031249999979</v>
      </c>
      <c r="G93" s="84">
        <f>'Steel Beam Design'!D7027</f>
        <v>318.999074477352</v>
      </c>
      <c r="H93" s="84" t="str">
        <f>IF(TRIM($B93)="","",IFERROR('Steel Beam Design'!$D$7006,""))</f>
        <v>S355</v>
      </c>
      <c r="I93" s="84">
        <f>IF(TRIM($B93)="","",IFERROR(MAX(VLOOKUP($B93,'Section Data'!$B$36:$AC$107,5,FALSE),VLOOKUP($B93,'Section Data'!$B$36:$AC$107,6,FALSE)),""))</f>
        <v>10.7</v>
      </c>
      <c r="J93" s="84">
        <f>IF(TRIM($B93)="","",IFERROR(IF(I93&gt;150,"",INDEX('Section Data'!$AH$5:$AK$10,IF(I93&lt;=16,1,IF(I93&lt;=40,2,IF(I93&lt;=63,3,IF(I93&lt;=80,4,IF(I93&lt;=100,5,6))))),MATCH(H93,'Section Data'!$AH$4:$AK$4,0))),""))</f>
        <v>355</v>
      </c>
      <c r="K93" s="84">
        <f t="shared" si="9"/>
        <v>0.88014083380101371</v>
      </c>
      <c r="L93" s="84">
        <f>IF(TRIM($B93)="","",IFERROR(VLOOKUP($B93,'Section Data'!$B$36:$AC$107,9,FALSE),""))</f>
        <v>5.77</v>
      </c>
      <c r="M93" s="84">
        <f>IF(TRIM($B93)="","",IFERROR(VLOOKUP($B93,'Section Data'!$B$36:$AC$107,10,FALSE),""))</f>
        <v>37.4</v>
      </c>
      <c r="N93" s="84">
        <f t="shared" si="10"/>
        <v>8</v>
      </c>
      <c r="O93" s="84">
        <f t="shared" si="11"/>
        <v>80</v>
      </c>
      <c r="P93" s="84">
        <f>IF(TRIM($B93)="","",IFERROR(VLOOKUP($B93,'Section Data'!$B$36:$AC$107,5,FALSE)*VLOOKUP($B93,'Section Data'!$B$36:$AC$107,3,FALSE),""))</f>
        <v>2161.2399999999998</v>
      </c>
      <c r="Q93" s="84">
        <f t="shared" si="12"/>
        <v>442.9663360031023</v>
      </c>
      <c r="R93" s="84">
        <f>'Steel Beam Design'!B3511</f>
        <v>111.25</v>
      </c>
      <c r="S93" s="84">
        <f t="shared" si="13"/>
        <v>0</v>
      </c>
      <c r="T93" s="84">
        <f>IF(TRIM($B93)="","",IFERROR(VLOOKUP($B93,'Section Data'!$B$36:$AC$107,20,FALSE),""))</f>
        <v>471</v>
      </c>
      <c r="U93" s="84">
        <f>IF(TRIM($B93)="","",IFERROR(VLOOKUP($B93,'Section Data'!$B$36:$AC$107,21,FALSE),""))</f>
        <v>54.5</v>
      </c>
      <c r="V93" s="84">
        <f>IF(TRIM($B93)="","",IFERROR(VLOOKUP($B93,'Section Data'!$B$36:$AC$107,22,FALSE),""))</f>
        <v>539</v>
      </c>
      <c r="W93" s="84">
        <f>IF(TRIM($B93)="","",IFERROR(VLOOKUP($B93,'Section Data'!$B$36:$AC$107,23,FALSE),""))</f>
        <v>85.4</v>
      </c>
      <c r="X93" s="84">
        <f>IF(TRIM($B93)="","",IFERROR((VLOOKUP($B93,'Section Data'!$B$36:$AC$107,5,FALSE)/10)*(VLOOKUP($B93,'Section Data'!$B$36:$AC$107,3,FALSE)/10)^2/4,""))</f>
        <v>164.47036399999996</v>
      </c>
      <c r="Y93" s="84">
        <f>IF(TRIM($B93)="","",IFERROR((VLOOKUP($B93,'Section Data'!$B$36:$AC$107,3,FALSE)/10)*(VLOOKUP($B93,'Section Data'!$B$36:$AC$107,5,FALSE)/10)^2/4,""))</f>
        <v>3.8362009999999995</v>
      </c>
      <c r="Z93" s="84">
        <f t="shared" si="14"/>
        <v>191.345</v>
      </c>
      <c r="AA93" s="84">
        <f t="shared" si="15"/>
        <v>23.216999999999995</v>
      </c>
      <c r="AB93" s="86">
        <f t="shared" si="16"/>
        <v>0.22711349264417663</v>
      </c>
      <c r="AC93" s="86">
        <f t="shared" si="17"/>
        <v>4.4484601098501185E-2</v>
      </c>
      <c r="AD93" s="1" t="b">
        <f>AND(ISNUMBER(AB93),ISNUMBER(AC93),AB93&gt;=0,AC93&gt;=0,AB93&lt;=0.95,AC93&lt;=0.95,ISNUMBER(D93),D93&gt;0,'Steel Beam Design'!$A$18="")</f>
        <v>1</v>
      </c>
      <c r="AE93" s="84">
        <f>'Steel Beam Design'!O26</f>
        <v>69.531249999999972</v>
      </c>
    </row>
    <row r="94" spans="1:31">
      <c r="A94" s="1" t="s">
        <v>467</v>
      </c>
      <c r="B94" s="1" t="str">
        <f>'Section Data'!B93</f>
        <v>305x102x33</v>
      </c>
      <c r="C94" s="1" t="s">
        <v>368</v>
      </c>
      <c r="D94" s="84">
        <f>'Section Data'!C93</f>
        <v>32.799999999999997</v>
      </c>
      <c r="E94" s="84">
        <f>'Section Data'!Q93</f>
        <v>6501</v>
      </c>
      <c r="F94" s="84">
        <f>'Steel Beam Design'!D7003</f>
        <v>43.457031249999979</v>
      </c>
      <c r="G94" s="84">
        <f>'Steel Beam Design'!D7027</f>
        <v>318.999074477352</v>
      </c>
      <c r="H94" s="84" t="str">
        <f>IF(TRIM($B94)="","",IFERROR('Steel Beam Design'!$D$7006,""))</f>
        <v>S355</v>
      </c>
      <c r="I94" s="84">
        <f>IF(TRIM($B94)="","",IFERROR(MAX(VLOOKUP($B94,'Section Data'!$B$36:$AC$107,5,FALSE),VLOOKUP($B94,'Section Data'!$B$36:$AC$107,6,FALSE)),""))</f>
        <v>10.8</v>
      </c>
      <c r="J94" s="84">
        <f>IF(TRIM($B94)="","",IFERROR(IF(I94&gt;150,"",INDEX('Section Data'!$AH$5:$AK$10,IF(I94&lt;=16,1,IF(I94&lt;=40,2,IF(I94&lt;=63,3,IF(I94&lt;=80,4,IF(I94&lt;=100,5,6))))),MATCH(H94,'Section Data'!$AH$4:$AK$4,0))),""))</f>
        <v>355</v>
      </c>
      <c r="K94" s="84">
        <f t="shared" si="9"/>
        <v>0.88014083380101371</v>
      </c>
      <c r="L94" s="84">
        <f>IF(TRIM($B94)="","",IFERROR(VLOOKUP($B94,'Section Data'!$B$36:$AC$107,9,FALSE),""))</f>
        <v>4.74</v>
      </c>
      <c r="M94" s="84">
        <f>IF(TRIM($B94)="","",IFERROR(VLOOKUP($B94,'Section Data'!$B$36:$AC$107,10,FALSE),""))</f>
        <v>41.8</v>
      </c>
      <c r="N94" s="84">
        <f t="shared" si="10"/>
        <v>8</v>
      </c>
      <c r="O94" s="84">
        <f t="shared" si="11"/>
        <v>80</v>
      </c>
      <c r="P94" s="84">
        <f>IF(TRIM($B94)="","",IFERROR(VLOOKUP($B94,'Section Data'!$B$36:$AC$107,5,FALSE)*VLOOKUP($B94,'Section Data'!$B$36:$AC$107,3,FALSE),""))</f>
        <v>2063.8199999999997</v>
      </c>
      <c r="Q94" s="84">
        <f t="shared" si="12"/>
        <v>422.99919655842132</v>
      </c>
      <c r="R94" s="84">
        <f>'Steel Beam Design'!B3511</f>
        <v>111.25</v>
      </c>
      <c r="S94" s="84">
        <f t="shared" si="13"/>
        <v>0</v>
      </c>
      <c r="T94" s="84">
        <f>IF(TRIM($B94)="","",IFERROR(VLOOKUP($B94,'Section Data'!$B$36:$AC$107,20,FALSE),""))</f>
        <v>416</v>
      </c>
      <c r="U94" s="84">
        <f>IF(TRIM($B94)="","",IFERROR(VLOOKUP($B94,'Section Data'!$B$36:$AC$107,21,FALSE),""))</f>
        <v>37.9</v>
      </c>
      <c r="V94" s="84">
        <f>IF(TRIM($B94)="","",IFERROR(VLOOKUP($B94,'Section Data'!$B$36:$AC$107,22,FALSE),""))</f>
        <v>481</v>
      </c>
      <c r="W94" s="84">
        <f>IF(TRIM($B94)="","",IFERROR(VLOOKUP($B94,'Section Data'!$B$36:$AC$107,23,FALSE),""))</f>
        <v>60</v>
      </c>
      <c r="X94" s="84">
        <f>IF(TRIM($B94)="","",IFERROR((VLOOKUP($B94,'Section Data'!$B$36:$AC$107,5,FALSE)/10)*(VLOOKUP($B94,'Section Data'!$B$36:$AC$107,3,FALSE)/10)^2/4,""))</f>
        <v>161.33912849999999</v>
      </c>
      <c r="Y94" s="84">
        <f>IF(TRIM($B94)="","",IFERROR((VLOOKUP($B94,'Section Data'!$B$36:$AC$107,3,FALSE)/10)*(VLOOKUP($B94,'Section Data'!$B$36:$AC$107,5,FALSE)/10)^2/4,""))</f>
        <v>3.4053029999999991</v>
      </c>
      <c r="Z94" s="84">
        <f t="shared" si="14"/>
        <v>170.755</v>
      </c>
      <c r="AA94" s="84">
        <f t="shared" si="15"/>
        <v>16.145399999999999</v>
      </c>
      <c r="AB94" s="86">
        <f t="shared" si="16"/>
        <v>0.25449931920002333</v>
      </c>
      <c r="AC94" s="86">
        <f t="shared" si="17"/>
        <v>4.9069231576273187E-2</v>
      </c>
      <c r="AD94" s="1" t="b">
        <f>AND(ISNUMBER(AB94),ISNUMBER(AC94),AB94&gt;=0,AC94&gt;=0,AB94&lt;=0.95,AC94&lt;=0.95,ISNUMBER(D94),D94&gt;0,'Steel Beam Design'!$A$18="")</f>
        <v>1</v>
      </c>
      <c r="AE94" s="84">
        <f>'Steel Beam Design'!O26</f>
        <v>69.531249999999972</v>
      </c>
    </row>
    <row r="95" spans="1:31">
      <c r="A95" s="1" t="s">
        <v>467</v>
      </c>
      <c r="B95" s="1" t="str">
        <f>'Section Data'!B94</f>
        <v>305x102x28</v>
      </c>
      <c r="C95" s="1" t="s">
        <v>368</v>
      </c>
      <c r="D95" s="84">
        <f>'Section Data'!C94</f>
        <v>28.2</v>
      </c>
      <c r="E95" s="84">
        <f>'Section Data'!Q94</f>
        <v>5366</v>
      </c>
      <c r="F95" s="84">
        <f>'Steel Beam Design'!D7003</f>
        <v>43.457031249999979</v>
      </c>
      <c r="G95" s="84">
        <f>'Steel Beam Design'!D7027</f>
        <v>318.999074477352</v>
      </c>
      <c r="H95" s="84" t="str">
        <f>IF(TRIM($B95)="","",IFERROR('Steel Beam Design'!$D$7006,""))</f>
        <v>S355</v>
      </c>
      <c r="I95" s="84">
        <f>IF(TRIM($B95)="","",IFERROR(MAX(VLOOKUP($B95,'Section Data'!$B$36:$AC$107,5,FALSE),VLOOKUP($B95,'Section Data'!$B$36:$AC$107,6,FALSE)),""))</f>
        <v>8.8000000000000007</v>
      </c>
      <c r="J95" s="84">
        <f>IF(TRIM($B95)="","",IFERROR(IF(I95&gt;150,"",INDEX('Section Data'!$AH$5:$AK$10,IF(I95&lt;=16,1,IF(I95&lt;=40,2,IF(I95&lt;=63,3,IF(I95&lt;=80,4,IF(I95&lt;=100,5,6))))),MATCH(H95,'Section Data'!$AH$4:$AK$4,0))),""))</f>
        <v>355</v>
      </c>
      <c r="K95" s="84">
        <f t="shared" si="9"/>
        <v>0.88014083380101371</v>
      </c>
      <c r="L95" s="84">
        <f>IF(TRIM($B95)="","",IFERROR(VLOOKUP($B95,'Section Data'!$B$36:$AC$107,9,FALSE),""))</f>
        <v>5.78</v>
      </c>
      <c r="M95" s="84">
        <f>IF(TRIM($B95)="","",IFERROR(VLOOKUP($B95,'Section Data'!$B$36:$AC$107,10,FALSE),""))</f>
        <v>46</v>
      </c>
      <c r="N95" s="84">
        <f t="shared" si="10"/>
        <v>8</v>
      </c>
      <c r="O95" s="84">
        <f t="shared" si="11"/>
        <v>80</v>
      </c>
      <c r="P95" s="84">
        <f>IF(TRIM($B95)="","",IFERROR(VLOOKUP($B95,'Section Data'!$B$36:$AC$107,5,FALSE)*VLOOKUP($B95,'Section Data'!$B$36:$AC$107,3,FALSE),""))</f>
        <v>1852.1999999999998</v>
      </c>
      <c r="Q95" s="84">
        <f t="shared" si="12"/>
        <v>379.6256998505238</v>
      </c>
      <c r="R95" s="84">
        <f>'Steel Beam Design'!B3511</f>
        <v>111.25</v>
      </c>
      <c r="S95" s="84">
        <f t="shared" si="13"/>
        <v>0</v>
      </c>
      <c r="T95" s="84">
        <f>IF(TRIM($B95)="","",IFERROR(VLOOKUP($B95,'Section Data'!$B$36:$AC$107,20,FALSE),""))</f>
        <v>348</v>
      </c>
      <c r="U95" s="84">
        <f>IF(TRIM($B95)="","",IFERROR(VLOOKUP($B95,'Section Data'!$B$36:$AC$107,21,FALSE),""))</f>
        <v>30.5</v>
      </c>
      <c r="V95" s="84">
        <f>IF(TRIM($B95)="","",IFERROR(VLOOKUP($B95,'Section Data'!$B$36:$AC$107,22,FALSE),""))</f>
        <v>403</v>
      </c>
      <c r="W95" s="84">
        <f>IF(TRIM($B95)="","",IFERROR(VLOOKUP($B95,'Section Data'!$B$36:$AC$107,23,FALSE),""))</f>
        <v>48.5</v>
      </c>
      <c r="X95" s="84">
        <f>IF(TRIM($B95)="","",IFERROR((VLOOKUP($B95,'Section Data'!$B$36:$AC$107,5,FALSE)/10)*(VLOOKUP($B95,'Section Data'!$B$36:$AC$107,3,FALSE)/10)^2/4,""))</f>
        <v>142.94353499999997</v>
      </c>
      <c r="Y95" s="84">
        <f>IF(TRIM($B95)="","",IFERROR((VLOOKUP($B95,'Section Data'!$B$36:$AC$107,3,FALSE)/10)*(VLOOKUP($B95,'Section Data'!$B$36:$AC$107,5,FALSE)/10)^2/4,""))</f>
        <v>2.7782999999999998</v>
      </c>
      <c r="Z95" s="84">
        <f t="shared" si="14"/>
        <v>143.065</v>
      </c>
      <c r="AA95" s="84">
        <f t="shared" si="15"/>
        <v>12.993</v>
      </c>
      <c r="AB95" s="86">
        <f t="shared" si="16"/>
        <v>0.30375725194841491</v>
      </c>
      <c r="AC95" s="86">
        <f t="shared" si="17"/>
        <v>5.9448206201519194E-2</v>
      </c>
      <c r="AD95" s="1" t="b">
        <f>AND(ISNUMBER(AB95),ISNUMBER(AC95),AB95&gt;=0,AC95&gt;=0,AB95&lt;=0.95,AC95&lt;=0.95,ISNUMBER(D95),D95&gt;0,'Steel Beam Design'!$A$18="")</f>
        <v>1</v>
      </c>
      <c r="AE95" s="84">
        <f>'Steel Beam Design'!O26</f>
        <v>69.531249999999972</v>
      </c>
    </row>
    <row r="96" spans="1:31">
      <c r="A96" s="1" t="s">
        <v>467</v>
      </c>
      <c r="B96" s="1" t="str">
        <f>'Section Data'!B95</f>
        <v>305x102x25</v>
      </c>
      <c r="C96" s="1" t="s">
        <v>368</v>
      </c>
      <c r="D96" s="84">
        <f>'Section Data'!C95</f>
        <v>24.8</v>
      </c>
      <c r="E96" s="84">
        <f>'Section Data'!Q95</f>
        <v>4455</v>
      </c>
      <c r="F96" s="84">
        <f>'Steel Beam Design'!D7003</f>
        <v>43.457031249999979</v>
      </c>
      <c r="G96" s="84">
        <f>'Steel Beam Design'!D7027</f>
        <v>318.999074477352</v>
      </c>
      <c r="H96" s="84" t="str">
        <f>IF(TRIM($B96)="","",IFERROR('Steel Beam Design'!$D$7006,""))</f>
        <v>S355</v>
      </c>
      <c r="I96" s="84">
        <f>IF(TRIM($B96)="","",IFERROR(MAX(VLOOKUP($B96,'Section Data'!$B$36:$AC$107,5,FALSE),VLOOKUP($B96,'Section Data'!$B$36:$AC$107,6,FALSE)),""))</f>
        <v>7</v>
      </c>
      <c r="J96" s="84">
        <f>IF(TRIM($B96)="","",IFERROR(IF(I96&gt;150,"",INDEX('Section Data'!$AH$5:$AK$10,IF(I96&lt;=16,1,IF(I96&lt;=40,2,IF(I96&lt;=63,3,IF(I96&lt;=80,4,IF(I96&lt;=100,5,6))))),MATCH(H96,'Section Data'!$AH$4:$AK$4,0))),""))</f>
        <v>355</v>
      </c>
      <c r="K96" s="84">
        <f t="shared" si="9"/>
        <v>0.88014083380101371</v>
      </c>
      <c r="L96" s="84">
        <f>IF(TRIM($B96)="","",IFERROR(VLOOKUP($B96,'Section Data'!$B$36:$AC$107,9,FALSE),""))</f>
        <v>7.26</v>
      </c>
      <c r="M96" s="84">
        <f>IF(TRIM($B96)="","",IFERROR(VLOOKUP($B96,'Section Data'!$B$36:$AC$107,10,FALSE),""))</f>
        <v>47.6</v>
      </c>
      <c r="N96" s="84">
        <f t="shared" si="10"/>
        <v>9</v>
      </c>
      <c r="O96" s="84">
        <f t="shared" si="11"/>
        <v>80</v>
      </c>
      <c r="P96" s="84">
        <f>IF(TRIM($B96)="","",IFERROR(VLOOKUP($B96,'Section Data'!$B$36:$AC$107,5,FALSE)*VLOOKUP($B96,'Section Data'!$B$36:$AC$107,3,FALSE),""))</f>
        <v>1769.5800000000002</v>
      </c>
      <c r="Q96" s="84">
        <f t="shared" si="12"/>
        <v>362.69195872016519</v>
      </c>
      <c r="R96" s="84">
        <f>'Steel Beam Design'!B3511</f>
        <v>111.25</v>
      </c>
      <c r="S96" s="84">
        <f t="shared" si="13"/>
        <v>0</v>
      </c>
      <c r="T96" s="84">
        <f>IF(TRIM($B96)="","",IFERROR(VLOOKUP($B96,'Section Data'!$B$36:$AC$107,20,FALSE),""))</f>
        <v>292</v>
      </c>
      <c r="U96" s="84">
        <f>IF(TRIM($B96)="","",IFERROR(VLOOKUP($B96,'Section Data'!$B$36:$AC$107,21,FALSE),""))</f>
        <v>24.2</v>
      </c>
      <c r="V96" s="84">
        <f>IF(TRIM($B96)="","",IFERROR(VLOOKUP($B96,'Section Data'!$B$36:$AC$107,22,FALSE),""))</f>
        <v>342</v>
      </c>
      <c r="W96" s="84">
        <f>IF(TRIM($B96)="","",IFERROR(VLOOKUP($B96,'Section Data'!$B$36:$AC$107,23,FALSE),""))</f>
        <v>38.799999999999997</v>
      </c>
      <c r="X96" s="84">
        <f>IF(TRIM($B96)="","",IFERROR((VLOOKUP($B96,'Section Data'!$B$36:$AC$107,5,FALSE)/10)*(VLOOKUP($B96,'Section Data'!$B$36:$AC$107,3,FALSE)/10)^2/4,""))</f>
        <v>134.9747145</v>
      </c>
      <c r="Y96" s="84">
        <f>IF(TRIM($B96)="","",IFERROR((VLOOKUP($B96,'Section Data'!$B$36:$AC$107,3,FALSE)/10)*(VLOOKUP($B96,'Section Data'!$B$36:$AC$107,5,FALSE)/10)^2/4,""))</f>
        <v>2.5658910000000001</v>
      </c>
      <c r="Z96" s="84">
        <f t="shared" si="14"/>
        <v>121.41</v>
      </c>
      <c r="AA96" s="84">
        <f t="shared" si="15"/>
        <v>10.309199999999999</v>
      </c>
      <c r="AB96" s="86">
        <f t="shared" si="16"/>
        <v>0.35793617700354158</v>
      </c>
      <c r="AC96" s="86">
        <f t="shared" si="17"/>
        <v>7.1604730522413465E-2</v>
      </c>
      <c r="AD96" s="1" t="b">
        <f>AND(ISNUMBER(AB96),ISNUMBER(AC96),AB96&gt;=0,AC96&gt;=0,AB96&lt;=0.95,AC96&lt;=0.95,ISNUMBER(D96),D96&gt;0,'Steel Beam Design'!$A$18="")</f>
        <v>1</v>
      </c>
      <c r="AE96" s="84">
        <f>'Steel Beam Design'!O26</f>
        <v>69.531249999999972</v>
      </c>
    </row>
    <row r="97" spans="1:31">
      <c r="A97" s="1" t="s">
        <v>467</v>
      </c>
      <c r="B97" s="1" t="str">
        <f>'Section Data'!B96</f>
        <v>254x146x43</v>
      </c>
      <c r="C97" s="1" t="s">
        <v>368</v>
      </c>
      <c r="D97" s="84">
        <f>'Section Data'!C96</f>
        <v>43</v>
      </c>
      <c r="E97" s="84">
        <f>'Section Data'!Q96</f>
        <v>6544</v>
      </c>
      <c r="F97" s="84">
        <f>'Steel Beam Design'!D7003</f>
        <v>43.457031249999979</v>
      </c>
      <c r="G97" s="84">
        <f>'Steel Beam Design'!D7027</f>
        <v>318.999074477352</v>
      </c>
      <c r="H97" s="84" t="str">
        <f>IF(TRIM($B97)="","",IFERROR('Steel Beam Design'!$D$7006,""))</f>
        <v>S355</v>
      </c>
      <c r="I97" s="84">
        <f>IF(TRIM($B97)="","",IFERROR(MAX(VLOOKUP($B97,'Section Data'!$B$36:$AC$107,5,FALSE),VLOOKUP($B97,'Section Data'!$B$36:$AC$107,6,FALSE)),""))</f>
        <v>12.7</v>
      </c>
      <c r="J97" s="84">
        <f>IF(TRIM($B97)="","",IFERROR(IF(I97&gt;150,"",INDEX('Section Data'!$AH$5:$AK$10,IF(I97&lt;=16,1,IF(I97&lt;=40,2,IF(I97&lt;=63,3,IF(I97&lt;=80,4,IF(I97&lt;=100,5,6))))),MATCH(H97,'Section Data'!$AH$4:$AK$4,0))),""))</f>
        <v>355</v>
      </c>
      <c r="K97" s="84">
        <f t="shared" si="9"/>
        <v>0.88014083380101371</v>
      </c>
      <c r="L97" s="84">
        <f>IF(TRIM($B97)="","",IFERROR(VLOOKUP($B97,'Section Data'!$B$36:$AC$107,9,FALSE),""))</f>
        <v>5.8</v>
      </c>
      <c r="M97" s="84">
        <f>IF(TRIM($B97)="","",IFERROR(VLOOKUP($B97,'Section Data'!$B$36:$AC$107,10,FALSE),""))</f>
        <v>30.4</v>
      </c>
      <c r="N97" s="84">
        <f t="shared" si="10"/>
        <v>8</v>
      </c>
      <c r="O97" s="84">
        <f t="shared" si="11"/>
        <v>80</v>
      </c>
      <c r="P97" s="84">
        <f>IF(TRIM($B97)="","",IFERROR(VLOOKUP($B97,'Section Data'!$B$36:$AC$107,5,FALSE)*VLOOKUP($B97,'Section Data'!$B$36:$AC$107,3,FALSE),""))</f>
        <v>1869.1200000000001</v>
      </c>
      <c r="Q97" s="84">
        <f t="shared" si="12"/>
        <v>383.09361197743834</v>
      </c>
      <c r="R97" s="84">
        <f>'Steel Beam Design'!B3511</f>
        <v>111.25</v>
      </c>
      <c r="S97" s="84">
        <f t="shared" si="13"/>
        <v>0</v>
      </c>
      <c r="T97" s="84">
        <f>IF(TRIM($B97)="","",IFERROR(VLOOKUP($B97,'Section Data'!$B$36:$AC$107,20,FALSE),""))</f>
        <v>504</v>
      </c>
      <c r="U97" s="84">
        <f>IF(TRIM($B97)="","",IFERROR(VLOOKUP($B97,'Section Data'!$B$36:$AC$107,21,FALSE),""))</f>
        <v>92</v>
      </c>
      <c r="V97" s="84">
        <f>IF(TRIM($B97)="","",IFERROR(VLOOKUP($B97,'Section Data'!$B$36:$AC$107,22,FALSE),""))</f>
        <v>566</v>
      </c>
      <c r="W97" s="84">
        <f>IF(TRIM($B97)="","",IFERROR(VLOOKUP($B97,'Section Data'!$B$36:$AC$107,23,FALSE),""))</f>
        <v>141</v>
      </c>
      <c r="X97" s="84">
        <f>IF(TRIM($B97)="","",IFERROR((VLOOKUP($B97,'Section Data'!$B$36:$AC$107,5,FALSE)/10)*(VLOOKUP($B97,'Section Data'!$B$36:$AC$107,3,FALSE)/10)^2/4,""))</f>
        <v>121.305888</v>
      </c>
      <c r="Y97" s="84">
        <f>IF(TRIM($B97)="","",IFERROR((VLOOKUP($B97,'Section Data'!$B$36:$AC$107,3,FALSE)/10)*(VLOOKUP($B97,'Section Data'!$B$36:$AC$107,5,FALSE)/10)^2/4,""))</f>
        <v>3.3644159999999999</v>
      </c>
      <c r="Z97" s="84">
        <f t="shared" si="14"/>
        <v>200.93</v>
      </c>
      <c r="AA97" s="84">
        <f t="shared" si="15"/>
        <v>39.192</v>
      </c>
      <c r="AB97" s="86">
        <f t="shared" si="16"/>
        <v>0.21627945677599153</v>
      </c>
      <c r="AC97" s="86">
        <f t="shared" si="17"/>
        <v>4.8746802334558678E-2</v>
      </c>
      <c r="AD97" s="1" t="b">
        <f>AND(ISNUMBER(AB97),ISNUMBER(AC97),AB97&gt;=0,AC97&gt;=0,AB97&lt;=0.95,AC97&lt;=0.95,ISNUMBER(D97),D97&gt;0,'Steel Beam Design'!$A$18="")</f>
        <v>1</v>
      </c>
      <c r="AE97" s="84">
        <f>'Steel Beam Design'!O26</f>
        <v>69.531249999999972</v>
      </c>
    </row>
    <row r="98" spans="1:31">
      <c r="A98" s="1" t="s">
        <v>467</v>
      </c>
      <c r="B98" s="1" t="str">
        <f>'Section Data'!B97</f>
        <v>254x146x37</v>
      </c>
      <c r="C98" s="1" t="s">
        <v>368</v>
      </c>
      <c r="D98" s="84">
        <f>'Section Data'!C97</f>
        <v>37</v>
      </c>
      <c r="E98" s="84">
        <f>'Section Data'!Q97</f>
        <v>5537</v>
      </c>
      <c r="F98" s="84">
        <f>'Steel Beam Design'!D7003</f>
        <v>43.457031249999979</v>
      </c>
      <c r="G98" s="84">
        <f>'Steel Beam Design'!D7027</f>
        <v>318.999074477352</v>
      </c>
      <c r="H98" s="84" t="str">
        <f>IF(TRIM($B98)="","",IFERROR('Steel Beam Design'!$D$7006,""))</f>
        <v>S355</v>
      </c>
      <c r="I98" s="84">
        <f>IF(TRIM($B98)="","",IFERROR(MAX(VLOOKUP($B98,'Section Data'!$B$36:$AC$107,5,FALSE),VLOOKUP($B98,'Section Data'!$B$36:$AC$107,6,FALSE)),""))</f>
        <v>10.9</v>
      </c>
      <c r="J98" s="84">
        <f>IF(TRIM($B98)="","",IFERROR(IF(I98&gt;150,"",INDEX('Section Data'!$AH$5:$AK$10,IF(I98&lt;=16,1,IF(I98&lt;=40,2,IF(I98&lt;=63,3,IF(I98&lt;=80,4,IF(I98&lt;=100,5,6))))),MATCH(H98,'Section Data'!$AH$4:$AK$4,0))),""))</f>
        <v>355</v>
      </c>
      <c r="K98" s="84">
        <f t="shared" si="9"/>
        <v>0.88014083380101371</v>
      </c>
      <c r="L98" s="84">
        <f>IF(TRIM($B98)="","",IFERROR(VLOOKUP($B98,'Section Data'!$B$36:$AC$107,9,FALSE),""))</f>
        <v>6.72</v>
      </c>
      <c r="M98" s="84">
        <f>IF(TRIM($B98)="","",IFERROR(VLOOKUP($B98,'Section Data'!$B$36:$AC$107,10,FALSE),""))</f>
        <v>34.799999999999997</v>
      </c>
      <c r="N98" s="84">
        <f t="shared" si="10"/>
        <v>8</v>
      </c>
      <c r="O98" s="84">
        <f t="shared" si="11"/>
        <v>80</v>
      </c>
      <c r="P98" s="84">
        <f>IF(TRIM($B98)="","",IFERROR(VLOOKUP($B98,'Section Data'!$B$36:$AC$107,5,FALSE)*VLOOKUP($B98,'Section Data'!$B$36:$AC$107,3,FALSE),""))</f>
        <v>1612.8</v>
      </c>
      <c r="Q98" s="84">
        <f t="shared" si="12"/>
        <v>330.55843252290509</v>
      </c>
      <c r="R98" s="84">
        <f>'Steel Beam Design'!B3511</f>
        <v>111.25</v>
      </c>
      <c r="S98" s="84">
        <f t="shared" si="13"/>
        <v>0</v>
      </c>
      <c r="T98" s="84">
        <f>IF(TRIM($B98)="","",IFERROR(VLOOKUP($B98,'Section Data'!$B$36:$AC$107,20,FALSE),""))</f>
        <v>433</v>
      </c>
      <c r="U98" s="84">
        <f>IF(TRIM($B98)="","",IFERROR(VLOOKUP($B98,'Section Data'!$B$36:$AC$107,21,FALSE),""))</f>
        <v>78</v>
      </c>
      <c r="V98" s="84">
        <f>IF(TRIM($B98)="","",IFERROR(VLOOKUP($B98,'Section Data'!$B$36:$AC$107,22,FALSE),""))</f>
        <v>483</v>
      </c>
      <c r="W98" s="84">
        <f>IF(TRIM($B98)="","",IFERROR(VLOOKUP($B98,'Section Data'!$B$36:$AC$107,23,FALSE),""))</f>
        <v>119</v>
      </c>
      <c r="X98" s="84">
        <f>IF(TRIM($B98)="","",IFERROR((VLOOKUP($B98,'Section Data'!$B$36:$AC$107,5,FALSE)/10)*(VLOOKUP($B98,'Section Data'!$B$36:$AC$107,3,FALSE)/10)^2/4,""))</f>
        <v>103.21920000000001</v>
      </c>
      <c r="Y98" s="84">
        <f>IF(TRIM($B98)="","",IFERROR((VLOOKUP($B98,'Section Data'!$B$36:$AC$107,3,FALSE)/10)*(VLOOKUP($B98,'Section Data'!$B$36:$AC$107,5,FALSE)/10)^2/4,""))</f>
        <v>2.5401600000000002</v>
      </c>
      <c r="Z98" s="84">
        <f t="shared" si="14"/>
        <v>171.465</v>
      </c>
      <c r="AA98" s="84">
        <f t="shared" si="15"/>
        <v>33.228000000000002</v>
      </c>
      <c r="AB98" s="86">
        <f t="shared" si="16"/>
        <v>0.25344549179132753</v>
      </c>
      <c r="AC98" s="86">
        <f t="shared" si="17"/>
        <v>5.7612258348808378E-2</v>
      </c>
      <c r="AD98" s="1" t="b">
        <f>AND(ISNUMBER(AB98),ISNUMBER(AC98),AB98&gt;=0,AC98&gt;=0,AB98&lt;=0.95,AC98&lt;=0.95,ISNUMBER(D98),D98&gt;0,'Steel Beam Design'!$A$18="")</f>
        <v>1</v>
      </c>
      <c r="AE98" s="84">
        <f>'Steel Beam Design'!O26</f>
        <v>69.531249999999972</v>
      </c>
    </row>
    <row r="99" spans="1:31">
      <c r="A99" s="1" t="s">
        <v>467</v>
      </c>
      <c r="B99" s="1" t="str">
        <f>'Section Data'!B98</f>
        <v>254x146x31</v>
      </c>
      <c r="C99" s="1" t="s">
        <v>368</v>
      </c>
      <c r="D99" s="84">
        <f>'Section Data'!C98</f>
        <v>31.1</v>
      </c>
      <c r="E99" s="84">
        <f>'Section Data'!Q98</f>
        <v>4413</v>
      </c>
      <c r="F99" s="84">
        <f>'Steel Beam Design'!D7003</f>
        <v>43.457031249999979</v>
      </c>
      <c r="G99" s="84">
        <f>'Steel Beam Design'!D7027</f>
        <v>318.999074477352</v>
      </c>
      <c r="H99" s="84" t="str">
        <f>IF(TRIM($B99)="","",IFERROR('Steel Beam Design'!$D$7006,""))</f>
        <v>S355</v>
      </c>
      <c r="I99" s="84">
        <f>IF(TRIM($B99)="","",IFERROR(MAX(VLOOKUP($B99,'Section Data'!$B$36:$AC$107,5,FALSE),VLOOKUP($B99,'Section Data'!$B$36:$AC$107,6,FALSE)),""))</f>
        <v>8.6</v>
      </c>
      <c r="J99" s="84">
        <f>IF(TRIM($B99)="","",IFERROR(IF(I99&gt;150,"",INDEX('Section Data'!$AH$5:$AK$10,IF(I99&lt;=16,1,IF(I99&lt;=40,2,IF(I99&lt;=63,3,IF(I99&lt;=80,4,IF(I99&lt;=100,5,6))))),MATCH(H99,'Section Data'!$AH$4:$AK$4,0))),""))</f>
        <v>355</v>
      </c>
      <c r="K99" s="84">
        <f t="shared" si="9"/>
        <v>0.88014083380101371</v>
      </c>
      <c r="L99" s="84">
        <f>IF(TRIM($B99)="","",IFERROR(VLOOKUP($B99,'Section Data'!$B$36:$AC$107,9,FALSE),""))</f>
        <v>8.49</v>
      </c>
      <c r="M99" s="84">
        <f>IF(TRIM($B99)="","",IFERROR(VLOOKUP($B99,'Section Data'!$B$36:$AC$107,10,FALSE),""))</f>
        <v>36.5</v>
      </c>
      <c r="N99" s="84">
        <f t="shared" si="10"/>
        <v>13</v>
      </c>
      <c r="O99" s="84">
        <f t="shared" si="11"/>
        <v>80</v>
      </c>
      <c r="P99" s="84">
        <f>IF(TRIM($B99)="","",IFERROR(VLOOKUP($B99,'Section Data'!$B$36:$AC$107,5,FALSE)*VLOOKUP($B99,'Section Data'!$B$36:$AC$107,3,FALSE),""))</f>
        <v>1508.4</v>
      </c>
      <c r="Q99" s="84">
        <f t="shared" si="12"/>
        <v>309.16067684619918</v>
      </c>
      <c r="R99" s="84">
        <f>'Steel Beam Design'!B3511</f>
        <v>111.25</v>
      </c>
      <c r="S99" s="84">
        <f t="shared" si="13"/>
        <v>0</v>
      </c>
      <c r="T99" s="84">
        <f>IF(TRIM($B99)="","",IFERROR(VLOOKUP($B99,'Section Data'!$B$36:$AC$107,20,FALSE),""))</f>
        <v>351</v>
      </c>
      <c r="U99" s="84">
        <f>IF(TRIM($B99)="","",IFERROR(VLOOKUP($B99,'Section Data'!$B$36:$AC$107,21,FALSE),""))</f>
        <v>61.3</v>
      </c>
      <c r="V99" s="84">
        <f>IF(TRIM($B99)="","",IFERROR(VLOOKUP($B99,'Section Data'!$B$36:$AC$107,22,FALSE),""))</f>
        <v>393</v>
      </c>
      <c r="W99" s="84">
        <f>IF(TRIM($B99)="","",IFERROR(VLOOKUP($B99,'Section Data'!$B$36:$AC$107,23,FALSE),""))</f>
        <v>94.1</v>
      </c>
      <c r="X99" s="84">
        <f>IF(TRIM($B99)="","",IFERROR((VLOOKUP($B99,'Section Data'!$B$36:$AC$107,5,FALSE)/10)*(VLOOKUP($B99,'Section Data'!$B$36:$AC$107,3,FALSE)/10)^2/4,""))</f>
        <v>94.802940000000007</v>
      </c>
      <c r="Y99" s="84">
        <f>IF(TRIM($B99)="","",IFERROR((VLOOKUP($B99,'Section Data'!$B$36:$AC$107,3,FALSE)/10)*(VLOOKUP($B99,'Section Data'!$B$36:$AC$107,5,FALSE)/10)^2/4,""))</f>
        <v>2.2625999999999999</v>
      </c>
      <c r="Z99" s="84">
        <f t="shared" si="14"/>
        <v>124.605</v>
      </c>
      <c r="AA99" s="84">
        <f t="shared" si="15"/>
        <v>21.761500000000002</v>
      </c>
      <c r="AB99" s="86">
        <f t="shared" si="16"/>
        <v>0.34875832631114301</v>
      </c>
      <c r="AC99" s="86">
        <f t="shared" si="17"/>
        <v>7.2286216740845677E-2</v>
      </c>
      <c r="AD99" s="1" t="b">
        <f>AND(ISNUMBER(AB99),ISNUMBER(AC99),AB99&gt;=0,AC99&gt;=0,AB99&lt;=0.95,AC99&lt;=0.95,ISNUMBER(D99),D99&gt;0,'Steel Beam Design'!$A$18="")</f>
        <v>1</v>
      </c>
      <c r="AE99" s="84">
        <f>'Steel Beam Design'!O26</f>
        <v>69.531249999999972</v>
      </c>
    </row>
    <row r="100" spans="1:31">
      <c r="A100" s="1" t="s">
        <v>467</v>
      </c>
      <c r="B100" s="1" t="str">
        <f>'Section Data'!B99</f>
        <v>254x102x28</v>
      </c>
      <c r="C100" s="1" t="s">
        <v>368</v>
      </c>
      <c r="D100" s="84">
        <f>'Section Data'!C99</f>
        <v>28.3</v>
      </c>
      <c r="E100" s="84">
        <f>'Section Data'!Q99</f>
        <v>4005</v>
      </c>
      <c r="F100" s="84">
        <f>'Steel Beam Design'!D7003</f>
        <v>43.457031249999979</v>
      </c>
      <c r="G100" s="84">
        <f>'Steel Beam Design'!D7027</f>
        <v>318.999074477352</v>
      </c>
      <c r="H100" s="84" t="str">
        <f>IF(TRIM($B100)="","",IFERROR('Steel Beam Design'!$D$7006,""))</f>
        <v>S355</v>
      </c>
      <c r="I100" s="84">
        <f>IF(TRIM($B100)="","",IFERROR(MAX(VLOOKUP($B100,'Section Data'!$B$36:$AC$107,5,FALSE),VLOOKUP($B100,'Section Data'!$B$36:$AC$107,6,FALSE)),""))</f>
        <v>10</v>
      </c>
      <c r="J100" s="84">
        <f>IF(TRIM($B100)="","",IFERROR(IF(I100&gt;150,"",INDEX('Section Data'!$AH$5:$AK$10,IF(I100&lt;=16,1,IF(I100&lt;=40,2,IF(I100&lt;=63,3,IF(I100&lt;=80,4,IF(I100&lt;=100,5,6))))),MATCH(H100,'Section Data'!$AH$4:$AK$4,0))),""))</f>
        <v>355</v>
      </c>
      <c r="K100" s="84">
        <f t="shared" si="9"/>
        <v>0.88014083380101371</v>
      </c>
      <c r="L100" s="84">
        <f>IF(TRIM($B100)="","",IFERROR(VLOOKUP($B100,'Section Data'!$B$36:$AC$107,9,FALSE),""))</f>
        <v>5.1100000000000003</v>
      </c>
      <c r="M100" s="84">
        <f>IF(TRIM($B100)="","",IFERROR(VLOOKUP($B100,'Section Data'!$B$36:$AC$107,10,FALSE),""))</f>
        <v>35.700000000000003</v>
      </c>
      <c r="N100" s="84">
        <f t="shared" si="10"/>
        <v>8</v>
      </c>
      <c r="O100" s="84">
        <f t="shared" si="11"/>
        <v>80</v>
      </c>
      <c r="P100" s="84">
        <f>IF(TRIM($B100)="","",IFERROR(VLOOKUP($B100,'Section Data'!$B$36:$AC$107,5,FALSE)*VLOOKUP($B100,'Section Data'!$B$36:$AC$107,3,FALSE),""))</f>
        <v>1640.5199999999998</v>
      </c>
      <c r="Q100" s="84">
        <f t="shared" si="12"/>
        <v>336.23990558189246</v>
      </c>
      <c r="R100" s="84">
        <f>'Steel Beam Design'!B3511</f>
        <v>111.25</v>
      </c>
      <c r="S100" s="84">
        <f t="shared" si="13"/>
        <v>0</v>
      </c>
      <c r="T100" s="84">
        <f>IF(TRIM($B100)="","",IFERROR(VLOOKUP($B100,'Section Data'!$B$36:$AC$107,20,FALSE),""))</f>
        <v>308</v>
      </c>
      <c r="U100" s="84">
        <f>IF(TRIM($B100)="","",IFERROR(VLOOKUP($B100,'Section Data'!$B$36:$AC$107,21,FALSE),""))</f>
        <v>34.9</v>
      </c>
      <c r="V100" s="84">
        <f>IF(TRIM($B100)="","",IFERROR(VLOOKUP($B100,'Section Data'!$B$36:$AC$107,22,FALSE),""))</f>
        <v>353</v>
      </c>
      <c r="W100" s="84">
        <f>IF(TRIM($B100)="","",IFERROR(VLOOKUP($B100,'Section Data'!$B$36:$AC$107,23,FALSE),""))</f>
        <v>54.8</v>
      </c>
      <c r="X100" s="84">
        <f>IF(TRIM($B100)="","",IFERROR((VLOOKUP($B100,'Section Data'!$B$36:$AC$107,5,FALSE)/10)*(VLOOKUP($B100,'Section Data'!$B$36:$AC$107,3,FALSE)/10)^2/4,""))</f>
        <v>106.79785199999999</v>
      </c>
      <c r="Y100" s="84">
        <f>IF(TRIM($B100)="","",IFERROR((VLOOKUP($B100,'Section Data'!$B$36:$AC$107,3,FALSE)/10)*(VLOOKUP($B100,'Section Data'!$B$36:$AC$107,5,FALSE)/10)^2/4,""))</f>
        <v>2.5838190000000001</v>
      </c>
      <c r="Z100" s="84">
        <f t="shared" si="14"/>
        <v>125.315</v>
      </c>
      <c r="AA100" s="84">
        <f t="shared" si="15"/>
        <v>14.867399999999998</v>
      </c>
      <c r="AB100" s="86">
        <f t="shared" si="16"/>
        <v>0.34678235845668898</v>
      </c>
      <c r="AC100" s="86">
        <f t="shared" si="17"/>
        <v>7.9650205862010492E-2</v>
      </c>
      <c r="AD100" s="1" t="b">
        <f>AND(ISNUMBER(AB100),ISNUMBER(AC100),AB100&gt;=0,AC100&gt;=0,AB100&lt;=0.95,AC100&lt;=0.95,ISNUMBER(D100),D100&gt;0,'Steel Beam Design'!$A$18="")</f>
        <v>1</v>
      </c>
      <c r="AE100" s="84">
        <f>'Steel Beam Design'!O26</f>
        <v>69.531249999999972</v>
      </c>
    </row>
    <row r="101" spans="1:31">
      <c r="A101" s="1" t="s">
        <v>467</v>
      </c>
      <c r="B101" s="1" t="str">
        <f>'Section Data'!B100</f>
        <v>254x102x25</v>
      </c>
      <c r="C101" s="1" t="s">
        <v>368</v>
      </c>
      <c r="D101" s="84">
        <f>'Section Data'!C100</f>
        <v>25.2</v>
      </c>
      <c r="E101" s="84">
        <f>'Section Data'!Q100</f>
        <v>3415</v>
      </c>
      <c r="F101" s="84">
        <f>'Steel Beam Design'!D7003</f>
        <v>43.457031249999979</v>
      </c>
      <c r="G101" s="84">
        <f>'Steel Beam Design'!D7027</f>
        <v>318.999074477352</v>
      </c>
      <c r="H101" s="84" t="str">
        <f>IF(TRIM($B101)="","",IFERROR('Steel Beam Design'!$D$7006,""))</f>
        <v>S355</v>
      </c>
      <c r="I101" s="84">
        <f>IF(TRIM($B101)="","",IFERROR(MAX(VLOOKUP($B101,'Section Data'!$B$36:$AC$107,5,FALSE),VLOOKUP($B101,'Section Data'!$B$36:$AC$107,6,FALSE)),""))</f>
        <v>8.4</v>
      </c>
      <c r="J101" s="84">
        <f>IF(TRIM($B101)="","",IFERROR(IF(I101&gt;150,"",INDEX('Section Data'!$AH$5:$AK$10,IF(I101&lt;=16,1,IF(I101&lt;=40,2,IF(I101&lt;=63,3,IF(I101&lt;=80,4,IF(I101&lt;=100,5,6))))),MATCH(H101,'Section Data'!$AH$4:$AK$4,0))),""))</f>
        <v>355</v>
      </c>
      <c r="K101" s="84">
        <f t="shared" si="9"/>
        <v>0.88014083380101371</v>
      </c>
      <c r="L101" s="84">
        <f>IF(TRIM($B101)="","",IFERROR(VLOOKUP($B101,'Section Data'!$B$36:$AC$107,9,FALSE),""))</f>
        <v>6.07</v>
      </c>
      <c r="M101" s="84">
        <f>IF(TRIM($B101)="","",IFERROR(VLOOKUP($B101,'Section Data'!$B$36:$AC$107,10,FALSE),""))</f>
        <v>37.5</v>
      </c>
      <c r="N101" s="84">
        <f t="shared" si="10"/>
        <v>8</v>
      </c>
      <c r="O101" s="84">
        <f t="shared" si="11"/>
        <v>80</v>
      </c>
      <c r="P101" s="84">
        <f>IF(TRIM($B101)="","",IFERROR(VLOOKUP($B101,'Section Data'!$B$36:$AC$107,5,FALSE)*VLOOKUP($B101,'Section Data'!$B$36:$AC$107,3,FALSE),""))</f>
        <v>1543.1999999999998</v>
      </c>
      <c r="Q101" s="84">
        <f t="shared" si="12"/>
        <v>316.29326207176774</v>
      </c>
      <c r="R101" s="84">
        <f>'Steel Beam Design'!B3511</f>
        <v>111.25</v>
      </c>
      <c r="S101" s="84">
        <f t="shared" si="13"/>
        <v>0</v>
      </c>
      <c r="T101" s="84">
        <f>IF(TRIM($B101)="","",IFERROR(VLOOKUP($B101,'Section Data'!$B$36:$AC$107,20,FALSE),""))</f>
        <v>266</v>
      </c>
      <c r="U101" s="84">
        <f>IF(TRIM($B101)="","",IFERROR(VLOOKUP($B101,'Section Data'!$B$36:$AC$107,21,FALSE),""))</f>
        <v>29.2</v>
      </c>
      <c r="V101" s="84">
        <f>IF(TRIM($B101)="","",IFERROR(VLOOKUP($B101,'Section Data'!$B$36:$AC$107,22,FALSE),""))</f>
        <v>306</v>
      </c>
      <c r="W101" s="84">
        <f>IF(TRIM($B101)="","",IFERROR(VLOOKUP($B101,'Section Data'!$B$36:$AC$107,23,FALSE),""))</f>
        <v>46</v>
      </c>
      <c r="X101" s="84">
        <f>IF(TRIM($B101)="","",IFERROR((VLOOKUP($B101,'Section Data'!$B$36:$AC$107,5,FALSE)/10)*(VLOOKUP($B101,'Section Data'!$B$36:$AC$107,3,FALSE)/10)^2/4,""))</f>
        <v>99.227759999999989</v>
      </c>
      <c r="Y101" s="84">
        <f>IF(TRIM($B101)="","",IFERROR((VLOOKUP($B101,'Section Data'!$B$36:$AC$107,3,FALSE)/10)*(VLOOKUP($B101,'Section Data'!$B$36:$AC$107,5,FALSE)/10)^2/4,""))</f>
        <v>2.3148</v>
      </c>
      <c r="Z101" s="84">
        <f t="shared" si="14"/>
        <v>108.63</v>
      </c>
      <c r="AA101" s="84">
        <f t="shared" si="15"/>
        <v>12.4392</v>
      </c>
      <c r="AB101" s="86">
        <f t="shared" si="16"/>
        <v>0.40004631547454644</v>
      </c>
      <c r="AC101" s="86">
        <f t="shared" si="17"/>
        <v>9.3411149188097217E-2</v>
      </c>
      <c r="AD101" s="1" t="b">
        <f>AND(ISNUMBER(AB101),ISNUMBER(AC101),AB101&gt;=0,AC101&gt;=0,AB101&lt;=0.95,AC101&lt;=0.95,ISNUMBER(D101),D101&gt;0,'Steel Beam Design'!$A$18="")</f>
        <v>1</v>
      </c>
      <c r="AE101" s="84">
        <f>'Steel Beam Design'!O26</f>
        <v>69.531249999999972</v>
      </c>
    </row>
    <row r="102" spans="1:31">
      <c r="A102" s="1" t="s">
        <v>467</v>
      </c>
      <c r="B102" s="1" t="str">
        <f>'Section Data'!B101</f>
        <v>254x102x22</v>
      </c>
      <c r="C102" s="1" t="s">
        <v>368</v>
      </c>
      <c r="D102" s="84">
        <f>'Section Data'!C101</f>
        <v>22</v>
      </c>
      <c r="E102" s="84">
        <f>'Section Data'!Q101</f>
        <v>2841</v>
      </c>
      <c r="F102" s="84">
        <f>'Steel Beam Design'!D7003</f>
        <v>43.457031249999979</v>
      </c>
      <c r="G102" s="84">
        <f>'Steel Beam Design'!D7027</f>
        <v>318.999074477352</v>
      </c>
      <c r="H102" s="84" t="str">
        <f>IF(TRIM($B102)="","",IFERROR('Steel Beam Design'!$D$7006,""))</f>
        <v>S355</v>
      </c>
      <c r="I102" s="84">
        <f>IF(TRIM($B102)="","",IFERROR(MAX(VLOOKUP($B102,'Section Data'!$B$36:$AC$107,5,FALSE),VLOOKUP($B102,'Section Data'!$B$36:$AC$107,6,FALSE)),""))</f>
        <v>6.8</v>
      </c>
      <c r="J102" s="84">
        <f>IF(TRIM($B102)="","",IFERROR(IF(I102&gt;150,"",INDEX('Section Data'!$AH$5:$AK$10,IF(I102&lt;=16,1,IF(I102&lt;=40,2,IF(I102&lt;=63,3,IF(I102&lt;=80,4,IF(I102&lt;=100,5,6))))),MATCH(H102,'Section Data'!$AH$4:$AK$4,0))),""))</f>
        <v>355</v>
      </c>
      <c r="K102" s="84">
        <f t="shared" si="9"/>
        <v>0.88014083380101371</v>
      </c>
      <c r="L102" s="84">
        <f>IF(TRIM($B102)="","",IFERROR(VLOOKUP($B102,'Section Data'!$B$36:$AC$107,9,FALSE),""))</f>
        <v>7.47</v>
      </c>
      <c r="M102" s="84">
        <f>IF(TRIM($B102)="","",IFERROR(VLOOKUP($B102,'Section Data'!$B$36:$AC$107,10,FALSE),""))</f>
        <v>39.5</v>
      </c>
      <c r="N102" s="84">
        <f t="shared" si="10"/>
        <v>9</v>
      </c>
      <c r="O102" s="84">
        <f t="shared" si="11"/>
        <v>80</v>
      </c>
      <c r="P102" s="84">
        <f>IF(TRIM($B102)="","",IFERROR(VLOOKUP($B102,'Section Data'!$B$36:$AC$107,5,FALSE)*VLOOKUP($B102,'Section Data'!$B$36:$AC$107,3,FALSE),""))</f>
        <v>1447.8</v>
      </c>
      <c r="Q102" s="84">
        <f t="shared" si="12"/>
        <v>296.74014050512278</v>
      </c>
      <c r="R102" s="84">
        <f>'Steel Beam Design'!B3511</f>
        <v>111.25</v>
      </c>
      <c r="S102" s="84">
        <f t="shared" si="13"/>
        <v>0</v>
      </c>
      <c r="T102" s="84">
        <f>IF(TRIM($B102)="","",IFERROR(VLOOKUP($B102,'Section Data'!$B$36:$AC$107,20,FALSE),""))</f>
        <v>224</v>
      </c>
      <c r="U102" s="84">
        <f>IF(TRIM($B102)="","",IFERROR(VLOOKUP($B102,'Section Data'!$B$36:$AC$107,21,FALSE),""))</f>
        <v>23.5</v>
      </c>
      <c r="V102" s="84">
        <f>IF(TRIM($B102)="","",IFERROR(VLOOKUP($B102,'Section Data'!$B$36:$AC$107,22,FALSE),""))</f>
        <v>259</v>
      </c>
      <c r="W102" s="84">
        <f>IF(TRIM($B102)="","",IFERROR(VLOOKUP($B102,'Section Data'!$B$36:$AC$107,23,FALSE),""))</f>
        <v>37.299999999999997</v>
      </c>
      <c r="X102" s="84">
        <f>IF(TRIM($B102)="","",IFERROR((VLOOKUP($B102,'Section Data'!$B$36:$AC$107,5,FALSE)/10)*(VLOOKUP($B102,'Section Data'!$B$36:$AC$107,3,FALSE)/10)^2/4,""))</f>
        <v>91.935300000000012</v>
      </c>
      <c r="Y102" s="84">
        <f>IF(TRIM($B102)="","",IFERROR((VLOOKUP($B102,'Section Data'!$B$36:$AC$107,3,FALSE)/10)*(VLOOKUP($B102,'Section Data'!$B$36:$AC$107,5,FALSE)/10)^2/4,""))</f>
        <v>2.0631150000000003</v>
      </c>
      <c r="Z102" s="84">
        <f t="shared" si="14"/>
        <v>91.944999999999993</v>
      </c>
      <c r="AA102" s="84">
        <f t="shared" si="15"/>
        <v>10.010999999999999</v>
      </c>
      <c r="AB102" s="86">
        <f t="shared" si="16"/>
        <v>0.47264159280004331</v>
      </c>
      <c r="AC102" s="86">
        <f t="shared" si="17"/>
        <v>0.11228408112543189</v>
      </c>
      <c r="AD102" s="1" t="b">
        <f>AND(ISNUMBER(AB102),ISNUMBER(AC102),AB102&gt;=0,AC102&gt;=0,AB102&lt;=0.95,AC102&lt;=0.95,ISNUMBER(D102),D102&gt;0,'Steel Beam Design'!$A$18="")</f>
        <v>1</v>
      </c>
      <c r="AE102" s="84">
        <f>'Steel Beam Design'!O26</f>
        <v>69.531249999999972</v>
      </c>
    </row>
    <row r="103" spans="1:31">
      <c r="A103" s="1" t="s">
        <v>467</v>
      </c>
      <c r="B103" s="1" t="str">
        <f>'Section Data'!B102</f>
        <v>203x133x30</v>
      </c>
      <c r="C103" s="1" t="s">
        <v>368</v>
      </c>
      <c r="D103" s="84">
        <f>'Section Data'!C102</f>
        <v>30</v>
      </c>
      <c r="E103" s="84">
        <f>'Section Data'!Q102</f>
        <v>2896</v>
      </c>
      <c r="F103" s="84">
        <f>'Steel Beam Design'!D7003</f>
        <v>43.457031249999979</v>
      </c>
      <c r="G103" s="84">
        <f>'Steel Beam Design'!D7027</f>
        <v>318.999074477352</v>
      </c>
      <c r="H103" s="84" t="str">
        <f>IF(TRIM($B103)="","",IFERROR('Steel Beam Design'!$D$7006,""))</f>
        <v>S355</v>
      </c>
      <c r="I103" s="84">
        <f>IF(TRIM($B103)="","",IFERROR(MAX(VLOOKUP($B103,'Section Data'!$B$36:$AC$107,5,FALSE),VLOOKUP($B103,'Section Data'!$B$36:$AC$107,6,FALSE)),""))</f>
        <v>9.6</v>
      </c>
      <c r="J103" s="84">
        <f>IF(TRIM($B103)="","",IFERROR(IF(I103&gt;150,"",INDEX('Section Data'!$AH$5:$AK$10,IF(I103&lt;=16,1,IF(I103&lt;=40,2,IF(I103&lt;=63,3,IF(I103&lt;=80,4,IF(I103&lt;=100,5,6))))),MATCH(H103,'Section Data'!$AH$4:$AK$4,0))),""))</f>
        <v>355</v>
      </c>
      <c r="K103" s="84">
        <f t="shared" si="9"/>
        <v>0.88014083380101371</v>
      </c>
      <c r="L103" s="84">
        <f>IF(TRIM($B103)="","",IFERROR(VLOOKUP($B103,'Section Data'!$B$36:$AC$107,9,FALSE),""))</f>
        <v>6.97</v>
      </c>
      <c r="M103" s="84">
        <f>IF(TRIM($B103)="","",IFERROR(VLOOKUP($B103,'Section Data'!$B$36:$AC$107,10,FALSE),""))</f>
        <v>26.9</v>
      </c>
      <c r="N103" s="84">
        <f t="shared" si="10"/>
        <v>8</v>
      </c>
      <c r="O103" s="84">
        <f t="shared" si="11"/>
        <v>80</v>
      </c>
      <c r="P103" s="84">
        <f>IF(TRIM($B103)="","",IFERROR(VLOOKUP($B103,'Section Data'!$B$36:$AC$107,5,FALSE)*VLOOKUP($B103,'Section Data'!$B$36:$AC$107,3,FALSE),""))</f>
        <v>1323.5200000000002</v>
      </c>
      <c r="Q103" s="84">
        <f t="shared" si="12"/>
        <v>271.2677930386381</v>
      </c>
      <c r="R103" s="84">
        <f>'Steel Beam Design'!B3511</f>
        <v>111.25</v>
      </c>
      <c r="S103" s="84">
        <f t="shared" si="13"/>
        <v>0</v>
      </c>
      <c r="T103" s="84">
        <f>IF(TRIM($B103)="","",IFERROR(VLOOKUP($B103,'Section Data'!$B$36:$AC$107,20,FALSE),""))</f>
        <v>280</v>
      </c>
      <c r="U103" s="84">
        <f>IF(TRIM($B103)="","",IFERROR(VLOOKUP($B103,'Section Data'!$B$36:$AC$107,21,FALSE),""))</f>
        <v>57.5</v>
      </c>
      <c r="V103" s="84">
        <f>IF(TRIM($B103)="","",IFERROR(VLOOKUP($B103,'Section Data'!$B$36:$AC$107,22,FALSE),""))</f>
        <v>314</v>
      </c>
      <c r="W103" s="84">
        <f>IF(TRIM($B103)="","",IFERROR(VLOOKUP($B103,'Section Data'!$B$36:$AC$107,23,FALSE),""))</f>
        <v>88.2</v>
      </c>
      <c r="X103" s="84">
        <f>IF(TRIM($B103)="","",IFERROR((VLOOKUP($B103,'Section Data'!$B$36:$AC$107,5,FALSE)/10)*(VLOOKUP($B103,'Section Data'!$B$36:$AC$107,3,FALSE)/10)^2/4,""))</f>
        <v>68.425984</v>
      </c>
      <c r="Y103" s="84">
        <f>IF(TRIM($B103)="","",IFERROR((VLOOKUP($B103,'Section Data'!$B$36:$AC$107,3,FALSE)/10)*(VLOOKUP($B103,'Section Data'!$B$36:$AC$107,5,FALSE)/10)^2/4,""))</f>
        <v>2.117632</v>
      </c>
      <c r="Z103" s="84">
        <f t="shared" si="14"/>
        <v>111.47</v>
      </c>
      <c r="AA103" s="84">
        <f t="shared" si="15"/>
        <v>24.495000000000001</v>
      </c>
      <c r="AB103" s="86">
        <f t="shared" si="16"/>
        <v>0.3898540526599083</v>
      </c>
      <c r="AC103" s="86">
        <f t="shared" si="17"/>
        <v>0.11015161411510774</v>
      </c>
      <c r="AD103" s="1" t="b">
        <f>AND(ISNUMBER(AB103),ISNUMBER(AC103),AB103&gt;=0,AC103&gt;=0,AB103&lt;=0.95,AC103&lt;=0.95,ISNUMBER(D103),D103&gt;0,'Steel Beam Design'!$A$18="")</f>
        <v>1</v>
      </c>
      <c r="AE103" s="84">
        <f>'Steel Beam Design'!O26</f>
        <v>69.531249999999972</v>
      </c>
    </row>
    <row r="104" spans="1:31">
      <c r="A104" s="1" t="s">
        <v>467</v>
      </c>
      <c r="B104" s="1" t="str">
        <f>'Section Data'!B103</f>
        <v>203x133x25</v>
      </c>
      <c r="C104" s="1" t="s">
        <v>368</v>
      </c>
      <c r="D104" s="84">
        <f>'Section Data'!C103</f>
        <v>25.1</v>
      </c>
      <c r="E104" s="84">
        <f>'Section Data'!Q103</f>
        <v>2340</v>
      </c>
      <c r="F104" s="84">
        <f>'Steel Beam Design'!D7003</f>
        <v>43.457031249999979</v>
      </c>
      <c r="G104" s="84">
        <f>'Steel Beam Design'!D7027</f>
        <v>318.999074477352</v>
      </c>
      <c r="H104" s="84" t="str">
        <f>IF(TRIM($B104)="","",IFERROR('Steel Beam Design'!$D$7006,""))</f>
        <v>S355</v>
      </c>
      <c r="I104" s="84">
        <f>IF(TRIM($B104)="","",IFERROR(MAX(VLOOKUP($B104,'Section Data'!$B$36:$AC$107,5,FALSE),VLOOKUP($B104,'Section Data'!$B$36:$AC$107,6,FALSE)),""))</f>
        <v>7.8</v>
      </c>
      <c r="J104" s="84">
        <f>IF(TRIM($B104)="","",IFERROR(IF(I104&gt;150,"",INDEX('Section Data'!$AH$5:$AK$10,IF(I104&lt;=16,1,IF(I104&lt;=40,2,IF(I104&lt;=63,3,IF(I104&lt;=80,4,IF(I104&lt;=100,5,6))))),MATCH(H104,'Section Data'!$AH$4:$AK$4,0))),""))</f>
        <v>355</v>
      </c>
      <c r="K104" s="84">
        <f t="shared" si="9"/>
        <v>0.88014083380101371</v>
      </c>
      <c r="L104" s="84">
        <f>IF(TRIM($B104)="","",IFERROR(VLOOKUP($B104,'Section Data'!$B$36:$AC$107,9,FALSE),""))</f>
        <v>8.5399999999999991</v>
      </c>
      <c r="M104" s="84">
        <f>IF(TRIM($B104)="","",IFERROR(VLOOKUP($B104,'Section Data'!$B$36:$AC$107,10,FALSE),""))</f>
        <v>30.2</v>
      </c>
      <c r="N104" s="84">
        <f t="shared" si="10"/>
        <v>13</v>
      </c>
      <c r="O104" s="84">
        <f t="shared" si="11"/>
        <v>80</v>
      </c>
      <c r="P104" s="84">
        <f>IF(TRIM($B104)="","",IFERROR(VLOOKUP($B104,'Section Data'!$B$36:$AC$107,5,FALSE)*VLOOKUP($B104,'Section Data'!$B$36:$AC$107,3,FALSE),""))</f>
        <v>1158.24</v>
      </c>
      <c r="Q104" s="84">
        <f t="shared" si="12"/>
        <v>237.39211240409824</v>
      </c>
      <c r="R104" s="84">
        <f>'Steel Beam Design'!B3511</f>
        <v>111.25</v>
      </c>
      <c r="S104" s="84">
        <f t="shared" si="13"/>
        <v>0</v>
      </c>
      <c r="T104" s="84">
        <f>IF(TRIM($B104)="","",IFERROR(VLOOKUP($B104,'Section Data'!$B$36:$AC$107,20,FALSE),""))</f>
        <v>230</v>
      </c>
      <c r="U104" s="84">
        <f>IF(TRIM($B104)="","",IFERROR(VLOOKUP($B104,'Section Data'!$B$36:$AC$107,21,FALSE),""))</f>
        <v>46.2</v>
      </c>
      <c r="V104" s="84">
        <f>IF(TRIM($B104)="","",IFERROR(VLOOKUP($B104,'Section Data'!$B$36:$AC$107,22,FALSE),""))</f>
        <v>258</v>
      </c>
      <c r="W104" s="84">
        <f>IF(TRIM($B104)="","",IFERROR(VLOOKUP($B104,'Section Data'!$B$36:$AC$107,23,FALSE),""))</f>
        <v>70.900000000000006</v>
      </c>
      <c r="X104" s="84">
        <f>IF(TRIM($B104)="","",IFERROR((VLOOKUP($B104,'Section Data'!$B$36:$AC$107,5,FALSE)/10)*(VLOOKUP($B104,'Section Data'!$B$36:$AC$107,3,FALSE)/10)^2/4,""))</f>
        <v>58.838592000000006</v>
      </c>
      <c r="Y104" s="84">
        <f>IF(TRIM($B104)="","",IFERROR((VLOOKUP($B104,'Section Data'!$B$36:$AC$107,3,FALSE)/10)*(VLOOKUP($B104,'Section Data'!$B$36:$AC$107,5,FALSE)/10)^2/4,""))</f>
        <v>1.6504920000000005</v>
      </c>
      <c r="Z104" s="84">
        <f t="shared" si="14"/>
        <v>81.650000000000006</v>
      </c>
      <c r="AA104" s="84">
        <f t="shared" si="15"/>
        <v>16.401</v>
      </c>
      <c r="AB104" s="86">
        <f t="shared" si="16"/>
        <v>0.53223553276178781</v>
      </c>
      <c r="AC104" s="86">
        <f t="shared" si="17"/>
        <v>0.13632439080228717</v>
      </c>
      <c r="AD104" s="1" t="b">
        <f>AND(ISNUMBER(AB104),ISNUMBER(AC104),AB104&gt;=0,AC104&gt;=0,AB104&lt;=0.95,AC104&lt;=0.95,ISNUMBER(D104),D104&gt;0,'Steel Beam Design'!$A$18="")</f>
        <v>1</v>
      </c>
      <c r="AE104" s="84">
        <f>'Steel Beam Design'!O26</f>
        <v>69.531249999999972</v>
      </c>
    </row>
    <row r="105" spans="1:31">
      <c r="A105" s="1" t="s">
        <v>467</v>
      </c>
      <c r="B105" s="1" t="str">
        <f>'Section Data'!B104</f>
        <v>203x102x23</v>
      </c>
      <c r="C105" s="1" t="s">
        <v>368</v>
      </c>
      <c r="D105" s="84">
        <f>'Section Data'!C104</f>
        <v>23.1</v>
      </c>
      <c r="E105" s="84">
        <f>'Section Data'!Q104</f>
        <v>2105</v>
      </c>
      <c r="F105" s="84">
        <f>'Steel Beam Design'!D7003</f>
        <v>43.457031249999979</v>
      </c>
      <c r="G105" s="84">
        <f>'Steel Beam Design'!D7027</f>
        <v>318.999074477352</v>
      </c>
      <c r="H105" s="84" t="str">
        <f>IF(TRIM($B105)="","",IFERROR('Steel Beam Design'!$D$7006,""))</f>
        <v>S355</v>
      </c>
      <c r="I105" s="84">
        <f>IF(TRIM($B105)="","",IFERROR(MAX(VLOOKUP($B105,'Section Data'!$B$36:$AC$107,5,FALSE),VLOOKUP($B105,'Section Data'!$B$36:$AC$107,6,FALSE)),""))</f>
        <v>9.3000000000000007</v>
      </c>
      <c r="J105" s="84">
        <f>IF(TRIM($B105)="","",IFERROR(IF(I105&gt;150,"",INDEX('Section Data'!$AH$5:$AK$10,IF(I105&lt;=16,1,IF(I105&lt;=40,2,IF(I105&lt;=63,3,IF(I105&lt;=80,4,IF(I105&lt;=100,5,6))))),MATCH(H105,'Section Data'!$AH$4:$AK$4,0))),""))</f>
        <v>355</v>
      </c>
      <c r="K105" s="84">
        <f t="shared" si="9"/>
        <v>0.88014083380101371</v>
      </c>
      <c r="L105" s="84">
        <f>IF(TRIM($B105)="","",IFERROR(VLOOKUP($B105,'Section Data'!$B$36:$AC$107,9,FALSE),""))</f>
        <v>5.47</v>
      </c>
      <c r="M105" s="84">
        <f>IF(TRIM($B105)="","",IFERROR(VLOOKUP($B105,'Section Data'!$B$36:$AC$107,10,FALSE),""))</f>
        <v>31.4</v>
      </c>
      <c r="N105" s="84">
        <f t="shared" si="10"/>
        <v>8</v>
      </c>
      <c r="O105" s="84">
        <f t="shared" si="11"/>
        <v>80</v>
      </c>
      <c r="P105" s="84">
        <f>IF(TRIM($B105)="","",IFERROR(VLOOKUP($B105,'Section Data'!$B$36:$AC$107,5,FALSE)*VLOOKUP($B105,'Section Data'!$B$36:$AC$107,3,FALSE),""))</f>
        <v>1097.28</v>
      </c>
      <c r="Q105" s="84">
        <f t="shared" si="12"/>
        <v>224.89779069861936</v>
      </c>
      <c r="R105" s="84">
        <f>'Steel Beam Design'!B3511</f>
        <v>111.25</v>
      </c>
      <c r="S105" s="84">
        <f t="shared" si="13"/>
        <v>0</v>
      </c>
      <c r="T105" s="84">
        <f>IF(TRIM($B105)="","",IFERROR(VLOOKUP($B105,'Section Data'!$B$36:$AC$107,20,FALSE),""))</f>
        <v>207</v>
      </c>
      <c r="U105" s="84">
        <f>IF(TRIM($B105)="","",IFERROR(VLOOKUP($B105,'Section Data'!$B$36:$AC$107,21,FALSE),""))</f>
        <v>32.200000000000003</v>
      </c>
      <c r="V105" s="84">
        <f>IF(TRIM($B105)="","",IFERROR(VLOOKUP($B105,'Section Data'!$B$36:$AC$107,22,FALSE),""))</f>
        <v>234</v>
      </c>
      <c r="W105" s="84">
        <f>IF(TRIM($B105)="","",IFERROR(VLOOKUP($B105,'Section Data'!$B$36:$AC$107,23,FALSE),""))</f>
        <v>49.8</v>
      </c>
      <c r="X105" s="84">
        <f>IF(TRIM($B105)="","",IFERROR((VLOOKUP($B105,'Section Data'!$B$36:$AC$107,5,FALSE)/10)*(VLOOKUP($B105,'Section Data'!$B$36:$AC$107,3,FALSE)/10)^2/4,""))</f>
        <v>55.741824000000001</v>
      </c>
      <c r="Y105" s="84">
        <f>IF(TRIM($B105)="","",IFERROR((VLOOKUP($B105,'Section Data'!$B$36:$AC$107,3,FALSE)/10)*(VLOOKUP($B105,'Section Data'!$B$36:$AC$107,5,FALSE)/10)^2/4,""))</f>
        <v>1.4813280000000002</v>
      </c>
      <c r="Z105" s="84">
        <f t="shared" si="14"/>
        <v>83.07</v>
      </c>
      <c r="AA105" s="84">
        <f t="shared" si="15"/>
        <v>13.7172</v>
      </c>
      <c r="AB105" s="86">
        <f t="shared" si="16"/>
        <v>0.52313748946671457</v>
      </c>
      <c r="AC105" s="86">
        <f t="shared" si="17"/>
        <v>0.15154350331465652</v>
      </c>
      <c r="AD105" s="1" t="b">
        <f>AND(ISNUMBER(AB105),ISNUMBER(AC105),AB105&gt;=0,AC105&gt;=0,AB105&lt;=0.95,AC105&lt;=0.95,ISNUMBER(D105),D105&gt;0,'Steel Beam Design'!$A$18="")</f>
        <v>1</v>
      </c>
      <c r="AE105" s="84">
        <f>'Steel Beam Design'!O26</f>
        <v>69.531249999999972</v>
      </c>
    </row>
    <row r="106" spans="1:31">
      <c r="A106" s="1" t="s">
        <v>467</v>
      </c>
      <c r="B106" s="1" t="str">
        <f>'Section Data'!B105</f>
        <v>178x102x19</v>
      </c>
      <c r="C106" s="1" t="s">
        <v>368</v>
      </c>
      <c r="D106" s="84">
        <f>'Section Data'!C105</f>
        <v>19</v>
      </c>
      <c r="E106" s="84">
        <f>'Section Data'!Q105</f>
        <v>1356</v>
      </c>
      <c r="F106" s="84">
        <f>'Steel Beam Design'!D7003</f>
        <v>43.457031249999979</v>
      </c>
      <c r="G106" s="84">
        <f>'Steel Beam Design'!D7027</f>
        <v>318.999074477352</v>
      </c>
      <c r="H106" s="84" t="str">
        <f>IF(TRIM($B106)="","",IFERROR('Steel Beam Design'!$D$7006,""))</f>
        <v>S355</v>
      </c>
      <c r="I106" s="84">
        <f>IF(TRIM($B106)="","",IFERROR(MAX(VLOOKUP($B106,'Section Data'!$B$36:$AC$107,5,FALSE),VLOOKUP($B106,'Section Data'!$B$36:$AC$107,6,FALSE)),""))</f>
        <v>7.9</v>
      </c>
      <c r="J106" s="84">
        <f>IF(TRIM($B106)="","",IFERROR(IF(I106&gt;150,"",INDEX('Section Data'!$AH$5:$AK$10,IF(I106&lt;=16,1,IF(I106&lt;=40,2,IF(I106&lt;=63,3,IF(I106&lt;=80,4,IF(I106&lt;=100,5,6))))),MATCH(H106,'Section Data'!$AH$4:$AK$4,0))),""))</f>
        <v>355</v>
      </c>
      <c r="K106" s="84">
        <f t="shared" si="9"/>
        <v>0.88014083380101371</v>
      </c>
      <c r="L106" s="84">
        <f>IF(TRIM($B106)="","",IFERROR(VLOOKUP($B106,'Section Data'!$B$36:$AC$107,9,FALSE),""))</f>
        <v>6.41</v>
      </c>
      <c r="M106" s="84">
        <f>IF(TRIM($B106)="","",IFERROR(VLOOKUP($B106,'Section Data'!$B$36:$AC$107,10,FALSE),""))</f>
        <v>30.6</v>
      </c>
      <c r="N106" s="84">
        <f t="shared" si="10"/>
        <v>8</v>
      </c>
      <c r="O106" s="84">
        <f t="shared" si="11"/>
        <v>80</v>
      </c>
      <c r="P106" s="84">
        <f>IF(TRIM($B106)="","",IFERROR(VLOOKUP($B106,'Section Data'!$B$36:$AC$107,5,FALSE)*VLOOKUP($B106,'Section Data'!$B$36:$AC$107,3,FALSE),""))</f>
        <v>853.44</v>
      </c>
      <c r="Q106" s="84">
        <f t="shared" si="12"/>
        <v>174.92050387670398</v>
      </c>
      <c r="R106" s="84">
        <f>'Steel Beam Design'!B3511</f>
        <v>111.25</v>
      </c>
      <c r="S106" s="84">
        <f t="shared" si="13"/>
        <v>7.398748032729581E-2</v>
      </c>
      <c r="T106" s="84">
        <f>IF(TRIM($B106)="","",IFERROR(VLOOKUP($B106,'Section Data'!$B$36:$AC$107,20,FALSE),""))</f>
        <v>153</v>
      </c>
      <c r="U106" s="84">
        <f>IF(TRIM($B106)="","",IFERROR(VLOOKUP($B106,'Section Data'!$B$36:$AC$107,21,FALSE),""))</f>
        <v>27</v>
      </c>
      <c r="V106" s="84">
        <f>IF(TRIM($B106)="","",IFERROR(VLOOKUP($B106,'Section Data'!$B$36:$AC$107,22,FALSE),""))</f>
        <v>171</v>
      </c>
      <c r="W106" s="84">
        <f>IF(TRIM($B106)="","",IFERROR(VLOOKUP($B106,'Section Data'!$B$36:$AC$107,23,FALSE),""))</f>
        <v>41.6</v>
      </c>
      <c r="X106" s="84">
        <f>IF(TRIM($B106)="","",IFERROR((VLOOKUP($B106,'Section Data'!$B$36:$AC$107,5,FALSE)/10)*(VLOOKUP($B106,'Section Data'!$B$36:$AC$107,3,FALSE)/10)^2/4,""))</f>
        <v>37.935408000000002</v>
      </c>
      <c r="Y106" s="84">
        <f>IF(TRIM($B106)="","",IFERROR((VLOOKUP($B106,'Section Data'!$B$36:$AC$107,3,FALSE)/10)*(VLOOKUP($B106,'Section Data'!$B$36:$AC$107,5,FALSE)/10)^2/4,""))</f>
        <v>1.0241279999999999</v>
      </c>
      <c r="Z106" s="84">
        <f t="shared" si="14"/>
        <v>59.70860543514668</v>
      </c>
      <c r="AA106" s="84">
        <f t="shared" si="15"/>
        <v>11.480480567328252</v>
      </c>
      <c r="AB106" s="86">
        <f t="shared" si="16"/>
        <v>0.72781856037822601</v>
      </c>
      <c r="AC106" s="86">
        <f t="shared" si="17"/>
        <v>0.23525005492430087</v>
      </c>
      <c r="AD106" s="1" t="b">
        <f>AND(ISNUMBER(AB106),ISNUMBER(AC106),AB106&gt;=0,AC106&gt;=0,AB106&lt;=0.95,AC106&lt;=0.95,ISNUMBER(D106),D106&gt;0,'Steel Beam Design'!$A$18="")</f>
        <v>1</v>
      </c>
      <c r="AE106" s="84">
        <f>'Steel Beam Design'!O26</f>
        <v>69.531249999999972</v>
      </c>
    </row>
    <row r="107" spans="1:31">
      <c r="A107" s="1" t="s">
        <v>467</v>
      </c>
      <c r="B107" s="1" t="str">
        <f>'Section Data'!B106</f>
        <v>152x89x16</v>
      </c>
      <c r="C107" s="1" t="s">
        <v>368</v>
      </c>
      <c r="D107" s="84">
        <f>'Section Data'!C106</f>
        <v>16</v>
      </c>
      <c r="E107" s="84">
        <f>'Section Data'!Q106</f>
        <v>834</v>
      </c>
      <c r="F107" s="84">
        <f>'Steel Beam Design'!D7003</f>
        <v>43.457031249999979</v>
      </c>
      <c r="G107" s="84">
        <f>'Steel Beam Design'!D7027</f>
        <v>318.999074477352</v>
      </c>
      <c r="H107" s="84" t="str">
        <f>IF(TRIM($B107)="","",IFERROR('Steel Beam Design'!$D$7006,""))</f>
        <v>S355</v>
      </c>
      <c r="I107" s="84">
        <f>IF(TRIM($B107)="","",IFERROR(MAX(VLOOKUP($B107,'Section Data'!$B$36:$AC$107,5,FALSE),VLOOKUP($B107,'Section Data'!$B$36:$AC$107,6,FALSE)),""))</f>
        <v>7.7</v>
      </c>
      <c r="J107" s="84">
        <f>IF(TRIM($B107)="","",IFERROR(IF(I107&gt;150,"",INDEX('Section Data'!$AH$5:$AK$10,IF(I107&lt;=16,1,IF(I107&lt;=40,2,IF(I107&lt;=63,3,IF(I107&lt;=80,4,IF(I107&lt;=100,5,6))))),MATCH(H107,'Section Data'!$AH$4:$AK$4,0))),""))</f>
        <v>355</v>
      </c>
      <c r="K107" s="84">
        <f t="shared" si="9"/>
        <v>0.88014083380101371</v>
      </c>
      <c r="L107" s="84">
        <f>IF(TRIM($B107)="","",IFERROR(VLOOKUP($B107,'Section Data'!$B$36:$AC$107,9,FALSE),""))</f>
        <v>5.76</v>
      </c>
      <c r="M107" s="84">
        <f>IF(TRIM($B107)="","",IFERROR(VLOOKUP($B107,'Section Data'!$B$36:$AC$107,10,FALSE),""))</f>
        <v>27.1</v>
      </c>
      <c r="N107" s="84">
        <f t="shared" si="10"/>
        <v>8</v>
      </c>
      <c r="O107" s="84">
        <f t="shared" si="11"/>
        <v>80</v>
      </c>
      <c r="P107" s="84">
        <f>IF(TRIM($B107)="","",IFERROR(VLOOKUP($B107,'Section Data'!$B$36:$AC$107,5,FALSE)*VLOOKUP($B107,'Section Data'!$B$36:$AC$107,3,FALSE),""))</f>
        <v>685.80000000000007</v>
      </c>
      <c r="Q107" s="84">
        <f t="shared" si="12"/>
        <v>140.56111918663714</v>
      </c>
      <c r="R107" s="84">
        <f>'Steel Beam Design'!B3511</f>
        <v>111.25</v>
      </c>
      <c r="S107" s="84">
        <f t="shared" si="13"/>
        <v>0.33982055315131171</v>
      </c>
      <c r="T107" s="84">
        <f>IF(TRIM($B107)="","",IFERROR(VLOOKUP($B107,'Section Data'!$B$36:$AC$107,20,FALSE),""))</f>
        <v>109</v>
      </c>
      <c r="U107" s="84">
        <f>IF(TRIM($B107)="","",IFERROR(VLOOKUP($B107,'Section Data'!$B$36:$AC$107,21,FALSE),""))</f>
        <v>20.2</v>
      </c>
      <c r="V107" s="84">
        <f>IF(TRIM($B107)="","",IFERROR(VLOOKUP($B107,'Section Data'!$B$36:$AC$107,22,FALSE),""))</f>
        <v>123</v>
      </c>
      <c r="W107" s="84">
        <f>IF(TRIM($B107)="","",IFERROR(VLOOKUP($B107,'Section Data'!$B$36:$AC$107,23,FALSE),""))</f>
        <v>31.2</v>
      </c>
      <c r="X107" s="84">
        <f>IF(TRIM($B107)="","",IFERROR((VLOOKUP($B107,'Section Data'!$B$36:$AC$107,5,FALSE)/10)*(VLOOKUP($B107,'Section Data'!$B$36:$AC$107,3,FALSE)/10)^2/4,""))</f>
        <v>26.128979999999999</v>
      </c>
      <c r="Y107" s="84">
        <f>IF(TRIM($B107)="","",IFERROR((VLOOKUP($B107,'Section Data'!$B$36:$AC$107,3,FALSE)/10)*(VLOOKUP($B107,'Section Data'!$B$36:$AC$107,5,FALSE)/10)^2/4,""))</f>
        <v>0.77152500000000002</v>
      </c>
      <c r="Z107" s="84">
        <f t="shared" si="14"/>
        <v>40.512896624907754</v>
      </c>
      <c r="AA107" s="84">
        <f t="shared" si="15"/>
        <v>8.5307408651553018</v>
      </c>
      <c r="AB107" s="86">
        <f t="shared" si="16"/>
        <v>1.0726715409256158</v>
      </c>
      <c r="AC107" s="86">
        <f t="shared" si="17"/>
        <v>0.38249289505677697</v>
      </c>
      <c r="AD107" s="1" t="b">
        <f>AND(ISNUMBER(AB107),ISNUMBER(AC107),AB107&gt;=0,AC107&gt;=0,AB107&lt;=0.95,AC107&lt;=0.95,ISNUMBER(D107),D107&gt;0,'Steel Beam Design'!$A$18="")</f>
        <v>0</v>
      </c>
      <c r="AE107" s="84">
        <f>'Steel Beam Design'!O26</f>
        <v>69.531249999999972</v>
      </c>
    </row>
    <row r="108" spans="1:31">
      <c r="A108" s="1" t="s">
        <v>467</v>
      </c>
      <c r="B108" s="1" t="str">
        <f>'Section Data'!B107</f>
        <v>127x76x13</v>
      </c>
      <c r="C108" s="1" t="s">
        <v>368</v>
      </c>
      <c r="D108" s="84">
        <f>'Section Data'!C107</f>
        <v>13</v>
      </c>
      <c r="E108" s="84">
        <f>'Section Data'!Q107</f>
        <v>473</v>
      </c>
      <c r="F108" s="84">
        <f>'Steel Beam Design'!D7003</f>
        <v>43.457031249999979</v>
      </c>
      <c r="G108" s="84">
        <f>'Steel Beam Design'!D7027</f>
        <v>318.999074477352</v>
      </c>
      <c r="H108" s="84" t="str">
        <f>IF(TRIM($B108)="","",IFERROR('Steel Beam Design'!$D$7006,""))</f>
        <v>S355</v>
      </c>
      <c r="I108" s="84">
        <f>IF(TRIM($B108)="","",IFERROR(MAX(VLOOKUP($B108,'Section Data'!$B$36:$AC$107,5,FALSE),VLOOKUP($B108,'Section Data'!$B$36:$AC$107,6,FALSE)),""))</f>
        <v>7.6</v>
      </c>
      <c r="J108" s="84">
        <f>IF(TRIM($B108)="","",IFERROR(IF(I108&gt;150,"",INDEX('Section Data'!$AH$5:$AK$10,IF(I108&lt;=16,1,IF(I108&lt;=40,2,IF(I108&lt;=63,3,IF(I108&lt;=80,4,IF(I108&lt;=100,5,6))))),MATCH(H108,'Section Data'!$AH$4:$AK$4,0))),""))</f>
        <v>355</v>
      </c>
      <c r="K108" s="84">
        <f t="shared" si="9"/>
        <v>0.88014083380101371</v>
      </c>
      <c r="L108" s="84">
        <f>IF(TRIM($B108)="","",IFERROR(VLOOKUP($B108,'Section Data'!$B$36:$AC$107,9,FALSE),""))</f>
        <v>5</v>
      </c>
      <c r="M108" s="84">
        <f>IF(TRIM($B108)="","",IFERROR(VLOOKUP($B108,'Section Data'!$B$36:$AC$107,10,FALSE),""))</f>
        <v>24.2</v>
      </c>
      <c r="N108" s="84">
        <f t="shared" si="10"/>
        <v>8</v>
      </c>
      <c r="O108" s="84">
        <f t="shared" si="11"/>
        <v>80</v>
      </c>
      <c r="P108" s="84">
        <f>IF(TRIM($B108)="","",IFERROR(VLOOKUP($B108,'Section Data'!$B$36:$AC$107,5,FALSE)*VLOOKUP($B108,'Section Data'!$B$36:$AC$107,3,FALSE),""))</f>
        <v>508</v>
      </c>
      <c r="Q108" s="84">
        <f t="shared" si="12"/>
        <v>104.11934754565712</v>
      </c>
      <c r="R108" s="84">
        <f>'Steel Beam Design'!B3511</f>
        <v>111.25</v>
      </c>
      <c r="S108" s="84">
        <f t="shared" si="13"/>
        <v>1.2927024816785007</v>
      </c>
      <c r="T108" s="84">
        <f>IF(TRIM($B108)="","",IFERROR(VLOOKUP($B108,'Section Data'!$B$36:$AC$107,20,FALSE),""))</f>
        <v>74.599999999999994</v>
      </c>
      <c r="U108" s="84">
        <f>IF(TRIM($B108)="","",IFERROR(VLOOKUP($B108,'Section Data'!$B$36:$AC$107,21,FALSE),""))</f>
        <v>14.7</v>
      </c>
      <c r="V108" s="84">
        <f>IF(TRIM($B108)="","",IFERROR(VLOOKUP($B108,'Section Data'!$B$36:$AC$107,22,FALSE),""))</f>
        <v>84.2</v>
      </c>
      <c r="W108" s="84">
        <f>IF(TRIM($B108)="","",IFERROR(VLOOKUP($B108,'Section Data'!$B$36:$AC$107,23,FALSE),""))</f>
        <v>22.6</v>
      </c>
      <c r="X108" s="84">
        <f>IF(TRIM($B108)="","",IFERROR((VLOOKUP($B108,'Section Data'!$B$36:$AC$107,5,FALSE)/10)*(VLOOKUP($B108,'Section Data'!$B$36:$AC$107,3,FALSE)/10)^2/4,""))</f>
        <v>16.129000000000001</v>
      </c>
      <c r="Y108" s="84">
        <f>IF(TRIM($B108)="","",IFERROR((VLOOKUP($B108,'Section Data'!$B$36:$AC$107,3,FALSE)/10)*(VLOOKUP($B108,'Section Data'!$B$36:$AC$107,5,FALSE)/10)^2/4,""))</f>
        <v>0.50800000000000012</v>
      </c>
      <c r="Z108" s="84" t="str">
        <f t="shared" si="14"/>
        <v/>
      </c>
      <c r="AA108" s="84" t="str">
        <f t="shared" si="15"/>
        <v/>
      </c>
      <c r="AB108" s="86" t="str">
        <f t="shared" si="16"/>
        <v/>
      </c>
      <c r="AC108" s="86">
        <f t="shared" si="17"/>
        <v>0.67441664794366174</v>
      </c>
      <c r="AD108" s="1" t="b">
        <f>AND(ISNUMBER(AB108),ISNUMBER(AC108),AB108&gt;=0,AC108&gt;=0,AB108&lt;=0.95,AC108&lt;=0.95,ISNUMBER(D108),D108&gt;0,'Steel Beam Design'!$A$18="")</f>
        <v>0</v>
      </c>
      <c r="AE108" s="84">
        <f>'Steel Beam Design'!O26</f>
        <v>69.531249999999972</v>
      </c>
    </row>
    <row r="109" spans="1:31">
      <c r="A109" s="1" t="s">
        <v>443</v>
      </c>
      <c r="B109" s="1" t="str">
        <f>'Section Data'!B5</f>
        <v>356x406x634</v>
      </c>
      <c r="C109" s="1" t="s">
        <v>367</v>
      </c>
      <c r="D109" s="84">
        <f>'Section Data'!C5</f>
        <v>633.9</v>
      </c>
      <c r="E109" s="84">
        <f>'Section Data'!Q5</f>
        <v>274800</v>
      </c>
      <c r="F109" s="84">
        <f>'Steel Beam Design'!D7043</f>
        <v>173.82812499999994</v>
      </c>
      <c r="G109" s="84">
        <f>'Steel Beam Design'!D7067</f>
        <v>4083.1881533101036</v>
      </c>
      <c r="H109" s="84" t="str">
        <f>IF(TRIM($B109)="","",IFERROR('Steel Beam Design'!$D$7006,""))</f>
        <v>S355</v>
      </c>
      <c r="I109" s="84">
        <f>IF(TRIM($B109)="","",IFERROR(MAX(VLOOKUP($B109,'Section Data'!$B$5:$AC$35,5,FALSE),VLOOKUP($B109,'Section Data'!$B$5:$AC$35,6,FALSE)),""))</f>
        <v>77</v>
      </c>
      <c r="J109" s="84">
        <f>IF(TRIM($B109)="","",IFERROR(IF(I109&gt;150,"",INDEX('Section Data'!$AH$5:$AK$10,IF(I109&lt;=16,1,IF(I109&lt;=40,2,IF(I109&lt;=63,3,IF(I109&lt;=80,4,IF(I109&lt;=100,5,6))))),MATCH(H109,'Section Data'!$AH$4:$AK$4,0))),""))</f>
        <v>325</v>
      </c>
      <c r="K109" s="84">
        <f t="shared" si="9"/>
        <v>0.91986621100779986</v>
      </c>
      <c r="L109" s="84">
        <f>IF(TRIM($B109)="","",IFERROR(VLOOKUP($B109,'Section Data'!$B$5:$AC$35,9,FALSE),""))</f>
        <v>2.75</v>
      </c>
      <c r="M109" s="84">
        <f>IF(TRIM($B109)="","",IFERROR(VLOOKUP($B109,'Section Data'!$B$5:$AC$35,10,FALSE),""))</f>
        <v>6.1</v>
      </c>
      <c r="N109" s="84">
        <f t="shared" si="10"/>
        <v>8</v>
      </c>
      <c r="O109" s="84">
        <f t="shared" si="11"/>
        <v>80</v>
      </c>
      <c r="P109" s="84">
        <f>IF(TRIM($B109)="","",IFERROR(VLOOKUP($B109,'Section Data'!$B$5:$AC$35,5,FALSE)*VLOOKUP($B109,'Section Data'!$B$5:$AC$35,3,FALSE),""))</f>
        <v>22590.960000000003</v>
      </c>
      <c r="Q109" s="84">
        <f t="shared" si="12"/>
        <v>4238.9414721069234</v>
      </c>
      <c r="R109" s="84">
        <f>'Steel Beam Design'!B4511</f>
        <v>55.624999999999993</v>
      </c>
      <c r="S109" s="84">
        <f t="shared" si="13"/>
        <v>0</v>
      </c>
      <c r="T109" s="84">
        <f>IF(TRIM($B109)="","",IFERROR(VLOOKUP($B109,'Section Data'!$B$5:$AC$35,20,FALSE),""))</f>
        <v>11580</v>
      </c>
      <c r="U109" s="84">
        <f>IF(TRIM($B109)="","",IFERROR(VLOOKUP($B109,'Section Data'!$B$5:$AC$35,21,FALSE),""))</f>
        <v>4629</v>
      </c>
      <c r="V109" s="84">
        <f>IF(TRIM($B109)="","",IFERROR(VLOOKUP($B109,'Section Data'!$B$5:$AC$35,22,FALSE),""))</f>
        <v>14240</v>
      </c>
      <c r="W109" s="84">
        <f>IF(TRIM($B109)="","",IFERROR(VLOOKUP($B109,'Section Data'!$B$5:$AC$35,23,FALSE),""))</f>
        <v>7108</v>
      </c>
      <c r="X109" s="84">
        <f>IF(TRIM($B109)="","",IFERROR((VLOOKUP($B109,'Section Data'!$B$5:$AC$35,5,FALSE)/10)*(VLOOKUP($B109,'Section Data'!$B$5:$AC$35,3,FALSE)/10)^2/4,""))</f>
        <v>2680.4174039999998</v>
      </c>
      <c r="Y109" s="84">
        <f>IF(TRIM($B109)="","",IFERROR((VLOOKUP($B109,'Section Data'!$B$5:$AC$35,3,FALSE)/10)*(VLOOKUP($B109,'Section Data'!$B$5:$AC$35,5,FALSE)/10)^2/4,""))</f>
        <v>268.832424</v>
      </c>
      <c r="Z109" s="84">
        <f t="shared" si="14"/>
        <v>4516.2</v>
      </c>
      <c r="AA109" s="84">
        <f t="shared" si="15"/>
        <v>1805.31</v>
      </c>
      <c r="AB109" s="86">
        <f t="shared" si="16"/>
        <v>3.8489908551437038E-2</v>
      </c>
      <c r="AC109" s="86">
        <f t="shared" si="17"/>
        <v>1.4858763294432692E-2</v>
      </c>
      <c r="AD109" s="1" t="b">
        <f>AND(ISNUMBER(AB109),ISNUMBER(AC109),AB109&gt;=0,AC109&gt;=0,AB109&lt;=0.95,AC109&lt;=0.95,ISNUMBER(D109),D109&gt;0,'Steel Beam Design'!$A$18="",C109="UC")</f>
        <v>1</v>
      </c>
      <c r="AE109" s="84">
        <f>'Steel Beam Design'!O27</f>
        <v>278.12499999999994</v>
      </c>
    </row>
    <row r="110" spans="1:31">
      <c r="A110" s="1" t="s">
        <v>443</v>
      </c>
      <c r="B110" s="1" t="str">
        <f>'Section Data'!B6</f>
        <v>356x406x551</v>
      </c>
      <c r="C110" s="1" t="s">
        <v>367</v>
      </c>
      <c r="D110" s="84">
        <f>'Section Data'!C6</f>
        <v>551</v>
      </c>
      <c r="E110" s="84">
        <f>'Section Data'!Q6</f>
        <v>226900</v>
      </c>
      <c r="F110" s="84">
        <f>'Steel Beam Design'!D7043</f>
        <v>173.82812499999994</v>
      </c>
      <c r="G110" s="84">
        <f>'Steel Beam Design'!D7067</f>
        <v>4083.1881533101036</v>
      </c>
      <c r="H110" s="84" t="str">
        <f>IF(TRIM($B110)="","",IFERROR('Steel Beam Design'!$D$7006,""))</f>
        <v>S355</v>
      </c>
      <c r="I110" s="84">
        <f>IF(TRIM($B110)="","",IFERROR(MAX(VLOOKUP($B110,'Section Data'!$B$5:$AC$35,5,FALSE),VLOOKUP($B110,'Section Data'!$B$5:$AC$35,6,FALSE)),""))</f>
        <v>67.5</v>
      </c>
      <c r="J110" s="84">
        <f>IF(TRIM($B110)="","",IFERROR(IF(I110&gt;150,"",INDEX('Section Data'!$AH$5:$AK$10,IF(I110&lt;=16,1,IF(I110&lt;=40,2,IF(I110&lt;=63,3,IF(I110&lt;=80,4,IF(I110&lt;=100,5,6))))),MATCH(H110,'Section Data'!$AH$4:$AK$4,0))),""))</f>
        <v>325</v>
      </c>
      <c r="K110" s="84">
        <f t="shared" si="9"/>
        <v>0.91986621100779986</v>
      </c>
      <c r="L110" s="84">
        <f>IF(TRIM($B110)="","",IFERROR(VLOOKUP($B110,'Section Data'!$B$5:$AC$35,9,FALSE),""))</f>
        <v>3.1</v>
      </c>
      <c r="M110" s="84">
        <f>IF(TRIM($B110)="","",IFERROR(VLOOKUP($B110,'Section Data'!$B$5:$AC$35,10,FALSE),""))</f>
        <v>6.89</v>
      </c>
      <c r="N110" s="84">
        <f t="shared" si="10"/>
        <v>8</v>
      </c>
      <c r="O110" s="84">
        <f t="shared" si="11"/>
        <v>80</v>
      </c>
      <c r="P110" s="84">
        <f>IF(TRIM($B110)="","",IFERROR(VLOOKUP($B110,'Section Data'!$B$5:$AC$35,5,FALSE)*VLOOKUP($B110,'Section Data'!$B$5:$AC$35,3,FALSE),""))</f>
        <v>19180.760000000002</v>
      </c>
      <c r="Q110" s="84">
        <f t="shared" si="12"/>
        <v>3599.0555085100227</v>
      </c>
      <c r="R110" s="84">
        <f>'Steel Beam Design'!B4511</f>
        <v>55.624999999999993</v>
      </c>
      <c r="S110" s="84">
        <f t="shared" si="13"/>
        <v>0</v>
      </c>
      <c r="T110" s="84">
        <f>IF(TRIM($B110)="","",IFERROR(VLOOKUP($B110,'Section Data'!$B$5:$AC$35,20,FALSE),""))</f>
        <v>9962</v>
      </c>
      <c r="U110" s="84">
        <f>IF(TRIM($B110)="","",IFERROR(VLOOKUP($B110,'Section Data'!$B$5:$AC$35,21,FALSE),""))</f>
        <v>3951</v>
      </c>
      <c r="V110" s="84">
        <f>IF(TRIM($B110)="","",IFERROR(VLOOKUP($B110,'Section Data'!$B$5:$AC$35,22,FALSE),""))</f>
        <v>12080</v>
      </c>
      <c r="W110" s="84">
        <f>IF(TRIM($B110)="","",IFERROR(VLOOKUP($B110,'Section Data'!$B$5:$AC$35,23,FALSE),""))</f>
        <v>6058</v>
      </c>
      <c r="X110" s="84">
        <f>IF(TRIM($B110)="","",IFERROR((VLOOKUP($B110,'Section Data'!$B$5:$AC$35,5,FALSE)/10)*(VLOOKUP($B110,'Section Data'!$B$5:$AC$35,3,FALSE)/10)^2/4,""))</f>
        <v>2184.688564</v>
      </c>
      <c r="Y110" s="84">
        <f>IF(TRIM($B110)="","",IFERROR((VLOOKUP($B110,'Section Data'!$B$5:$AC$35,3,FALSE)/10)*(VLOOKUP($B110,'Section Data'!$B$5:$AC$35,5,FALSE)/10)^2/4,""))</f>
        <v>201.877499</v>
      </c>
      <c r="Z110" s="84">
        <f t="shared" si="14"/>
        <v>3885.18</v>
      </c>
      <c r="AA110" s="84">
        <f t="shared" si="15"/>
        <v>1540.89</v>
      </c>
      <c r="AB110" s="86">
        <f t="shared" si="16"/>
        <v>4.4741331160975797E-2</v>
      </c>
      <c r="AC110" s="86">
        <f t="shared" si="17"/>
        <v>1.7995540561084634E-2</v>
      </c>
      <c r="AD110" s="1" t="b">
        <f>AND(ISNUMBER(AB110),ISNUMBER(AC110),AB110&gt;=0,AC110&gt;=0,AB110&lt;=0.95,AC110&lt;=0.95,ISNUMBER(D110),D110&gt;0,'Steel Beam Design'!$A$18="",C110="UC")</f>
        <v>1</v>
      </c>
      <c r="AE110" s="84">
        <f>'Steel Beam Design'!O27</f>
        <v>278.12499999999994</v>
      </c>
    </row>
    <row r="111" spans="1:31">
      <c r="A111" s="1" t="s">
        <v>443</v>
      </c>
      <c r="B111" s="1" t="str">
        <f>'Section Data'!B7</f>
        <v>356x406x467</v>
      </c>
      <c r="C111" s="1" t="s">
        <v>367</v>
      </c>
      <c r="D111" s="84">
        <f>'Section Data'!C7</f>
        <v>467</v>
      </c>
      <c r="E111" s="84">
        <f>'Section Data'!Q7</f>
        <v>183000</v>
      </c>
      <c r="F111" s="84">
        <f>'Steel Beam Design'!D7043</f>
        <v>173.82812499999994</v>
      </c>
      <c r="G111" s="84">
        <f>'Steel Beam Design'!D7067</f>
        <v>4083.1881533101036</v>
      </c>
      <c r="H111" s="84" t="str">
        <f>IF(TRIM($B111)="","",IFERROR('Steel Beam Design'!$D$7006,""))</f>
        <v>S355</v>
      </c>
      <c r="I111" s="84">
        <f>IF(TRIM($B111)="","",IFERROR(MAX(VLOOKUP($B111,'Section Data'!$B$5:$AC$35,5,FALSE),VLOOKUP($B111,'Section Data'!$B$5:$AC$35,6,FALSE)),""))</f>
        <v>58</v>
      </c>
      <c r="J111" s="84">
        <f>IF(TRIM($B111)="","",IFERROR(IF(I111&gt;150,"",INDEX('Section Data'!$AH$5:$AK$10,IF(I111&lt;=16,1,IF(I111&lt;=40,2,IF(I111&lt;=63,3,IF(I111&lt;=80,4,IF(I111&lt;=100,5,6))))),MATCH(H111,'Section Data'!$AH$4:$AK$4,0))),""))</f>
        <v>335</v>
      </c>
      <c r="K111" s="84">
        <f t="shared" si="9"/>
        <v>0.90603284840454856</v>
      </c>
      <c r="L111" s="84">
        <f>IF(TRIM($B111)="","",IFERROR(VLOOKUP($B111,'Section Data'!$B$5:$AC$35,9,FALSE),""))</f>
        <v>3.55</v>
      </c>
      <c r="M111" s="84">
        <f>IF(TRIM($B111)="","",IFERROR(VLOOKUP($B111,'Section Data'!$B$5:$AC$35,10,FALSE),""))</f>
        <v>8.11</v>
      </c>
      <c r="N111" s="84">
        <f t="shared" si="10"/>
        <v>8</v>
      </c>
      <c r="O111" s="84">
        <f t="shared" si="11"/>
        <v>80</v>
      </c>
      <c r="P111" s="84">
        <f>IF(TRIM($B111)="","",IFERROR(VLOOKUP($B111,'Section Data'!$B$5:$AC$35,5,FALSE)*VLOOKUP($B111,'Section Data'!$B$5:$AC$35,3,FALSE),""))</f>
        <v>15630.279999999999</v>
      </c>
      <c r="Q111" s="84">
        <f t="shared" si="12"/>
        <v>3023.08903244559</v>
      </c>
      <c r="R111" s="84">
        <f>'Steel Beam Design'!B4511</f>
        <v>55.624999999999993</v>
      </c>
      <c r="S111" s="84">
        <f t="shared" si="13"/>
        <v>0</v>
      </c>
      <c r="T111" s="84">
        <f>IF(TRIM($B111)="","",IFERROR(VLOOKUP($B111,'Section Data'!$B$5:$AC$35,20,FALSE),""))</f>
        <v>8383</v>
      </c>
      <c r="U111" s="84">
        <f>IF(TRIM($B111)="","",IFERROR(VLOOKUP($B111,'Section Data'!$B$5:$AC$35,21,FALSE),""))</f>
        <v>3291</v>
      </c>
      <c r="V111" s="84">
        <f>IF(TRIM($B111)="","",IFERROR(VLOOKUP($B111,'Section Data'!$B$5:$AC$35,22,FALSE),""))</f>
        <v>10000</v>
      </c>
      <c r="W111" s="84">
        <f>IF(TRIM($B111)="","",IFERROR(VLOOKUP($B111,'Section Data'!$B$5:$AC$35,23,FALSE),""))</f>
        <v>5034</v>
      </c>
      <c r="X111" s="84">
        <f>IF(TRIM($B111)="","",IFERROR((VLOOKUP($B111,'Section Data'!$B$5:$AC$35,5,FALSE)/10)*(VLOOKUP($B111,'Section Data'!$B$5:$AC$35,3,FALSE)/10)^2/4,""))</f>
        <v>1706.0450620000001</v>
      </c>
      <c r="Y111" s="84">
        <f>IF(TRIM($B111)="","",IFERROR((VLOOKUP($B111,'Section Data'!$B$5:$AC$35,3,FALSE)/10)*(VLOOKUP($B111,'Section Data'!$B$5:$AC$35,5,FALSE)/10)^2/4,""))</f>
        <v>139.89100599999998</v>
      </c>
      <c r="Z111" s="84">
        <f t="shared" si="14"/>
        <v>3350</v>
      </c>
      <c r="AA111" s="84">
        <f t="shared" si="15"/>
        <v>1322.982</v>
      </c>
      <c r="AB111" s="86">
        <f t="shared" si="16"/>
        <v>5.1888992537313418E-2</v>
      </c>
      <c r="AC111" s="86">
        <f t="shared" si="17"/>
        <v>2.2312503570000565E-2</v>
      </c>
      <c r="AD111" s="1" t="b">
        <f>AND(ISNUMBER(AB111),ISNUMBER(AC111),AB111&gt;=0,AC111&gt;=0,AB111&lt;=0.95,AC111&lt;=0.95,ISNUMBER(D111),D111&gt;0,'Steel Beam Design'!$A$18="",C111="UC")</f>
        <v>1</v>
      </c>
      <c r="AE111" s="84">
        <f>'Steel Beam Design'!O27</f>
        <v>278.12499999999994</v>
      </c>
    </row>
    <row r="112" spans="1:31">
      <c r="A112" s="1" t="s">
        <v>443</v>
      </c>
      <c r="B112" s="1" t="str">
        <f>'Section Data'!B8</f>
        <v>356x406x393</v>
      </c>
      <c r="C112" s="1" t="s">
        <v>367</v>
      </c>
      <c r="D112" s="84">
        <f>'Section Data'!C8</f>
        <v>393</v>
      </c>
      <c r="E112" s="84">
        <f>'Section Data'!Q8</f>
        <v>146600</v>
      </c>
      <c r="F112" s="84">
        <f>'Steel Beam Design'!D7043</f>
        <v>173.82812499999994</v>
      </c>
      <c r="G112" s="84">
        <f>'Steel Beam Design'!D7067</f>
        <v>4083.1881533101036</v>
      </c>
      <c r="H112" s="84" t="str">
        <f>IF(TRIM($B112)="","",IFERROR('Steel Beam Design'!$D$7006,""))</f>
        <v>S355</v>
      </c>
      <c r="I112" s="84">
        <f>IF(TRIM($B112)="","",IFERROR(MAX(VLOOKUP($B112,'Section Data'!$B$5:$AC$35,5,FALSE),VLOOKUP($B112,'Section Data'!$B$5:$AC$35,6,FALSE)),""))</f>
        <v>49.2</v>
      </c>
      <c r="J112" s="84">
        <f>IF(TRIM($B112)="","",IFERROR(IF(I112&gt;150,"",INDEX('Section Data'!$AH$5:$AK$10,IF(I112&lt;=16,1,IF(I112&lt;=40,2,IF(I112&lt;=63,3,IF(I112&lt;=80,4,IF(I112&lt;=100,5,6))))),MATCH(H112,'Section Data'!$AH$4:$AK$4,0))),""))</f>
        <v>335</v>
      </c>
      <c r="K112" s="84">
        <f t="shared" si="9"/>
        <v>0.90603284840454856</v>
      </c>
      <c r="L112" s="84">
        <f>IF(TRIM($B112)="","",IFERROR(VLOOKUP($B112,'Section Data'!$B$5:$AC$35,9,FALSE),""))</f>
        <v>4.1399999999999997</v>
      </c>
      <c r="M112" s="84">
        <f>IF(TRIM($B112)="","",IFERROR(VLOOKUP($B112,'Section Data'!$B$5:$AC$35,10,FALSE),""))</f>
        <v>9.48</v>
      </c>
      <c r="N112" s="84">
        <f t="shared" si="10"/>
        <v>8</v>
      </c>
      <c r="O112" s="84">
        <f t="shared" si="11"/>
        <v>80</v>
      </c>
      <c r="P112" s="84">
        <f>IF(TRIM($B112)="","",IFERROR(VLOOKUP($B112,'Section Data'!$B$5:$AC$35,5,FALSE)*VLOOKUP($B112,'Section Data'!$B$5:$AC$35,3,FALSE),""))</f>
        <v>12821.400000000001</v>
      </c>
      <c r="Q112" s="84">
        <f t="shared" si="12"/>
        <v>2479.8169783649364</v>
      </c>
      <c r="R112" s="84">
        <f>'Steel Beam Design'!B4511</f>
        <v>55.624999999999993</v>
      </c>
      <c r="S112" s="84">
        <f t="shared" si="13"/>
        <v>0</v>
      </c>
      <c r="T112" s="84">
        <f>IF(TRIM($B112)="","",IFERROR(VLOOKUP($B112,'Section Data'!$B$5:$AC$35,20,FALSE),""))</f>
        <v>6998</v>
      </c>
      <c r="U112" s="84">
        <f>IF(TRIM($B112)="","",IFERROR(VLOOKUP($B112,'Section Data'!$B$5:$AC$35,21,FALSE),""))</f>
        <v>2721</v>
      </c>
      <c r="V112" s="84">
        <f>IF(TRIM($B112)="","",IFERROR(VLOOKUP($B112,'Section Data'!$B$5:$AC$35,22,FALSE),""))</f>
        <v>8222</v>
      </c>
      <c r="W112" s="84">
        <f>IF(TRIM($B112)="","",IFERROR(VLOOKUP($B112,'Section Data'!$B$5:$AC$35,23,FALSE),""))</f>
        <v>4154</v>
      </c>
      <c r="X112" s="84">
        <f>IF(TRIM($B112)="","",IFERROR((VLOOKUP($B112,'Section Data'!$B$5:$AC$35,5,FALSE)/10)*(VLOOKUP($B112,'Section Data'!$B$5:$AC$35,3,FALSE)/10)^2/4,""))</f>
        <v>1343.0416499999999</v>
      </c>
      <c r="Y112" s="84">
        <f>IF(TRIM($B112)="","",IFERROR((VLOOKUP($B112,'Section Data'!$B$5:$AC$35,3,FALSE)/10)*(VLOOKUP($B112,'Section Data'!$B$5:$AC$35,5,FALSE)/10)^2/4,""))</f>
        <v>98.083709999999996</v>
      </c>
      <c r="Z112" s="84">
        <f t="shared" si="14"/>
        <v>2754.37</v>
      </c>
      <c r="AA112" s="84">
        <f t="shared" si="15"/>
        <v>1093.8420000000001</v>
      </c>
      <c r="AB112" s="86">
        <f t="shared" si="16"/>
        <v>6.3109939841052565E-2</v>
      </c>
      <c r="AC112" s="86">
        <f t="shared" si="17"/>
        <v>2.7852579490519124E-2</v>
      </c>
      <c r="AD112" s="1" t="b">
        <f>AND(ISNUMBER(AB112),ISNUMBER(AC112),AB112&gt;=0,AC112&gt;=0,AB112&lt;=0.95,AC112&lt;=0.95,ISNUMBER(D112),D112&gt;0,'Steel Beam Design'!$A$18="",C112="UC")</f>
        <v>1</v>
      </c>
      <c r="AE112" s="84">
        <f>'Steel Beam Design'!O27</f>
        <v>278.12499999999994</v>
      </c>
    </row>
    <row r="113" spans="1:31">
      <c r="A113" s="1" t="s">
        <v>443</v>
      </c>
      <c r="B113" s="1" t="str">
        <f>'Section Data'!B9</f>
        <v>356x406x340</v>
      </c>
      <c r="C113" s="1" t="s">
        <v>367</v>
      </c>
      <c r="D113" s="84">
        <f>'Section Data'!C9</f>
        <v>339.9</v>
      </c>
      <c r="E113" s="84">
        <f>'Section Data'!Q9</f>
        <v>122500</v>
      </c>
      <c r="F113" s="84">
        <f>'Steel Beam Design'!D7043</f>
        <v>173.82812499999994</v>
      </c>
      <c r="G113" s="84">
        <f>'Steel Beam Design'!D7067</f>
        <v>4083.1881533101036</v>
      </c>
      <c r="H113" s="84" t="str">
        <f>IF(TRIM($B113)="","",IFERROR('Steel Beam Design'!$D$7006,""))</f>
        <v>S355</v>
      </c>
      <c r="I113" s="84">
        <f>IF(TRIM($B113)="","",IFERROR(MAX(VLOOKUP($B113,'Section Data'!$B$5:$AC$35,5,FALSE),VLOOKUP($B113,'Section Data'!$B$5:$AC$35,6,FALSE)),""))</f>
        <v>42.9</v>
      </c>
      <c r="J113" s="84">
        <f>IF(TRIM($B113)="","",IFERROR(IF(I113&gt;150,"",INDEX('Section Data'!$AH$5:$AK$10,IF(I113&lt;=16,1,IF(I113&lt;=40,2,IF(I113&lt;=63,3,IF(I113&lt;=80,4,IF(I113&lt;=100,5,6))))),MATCH(H113,'Section Data'!$AH$4:$AK$4,0))),""))</f>
        <v>335</v>
      </c>
      <c r="K113" s="84">
        <f t="shared" si="9"/>
        <v>0.90603284840454856</v>
      </c>
      <c r="L113" s="84">
        <f>IF(TRIM($B113)="","",IFERROR(VLOOKUP($B113,'Section Data'!$B$5:$AC$35,9,FALSE),""))</f>
        <v>4.7</v>
      </c>
      <c r="M113" s="84">
        <f>IF(TRIM($B113)="","",IFERROR(VLOOKUP($B113,'Section Data'!$B$5:$AC$35,10,FALSE),""))</f>
        <v>10.91</v>
      </c>
      <c r="N113" s="84">
        <f t="shared" si="10"/>
        <v>8</v>
      </c>
      <c r="O113" s="84">
        <f t="shared" si="11"/>
        <v>80</v>
      </c>
      <c r="P113" s="84">
        <f>IF(TRIM($B113)="","",IFERROR(VLOOKUP($B113,'Section Data'!$B$5:$AC$35,5,FALSE)*VLOOKUP($B113,'Section Data'!$B$5:$AC$35,3,FALSE),""))</f>
        <v>10810.24</v>
      </c>
      <c r="Q113" s="84">
        <f t="shared" si="12"/>
        <v>2090.8338162914943</v>
      </c>
      <c r="R113" s="84">
        <f>'Steel Beam Design'!B4511</f>
        <v>55.624999999999993</v>
      </c>
      <c r="S113" s="84">
        <f t="shared" si="13"/>
        <v>0</v>
      </c>
      <c r="T113" s="84">
        <f>IF(TRIM($B113)="","",IFERROR(VLOOKUP($B113,'Section Data'!$B$5:$AC$35,20,FALSE),""))</f>
        <v>6031</v>
      </c>
      <c r="U113" s="84">
        <f>IF(TRIM($B113)="","",IFERROR(VLOOKUP($B113,'Section Data'!$B$5:$AC$35,21,FALSE),""))</f>
        <v>2325</v>
      </c>
      <c r="V113" s="84">
        <f>IF(TRIM($B113)="","",IFERROR(VLOOKUP($B113,'Section Data'!$B$5:$AC$35,22,FALSE),""))</f>
        <v>6999</v>
      </c>
      <c r="W113" s="84">
        <f>IF(TRIM($B113)="","",IFERROR(VLOOKUP($B113,'Section Data'!$B$5:$AC$35,23,FALSE),""))</f>
        <v>3544</v>
      </c>
      <c r="X113" s="84">
        <f>IF(TRIM($B113)="","",IFERROR((VLOOKUP($B113,'Section Data'!$B$5:$AC$35,5,FALSE)/10)*(VLOOKUP($B113,'Section Data'!$B$5:$AC$35,3,FALSE)/10)^2/4,""))</f>
        <v>1098.3203840000001</v>
      </c>
      <c r="Y113" s="84">
        <f>IF(TRIM($B113)="","",IFERROR((VLOOKUP($B113,'Section Data'!$B$5:$AC$35,3,FALSE)/10)*(VLOOKUP($B113,'Section Data'!$B$5:$AC$35,5,FALSE)/10)^2/4,""))</f>
        <v>71.888096000000004</v>
      </c>
      <c r="Z113" s="84">
        <f t="shared" si="14"/>
        <v>2344.665</v>
      </c>
      <c r="AA113" s="84">
        <f t="shared" si="15"/>
        <v>934.65</v>
      </c>
      <c r="AB113" s="86">
        <f t="shared" si="16"/>
        <v>7.4137723299490518E-2</v>
      </c>
      <c r="AC113" s="86">
        <f t="shared" si="17"/>
        <v>3.3332148190286563E-2</v>
      </c>
      <c r="AD113" s="1" t="b">
        <f>AND(ISNUMBER(AB113),ISNUMBER(AC113),AB113&gt;=0,AC113&gt;=0,AB113&lt;=0.95,AC113&lt;=0.95,ISNUMBER(D113),D113&gt;0,'Steel Beam Design'!$A$18="",C113="UC")</f>
        <v>1</v>
      </c>
      <c r="AE113" s="84">
        <f>'Steel Beam Design'!O27</f>
        <v>278.12499999999994</v>
      </c>
    </row>
    <row r="114" spans="1:31">
      <c r="A114" s="1" t="s">
        <v>443</v>
      </c>
      <c r="B114" s="1" t="str">
        <f>'Section Data'!B10</f>
        <v>356x406x287</v>
      </c>
      <c r="C114" s="1" t="s">
        <v>367</v>
      </c>
      <c r="D114" s="84">
        <f>'Section Data'!C10</f>
        <v>287.10000000000002</v>
      </c>
      <c r="E114" s="84">
        <f>'Section Data'!Q10</f>
        <v>99880</v>
      </c>
      <c r="F114" s="84">
        <f>'Steel Beam Design'!D7043</f>
        <v>173.82812499999994</v>
      </c>
      <c r="G114" s="84">
        <f>'Steel Beam Design'!D7067</f>
        <v>4083.1881533101036</v>
      </c>
      <c r="H114" s="84" t="str">
        <f>IF(TRIM($B114)="","",IFERROR('Steel Beam Design'!$D$7006,""))</f>
        <v>S355</v>
      </c>
      <c r="I114" s="84">
        <f>IF(TRIM($B114)="","",IFERROR(MAX(VLOOKUP($B114,'Section Data'!$B$5:$AC$35,5,FALSE),VLOOKUP($B114,'Section Data'!$B$5:$AC$35,6,FALSE)),""))</f>
        <v>36.5</v>
      </c>
      <c r="J114" s="84">
        <f>IF(TRIM($B114)="","",IFERROR(IF(I114&gt;150,"",INDEX('Section Data'!$AH$5:$AK$10,IF(I114&lt;=16,1,IF(I114&lt;=40,2,IF(I114&lt;=63,3,IF(I114&lt;=80,4,IF(I114&lt;=100,5,6))))),MATCH(H114,'Section Data'!$AH$4:$AK$4,0))),""))</f>
        <v>345</v>
      </c>
      <c r="K114" s="84">
        <f t="shared" si="9"/>
        <v>0.8928053815224023</v>
      </c>
      <c r="L114" s="84">
        <f>IF(TRIM($B114)="","",IFERROR(VLOOKUP($B114,'Section Data'!$B$5:$AC$35,9,FALSE),""))</f>
        <v>5.47</v>
      </c>
      <c r="M114" s="84">
        <f>IF(TRIM($B114)="","",IFERROR(VLOOKUP($B114,'Section Data'!$B$5:$AC$35,10,FALSE),""))</f>
        <v>12.84</v>
      </c>
      <c r="N114" s="84">
        <f t="shared" si="10"/>
        <v>8</v>
      </c>
      <c r="O114" s="84">
        <f t="shared" si="11"/>
        <v>80</v>
      </c>
      <c r="P114" s="84">
        <f>IF(TRIM($B114)="","",IFERROR(VLOOKUP($B114,'Section Data'!$B$5:$AC$35,5,FALSE)*VLOOKUP($B114,'Section Data'!$B$5:$AC$35,3,FALSE),""))</f>
        <v>8895.36</v>
      </c>
      <c r="Q114" s="84">
        <f t="shared" si="12"/>
        <v>1771.8297792358273</v>
      </c>
      <c r="R114" s="84">
        <f>'Steel Beam Design'!B4511</f>
        <v>55.624999999999993</v>
      </c>
      <c r="S114" s="84">
        <f t="shared" si="13"/>
        <v>0</v>
      </c>
      <c r="T114" s="84">
        <f>IF(TRIM($B114)="","",IFERROR(VLOOKUP($B114,'Section Data'!$B$5:$AC$35,20,FALSE),""))</f>
        <v>5075</v>
      </c>
      <c r="U114" s="84">
        <f>IF(TRIM($B114)="","",IFERROR(VLOOKUP($B114,'Section Data'!$B$5:$AC$35,21,FALSE),""))</f>
        <v>1939</v>
      </c>
      <c r="V114" s="84">
        <f>IF(TRIM($B114)="","",IFERROR(VLOOKUP($B114,'Section Data'!$B$5:$AC$35,22,FALSE),""))</f>
        <v>5812</v>
      </c>
      <c r="W114" s="84">
        <f>IF(TRIM($B114)="","",IFERROR(VLOOKUP($B114,'Section Data'!$B$5:$AC$35,23,FALSE),""))</f>
        <v>2949</v>
      </c>
      <c r="X114" s="84">
        <f>IF(TRIM($B114)="","",IFERROR((VLOOKUP($B114,'Section Data'!$B$5:$AC$35,5,FALSE)/10)*(VLOOKUP($B114,'Section Data'!$B$5:$AC$35,3,FALSE)/10)^2/4,""))</f>
        <v>875.30342400000006</v>
      </c>
      <c r="Y114" s="84">
        <f>IF(TRIM($B114)="","",IFERROR((VLOOKUP($B114,'Section Data'!$B$5:$AC$35,3,FALSE)/10)*(VLOOKUP($B114,'Section Data'!$B$5:$AC$35,5,FALSE)/10)^2/4,""))</f>
        <v>50.258784000000013</v>
      </c>
      <c r="Z114" s="84">
        <f t="shared" si="14"/>
        <v>2005.14</v>
      </c>
      <c r="AA114" s="84">
        <f t="shared" si="15"/>
        <v>802.74599999999987</v>
      </c>
      <c r="AB114" s="86">
        <f t="shared" si="16"/>
        <v>8.6691265946517423E-2</v>
      </c>
      <c r="AC114" s="86">
        <f t="shared" si="17"/>
        <v>4.0880938659492425E-2</v>
      </c>
      <c r="AD114" s="1" t="b">
        <f>AND(ISNUMBER(AB114),ISNUMBER(AC114),AB114&gt;=0,AC114&gt;=0,AB114&lt;=0.95,AC114&lt;=0.95,ISNUMBER(D114),D114&gt;0,'Steel Beam Design'!$A$18="",C114="UC")</f>
        <v>1</v>
      </c>
      <c r="AE114" s="84">
        <f>'Steel Beam Design'!O27</f>
        <v>278.12499999999994</v>
      </c>
    </row>
    <row r="115" spans="1:31">
      <c r="A115" s="1" t="s">
        <v>443</v>
      </c>
      <c r="B115" s="1" t="str">
        <f>'Section Data'!B11</f>
        <v>356x406x235</v>
      </c>
      <c r="C115" s="1" t="s">
        <v>367</v>
      </c>
      <c r="D115" s="84">
        <f>'Section Data'!C11</f>
        <v>235.1</v>
      </c>
      <c r="E115" s="84">
        <f>'Section Data'!Q11</f>
        <v>79080</v>
      </c>
      <c r="F115" s="84">
        <f>'Steel Beam Design'!D7043</f>
        <v>173.82812499999994</v>
      </c>
      <c r="G115" s="84">
        <f>'Steel Beam Design'!D7067</f>
        <v>4083.1881533101036</v>
      </c>
      <c r="H115" s="84" t="str">
        <f>IF(TRIM($B115)="","",IFERROR('Steel Beam Design'!$D$7006,""))</f>
        <v>S355</v>
      </c>
      <c r="I115" s="84">
        <f>IF(TRIM($B115)="","",IFERROR(MAX(VLOOKUP($B115,'Section Data'!$B$5:$AC$35,5,FALSE),VLOOKUP($B115,'Section Data'!$B$5:$AC$35,6,FALSE)),""))</f>
        <v>30.2</v>
      </c>
      <c r="J115" s="84">
        <f>IF(TRIM($B115)="","",IFERROR(IF(I115&gt;150,"",INDEX('Section Data'!$AH$5:$AK$10,IF(I115&lt;=16,1,IF(I115&lt;=40,2,IF(I115&lt;=63,3,IF(I115&lt;=80,4,IF(I115&lt;=100,5,6))))),MATCH(H115,'Section Data'!$AH$4:$AK$4,0))),""))</f>
        <v>345</v>
      </c>
      <c r="K115" s="84">
        <f t="shared" si="9"/>
        <v>0.8928053815224023</v>
      </c>
      <c r="L115" s="84">
        <f>IF(TRIM($B115)="","",IFERROR(VLOOKUP($B115,'Section Data'!$B$5:$AC$35,9,FALSE),""))</f>
        <v>6.54</v>
      </c>
      <c r="M115" s="84">
        <f>IF(TRIM($B115)="","",IFERROR(VLOOKUP($B115,'Section Data'!$B$5:$AC$35,10,FALSE),""))</f>
        <v>15.77</v>
      </c>
      <c r="N115" s="84">
        <f t="shared" si="10"/>
        <v>8</v>
      </c>
      <c r="O115" s="84">
        <f t="shared" si="11"/>
        <v>80</v>
      </c>
      <c r="P115" s="84">
        <f>IF(TRIM($B115)="","",IFERROR(VLOOKUP($B115,'Section Data'!$B$5:$AC$35,5,FALSE)*VLOOKUP($B115,'Section Data'!$B$5:$AC$35,3,FALSE),""))</f>
        <v>7010.4</v>
      </c>
      <c r="Q115" s="84">
        <f t="shared" si="12"/>
        <v>1396.3724328587987</v>
      </c>
      <c r="R115" s="84">
        <f>'Steel Beam Design'!B4511</f>
        <v>55.624999999999993</v>
      </c>
      <c r="S115" s="84">
        <f t="shared" si="13"/>
        <v>0</v>
      </c>
      <c r="T115" s="84">
        <f>IF(TRIM($B115)="","",IFERROR(VLOOKUP($B115,'Section Data'!$B$5:$AC$35,20,FALSE),""))</f>
        <v>4151</v>
      </c>
      <c r="U115" s="84">
        <f>IF(TRIM($B115)="","",IFERROR(VLOOKUP($B115,'Section Data'!$B$5:$AC$35,21,FALSE),""))</f>
        <v>1570</v>
      </c>
      <c r="V115" s="84">
        <f>IF(TRIM($B115)="","",IFERROR(VLOOKUP($B115,'Section Data'!$B$5:$AC$35,22,FALSE),""))</f>
        <v>4687</v>
      </c>
      <c r="W115" s="84">
        <f>IF(TRIM($B115)="","",IFERROR(VLOOKUP($B115,'Section Data'!$B$5:$AC$35,23,FALSE),""))</f>
        <v>2383</v>
      </c>
      <c r="X115" s="84">
        <f>IF(TRIM($B115)="","",IFERROR((VLOOKUP($B115,'Section Data'!$B$5:$AC$35,5,FALSE)/10)*(VLOOKUP($B115,'Section Data'!$B$5:$AC$35,3,FALSE)/10)^2/4,""))</f>
        <v>667.74059999999997</v>
      </c>
      <c r="Y115" s="84">
        <f>IF(TRIM($B115)="","",IFERROR((VLOOKUP($B115,'Section Data'!$B$5:$AC$35,3,FALSE)/10)*(VLOOKUP($B115,'Section Data'!$B$5:$AC$35,5,FALSE)/10)^2/4,""))</f>
        <v>32.247839999999997</v>
      </c>
      <c r="Z115" s="84">
        <f t="shared" si="14"/>
        <v>1617.0150000000001</v>
      </c>
      <c r="AA115" s="84">
        <f t="shared" si="15"/>
        <v>649.98</v>
      </c>
      <c r="AB115" s="86">
        <f t="shared" si="16"/>
        <v>0.10749938930684003</v>
      </c>
      <c r="AC115" s="86">
        <f t="shared" si="17"/>
        <v>5.1633638762140915E-2</v>
      </c>
      <c r="AD115" s="1" t="b">
        <f>AND(ISNUMBER(AB115),ISNUMBER(AC115),AB115&gt;=0,AC115&gt;=0,AB115&lt;=0.95,AC115&lt;=0.95,ISNUMBER(D115),D115&gt;0,'Steel Beam Design'!$A$18="",C115="UC")</f>
        <v>1</v>
      </c>
      <c r="AE115" s="84">
        <f>'Steel Beam Design'!O27</f>
        <v>278.12499999999994</v>
      </c>
    </row>
    <row r="116" spans="1:31">
      <c r="A116" s="1" t="s">
        <v>443</v>
      </c>
      <c r="B116" s="1" t="str">
        <f>'Section Data'!B12</f>
        <v>356x368x202</v>
      </c>
      <c r="C116" s="1" t="s">
        <v>367</v>
      </c>
      <c r="D116" s="84">
        <f>'Section Data'!C12</f>
        <v>201.9</v>
      </c>
      <c r="E116" s="84">
        <f>'Section Data'!Q12</f>
        <v>66250</v>
      </c>
      <c r="F116" s="84">
        <f>'Steel Beam Design'!D7043</f>
        <v>173.82812499999994</v>
      </c>
      <c r="G116" s="84">
        <f>'Steel Beam Design'!D7067</f>
        <v>4083.1881533101036</v>
      </c>
      <c r="H116" s="84" t="str">
        <f>IF(TRIM($B116)="","",IFERROR('Steel Beam Design'!$D$7006,""))</f>
        <v>S355</v>
      </c>
      <c r="I116" s="84">
        <f>IF(TRIM($B116)="","",IFERROR(MAX(VLOOKUP($B116,'Section Data'!$B$5:$AC$35,5,FALSE),VLOOKUP($B116,'Section Data'!$B$5:$AC$35,6,FALSE)),""))</f>
        <v>27</v>
      </c>
      <c r="J116" s="84">
        <f>IF(TRIM($B116)="","",IFERROR(IF(I116&gt;150,"",INDEX('Section Data'!$AH$5:$AK$10,IF(I116&lt;=16,1,IF(I116&lt;=40,2,IF(I116&lt;=63,3,IF(I116&lt;=80,4,IF(I116&lt;=100,5,6))))),MATCH(H116,'Section Data'!$AH$4:$AK$4,0))),""))</f>
        <v>345</v>
      </c>
      <c r="K116" s="84">
        <f t="shared" si="9"/>
        <v>0.8928053815224023</v>
      </c>
      <c r="L116" s="84">
        <f>IF(TRIM($B116)="","",IFERROR(VLOOKUP($B116,'Section Data'!$B$5:$AC$35,9,FALSE),""))</f>
        <v>6.94</v>
      </c>
      <c r="M116" s="84">
        <f>IF(TRIM($B116)="","",IFERROR(VLOOKUP($B116,'Section Data'!$B$5:$AC$35,10,FALSE),""))</f>
        <v>17.59</v>
      </c>
      <c r="N116" s="84">
        <f t="shared" si="10"/>
        <v>8</v>
      </c>
      <c r="O116" s="84">
        <f t="shared" si="11"/>
        <v>80</v>
      </c>
      <c r="P116" s="84">
        <f>IF(TRIM($B116)="","",IFERROR(VLOOKUP($B116,'Section Data'!$B$5:$AC$35,5,FALSE)*VLOOKUP($B116,'Section Data'!$B$5:$AC$35,3,FALSE),""))</f>
        <v>6180.9000000000005</v>
      </c>
      <c r="Q116" s="84">
        <f t="shared" si="12"/>
        <v>1231.1477761977847</v>
      </c>
      <c r="R116" s="84">
        <f>'Steel Beam Design'!B4511</f>
        <v>55.624999999999993</v>
      </c>
      <c r="S116" s="84">
        <f t="shared" si="13"/>
        <v>0</v>
      </c>
      <c r="T116" s="84">
        <f>IF(TRIM($B116)="","",IFERROR(VLOOKUP($B116,'Section Data'!$B$5:$AC$35,20,FALSE),""))</f>
        <v>3538</v>
      </c>
      <c r="U116" s="84">
        <f>IF(TRIM($B116)="","",IFERROR(VLOOKUP($B116,'Section Data'!$B$5:$AC$35,21,FALSE),""))</f>
        <v>1264</v>
      </c>
      <c r="V116" s="84">
        <f>IF(TRIM($B116)="","",IFERROR(VLOOKUP($B116,'Section Data'!$B$5:$AC$35,22,FALSE),""))</f>
        <v>3972</v>
      </c>
      <c r="W116" s="84">
        <f>IF(TRIM($B116)="","",IFERROR(VLOOKUP($B116,'Section Data'!$B$5:$AC$35,23,FALSE),""))</f>
        <v>1920</v>
      </c>
      <c r="X116" s="84">
        <f>IF(TRIM($B116)="","",IFERROR((VLOOKUP($B116,'Section Data'!$B$5:$AC$35,5,FALSE)/10)*(VLOOKUP($B116,'Section Data'!$B$5:$AC$35,3,FALSE)/10)^2/4,""))</f>
        <v>578.84128499999997</v>
      </c>
      <c r="Y116" s="84">
        <f>IF(TRIM($B116)="","",IFERROR((VLOOKUP($B116,'Section Data'!$B$5:$AC$35,3,FALSE)/10)*(VLOOKUP($B116,'Section Data'!$B$5:$AC$35,5,FALSE)/10)^2/4,""))</f>
        <v>25.496212499999999</v>
      </c>
      <c r="Z116" s="84">
        <f t="shared" si="14"/>
        <v>1370.34</v>
      </c>
      <c r="AA116" s="84">
        <f t="shared" si="15"/>
        <v>523.29600000000005</v>
      </c>
      <c r="AB116" s="86">
        <f t="shared" si="16"/>
        <v>0.12685036195396759</v>
      </c>
      <c r="AC116" s="86">
        <f t="shared" si="17"/>
        <v>6.1633028729209109E-2</v>
      </c>
      <c r="AD116" s="1" t="b">
        <f>AND(ISNUMBER(AB116),ISNUMBER(AC116),AB116&gt;=0,AC116&gt;=0,AB116&lt;=0.95,AC116&lt;=0.95,ISNUMBER(D116),D116&gt;0,'Steel Beam Design'!$A$18="",C116="UC")</f>
        <v>1</v>
      </c>
      <c r="AE116" s="84">
        <f>'Steel Beam Design'!O27</f>
        <v>278.12499999999994</v>
      </c>
    </row>
    <row r="117" spans="1:31">
      <c r="A117" s="1" t="s">
        <v>443</v>
      </c>
      <c r="B117" s="1" t="str">
        <f>'Section Data'!B13</f>
        <v>356x368x177</v>
      </c>
      <c r="C117" s="1" t="s">
        <v>367</v>
      </c>
      <c r="D117" s="84">
        <f>'Section Data'!C13</f>
        <v>177</v>
      </c>
      <c r="E117" s="84">
        <f>'Section Data'!Q13</f>
        <v>57120</v>
      </c>
      <c r="F117" s="84">
        <f>'Steel Beam Design'!D7043</f>
        <v>173.82812499999994</v>
      </c>
      <c r="G117" s="84">
        <f>'Steel Beam Design'!D7067</f>
        <v>4083.1881533101036</v>
      </c>
      <c r="H117" s="84" t="str">
        <f>IF(TRIM($B117)="","",IFERROR('Steel Beam Design'!$D$7006,""))</f>
        <v>S355</v>
      </c>
      <c r="I117" s="84">
        <f>IF(TRIM($B117)="","",IFERROR(MAX(VLOOKUP($B117,'Section Data'!$B$5:$AC$35,5,FALSE),VLOOKUP($B117,'Section Data'!$B$5:$AC$35,6,FALSE)),""))</f>
        <v>23.8</v>
      </c>
      <c r="J117" s="84">
        <f>IF(TRIM($B117)="","",IFERROR(IF(I117&gt;150,"",INDEX('Section Data'!$AH$5:$AK$10,IF(I117&lt;=16,1,IF(I117&lt;=40,2,IF(I117&lt;=63,3,IF(I117&lt;=80,4,IF(I117&lt;=100,5,6))))),MATCH(H117,'Section Data'!$AH$4:$AK$4,0))),""))</f>
        <v>345</v>
      </c>
      <c r="K117" s="84">
        <f t="shared" si="9"/>
        <v>0.8928053815224023</v>
      </c>
      <c r="L117" s="84">
        <f>IF(TRIM($B117)="","",IFERROR(VLOOKUP($B117,'Section Data'!$B$5:$AC$35,9,FALSE),""))</f>
        <v>7.83</v>
      </c>
      <c r="M117" s="84">
        <f>IF(TRIM($B117)="","",IFERROR(VLOOKUP($B117,'Section Data'!$B$5:$AC$35,10,FALSE),""))</f>
        <v>20.149999999999999</v>
      </c>
      <c r="N117" s="84">
        <f t="shared" si="10"/>
        <v>9</v>
      </c>
      <c r="O117" s="84">
        <f t="shared" si="11"/>
        <v>80</v>
      </c>
      <c r="P117" s="84">
        <f>IF(TRIM($B117)="","",IFERROR(VLOOKUP($B117,'Section Data'!$B$5:$AC$35,5,FALSE)*VLOOKUP($B117,'Section Data'!$B$5:$AC$35,3,FALSE),""))</f>
        <v>5302.08</v>
      </c>
      <c r="Q117" s="84">
        <f t="shared" si="12"/>
        <v>1056.0992737664012</v>
      </c>
      <c r="R117" s="84">
        <f>'Steel Beam Design'!B4511</f>
        <v>55.624999999999993</v>
      </c>
      <c r="S117" s="84">
        <f t="shared" si="13"/>
        <v>0</v>
      </c>
      <c r="T117" s="84">
        <f>IF(TRIM($B117)="","",IFERROR(VLOOKUP($B117,'Section Data'!$B$5:$AC$35,20,FALSE),""))</f>
        <v>3103</v>
      </c>
      <c r="U117" s="84">
        <f>IF(TRIM($B117)="","",IFERROR(VLOOKUP($B117,'Section Data'!$B$5:$AC$35,21,FALSE),""))</f>
        <v>1102</v>
      </c>
      <c r="V117" s="84">
        <f>IF(TRIM($B117)="","",IFERROR(VLOOKUP($B117,'Section Data'!$B$5:$AC$35,22,FALSE),""))</f>
        <v>3455</v>
      </c>
      <c r="W117" s="84">
        <f>IF(TRIM($B117)="","",IFERROR(VLOOKUP($B117,'Section Data'!$B$5:$AC$35,23,FALSE),""))</f>
        <v>1671</v>
      </c>
      <c r="X117" s="84">
        <f>IF(TRIM($B117)="","",IFERROR((VLOOKUP($B117,'Section Data'!$B$5:$AC$35,5,FALSE)/10)*(VLOOKUP($B117,'Section Data'!$B$5:$AC$35,3,FALSE)/10)^2/4,""))</f>
        <v>488.05646400000001</v>
      </c>
      <c r="Y117" s="84">
        <f>IF(TRIM($B117)="","",IFERROR((VLOOKUP($B117,'Section Data'!$B$5:$AC$35,3,FALSE)/10)*(VLOOKUP($B117,'Section Data'!$B$5:$AC$35,5,FALSE)/10)^2/4,""))</f>
        <v>19.087488</v>
      </c>
      <c r="Z117" s="84">
        <f t="shared" si="14"/>
        <v>1191.9749999999999</v>
      </c>
      <c r="AA117" s="84">
        <f t="shared" si="15"/>
        <v>456.22799999999995</v>
      </c>
      <c r="AB117" s="86">
        <f t="shared" si="16"/>
        <v>0.14583202248369298</v>
      </c>
      <c r="AC117" s="86">
        <f t="shared" si="17"/>
        <v>7.148438643750181E-2</v>
      </c>
      <c r="AD117" s="1" t="b">
        <f>AND(ISNUMBER(AB117),ISNUMBER(AC117),AB117&gt;=0,AC117&gt;=0,AB117&lt;=0.95,AC117&lt;=0.95,ISNUMBER(D117),D117&gt;0,'Steel Beam Design'!$A$18="",C117="UC")</f>
        <v>1</v>
      </c>
      <c r="AE117" s="84">
        <f>'Steel Beam Design'!O27</f>
        <v>278.12499999999994</v>
      </c>
    </row>
    <row r="118" spans="1:31">
      <c r="A118" s="1" t="s">
        <v>443</v>
      </c>
      <c r="B118" s="1" t="str">
        <f>'Section Data'!B14</f>
        <v>356x368x153</v>
      </c>
      <c r="C118" s="1" t="s">
        <v>367</v>
      </c>
      <c r="D118" s="84">
        <f>'Section Data'!C14</f>
        <v>152.9</v>
      </c>
      <c r="E118" s="84">
        <f>'Section Data'!Q14</f>
        <v>48590</v>
      </c>
      <c r="F118" s="84">
        <f>'Steel Beam Design'!D7043</f>
        <v>173.82812499999994</v>
      </c>
      <c r="G118" s="84">
        <f>'Steel Beam Design'!D7067</f>
        <v>4083.1881533101036</v>
      </c>
      <c r="H118" s="84" t="str">
        <f>IF(TRIM($B118)="","",IFERROR('Steel Beam Design'!$D$7006,""))</f>
        <v>S355</v>
      </c>
      <c r="I118" s="84">
        <f>IF(TRIM($B118)="","",IFERROR(MAX(VLOOKUP($B118,'Section Data'!$B$5:$AC$35,5,FALSE),VLOOKUP($B118,'Section Data'!$B$5:$AC$35,6,FALSE)),""))</f>
        <v>20.7</v>
      </c>
      <c r="J118" s="84">
        <f>IF(TRIM($B118)="","",IFERROR(IF(I118&gt;150,"",INDEX('Section Data'!$AH$5:$AK$10,IF(I118&lt;=16,1,IF(I118&lt;=40,2,IF(I118&lt;=63,3,IF(I118&lt;=80,4,IF(I118&lt;=100,5,6))))),MATCH(H118,'Section Data'!$AH$4:$AK$4,0))),""))</f>
        <v>345</v>
      </c>
      <c r="K118" s="84">
        <f t="shared" si="9"/>
        <v>0.8928053815224023</v>
      </c>
      <c r="L118" s="84">
        <f>IF(TRIM($B118)="","",IFERROR(VLOOKUP($B118,'Section Data'!$B$5:$AC$35,9,FALSE),""))</f>
        <v>8.9499999999999993</v>
      </c>
      <c r="M118" s="84">
        <f>IF(TRIM($B118)="","",IFERROR(VLOOKUP($B118,'Section Data'!$B$5:$AC$35,10,FALSE),""))</f>
        <v>23.59</v>
      </c>
      <c r="N118" s="84">
        <f t="shared" si="10"/>
        <v>13</v>
      </c>
      <c r="O118" s="84">
        <f t="shared" si="11"/>
        <v>80</v>
      </c>
      <c r="P118" s="84">
        <f>IF(TRIM($B118)="","",IFERROR(VLOOKUP($B118,'Section Data'!$B$5:$AC$35,5,FALSE)*VLOOKUP($B118,'Section Data'!$B$5:$AC$35,3,FALSE),""))</f>
        <v>4458.75</v>
      </c>
      <c r="Q118" s="84">
        <f t="shared" si="12"/>
        <v>888.11987689848922</v>
      </c>
      <c r="R118" s="84">
        <f>'Steel Beam Design'!B4511</f>
        <v>55.624999999999993</v>
      </c>
      <c r="S118" s="84">
        <f t="shared" si="13"/>
        <v>0</v>
      </c>
      <c r="T118" s="84">
        <f>IF(TRIM($B118)="","",IFERROR(VLOOKUP($B118,'Section Data'!$B$5:$AC$35,20,FALSE),""))</f>
        <v>2684</v>
      </c>
      <c r="U118" s="84">
        <f>IF(TRIM($B118)="","",IFERROR(VLOOKUP($B118,'Section Data'!$B$5:$AC$35,21,FALSE),""))</f>
        <v>948</v>
      </c>
      <c r="V118" s="84">
        <f>IF(TRIM($B118)="","",IFERROR(VLOOKUP($B118,'Section Data'!$B$5:$AC$35,22,FALSE),""))</f>
        <v>2968</v>
      </c>
      <c r="W118" s="84">
        <f>IF(TRIM($B118)="","",IFERROR(VLOOKUP($B118,'Section Data'!$B$5:$AC$35,23,FALSE),""))</f>
        <v>1435</v>
      </c>
      <c r="X118" s="84">
        <f>IF(TRIM($B118)="","",IFERROR((VLOOKUP($B118,'Section Data'!$B$5:$AC$35,5,FALSE)/10)*(VLOOKUP($B118,'Section Data'!$B$5:$AC$35,3,FALSE)/10)^2/4,""))</f>
        <v>404.07421875</v>
      </c>
      <c r="Y118" s="84">
        <f>IF(TRIM($B118)="","",IFERROR((VLOOKUP($B118,'Section Data'!$B$5:$AC$35,3,FALSE)/10)*(VLOOKUP($B118,'Section Data'!$B$5:$AC$35,5,FALSE)/10)^2/4,""))</f>
        <v>13.71065625</v>
      </c>
      <c r="Z118" s="84">
        <f t="shared" si="14"/>
        <v>925.98</v>
      </c>
      <c r="AA118" s="84">
        <f t="shared" si="15"/>
        <v>327.06</v>
      </c>
      <c r="AB118" s="86">
        <f t="shared" si="16"/>
        <v>0.18772341195274189</v>
      </c>
      <c r="AC118" s="86">
        <f t="shared" si="17"/>
        <v>8.4033507991564185E-2</v>
      </c>
      <c r="AD118" s="1" t="b">
        <f>AND(ISNUMBER(AB118),ISNUMBER(AC118),AB118&gt;=0,AC118&gt;=0,AB118&lt;=0.95,AC118&lt;=0.95,ISNUMBER(D118),D118&gt;0,'Steel Beam Design'!$A$18="",C118="UC")</f>
        <v>1</v>
      </c>
      <c r="AE118" s="84">
        <f>'Steel Beam Design'!O27</f>
        <v>278.12499999999994</v>
      </c>
    </row>
    <row r="119" spans="1:31">
      <c r="A119" s="1" t="s">
        <v>443</v>
      </c>
      <c r="B119" s="1" t="str">
        <f>'Section Data'!B15</f>
        <v>356x369x129</v>
      </c>
      <c r="C119" s="1" t="s">
        <v>367</v>
      </c>
      <c r="D119" s="84">
        <f>'Section Data'!C15</f>
        <v>129</v>
      </c>
      <c r="E119" s="84">
        <f>'Section Data'!Q15</f>
        <v>40250</v>
      </c>
      <c r="F119" s="84">
        <f>'Steel Beam Design'!D7043</f>
        <v>173.82812499999994</v>
      </c>
      <c r="G119" s="84">
        <f>'Steel Beam Design'!D7067</f>
        <v>4083.1881533101036</v>
      </c>
      <c r="H119" s="84" t="str">
        <f>IF(TRIM($B119)="","",IFERROR('Steel Beam Design'!$D$7006,""))</f>
        <v>S355</v>
      </c>
      <c r="I119" s="84">
        <f>IF(TRIM($B119)="","",IFERROR(MAX(VLOOKUP($B119,'Section Data'!$B$5:$AC$35,5,FALSE),VLOOKUP($B119,'Section Data'!$B$5:$AC$35,6,FALSE)),""))</f>
        <v>17.5</v>
      </c>
      <c r="J119" s="84">
        <f>IF(TRIM($B119)="","",IFERROR(IF(I119&gt;150,"",INDEX('Section Data'!$AH$5:$AK$10,IF(I119&lt;=16,1,IF(I119&lt;=40,2,IF(I119&lt;=63,3,IF(I119&lt;=80,4,IF(I119&lt;=100,5,6))))),MATCH(H119,'Section Data'!$AH$4:$AK$4,0))),""))</f>
        <v>345</v>
      </c>
      <c r="K119" s="84">
        <f t="shared" si="9"/>
        <v>0.8928053815224023</v>
      </c>
      <c r="L119" s="84">
        <f>IF(TRIM($B119)="","",IFERROR(VLOOKUP($B119,'Section Data'!$B$5:$AC$35,9,FALSE),""))</f>
        <v>10.53</v>
      </c>
      <c r="M119" s="84">
        <f>IF(TRIM($B119)="","",IFERROR(VLOOKUP($B119,'Section Data'!$B$5:$AC$35,10,FALSE),""))</f>
        <v>27.9</v>
      </c>
      <c r="N119" s="84">
        <f t="shared" si="10"/>
        <v>13</v>
      </c>
      <c r="O119" s="84">
        <f t="shared" si="11"/>
        <v>80</v>
      </c>
      <c r="P119" s="84">
        <f>IF(TRIM($B119)="","",IFERROR(VLOOKUP($B119,'Section Data'!$B$5:$AC$35,5,FALSE)*VLOOKUP($B119,'Section Data'!$B$5:$AC$35,3,FALSE),""))</f>
        <v>3698.2400000000002</v>
      </c>
      <c r="Q119" s="84">
        <f t="shared" si="12"/>
        <v>736.63705153710544</v>
      </c>
      <c r="R119" s="84">
        <f>'Steel Beam Design'!B4511</f>
        <v>55.624999999999993</v>
      </c>
      <c r="S119" s="84">
        <f t="shared" si="13"/>
        <v>0</v>
      </c>
      <c r="T119" s="84">
        <f>IF(TRIM($B119)="","",IFERROR(VLOOKUP($B119,'Section Data'!$B$5:$AC$35,20,FALSE),""))</f>
        <v>2264</v>
      </c>
      <c r="U119" s="84">
        <f>IF(TRIM($B119)="","",IFERROR(VLOOKUP($B119,'Section Data'!$B$5:$AC$35,21,FALSE),""))</f>
        <v>793</v>
      </c>
      <c r="V119" s="84">
        <f>IF(TRIM($B119)="","",IFERROR(VLOOKUP($B119,'Section Data'!$B$5:$AC$35,22,FALSE),""))</f>
        <v>2479</v>
      </c>
      <c r="W119" s="84">
        <f>IF(TRIM($B119)="","",IFERROR(VLOOKUP($B119,'Section Data'!$B$5:$AC$35,23,FALSE),""))</f>
        <v>1199</v>
      </c>
      <c r="X119" s="84">
        <f>IF(TRIM($B119)="","",IFERROR((VLOOKUP($B119,'Section Data'!$B$5:$AC$35,5,FALSE)/10)*(VLOOKUP($B119,'Section Data'!$B$5:$AC$35,3,FALSE)/10)^2/4,""))</f>
        <v>328.77353600000009</v>
      </c>
      <c r="Y119" s="84">
        <f>IF(TRIM($B119)="","",IFERROR((VLOOKUP($B119,'Section Data'!$B$5:$AC$35,3,FALSE)/10)*(VLOOKUP($B119,'Section Data'!$B$5:$AC$35,5,FALSE)/10)^2/4,""))</f>
        <v>9.6154240000000009</v>
      </c>
      <c r="Z119" s="84">
        <f t="shared" si="14"/>
        <v>781.08</v>
      </c>
      <c r="AA119" s="84">
        <f t="shared" si="15"/>
        <v>273.58499999999998</v>
      </c>
      <c r="AB119" s="86">
        <f t="shared" si="16"/>
        <v>0.2225484265376145</v>
      </c>
      <c r="AC119" s="86">
        <f t="shared" si="17"/>
        <v>0.10144566840521997</v>
      </c>
      <c r="AD119" s="1" t="b">
        <f>AND(ISNUMBER(AB119),ISNUMBER(AC119),AB119&gt;=0,AC119&gt;=0,AB119&lt;=0.95,AC119&lt;=0.95,ISNUMBER(D119),D119&gt;0,'Steel Beam Design'!$A$18="",C119="UC")</f>
        <v>1</v>
      </c>
      <c r="AE119" s="84">
        <f>'Steel Beam Design'!O27</f>
        <v>278.12499999999994</v>
      </c>
    </row>
    <row r="120" spans="1:31">
      <c r="A120" s="1" t="s">
        <v>443</v>
      </c>
      <c r="B120" s="1" t="str">
        <f>'Section Data'!B16</f>
        <v>305x305x283</v>
      </c>
      <c r="C120" s="1" t="s">
        <v>367</v>
      </c>
      <c r="D120" s="84">
        <f>'Section Data'!C16</f>
        <v>282.89999999999998</v>
      </c>
      <c r="E120" s="84">
        <f>'Section Data'!Q16</f>
        <v>78870</v>
      </c>
      <c r="F120" s="84">
        <f>'Steel Beam Design'!D7043</f>
        <v>173.82812499999994</v>
      </c>
      <c r="G120" s="84">
        <f>'Steel Beam Design'!D7067</f>
        <v>4083.1881533101036</v>
      </c>
      <c r="H120" s="84" t="str">
        <f>IF(TRIM($B120)="","",IFERROR('Steel Beam Design'!$D$7006,""))</f>
        <v>S355</v>
      </c>
      <c r="I120" s="84">
        <f>IF(TRIM($B120)="","",IFERROR(MAX(VLOOKUP($B120,'Section Data'!$B$5:$AC$35,5,FALSE),VLOOKUP($B120,'Section Data'!$B$5:$AC$35,6,FALSE)),""))</f>
        <v>44.4</v>
      </c>
      <c r="J120" s="84">
        <f>IF(TRIM($B120)="","",IFERROR(IF(I120&gt;150,"",INDEX('Section Data'!$AH$5:$AK$10,IF(I120&lt;=16,1,IF(I120&lt;=40,2,IF(I120&lt;=63,3,IF(I120&lt;=80,4,IF(I120&lt;=100,5,6))))),MATCH(H120,'Section Data'!$AH$4:$AK$4,0))),""))</f>
        <v>335</v>
      </c>
      <c r="K120" s="84">
        <f t="shared" si="9"/>
        <v>0.90603284840454856</v>
      </c>
      <c r="L120" s="84">
        <f>IF(TRIM($B120)="","",IFERROR(VLOOKUP($B120,'Section Data'!$B$5:$AC$35,9,FALSE),""))</f>
        <v>3.63</v>
      </c>
      <c r="M120" s="84">
        <f>IF(TRIM($B120)="","",IFERROR(VLOOKUP($B120,'Section Data'!$B$5:$AC$35,10,FALSE),""))</f>
        <v>9.2100000000000009</v>
      </c>
      <c r="N120" s="84">
        <f t="shared" si="10"/>
        <v>8</v>
      </c>
      <c r="O120" s="84">
        <f t="shared" si="11"/>
        <v>80</v>
      </c>
      <c r="P120" s="84">
        <f>IF(TRIM($B120)="","",IFERROR(VLOOKUP($B120,'Section Data'!$B$5:$AC$35,5,FALSE)*VLOOKUP($B120,'Section Data'!$B$5:$AC$35,3,FALSE),""))</f>
        <v>9790.0400000000009</v>
      </c>
      <c r="Q120" s="84">
        <f t="shared" si="12"/>
        <v>1893.5145468413637</v>
      </c>
      <c r="R120" s="84">
        <f>'Steel Beam Design'!B4511</f>
        <v>55.624999999999993</v>
      </c>
      <c r="S120" s="84">
        <f t="shared" si="13"/>
        <v>0</v>
      </c>
      <c r="T120" s="84">
        <f>IF(TRIM($B120)="","",IFERROR(VLOOKUP($B120,'Section Data'!$B$5:$AC$35,20,FALSE),""))</f>
        <v>4318</v>
      </c>
      <c r="U120" s="84">
        <f>IF(TRIM($B120)="","",IFERROR(VLOOKUP($B120,'Section Data'!$B$5:$AC$35,21,FALSE),""))</f>
        <v>1529</v>
      </c>
      <c r="V120" s="84">
        <f>IF(TRIM($B120)="","",IFERROR(VLOOKUP($B120,'Section Data'!$B$5:$AC$35,22,FALSE),""))</f>
        <v>5105</v>
      </c>
      <c r="W120" s="84">
        <f>IF(TRIM($B120)="","",IFERROR(VLOOKUP($B120,'Section Data'!$B$5:$AC$35,23,FALSE),""))</f>
        <v>2342</v>
      </c>
      <c r="X120" s="84">
        <f>IF(TRIM($B120)="","",IFERROR((VLOOKUP($B120,'Section Data'!$B$5:$AC$35,5,FALSE)/10)*(VLOOKUP($B120,'Section Data'!$B$5:$AC$35,3,FALSE)/10)^2/4,""))</f>
        <v>894.07540300000005</v>
      </c>
      <c r="Y120" s="84">
        <f>IF(TRIM($B120)="","",IFERROR((VLOOKUP($B120,'Section Data'!$B$5:$AC$35,3,FALSE)/10)*(VLOOKUP($B120,'Section Data'!$B$5:$AC$35,5,FALSE)/10)^2/4,""))</f>
        <v>65.593268000000009</v>
      </c>
      <c r="Z120" s="84">
        <f t="shared" si="14"/>
        <v>1710.175</v>
      </c>
      <c r="AA120" s="84">
        <f t="shared" si="15"/>
        <v>614.65800000000002</v>
      </c>
      <c r="AB120" s="86">
        <f t="shared" si="16"/>
        <v>0.10164347215928192</v>
      </c>
      <c r="AC120" s="86">
        <f t="shared" si="17"/>
        <v>5.1771118971853727E-2</v>
      </c>
      <c r="AD120" s="1" t="b">
        <f>AND(ISNUMBER(AB120),ISNUMBER(AC120),AB120&gt;=0,AC120&gt;=0,AB120&lt;=0.95,AC120&lt;=0.95,ISNUMBER(D120),D120&gt;0,'Steel Beam Design'!$A$18="",C120="UC")</f>
        <v>1</v>
      </c>
      <c r="AE120" s="84">
        <f>'Steel Beam Design'!O27</f>
        <v>278.12499999999994</v>
      </c>
    </row>
    <row r="121" spans="1:31">
      <c r="A121" s="1" t="s">
        <v>443</v>
      </c>
      <c r="B121" s="1" t="str">
        <f>'Section Data'!B17</f>
        <v>305x305x240</v>
      </c>
      <c r="C121" s="1" t="s">
        <v>367</v>
      </c>
      <c r="D121" s="84">
        <f>'Section Data'!C17</f>
        <v>240</v>
      </c>
      <c r="E121" s="84">
        <f>'Section Data'!Q17</f>
        <v>64200</v>
      </c>
      <c r="F121" s="84">
        <f>'Steel Beam Design'!D7043</f>
        <v>173.82812499999994</v>
      </c>
      <c r="G121" s="84">
        <f>'Steel Beam Design'!D7067</f>
        <v>4083.1881533101036</v>
      </c>
      <c r="H121" s="84" t="str">
        <f>IF(TRIM($B121)="","",IFERROR('Steel Beam Design'!$D$7006,""))</f>
        <v>S355</v>
      </c>
      <c r="I121" s="84">
        <f>IF(TRIM($B121)="","",IFERROR(MAX(VLOOKUP($B121,'Section Data'!$B$5:$AC$35,5,FALSE),VLOOKUP($B121,'Section Data'!$B$5:$AC$35,6,FALSE)),""))</f>
        <v>37.700000000000003</v>
      </c>
      <c r="J121" s="84">
        <f>IF(TRIM($B121)="","",IFERROR(IF(I121&gt;150,"",INDEX('Section Data'!$AH$5:$AK$10,IF(I121&lt;=16,1,IF(I121&lt;=40,2,IF(I121&lt;=63,3,IF(I121&lt;=80,4,IF(I121&lt;=100,5,6))))),MATCH(H121,'Section Data'!$AH$4:$AK$4,0))),""))</f>
        <v>345</v>
      </c>
      <c r="K121" s="84">
        <f t="shared" si="9"/>
        <v>0.8928053815224023</v>
      </c>
      <c r="L121" s="84">
        <f>IF(TRIM($B121)="","",IFERROR(VLOOKUP($B121,'Section Data'!$B$5:$AC$35,9,FALSE),""))</f>
        <v>4.22</v>
      </c>
      <c r="M121" s="84">
        <f>IF(TRIM($B121)="","",IFERROR(VLOOKUP($B121,'Section Data'!$B$5:$AC$35,10,FALSE),""))</f>
        <v>10.73</v>
      </c>
      <c r="N121" s="84">
        <f t="shared" si="10"/>
        <v>8</v>
      </c>
      <c r="O121" s="84">
        <f t="shared" si="11"/>
        <v>80</v>
      </c>
      <c r="P121" s="84">
        <f>IF(TRIM($B121)="","",IFERROR(VLOOKUP($B121,'Section Data'!$B$5:$AC$35,5,FALSE)*VLOOKUP($B121,'Section Data'!$B$5:$AC$35,3,FALSE),""))</f>
        <v>8107.5</v>
      </c>
      <c r="Q121" s="84">
        <f t="shared" si="12"/>
        <v>1614.8992210719373</v>
      </c>
      <c r="R121" s="84">
        <f>'Steel Beam Design'!B4511</f>
        <v>55.624999999999993</v>
      </c>
      <c r="S121" s="84">
        <f t="shared" si="13"/>
        <v>0</v>
      </c>
      <c r="T121" s="84">
        <f>IF(TRIM($B121)="","",IFERROR(VLOOKUP($B121,'Section Data'!$B$5:$AC$35,20,FALSE),""))</f>
        <v>3643</v>
      </c>
      <c r="U121" s="84">
        <f>IF(TRIM($B121)="","",IFERROR(VLOOKUP($B121,'Section Data'!$B$5:$AC$35,21,FALSE),""))</f>
        <v>1276</v>
      </c>
      <c r="V121" s="84">
        <f>IF(TRIM($B121)="","",IFERROR(VLOOKUP($B121,'Section Data'!$B$5:$AC$35,22,FALSE),""))</f>
        <v>4247</v>
      </c>
      <c r="W121" s="84">
        <f>IF(TRIM($B121)="","",IFERROR(VLOOKUP($B121,'Section Data'!$B$5:$AC$35,23,FALSE),""))</f>
        <v>1951</v>
      </c>
      <c r="X121" s="84">
        <f>IF(TRIM($B121)="","",IFERROR((VLOOKUP($B121,'Section Data'!$B$5:$AC$35,5,FALSE)/10)*(VLOOKUP($B121,'Section Data'!$B$5:$AC$35,3,FALSE)/10)^2/4,""))</f>
        <v>714.47343749999993</v>
      </c>
      <c r="Y121" s="84">
        <f>IF(TRIM($B121)="","",IFERROR((VLOOKUP($B121,'Section Data'!$B$5:$AC$35,3,FALSE)/10)*(VLOOKUP($B121,'Section Data'!$B$5:$AC$35,5,FALSE)/10)^2/4,""))</f>
        <v>46.618124999999992</v>
      </c>
      <c r="Z121" s="84">
        <f t="shared" si="14"/>
        <v>1465.2149999999999</v>
      </c>
      <c r="AA121" s="84">
        <f t="shared" si="15"/>
        <v>528.26400000000001</v>
      </c>
      <c r="AB121" s="86">
        <f t="shared" si="16"/>
        <v>0.11863659940691294</v>
      </c>
      <c r="AC121" s="86">
        <f t="shared" si="17"/>
        <v>6.3601061578038992E-2</v>
      </c>
      <c r="AD121" s="1" t="b">
        <f>AND(ISNUMBER(AB121),ISNUMBER(AC121),AB121&gt;=0,AC121&gt;=0,AB121&lt;=0.95,AC121&lt;=0.95,ISNUMBER(D121),D121&gt;0,'Steel Beam Design'!$A$18="",C121="UC")</f>
        <v>1</v>
      </c>
      <c r="AE121" s="84">
        <f>'Steel Beam Design'!O27</f>
        <v>278.12499999999994</v>
      </c>
    </row>
    <row r="122" spans="1:31">
      <c r="A122" s="1" t="s">
        <v>443</v>
      </c>
      <c r="B122" s="1" t="str">
        <f>'Section Data'!B18</f>
        <v>305x305x198</v>
      </c>
      <c r="C122" s="1" t="s">
        <v>367</v>
      </c>
      <c r="D122" s="84">
        <f>'Section Data'!C18</f>
        <v>198.1</v>
      </c>
      <c r="E122" s="84">
        <f>'Section Data'!Q18</f>
        <v>50900</v>
      </c>
      <c r="F122" s="84">
        <f>'Steel Beam Design'!D7043</f>
        <v>173.82812499999994</v>
      </c>
      <c r="G122" s="84">
        <f>'Steel Beam Design'!D7067</f>
        <v>4083.1881533101036</v>
      </c>
      <c r="H122" s="84" t="str">
        <f>IF(TRIM($B122)="","",IFERROR('Steel Beam Design'!$D$7006,""))</f>
        <v>S355</v>
      </c>
      <c r="I122" s="84">
        <f>IF(TRIM($B122)="","",IFERROR(MAX(VLOOKUP($B122,'Section Data'!$B$5:$AC$35,5,FALSE),VLOOKUP($B122,'Section Data'!$B$5:$AC$35,6,FALSE)),""))</f>
        <v>31.4</v>
      </c>
      <c r="J122" s="84">
        <f>IF(TRIM($B122)="","",IFERROR(IF(I122&gt;150,"",INDEX('Section Data'!$AH$5:$AK$10,IF(I122&lt;=16,1,IF(I122&lt;=40,2,IF(I122&lt;=63,3,IF(I122&lt;=80,4,IF(I122&lt;=100,5,6))))),MATCH(H122,'Section Data'!$AH$4:$AK$4,0))),""))</f>
        <v>345</v>
      </c>
      <c r="K122" s="84">
        <f t="shared" si="9"/>
        <v>0.8928053815224023</v>
      </c>
      <c r="L122" s="84">
        <f>IF(TRIM($B122)="","",IFERROR(VLOOKUP($B122,'Section Data'!$B$5:$AC$35,9,FALSE),""))</f>
        <v>5.01</v>
      </c>
      <c r="M122" s="84">
        <f>IF(TRIM($B122)="","",IFERROR(VLOOKUP($B122,'Section Data'!$B$5:$AC$35,10,FALSE),""))</f>
        <v>12.92</v>
      </c>
      <c r="N122" s="84">
        <f t="shared" si="10"/>
        <v>8</v>
      </c>
      <c r="O122" s="84">
        <f t="shared" si="11"/>
        <v>80</v>
      </c>
      <c r="P122" s="84">
        <f>IF(TRIM($B122)="","",IFERROR(VLOOKUP($B122,'Section Data'!$B$5:$AC$35,5,FALSE)*VLOOKUP($B122,'Section Data'!$B$5:$AC$35,3,FALSE),""))</f>
        <v>6492.09</v>
      </c>
      <c r="Q122" s="84">
        <f t="shared" si="12"/>
        <v>1293.1324186406309</v>
      </c>
      <c r="R122" s="84">
        <f>'Steel Beam Design'!B4511</f>
        <v>55.624999999999993</v>
      </c>
      <c r="S122" s="84">
        <f t="shared" si="13"/>
        <v>0</v>
      </c>
      <c r="T122" s="84">
        <f>IF(TRIM($B122)="","",IFERROR(VLOOKUP($B122,'Section Data'!$B$5:$AC$35,20,FALSE),""))</f>
        <v>2995</v>
      </c>
      <c r="U122" s="84">
        <f>IF(TRIM($B122)="","",IFERROR(VLOOKUP($B122,'Section Data'!$B$5:$AC$35,21,FALSE),""))</f>
        <v>1037</v>
      </c>
      <c r="V122" s="84">
        <f>IF(TRIM($B122)="","",IFERROR(VLOOKUP($B122,'Section Data'!$B$5:$AC$35,22,FALSE),""))</f>
        <v>3440</v>
      </c>
      <c r="W122" s="84">
        <f>IF(TRIM($B122)="","",IFERROR(VLOOKUP($B122,'Section Data'!$B$5:$AC$35,23,FALSE),""))</f>
        <v>1581</v>
      </c>
      <c r="X122" s="84">
        <f>IF(TRIM($B122)="","",IFERROR((VLOOKUP($B122,'Section Data'!$B$5:$AC$35,5,FALSE)/10)*(VLOOKUP($B122,'Section Data'!$B$5:$AC$35,3,FALSE)/10)^2/4,""))</f>
        <v>551.66534774999991</v>
      </c>
      <c r="Y122" s="84">
        <f>IF(TRIM($B122)="","",IFERROR((VLOOKUP($B122,'Section Data'!$B$5:$AC$35,3,FALSE)/10)*(VLOOKUP($B122,'Section Data'!$B$5:$AC$35,5,FALSE)/10)^2/4,""))</f>
        <v>30.999729749999997</v>
      </c>
      <c r="Z122" s="84">
        <f t="shared" si="14"/>
        <v>1186.8</v>
      </c>
      <c r="AA122" s="84">
        <f t="shared" si="15"/>
        <v>429.31799999999993</v>
      </c>
      <c r="AB122" s="86">
        <f t="shared" si="16"/>
        <v>0.14646791793056957</v>
      </c>
      <c r="AC122" s="86">
        <f t="shared" si="17"/>
        <v>8.0219806548332093E-2</v>
      </c>
      <c r="AD122" s="1" t="b">
        <f>AND(ISNUMBER(AB122),ISNUMBER(AC122),AB122&gt;=0,AC122&gt;=0,AB122&lt;=0.95,AC122&lt;=0.95,ISNUMBER(D122),D122&gt;0,'Steel Beam Design'!$A$18="",C122="UC")</f>
        <v>1</v>
      </c>
      <c r="AE122" s="84">
        <f>'Steel Beam Design'!O27</f>
        <v>278.12499999999994</v>
      </c>
    </row>
    <row r="123" spans="1:31">
      <c r="A123" s="1" t="s">
        <v>443</v>
      </c>
      <c r="B123" s="1" t="str">
        <f>'Section Data'!B19</f>
        <v>305x305x158</v>
      </c>
      <c r="C123" s="1" t="s">
        <v>367</v>
      </c>
      <c r="D123" s="84">
        <f>'Section Data'!C19</f>
        <v>158.1</v>
      </c>
      <c r="E123" s="84">
        <f>'Section Data'!Q19</f>
        <v>38750</v>
      </c>
      <c r="F123" s="84">
        <f>'Steel Beam Design'!D7043</f>
        <v>173.82812499999994</v>
      </c>
      <c r="G123" s="84">
        <f>'Steel Beam Design'!D7067</f>
        <v>4083.1881533101036</v>
      </c>
      <c r="H123" s="84" t="str">
        <f>IF(TRIM($B123)="","",IFERROR('Steel Beam Design'!$D$7006,""))</f>
        <v>S355</v>
      </c>
      <c r="I123" s="84">
        <f>IF(TRIM($B123)="","",IFERROR(MAX(VLOOKUP($B123,'Section Data'!$B$5:$AC$35,5,FALSE),VLOOKUP($B123,'Section Data'!$B$5:$AC$35,6,FALSE)),""))</f>
        <v>25</v>
      </c>
      <c r="J123" s="84">
        <f>IF(TRIM($B123)="","",IFERROR(IF(I123&gt;150,"",INDEX('Section Data'!$AH$5:$AK$10,IF(I123&lt;=16,1,IF(I123&lt;=40,2,IF(I123&lt;=63,3,IF(I123&lt;=80,4,IF(I123&lt;=100,5,6))))),MATCH(H123,'Section Data'!$AH$4:$AK$4,0))),""))</f>
        <v>345</v>
      </c>
      <c r="K123" s="84">
        <f t="shared" si="9"/>
        <v>0.8928053815224023</v>
      </c>
      <c r="L123" s="84">
        <f>IF(TRIM($B123)="","",IFERROR(VLOOKUP($B123,'Section Data'!$B$5:$AC$35,9,FALSE),""))</f>
        <v>6.22</v>
      </c>
      <c r="M123" s="84">
        <f>IF(TRIM($B123)="","",IFERROR(VLOOKUP($B123,'Section Data'!$B$5:$AC$35,10,FALSE),""))</f>
        <v>15.61</v>
      </c>
      <c r="N123" s="84">
        <f t="shared" si="10"/>
        <v>8</v>
      </c>
      <c r="O123" s="84">
        <f t="shared" si="11"/>
        <v>80</v>
      </c>
      <c r="P123" s="84">
        <f>IF(TRIM($B123)="","",IFERROR(VLOOKUP($B123,'Section Data'!$B$5:$AC$35,5,FALSE)*VLOOKUP($B123,'Section Data'!$B$5:$AC$35,3,FALSE),""))</f>
        <v>5168.18</v>
      </c>
      <c r="Q123" s="84">
        <f t="shared" si="12"/>
        <v>1029.428289406052</v>
      </c>
      <c r="R123" s="84">
        <f>'Steel Beam Design'!B4511</f>
        <v>55.624999999999993</v>
      </c>
      <c r="S123" s="84">
        <f t="shared" si="13"/>
        <v>0</v>
      </c>
      <c r="T123" s="84">
        <f>IF(TRIM($B123)="","",IFERROR(VLOOKUP($B123,'Section Data'!$B$5:$AC$35,20,FALSE),""))</f>
        <v>2369</v>
      </c>
      <c r="U123" s="84">
        <f>IF(TRIM($B123)="","",IFERROR(VLOOKUP($B123,'Section Data'!$B$5:$AC$35,21,FALSE),""))</f>
        <v>808</v>
      </c>
      <c r="V123" s="84">
        <f>IF(TRIM($B123)="","",IFERROR(VLOOKUP($B123,'Section Data'!$B$5:$AC$35,22,FALSE),""))</f>
        <v>2680</v>
      </c>
      <c r="W123" s="84">
        <f>IF(TRIM($B123)="","",IFERROR(VLOOKUP($B123,'Section Data'!$B$5:$AC$35,23,FALSE),""))</f>
        <v>1230</v>
      </c>
      <c r="X123" s="84">
        <f>IF(TRIM($B123)="","",IFERROR((VLOOKUP($B123,'Section Data'!$B$5:$AC$35,5,FALSE)/10)*(VLOOKUP($B123,'Section Data'!$B$5:$AC$35,3,FALSE)/10)^2/4,""))</f>
        <v>422.62791950000008</v>
      </c>
      <c r="Y123" s="84">
        <f>IF(TRIM($B123)="","",IFERROR((VLOOKUP($B123,'Section Data'!$B$5:$AC$35,3,FALSE)/10)*(VLOOKUP($B123,'Section Data'!$B$5:$AC$35,5,FALSE)/10)^2/4,""))</f>
        <v>20.414311000000005</v>
      </c>
      <c r="Z123" s="84">
        <f t="shared" si="14"/>
        <v>924.6</v>
      </c>
      <c r="AA123" s="84">
        <f t="shared" si="15"/>
        <v>334.51199999999994</v>
      </c>
      <c r="AB123" s="86">
        <f t="shared" si="16"/>
        <v>0.18800359614968629</v>
      </c>
      <c r="AC123" s="86">
        <f t="shared" si="17"/>
        <v>0.10537259750477687</v>
      </c>
      <c r="AD123" s="1" t="b">
        <f>AND(ISNUMBER(AB123),ISNUMBER(AC123),AB123&gt;=0,AC123&gt;=0,AB123&lt;=0.95,AC123&lt;=0.95,ISNUMBER(D123),D123&gt;0,'Steel Beam Design'!$A$18="",C123="UC")</f>
        <v>1</v>
      </c>
      <c r="AE123" s="84">
        <f>'Steel Beam Design'!O27</f>
        <v>278.12499999999994</v>
      </c>
    </row>
    <row r="124" spans="1:31">
      <c r="A124" s="1" t="s">
        <v>443</v>
      </c>
      <c r="B124" s="1" t="str">
        <f>'Section Data'!B20</f>
        <v>305x305x137</v>
      </c>
      <c r="C124" s="1" t="s">
        <v>367</v>
      </c>
      <c r="D124" s="84">
        <f>'Section Data'!C20</f>
        <v>136.9</v>
      </c>
      <c r="E124" s="84">
        <f>'Section Data'!Q20</f>
        <v>32810</v>
      </c>
      <c r="F124" s="84">
        <f>'Steel Beam Design'!D7043</f>
        <v>173.82812499999994</v>
      </c>
      <c r="G124" s="84">
        <f>'Steel Beam Design'!D7067</f>
        <v>4083.1881533101036</v>
      </c>
      <c r="H124" s="84" t="str">
        <f>IF(TRIM($B124)="","",IFERROR('Steel Beam Design'!$D$7006,""))</f>
        <v>S355</v>
      </c>
      <c r="I124" s="84">
        <f>IF(TRIM($B124)="","",IFERROR(MAX(VLOOKUP($B124,'Section Data'!$B$5:$AC$35,5,FALSE),VLOOKUP($B124,'Section Data'!$B$5:$AC$35,6,FALSE)),""))</f>
        <v>21.7</v>
      </c>
      <c r="J124" s="84">
        <f>IF(TRIM($B124)="","",IFERROR(IF(I124&gt;150,"",INDEX('Section Data'!$AH$5:$AK$10,IF(I124&lt;=16,1,IF(I124&lt;=40,2,IF(I124&lt;=63,3,IF(I124&lt;=80,4,IF(I124&lt;=100,5,6))))),MATCH(H124,'Section Data'!$AH$4:$AK$4,0))),""))</f>
        <v>345</v>
      </c>
      <c r="K124" s="84">
        <f t="shared" si="9"/>
        <v>0.8928053815224023</v>
      </c>
      <c r="L124" s="84">
        <f>IF(TRIM($B124)="","",IFERROR(VLOOKUP($B124,'Section Data'!$B$5:$AC$35,9,FALSE),""))</f>
        <v>7.12</v>
      </c>
      <c r="M124" s="84">
        <f>IF(TRIM($B124)="","",IFERROR(VLOOKUP($B124,'Section Data'!$B$5:$AC$35,10,FALSE),""))</f>
        <v>17.88</v>
      </c>
      <c r="N124" s="84">
        <f t="shared" si="10"/>
        <v>8</v>
      </c>
      <c r="O124" s="84">
        <f t="shared" si="11"/>
        <v>80</v>
      </c>
      <c r="P124" s="84">
        <f>IF(TRIM($B124)="","",IFERROR(VLOOKUP($B124,'Section Data'!$B$5:$AC$35,5,FALSE)*VLOOKUP($B124,'Section Data'!$B$5:$AC$35,3,FALSE),""))</f>
        <v>4422.9000000000005</v>
      </c>
      <c r="Q124" s="84">
        <f t="shared" si="12"/>
        <v>880.97906443158479</v>
      </c>
      <c r="R124" s="84">
        <f>'Steel Beam Design'!B4511</f>
        <v>55.624999999999993</v>
      </c>
      <c r="S124" s="84">
        <f t="shared" si="13"/>
        <v>0</v>
      </c>
      <c r="T124" s="84">
        <f>IF(TRIM($B124)="","",IFERROR(VLOOKUP($B124,'Section Data'!$B$5:$AC$35,20,FALSE),""))</f>
        <v>2048</v>
      </c>
      <c r="U124" s="84">
        <f>IF(TRIM($B124)="","",IFERROR(VLOOKUP($B124,'Section Data'!$B$5:$AC$35,21,FALSE),""))</f>
        <v>692</v>
      </c>
      <c r="V124" s="84">
        <f>IF(TRIM($B124)="","",IFERROR(VLOOKUP($B124,'Section Data'!$B$5:$AC$35,22,FALSE),""))</f>
        <v>2297</v>
      </c>
      <c r="W124" s="84">
        <f>IF(TRIM($B124)="","",IFERROR(VLOOKUP($B124,'Section Data'!$B$5:$AC$35,23,FALSE),""))</f>
        <v>1053</v>
      </c>
      <c r="X124" s="84">
        <f>IF(TRIM($B124)="","",IFERROR((VLOOKUP($B124,'Section Data'!$B$5:$AC$35,5,FALSE)/10)*(VLOOKUP($B124,'Section Data'!$B$5:$AC$35,3,FALSE)/10)^2/4,""))</f>
        <v>354.3848625</v>
      </c>
      <c r="Y124" s="84">
        <f>IF(TRIM($B124)="","",IFERROR((VLOOKUP($B124,'Section Data'!$B$5:$AC$35,3,FALSE)/10)*(VLOOKUP($B124,'Section Data'!$B$5:$AC$35,5,FALSE)/10)^2/4,""))</f>
        <v>15.259005000000002</v>
      </c>
      <c r="Z124" s="84">
        <f t="shared" si="14"/>
        <v>792.46500000000003</v>
      </c>
      <c r="AA124" s="84">
        <f t="shared" si="15"/>
        <v>286.488</v>
      </c>
      <c r="AB124" s="86">
        <f t="shared" si="16"/>
        <v>0.21935117008322125</v>
      </c>
      <c r="AC124" s="86">
        <f t="shared" si="17"/>
        <v>0.12444950177720523</v>
      </c>
      <c r="AD124" s="1" t="b">
        <f>AND(ISNUMBER(AB124),ISNUMBER(AC124),AB124&gt;=0,AC124&gt;=0,AB124&lt;=0.95,AC124&lt;=0.95,ISNUMBER(D124),D124&gt;0,'Steel Beam Design'!$A$18="",C124="UC")</f>
        <v>1</v>
      </c>
      <c r="AE124" s="84">
        <f>'Steel Beam Design'!O27</f>
        <v>278.12499999999994</v>
      </c>
    </row>
    <row r="125" spans="1:31">
      <c r="A125" s="1" t="s">
        <v>443</v>
      </c>
      <c r="B125" s="1" t="str">
        <f>'Section Data'!B21</f>
        <v>305x305x118</v>
      </c>
      <c r="C125" s="1" t="s">
        <v>367</v>
      </c>
      <c r="D125" s="84">
        <f>'Section Data'!C21</f>
        <v>117.9</v>
      </c>
      <c r="E125" s="84">
        <f>'Section Data'!Q21</f>
        <v>27670</v>
      </c>
      <c r="F125" s="84">
        <f>'Steel Beam Design'!D7043</f>
        <v>173.82812499999994</v>
      </c>
      <c r="G125" s="84">
        <f>'Steel Beam Design'!D7067</f>
        <v>4083.1881533101036</v>
      </c>
      <c r="H125" s="84" t="str">
        <f>IF(TRIM($B125)="","",IFERROR('Steel Beam Design'!$D$7006,""))</f>
        <v>S355</v>
      </c>
      <c r="I125" s="84">
        <f>IF(TRIM($B125)="","",IFERROR(MAX(VLOOKUP($B125,'Section Data'!$B$5:$AC$35,5,FALSE),VLOOKUP($B125,'Section Data'!$B$5:$AC$35,6,FALSE)),""))</f>
        <v>18.7</v>
      </c>
      <c r="J125" s="84">
        <f>IF(TRIM($B125)="","",IFERROR(IF(I125&gt;150,"",INDEX('Section Data'!$AH$5:$AK$10,IF(I125&lt;=16,1,IF(I125&lt;=40,2,IF(I125&lt;=63,3,IF(I125&lt;=80,4,IF(I125&lt;=100,5,6))))),MATCH(H125,'Section Data'!$AH$4:$AK$4,0))),""))</f>
        <v>345</v>
      </c>
      <c r="K125" s="84">
        <f t="shared" si="9"/>
        <v>0.8928053815224023</v>
      </c>
      <c r="L125" s="84">
        <f>IF(TRIM($B125)="","",IFERROR(VLOOKUP($B125,'Section Data'!$B$5:$AC$35,9,FALSE),""))</f>
        <v>8.2200000000000006</v>
      </c>
      <c r="M125" s="84">
        <f>IF(TRIM($B125)="","",IFERROR(VLOOKUP($B125,'Section Data'!$B$5:$AC$35,10,FALSE),""))</f>
        <v>20.56</v>
      </c>
      <c r="N125" s="84">
        <f t="shared" si="10"/>
        <v>13</v>
      </c>
      <c r="O125" s="84">
        <f t="shared" si="11"/>
        <v>80</v>
      </c>
      <c r="P125" s="84">
        <f>IF(TRIM($B125)="","",IFERROR(VLOOKUP($B125,'Section Data'!$B$5:$AC$35,5,FALSE)*VLOOKUP($B125,'Section Data'!$B$5:$AC$35,3,FALSE),""))</f>
        <v>3774</v>
      </c>
      <c r="Q125" s="84">
        <f t="shared" si="12"/>
        <v>751.72737099296842</v>
      </c>
      <c r="R125" s="84">
        <f>'Steel Beam Design'!B4511</f>
        <v>55.624999999999993</v>
      </c>
      <c r="S125" s="84">
        <f t="shared" si="13"/>
        <v>0</v>
      </c>
      <c r="T125" s="84">
        <f>IF(TRIM($B125)="","",IFERROR(VLOOKUP($B125,'Section Data'!$B$5:$AC$35,20,FALSE),""))</f>
        <v>1760</v>
      </c>
      <c r="U125" s="84">
        <f>IF(TRIM($B125)="","",IFERROR(VLOOKUP($B125,'Section Data'!$B$5:$AC$35,21,FALSE),""))</f>
        <v>589</v>
      </c>
      <c r="V125" s="84">
        <f>IF(TRIM($B125)="","",IFERROR(VLOOKUP($B125,'Section Data'!$B$5:$AC$35,22,FALSE),""))</f>
        <v>1958</v>
      </c>
      <c r="W125" s="84">
        <f>IF(TRIM($B125)="","",IFERROR(VLOOKUP($B125,'Section Data'!$B$5:$AC$35,23,FALSE),""))</f>
        <v>895</v>
      </c>
      <c r="X125" s="84">
        <f>IF(TRIM($B125)="","",IFERROR((VLOOKUP($B125,'Section Data'!$B$5:$AC$35,5,FALSE)/10)*(VLOOKUP($B125,'Section Data'!$B$5:$AC$35,3,FALSE)/10)^2/4,""))</f>
        <v>296.73075</v>
      </c>
      <c r="Y125" s="84">
        <f>IF(TRIM($B125)="","",IFERROR((VLOOKUP($B125,'Section Data'!$B$5:$AC$35,3,FALSE)/10)*(VLOOKUP($B125,'Section Data'!$B$5:$AC$35,5,FALSE)/10)^2/4,""))</f>
        <v>11.321999999999999</v>
      </c>
      <c r="Z125" s="84">
        <f t="shared" si="14"/>
        <v>607.20000000000005</v>
      </c>
      <c r="AA125" s="84">
        <f t="shared" si="15"/>
        <v>203.20500000000001</v>
      </c>
      <c r="AB125" s="86">
        <f t="shared" si="16"/>
        <v>0.28627820322793135</v>
      </c>
      <c r="AC125" s="86">
        <f t="shared" si="17"/>
        <v>0.14756733477810277</v>
      </c>
      <c r="AD125" s="1" t="b">
        <f>AND(ISNUMBER(AB125),ISNUMBER(AC125),AB125&gt;=0,AC125&gt;=0,AB125&lt;=0.95,AC125&lt;=0.95,ISNUMBER(D125),D125&gt;0,'Steel Beam Design'!$A$18="",C125="UC")</f>
        <v>1</v>
      </c>
      <c r="AE125" s="84">
        <f>'Steel Beam Design'!O27</f>
        <v>278.12499999999994</v>
      </c>
    </row>
    <row r="126" spans="1:31">
      <c r="A126" s="1" t="s">
        <v>443</v>
      </c>
      <c r="B126" s="1" t="str">
        <f>'Section Data'!B22</f>
        <v>305x305x97</v>
      </c>
      <c r="C126" s="1" t="s">
        <v>367</v>
      </c>
      <c r="D126" s="84">
        <f>'Section Data'!C22</f>
        <v>96.9</v>
      </c>
      <c r="E126" s="84">
        <f>'Section Data'!Q22</f>
        <v>22250</v>
      </c>
      <c r="F126" s="84">
        <f>'Steel Beam Design'!D7043</f>
        <v>173.82812499999994</v>
      </c>
      <c r="G126" s="84">
        <f>'Steel Beam Design'!D7067</f>
        <v>4083.1881533101036</v>
      </c>
      <c r="H126" s="84" t="str">
        <f>IF(TRIM($B126)="","",IFERROR('Steel Beam Design'!$D$7006,""))</f>
        <v>S355</v>
      </c>
      <c r="I126" s="84">
        <f>IF(TRIM($B126)="","",IFERROR(MAX(VLOOKUP($B126,'Section Data'!$B$5:$AC$35,5,FALSE),VLOOKUP($B126,'Section Data'!$B$5:$AC$35,6,FALSE)),""))</f>
        <v>15.4</v>
      </c>
      <c r="J126" s="84">
        <f>IF(TRIM($B126)="","",IFERROR(IF(I126&gt;150,"",INDEX('Section Data'!$AH$5:$AK$10,IF(I126&lt;=16,1,IF(I126&lt;=40,2,IF(I126&lt;=63,3,IF(I126&lt;=80,4,IF(I126&lt;=100,5,6))))),MATCH(H126,'Section Data'!$AH$4:$AK$4,0))),""))</f>
        <v>355</v>
      </c>
      <c r="K126" s="84">
        <f t="shared" si="9"/>
        <v>0.88014083380101371</v>
      </c>
      <c r="L126" s="84">
        <f>IF(TRIM($B126)="","",IFERROR(VLOOKUP($B126,'Section Data'!$B$5:$AC$35,9,FALSE),""))</f>
        <v>9.91</v>
      </c>
      <c r="M126" s="84">
        <f>IF(TRIM($B126)="","",IFERROR(VLOOKUP($B126,'Section Data'!$B$5:$AC$35,10,FALSE),""))</f>
        <v>24.92</v>
      </c>
      <c r="N126" s="84">
        <f t="shared" si="10"/>
        <v>13</v>
      </c>
      <c r="O126" s="84">
        <f t="shared" si="11"/>
        <v>80</v>
      </c>
      <c r="P126" s="84">
        <f>IF(TRIM($B126)="","",IFERROR(VLOOKUP($B126,'Section Data'!$B$5:$AC$35,5,FALSE)*VLOOKUP($B126,'Section Data'!$B$5:$AC$35,3,FALSE),""))</f>
        <v>3048.21</v>
      </c>
      <c r="Q126" s="84">
        <f t="shared" si="12"/>
        <v>624.75912673651078</v>
      </c>
      <c r="R126" s="84">
        <f>'Steel Beam Design'!B4511</f>
        <v>55.624999999999993</v>
      </c>
      <c r="S126" s="84">
        <f t="shared" si="13"/>
        <v>0</v>
      </c>
      <c r="T126" s="84">
        <f>IF(TRIM($B126)="","",IFERROR(VLOOKUP($B126,'Section Data'!$B$5:$AC$35,20,FALSE),""))</f>
        <v>1445</v>
      </c>
      <c r="U126" s="84">
        <f>IF(TRIM($B126)="","",IFERROR(VLOOKUP($B126,'Section Data'!$B$5:$AC$35,21,FALSE),""))</f>
        <v>479</v>
      </c>
      <c r="V126" s="84">
        <f>IF(TRIM($B126)="","",IFERROR(VLOOKUP($B126,'Section Data'!$B$5:$AC$35,22,FALSE),""))</f>
        <v>1592</v>
      </c>
      <c r="W126" s="84">
        <f>IF(TRIM($B126)="","",IFERROR(VLOOKUP($B126,'Section Data'!$B$5:$AC$35,23,FALSE),""))</f>
        <v>726</v>
      </c>
      <c r="X126" s="84">
        <f>IF(TRIM($B126)="","",IFERROR((VLOOKUP($B126,'Section Data'!$B$5:$AC$35,5,FALSE)/10)*(VLOOKUP($B126,'Section Data'!$B$5:$AC$35,3,FALSE)/10)^2/4,""))</f>
        <v>234.63596475</v>
      </c>
      <c r="Y126" s="84">
        <f>IF(TRIM($B126)="","",IFERROR((VLOOKUP($B126,'Section Data'!$B$5:$AC$35,3,FALSE)/10)*(VLOOKUP($B126,'Section Data'!$B$5:$AC$35,5,FALSE)/10)^2/4,""))</f>
        <v>7.5443197499999997</v>
      </c>
      <c r="Z126" s="84">
        <f t="shared" si="14"/>
        <v>512.97500000000002</v>
      </c>
      <c r="AA126" s="84">
        <f t="shared" si="15"/>
        <v>170.04499999999999</v>
      </c>
      <c r="AB126" s="86">
        <f t="shared" si="16"/>
        <v>0.33886276134314525</v>
      </c>
      <c r="AC126" s="86">
        <f t="shared" si="17"/>
        <v>0.18351407430607208</v>
      </c>
      <c r="AD126" s="1" t="b">
        <f>AND(ISNUMBER(AB126),ISNUMBER(AC126),AB126&gt;=0,AC126&gt;=0,AB126&lt;=0.95,AC126&lt;=0.95,ISNUMBER(D126),D126&gt;0,'Steel Beam Design'!$A$18="",C126="UC")</f>
        <v>1</v>
      </c>
      <c r="AE126" s="84">
        <f>'Steel Beam Design'!O27</f>
        <v>278.12499999999994</v>
      </c>
    </row>
    <row r="127" spans="1:31">
      <c r="A127" s="1" t="s">
        <v>443</v>
      </c>
      <c r="B127" s="1" t="str">
        <f>'Section Data'!B23</f>
        <v>254x254x167</v>
      </c>
      <c r="C127" s="1" t="s">
        <v>367</v>
      </c>
      <c r="D127" s="84">
        <f>'Section Data'!C23</f>
        <v>167.1</v>
      </c>
      <c r="E127" s="84">
        <f>'Section Data'!Q23</f>
        <v>30000</v>
      </c>
      <c r="F127" s="84">
        <f>'Steel Beam Design'!D7043</f>
        <v>173.82812499999994</v>
      </c>
      <c r="G127" s="84">
        <f>'Steel Beam Design'!D7067</f>
        <v>4083.1881533101036</v>
      </c>
      <c r="H127" s="84" t="str">
        <f>IF(TRIM($B127)="","",IFERROR('Steel Beam Design'!$D$7006,""))</f>
        <v>S355</v>
      </c>
      <c r="I127" s="84">
        <f>IF(TRIM($B127)="","",IFERROR(MAX(VLOOKUP($B127,'Section Data'!$B$5:$AC$35,5,FALSE),VLOOKUP($B127,'Section Data'!$B$5:$AC$35,6,FALSE)),""))</f>
        <v>31.7</v>
      </c>
      <c r="J127" s="84">
        <f>IF(TRIM($B127)="","",IFERROR(IF(I127&gt;150,"",INDEX('Section Data'!$AH$5:$AK$10,IF(I127&lt;=16,1,IF(I127&lt;=40,2,IF(I127&lt;=63,3,IF(I127&lt;=80,4,IF(I127&lt;=100,5,6))))),MATCH(H127,'Section Data'!$AH$4:$AK$4,0))),""))</f>
        <v>345</v>
      </c>
      <c r="K127" s="84">
        <f t="shared" si="9"/>
        <v>0.8928053815224023</v>
      </c>
      <c r="L127" s="84">
        <f>IF(TRIM($B127)="","",IFERROR(VLOOKUP($B127,'Section Data'!$B$5:$AC$35,9,FALSE),""))</f>
        <v>4.18</v>
      </c>
      <c r="M127" s="84">
        <f>IF(TRIM($B127)="","",IFERROR(VLOOKUP($B127,'Section Data'!$B$5:$AC$35,10,FALSE),""))</f>
        <v>10.43</v>
      </c>
      <c r="N127" s="84">
        <f t="shared" si="10"/>
        <v>8</v>
      </c>
      <c r="O127" s="84">
        <f t="shared" si="11"/>
        <v>80</v>
      </c>
      <c r="P127" s="84">
        <f>IF(TRIM($B127)="","",IFERROR(VLOOKUP($B127,'Section Data'!$B$5:$AC$35,5,FALSE)*VLOOKUP($B127,'Section Data'!$B$5:$AC$35,3,FALSE),""))</f>
        <v>5550.72</v>
      </c>
      <c r="Q127" s="84">
        <f t="shared" si="12"/>
        <v>1105.6248417377028</v>
      </c>
      <c r="R127" s="84">
        <f>'Steel Beam Design'!B4511</f>
        <v>55.624999999999993</v>
      </c>
      <c r="S127" s="84">
        <f t="shared" si="13"/>
        <v>0</v>
      </c>
      <c r="T127" s="84">
        <f>IF(TRIM($B127)="","",IFERROR(VLOOKUP($B127,'Section Data'!$B$5:$AC$35,20,FALSE),""))</f>
        <v>2075</v>
      </c>
      <c r="U127" s="84">
        <f>IF(TRIM($B127)="","",IFERROR(VLOOKUP($B127,'Section Data'!$B$5:$AC$35,21,FALSE),""))</f>
        <v>744</v>
      </c>
      <c r="V127" s="84">
        <f>IF(TRIM($B127)="","",IFERROR(VLOOKUP($B127,'Section Data'!$B$5:$AC$35,22,FALSE),""))</f>
        <v>2424</v>
      </c>
      <c r="W127" s="84">
        <f>IF(TRIM($B127)="","",IFERROR(VLOOKUP($B127,'Section Data'!$B$5:$AC$35,23,FALSE),""))</f>
        <v>1137</v>
      </c>
      <c r="X127" s="84">
        <f>IF(TRIM($B127)="","",IFERROR((VLOOKUP($B127,'Section Data'!$B$5:$AC$35,5,FALSE)/10)*(VLOOKUP($B127,'Section Data'!$B$5:$AC$35,3,FALSE)/10)^2/4,""))</f>
        <v>401.17828800000007</v>
      </c>
      <c r="Y127" s="84">
        <f>IF(TRIM($B127)="","",IFERROR((VLOOKUP($B127,'Section Data'!$B$5:$AC$35,3,FALSE)/10)*(VLOOKUP($B127,'Section Data'!$B$5:$AC$35,5,FALSE)/10)^2/4,""))</f>
        <v>26.643456000000004</v>
      </c>
      <c r="Z127" s="84">
        <f t="shared" si="14"/>
        <v>836.28</v>
      </c>
      <c r="AA127" s="84">
        <f t="shared" si="15"/>
        <v>308.01600000000002</v>
      </c>
      <c r="AB127" s="86">
        <f t="shared" si="16"/>
        <v>0.20785876141962017</v>
      </c>
      <c r="AC127" s="86">
        <f t="shared" si="17"/>
        <v>0.13610627177700346</v>
      </c>
      <c r="AD127" s="1" t="b">
        <f>AND(ISNUMBER(AB127),ISNUMBER(AC127),AB127&gt;=0,AC127&gt;=0,AB127&lt;=0.95,AC127&lt;=0.95,ISNUMBER(D127),D127&gt;0,'Steel Beam Design'!$A$18="",C127="UC")</f>
        <v>1</v>
      </c>
      <c r="AE127" s="84">
        <f>'Steel Beam Design'!O27</f>
        <v>278.12499999999994</v>
      </c>
    </row>
    <row r="128" spans="1:31">
      <c r="A128" s="1" t="s">
        <v>443</v>
      </c>
      <c r="B128" s="1" t="str">
        <f>'Section Data'!B24</f>
        <v>254x254x132</v>
      </c>
      <c r="C128" s="1" t="s">
        <v>367</v>
      </c>
      <c r="D128" s="84">
        <f>'Section Data'!C24</f>
        <v>132</v>
      </c>
      <c r="E128" s="84">
        <f>'Section Data'!Q24</f>
        <v>22530</v>
      </c>
      <c r="F128" s="84">
        <f>'Steel Beam Design'!D7043</f>
        <v>173.82812499999994</v>
      </c>
      <c r="G128" s="84">
        <f>'Steel Beam Design'!D7067</f>
        <v>4083.1881533101036</v>
      </c>
      <c r="H128" s="84" t="str">
        <f>IF(TRIM($B128)="","",IFERROR('Steel Beam Design'!$D$7006,""))</f>
        <v>S355</v>
      </c>
      <c r="I128" s="84">
        <f>IF(TRIM($B128)="","",IFERROR(MAX(VLOOKUP($B128,'Section Data'!$B$5:$AC$35,5,FALSE),VLOOKUP($B128,'Section Data'!$B$5:$AC$35,6,FALSE)),""))</f>
        <v>25.3</v>
      </c>
      <c r="J128" s="84">
        <f>IF(TRIM($B128)="","",IFERROR(IF(I128&gt;150,"",INDEX('Section Data'!$AH$5:$AK$10,IF(I128&lt;=16,1,IF(I128&lt;=40,2,IF(I128&lt;=63,3,IF(I128&lt;=80,4,IF(I128&lt;=100,5,6))))),MATCH(H128,'Section Data'!$AH$4:$AK$4,0))),""))</f>
        <v>345</v>
      </c>
      <c r="K128" s="84">
        <f t="shared" si="9"/>
        <v>0.8928053815224023</v>
      </c>
      <c r="L128" s="84">
        <f>IF(TRIM($B128)="","",IFERROR(VLOOKUP($B128,'Section Data'!$B$5:$AC$35,9,FALSE),""))</f>
        <v>5.16</v>
      </c>
      <c r="M128" s="84">
        <f>IF(TRIM($B128)="","",IFERROR(VLOOKUP($B128,'Section Data'!$B$5:$AC$35,10,FALSE),""))</f>
        <v>13.09</v>
      </c>
      <c r="N128" s="84">
        <f t="shared" si="10"/>
        <v>8</v>
      </c>
      <c r="O128" s="84">
        <f t="shared" si="11"/>
        <v>80</v>
      </c>
      <c r="P128" s="84">
        <f>IF(TRIM($B128)="","",IFERROR(VLOOKUP($B128,'Section Data'!$B$5:$AC$35,5,FALSE)*VLOOKUP($B128,'Section Data'!$B$5:$AC$35,3,FALSE),""))</f>
        <v>4227.3900000000003</v>
      </c>
      <c r="Q128" s="84">
        <f t="shared" si="12"/>
        <v>842.03624029198863</v>
      </c>
      <c r="R128" s="84">
        <f>'Steel Beam Design'!B4511</f>
        <v>55.624999999999993</v>
      </c>
      <c r="S128" s="84">
        <f t="shared" si="13"/>
        <v>0</v>
      </c>
      <c r="T128" s="84">
        <f>IF(TRIM($B128)="","",IFERROR(VLOOKUP($B128,'Section Data'!$B$5:$AC$35,20,FALSE),""))</f>
        <v>1631</v>
      </c>
      <c r="U128" s="84">
        <f>IF(TRIM($B128)="","",IFERROR(VLOOKUP($B128,'Section Data'!$B$5:$AC$35,21,FALSE),""))</f>
        <v>576</v>
      </c>
      <c r="V128" s="84">
        <f>IF(TRIM($B128)="","",IFERROR(VLOOKUP($B128,'Section Data'!$B$5:$AC$35,22,FALSE),""))</f>
        <v>1869</v>
      </c>
      <c r="W128" s="84">
        <f>IF(TRIM($B128)="","",IFERROR(VLOOKUP($B128,'Section Data'!$B$5:$AC$35,23,FALSE),""))</f>
        <v>878</v>
      </c>
      <c r="X128" s="84">
        <f>IF(TRIM($B128)="","",IFERROR((VLOOKUP($B128,'Section Data'!$B$5:$AC$35,5,FALSE)/10)*(VLOOKUP($B128,'Section Data'!$B$5:$AC$35,3,FALSE)/10)^2/4,""))</f>
        <v>292.00696425000007</v>
      </c>
      <c r="Y128" s="84">
        <f>IF(TRIM($B128)="","",IFERROR((VLOOKUP($B128,'Section Data'!$B$5:$AC$35,3,FALSE)/10)*(VLOOKUP($B128,'Section Data'!$B$5:$AC$35,5,FALSE)/10)^2/4,""))</f>
        <v>16.169766750000001</v>
      </c>
      <c r="Z128" s="84">
        <f t="shared" si="14"/>
        <v>644.80499999999995</v>
      </c>
      <c r="AA128" s="84">
        <f t="shared" si="15"/>
        <v>238.46399999999997</v>
      </c>
      <c r="AB128" s="86">
        <f t="shared" si="16"/>
        <v>0.26958247066942714</v>
      </c>
      <c r="AC128" s="86">
        <f t="shared" si="17"/>
        <v>0.18123338452330687</v>
      </c>
      <c r="AD128" s="1" t="b">
        <f>AND(ISNUMBER(AB128),ISNUMBER(AC128),AB128&gt;=0,AC128&gt;=0,AB128&lt;=0.95,AC128&lt;=0.95,ISNUMBER(D128),D128&gt;0,'Steel Beam Design'!$A$18="",C128="UC")</f>
        <v>1</v>
      </c>
      <c r="AE128" s="84">
        <f>'Steel Beam Design'!O27</f>
        <v>278.12499999999994</v>
      </c>
    </row>
    <row r="129" spans="1:31">
      <c r="A129" s="1" t="s">
        <v>443</v>
      </c>
      <c r="B129" s="1" t="str">
        <f>'Section Data'!B25</f>
        <v>254x254x107</v>
      </c>
      <c r="C129" s="1" t="s">
        <v>367</v>
      </c>
      <c r="D129" s="84">
        <f>'Section Data'!C25</f>
        <v>107.1</v>
      </c>
      <c r="E129" s="84">
        <f>'Section Data'!Q25</f>
        <v>17510</v>
      </c>
      <c r="F129" s="84">
        <f>'Steel Beam Design'!D7043</f>
        <v>173.82812499999994</v>
      </c>
      <c r="G129" s="84">
        <f>'Steel Beam Design'!D7067</f>
        <v>4083.1881533101036</v>
      </c>
      <c r="H129" s="84" t="str">
        <f>IF(TRIM($B129)="","",IFERROR('Steel Beam Design'!$D$7006,""))</f>
        <v>S355</v>
      </c>
      <c r="I129" s="84">
        <f>IF(TRIM($B129)="","",IFERROR(MAX(VLOOKUP($B129,'Section Data'!$B$5:$AC$35,5,FALSE),VLOOKUP($B129,'Section Data'!$B$5:$AC$35,6,FALSE)),""))</f>
        <v>20.5</v>
      </c>
      <c r="J129" s="84">
        <f>IF(TRIM($B129)="","",IFERROR(IF(I129&gt;150,"",INDEX('Section Data'!$AH$5:$AK$10,IF(I129&lt;=16,1,IF(I129&lt;=40,2,IF(I129&lt;=63,3,IF(I129&lt;=80,4,IF(I129&lt;=100,5,6))))),MATCH(H129,'Section Data'!$AH$4:$AK$4,0))),""))</f>
        <v>345</v>
      </c>
      <c r="K129" s="84">
        <f t="shared" si="9"/>
        <v>0.8928053815224023</v>
      </c>
      <c r="L129" s="84">
        <f>IF(TRIM($B129)="","",IFERROR(VLOOKUP($B129,'Section Data'!$B$5:$AC$35,9,FALSE),""))</f>
        <v>6.31</v>
      </c>
      <c r="M129" s="84">
        <f>IF(TRIM($B129)="","",IFERROR(VLOOKUP($B129,'Section Data'!$B$5:$AC$35,10,FALSE),""))</f>
        <v>15.65</v>
      </c>
      <c r="N129" s="84">
        <f t="shared" si="10"/>
        <v>8</v>
      </c>
      <c r="O129" s="84">
        <f t="shared" si="11"/>
        <v>80</v>
      </c>
      <c r="P129" s="84">
        <f>IF(TRIM($B129)="","",IFERROR(VLOOKUP($B129,'Section Data'!$B$5:$AC$35,5,FALSE)*VLOOKUP($B129,'Section Data'!$B$5:$AC$35,3,FALSE),""))</f>
        <v>3413.76</v>
      </c>
      <c r="Q129" s="84">
        <f t="shared" si="12"/>
        <v>679.97266295732811</v>
      </c>
      <c r="R129" s="84">
        <f>'Steel Beam Design'!B4511</f>
        <v>55.624999999999993</v>
      </c>
      <c r="S129" s="84">
        <f t="shared" si="13"/>
        <v>0</v>
      </c>
      <c r="T129" s="84">
        <f>IF(TRIM($B129)="","",IFERROR(VLOOKUP($B129,'Section Data'!$B$5:$AC$35,20,FALSE),""))</f>
        <v>1313</v>
      </c>
      <c r="U129" s="84">
        <f>IF(TRIM($B129)="","",IFERROR(VLOOKUP($B129,'Section Data'!$B$5:$AC$35,21,FALSE),""))</f>
        <v>458</v>
      </c>
      <c r="V129" s="84">
        <f>IF(TRIM($B129)="","",IFERROR(VLOOKUP($B129,'Section Data'!$B$5:$AC$35,22,FALSE),""))</f>
        <v>1484</v>
      </c>
      <c r="W129" s="84">
        <f>IF(TRIM($B129)="","",IFERROR(VLOOKUP($B129,'Section Data'!$B$5:$AC$35,23,FALSE),""))</f>
        <v>697</v>
      </c>
      <c r="X129" s="84">
        <f>IF(TRIM($B129)="","",IFERROR((VLOOKUP($B129,'Section Data'!$B$5:$AC$35,5,FALSE)/10)*(VLOOKUP($B129,'Section Data'!$B$5:$AC$35,3,FALSE)/10)^2/4,""))</f>
        <v>227.61244799999997</v>
      </c>
      <c r="Y129" s="84">
        <f>IF(TRIM($B129)="","",IFERROR((VLOOKUP($B129,'Section Data'!$B$5:$AC$35,3,FALSE)/10)*(VLOOKUP($B129,'Section Data'!$B$5:$AC$35,5,FALSE)/10)^2/4,""))</f>
        <v>10.924032</v>
      </c>
      <c r="Z129" s="84">
        <f t="shared" si="14"/>
        <v>511.98</v>
      </c>
      <c r="AA129" s="84">
        <f t="shared" si="15"/>
        <v>189.61199999999999</v>
      </c>
      <c r="AB129" s="86">
        <f t="shared" si="16"/>
        <v>0.33952131919215583</v>
      </c>
      <c r="AC129" s="86">
        <f t="shared" si="17"/>
        <v>0.23319178488350106</v>
      </c>
      <c r="AD129" s="1" t="b">
        <f>AND(ISNUMBER(AB129),ISNUMBER(AC129),AB129&gt;=0,AC129&gt;=0,AB129&lt;=0.95,AC129&lt;=0.95,ISNUMBER(D129),D129&gt;0,'Steel Beam Design'!$A$18="",C129="UC")</f>
        <v>1</v>
      </c>
      <c r="AE129" s="84">
        <f>'Steel Beam Design'!O27</f>
        <v>278.12499999999994</v>
      </c>
    </row>
    <row r="130" spans="1:31">
      <c r="A130" s="1" t="s">
        <v>443</v>
      </c>
      <c r="B130" s="1" t="str">
        <f>'Section Data'!B26</f>
        <v>254x254x89</v>
      </c>
      <c r="C130" s="1" t="s">
        <v>367</v>
      </c>
      <c r="D130" s="84">
        <f>'Section Data'!C26</f>
        <v>88.9</v>
      </c>
      <c r="E130" s="84">
        <f>'Section Data'!Q26</f>
        <v>14270</v>
      </c>
      <c r="F130" s="84">
        <f>'Steel Beam Design'!D7043</f>
        <v>173.82812499999994</v>
      </c>
      <c r="G130" s="84">
        <f>'Steel Beam Design'!D7067</f>
        <v>4083.1881533101036</v>
      </c>
      <c r="H130" s="84" t="str">
        <f>IF(TRIM($B130)="","",IFERROR('Steel Beam Design'!$D$7006,""))</f>
        <v>S355</v>
      </c>
      <c r="I130" s="84">
        <f>IF(TRIM($B130)="","",IFERROR(MAX(VLOOKUP($B130,'Section Data'!$B$5:$AC$35,5,FALSE),VLOOKUP($B130,'Section Data'!$B$5:$AC$35,6,FALSE)),""))</f>
        <v>17.3</v>
      </c>
      <c r="J130" s="84">
        <f>IF(TRIM($B130)="","",IFERROR(IF(I130&gt;150,"",INDEX('Section Data'!$AH$5:$AK$10,IF(I130&lt;=16,1,IF(I130&lt;=40,2,IF(I130&lt;=63,3,IF(I130&lt;=80,4,IF(I130&lt;=100,5,6))))),MATCH(H130,'Section Data'!$AH$4:$AK$4,0))),""))</f>
        <v>345</v>
      </c>
      <c r="K130" s="84">
        <f t="shared" si="9"/>
        <v>0.8928053815224023</v>
      </c>
      <c r="L130" s="84">
        <f>IF(TRIM($B130)="","",IFERROR(VLOOKUP($B130,'Section Data'!$B$5:$AC$35,9,FALSE),""))</f>
        <v>7.41</v>
      </c>
      <c r="M130" s="84">
        <f>IF(TRIM($B130)="","",IFERROR(VLOOKUP($B130,'Section Data'!$B$5:$AC$35,10,FALSE),""))</f>
        <v>19.45</v>
      </c>
      <c r="N130" s="84">
        <f t="shared" si="10"/>
        <v>9</v>
      </c>
      <c r="O130" s="84">
        <f t="shared" si="11"/>
        <v>80</v>
      </c>
      <c r="P130" s="84">
        <f>IF(TRIM($B130)="","",IFERROR(VLOOKUP($B130,'Section Data'!$B$5:$AC$35,5,FALSE)*VLOOKUP($B130,'Section Data'!$B$5:$AC$35,3,FALSE),""))</f>
        <v>2681.09</v>
      </c>
      <c r="Q130" s="84">
        <f t="shared" si="12"/>
        <v>534.0351714614568</v>
      </c>
      <c r="R130" s="84">
        <f>'Steel Beam Design'!B4511</f>
        <v>55.624999999999993</v>
      </c>
      <c r="S130" s="84">
        <f t="shared" si="13"/>
        <v>0</v>
      </c>
      <c r="T130" s="84">
        <f>IF(TRIM($B130)="","",IFERROR(VLOOKUP($B130,'Section Data'!$B$5:$AC$35,20,FALSE),""))</f>
        <v>1096</v>
      </c>
      <c r="U130" s="84">
        <f>IF(TRIM($B130)="","",IFERROR(VLOOKUP($B130,'Section Data'!$B$5:$AC$35,21,FALSE),""))</f>
        <v>379</v>
      </c>
      <c r="V130" s="84">
        <f>IF(TRIM($B130)="","",IFERROR(VLOOKUP($B130,'Section Data'!$B$5:$AC$35,22,FALSE),""))</f>
        <v>1224</v>
      </c>
      <c r="W130" s="84">
        <f>IF(TRIM($B130)="","",IFERROR(VLOOKUP($B130,'Section Data'!$B$5:$AC$35,23,FALSE),""))</f>
        <v>575</v>
      </c>
      <c r="X130" s="84">
        <f>IF(TRIM($B130)="","",IFERROR((VLOOKUP($B130,'Section Data'!$B$5:$AC$35,5,FALSE)/10)*(VLOOKUP($B130,'Section Data'!$B$5:$AC$35,3,FALSE)/10)^2/4,""))</f>
        <v>174.47193175000001</v>
      </c>
      <c r="Y130" s="84">
        <f>IF(TRIM($B130)="","",IFERROR((VLOOKUP($B130,'Section Data'!$B$5:$AC$35,3,FALSE)/10)*(VLOOKUP($B130,'Section Data'!$B$5:$AC$35,5,FALSE)/10)^2/4,""))</f>
        <v>6.9038067500000002</v>
      </c>
      <c r="Z130" s="84">
        <f t="shared" si="14"/>
        <v>422.28</v>
      </c>
      <c r="AA130" s="84">
        <f t="shared" si="15"/>
        <v>156.90600000000001</v>
      </c>
      <c r="AB130" s="86">
        <f t="shared" si="16"/>
        <v>0.41164186085062032</v>
      </c>
      <c r="AC130" s="86">
        <f t="shared" si="17"/>
        <v>0.2861379224463983</v>
      </c>
      <c r="AD130" s="1" t="b">
        <f>AND(ISNUMBER(AB130),ISNUMBER(AC130),AB130&gt;=0,AC130&gt;=0,AB130&lt;=0.95,AC130&lt;=0.95,ISNUMBER(D130),D130&gt;0,'Steel Beam Design'!$A$18="",C130="UC")</f>
        <v>1</v>
      </c>
      <c r="AE130" s="84">
        <f>'Steel Beam Design'!O27</f>
        <v>278.12499999999994</v>
      </c>
    </row>
    <row r="131" spans="1:31">
      <c r="A131" s="1" t="s">
        <v>443</v>
      </c>
      <c r="B131" s="1" t="str">
        <f>'Section Data'!B27</f>
        <v>254x254x73</v>
      </c>
      <c r="C131" s="1" t="s">
        <v>367</v>
      </c>
      <c r="D131" s="84">
        <f>'Section Data'!C27</f>
        <v>73.099999999999994</v>
      </c>
      <c r="E131" s="84">
        <f>'Section Data'!Q27</f>
        <v>11410</v>
      </c>
      <c r="F131" s="84">
        <f>'Steel Beam Design'!D7043</f>
        <v>173.82812499999994</v>
      </c>
      <c r="G131" s="84">
        <f>'Steel Beam Design'!D7067</f>
        <v>4083.1881533101036</v>
      </c>
      <c r="H131" s="84" t="str">
        <f>IF(TRIM($B131)="","",IFERROR('Steel Beam Design'!$D$7006,""))</f>
        <v>S355</v>
      </c>
      <c r="I131" s="84">
        <f>IF(TRIM($B131)="","",IFERROR(MAX(VLOOKUP($B131,'Section Data'!$B$5:$AC$35,5,FALSE),VLOOKUP($B131,'Section Data'!$B$5:$AC$35,6,FALSE)),""))</f>
        <v>14.2</v>
      </c>
      <c r="J131" s="84">
        <f>IF(TRIM($B131)="","",IFERROR(IF(I131&gt;150,"",INDEX('Section Data'!$AH$5:$AK$10,IF(I131&lt;=16,1,IF(I131&lt;=40,2,IF(I131&lt;=63,3,IF(I131&lt;=80,4,IF(I131&lt;=100,5,6))))),MATCH(H131,'Section Data'!$AH$4:$AK$4,0))),""))</f>
        <v>355</v>
      </c>
      <c r="K131" s="84">
        <f t="shared" si="9"/>
        <v>0.88014083380101371</v>
      </c>
      <c r="L131" s="84">
        <f>IF(TRIM($B131)="","",IFERROR(VLOOKUP($B131,'Section Data'!$B$5:$AC$35,9,FALSE),""))</f>
        <v>8.9600000000000009</v>
      </c>
      <c r="M131" s="84">
        <f>IF(TRIM($B131)="","",IFERROR(VLOOKUP($B131,'Section Data'!$B$5:$AC$35,10,FALSE),""))</f>
        <v>23.29</v>
      </c>
      <c r="N131" s="84">
        <f t="shared" si="10"/>
        <v>13</v>
      </c>
      <c r="O131" s="84">
        <f t="shared" si="11"/>
        <v>80</v>
      </c>
      <c r="P131" s="84">
        <f>IF(TRIM($B131)="","",IFERROR(VLOOKUP($B131,'Section Data'!$B$5:$AC$35,5,FALSE)*VLOOKUP($B131,'Section Data'!$B$5:$AC$35,3,FALSE),""))</f>
        <v>2185.2599999999998</v>
      </c>
      <c r="Q131" s="84">
        <f t="shared" si="12"/>
        <v>447.88945948350914</v>
      </c>
      <c r="R131" s="84">
        <f>'Steel Beam Design'!B4511</f>
        <v>55.624999999999993</v>
      </c>
      <c r="S131" s="84">
        <f t="shared" si="13"/>
        <v>0</v>
      </c>
      <c r="T131" s="84">
        <f>IF(TRIM($B131)="","",IFERROR(VLOOKUP($B131,'Section Data'!$B$5:$AC$35,20,FALSE),""))</f>
        <v>898</v>
      </c>
      <c r="U131" s="84">
        <f>IF(TRIM($B131)="","",IFERROR(VLOOKUP($B131,'Section Data'!$B$5:$AC$35,21,FALSE),""))</f>
        <v>307</v>
      </c>
      <c r="V131" s="84">
        <f>IF(TRIM($B131)="","",IFERROR(VLOOKUP($B131,'Section Data'!$B$5:$AC$35,22,FALSE),""))</f>
        <v>992</v>
      </c>
      <c r="W131" s="84">
        <f>IF(TRIM($B131)="","",IFERROR(VLOOKUP($B131,'Section Data'!$B$5:$AC$35,23,FALSE),""))</f>
        <v>465</v>
      </c>
      <c r="X131" s="84">
        <f>IF(TRIM($B131)="","",IFERROR((VLOOKUP($B131,'Section Data'!$B$5:$AC$35,5,FALSE)/10)*(VLOOKUP($B131,'Section Data'!$B$5:$AC$35,3,FALSE)/10)^2/4,""))</f>
        <v>138.81864149999998</v>
      </c>
      <c r="Y131" s="84">
        <f>IF(TRIM($B131)="","",IFERROR((VLOOKUP($B131,'Section Data'!$B$5:$AC$35,3,FALSE)/10)*(VLOOKUP($B131,'Section Data'!$B$5:$AC$35,5,FALSE)/10)^2/4,""))</f>
        <v>4.6983089999999992</v>
      </c>
      <c r="Z131" s="84">
        <f t="shared" si="14"/>
        <v>318.79000000000002</v>
      </c>
      <c r="AA131" s="84">
        <f t="shared" si="15"/>
        <v>108.985</v>
      </c>
      <c r="AB131" s="86">
        <f t="shared" si="16"/>
        <v>0.54527471062454891</v>
      </c>
      <c r="AC131" s="86">
        <f t="shared" si="17"/>
        <v>0.35786048670553056</v>
      </c>
      <c r="AD131" s="1" t="b">
        <f>AND(ISNUMBER(AB131),ISNUMBER(AC131),AB131&gt;=0,AC131&gt;=0,AB131&lt;=0.95,AC131&lt;=0.95,ISNUMBER(D131),D131&gt;0,'Steel Beam Design'!$A$18="",C131="UC")</f>
        <v>1</v>
      </c>
      <c r="AE131" s="84">
        <f>'Steel Beam Design'!O27</f>
        <v>278.12499999999994</v>
      </c>
    </row>
    <row r="132" spans="1:31">
      <c r="A132" s="1" t="s">
        <v>443</v>
      </c>
      <c r="B132" s="1" t="str">
        <f>'Section Data'!B28</f>
        <v>203x203x86</v>
      </c>
      <c r="C132" s="1" t="s">
        <v>367</v>
      </c>
      <c r="D132" s="84">
        <f>'Section Data'!C28</f>
        <v>86.1</v>
      </c>
      <c r="E132" s="84">
        <f>'Section Data'!Q28</f>
        <v>9449</v>
      </c>
      <c r="F132" s="84">
        <f>'Steel Beam Design'!D7043</f>
        <v>173.82812499999994</v>
      </c>
      <c r="G132" s="84">
        <f>'Steel Beam Design'!D7067</f>
        <v>4083.1881533101036</v>
      </c>
      <c r="H132" s="84" t="str">
        <f>IF(TRIM($B132)="","",IFERROR('Steel Beam Design'!$D$7006,""))</f>
        <v>S355</v>
      </c>
      <c r="I132" s="84">
        <f>IF(TRIM($B132)="","",IFERROR(MAX(VLOOKUP($B132,'Section Data'!$B$5:$AC$35,5,FALSE),VLOOKUP($B132,'Section Data'!$B$5:$AC$35,6,FALSE)),""))</f>
        <v>20.5</v>
      </c>
      <c r="J132" s="84">
        <f>IF(TRIM($B132)="","",IFERROR(IF(I132&gt;150,"",INDEX('Section Data'!$AH$5:$AK$10,IF(I132&lt;=16,1,IF(I132&lt;=40,2,IF(I132&lt;=63,3,IF(I132&lt;=80,4,IF(I132&lt;=100,5,6))))),MATCH(H132,'Section Data'!$AH$4:$AK$4,0))),""))</f>
        <v>345</v>
      </c>
      <c r="K132" s="84">
        <f t="shared" si="9"/>
        <v>0.8928053815224023</v>
      </c>
      <c r="L132" s="84">
        <f>IF(TRIM($B132)="","",IFERROR(VLOOKUP($B132,'Section Data'!$B$5:$AC$35,9,FALSE),""))</f>
        <v>5.0999999999999996</v>
      </c>
      <c r="M132" s="84">
        <f>IF(TRIM($B132)="","",IFERROR(VLOOKUP($B132,'Section Data'!$B$5:$AC$35,10,FALSE),""))</f>
        <v>12.66</v>
      </c>
      <c r="N132" s="84">
        <f t="shared" si="10"/>
        <v>8</v>
      </c>
      <c r="O132" s="84">
        <f t="shared" si="11"/>
        <v>80</v>
      </c>
      <c r="P132" s="84">
        <f>IF(TRIM($B132)="","",IFERROR(VLOOKUP($B132,'Section Data'!$B$5:$AC$35,5,FALSE)*VLOOKUP($B132,'Section Data'!$B$5:$AC$35,3,FALSE),""))</f>
        <v>2821.9399999999996</v>
      </c>
      <c r="Q132" s="84">
        <f t="shared" si="12"/>
        <v>562.09049742975537</v>
      </c>
      <c r="R132" s="84">
        <f>'Steel Beam Design'!B4511</f>
        <v>55.624999999999993</v>
      </c>
      <c r="S132" s="84">
        <f t="shared" si="13"/>
        <v>0</v>
      </c>
      <c r="T132" s="84">
        <f>IF(TRIM($B132)="","",IFERROR(VLOOKUP($B132,'Section Data'!$B$5:$AC$35,20,FALSE),""))</f>
        <v>850</v>
      </c>
      <c r="U132" s="84">
        <f>IF(TRIM($B132)="","",IFERROR(VLOOKUP($B132,'Section Data'!$B$5:$AC$35,21,FALSE),""))</f>
        <v>299</v>
      </c>
      <c r="V132" s="84">
        <f>IF(TRIM($B132)="","",IFERROR(VLOOKUP($B132,'Section Data'!$B$5:$AC$35,22,FALSE),""))</f>
        <v>977</v>
      </c>
      <c r="W132" s="84">
        <f>IF(TRIM($B132)="","",IFERROR(VLOOKUP($B132,'Section Data'!$B$5:$AC$35,23,FALSE),""))</f>
        <v>456</v>
      </c>
      <c r="X132" s="84">
        <f>IF(TRIM($B132)="","",IFERROR((VLOOKUP($B132,'Section Data'!$B$5:$AC$35,5,FALSE)/10)*(VLOOKUP($B132,'Section Data'!$B$5:$AC$35,3,FALSE)/10)^2/4,""))</f>
        <v>156.75876699999998</v>
      </c>
      <c r="Y132" s="84">
        <f>IF(TRIM($B132)="","",IFERROR((VLOOKUP($B132,'Section Data'!$B$5:$AC$35,3,FALSE)/10)*(VLOOKUP($B132,'Section Data'!$B$5:$AC$35,5,FALSE)/10)^2/4,""))</f>
        <v>8.959659499999999</v>
      </c>
      <c r="Z132" s="84">
        <f t="shared" si="14"/>
        <v>337.065</v>
      </c>
      <c r="AA132" s="84">
        <f t="shared" si="15"/>
        <v>123.786</v>
      </c>
      <c r="AB132" s="86">
        <f t="shared" si="16"/>
        <v>0.51571099046178015</v>
      </c>
      <c r="AC132" s="86">
        <f t="shared" si="17"/>
        <v>0.43212913041698631</v>
      </c>
      <c r="AD132" s="1" t="b">
        <f>AND(ISNUMBER(AB132),ISNUMBER(AC132),AB132&gt;=0,AC132&gt;=0,AB132&lt;=0.95,AC132&lt;=0.95,ISNUMBER(D132),D132&gt;0,'Steel Beam Design'!$A$18="",C132="UC")</f>
        <v>1</v>
      </c>
      <c r="AE132" s="84">
        <f>'Steel Beam Design'!O27</f>
        <v>278.12499999999994</v>
      </c>
    </row>
    <row r="133" spans="1:31">
      <c r="A133" s="1" t="s">
        <v>443</v>
      </c>
      <c r="B133" s="1" t="str">
        <f>'Section Data'!B29</f>
        <v>203x203x71</v>
      </c>
      <c r="C133" s="1" t="s">
        <v>367</v>
      </c>
      <c r="D133" s="84">
        <f>'Section Data'!C29</f>
        <v>71</v>
      </c>
      <c r="E133" s="84">
        <f>'Section Data'!Q29</f>
        <v>7618</v>
      </c>
      <c r="F133" s="84">
        <f>'Steel Beam Design'!D7043</f>
        <v>173.82812499999994</v>
      </c>
      <c r="G133" s="84">
        <f>'Steel Beam Design'!D7067</f>
        <v>4083.1881533101036</v>
      </c>
      <c r="H133" s="84" t="str">
        <f>IF(TRIM($B133)="","",IFERROR('Steel Beam Design'!$D$7006,""))</f>
        <v>S355</v>
      </c>
      <c r="I133" s="84">
        <f>IF(TRIM($B133)="","",IFERROR(MAX(VLOOKUP($B133,'Section Data'!$B$5:$AC$35,5,FALSE),VLOOKUP($B133,'Section Data'!$B$5:$AC$35,6,FALSE)),""))</f>
        <v>17.3</v>
      </c>
      <c r="J133" s="84">
        <f>IF(TRIM($B133)="","",IFERROR(IF(I133&gt;150,"",INDEX('Section Data'!$AH$5:$AK$10,IF(I133&lt;=16,1,IF(I133&lt;=40,2,IF(I133&lt;=63,3,IF(I133&lt;=80,4,IF(I133&lt;=100,5,6))))),MATCH(H133,'Section Data'!$AH$4:$AK$4,0))),""))</f>
        <v>345</v>
      </c>
      <c r="K133" s="84">
        <f t="shared" si="9"/>
        <v>0.8928053815224023</v>
      </c>
      <c r="L133" s="84">
        <f>IF(TRIM($B133)="","",IFERROR(VLOOKUP($B133,'Section Data'!$B$5:$AC$35,9,FALSE),""))</f>
        <v>5.97</v>
      </c>
      <c r="M133" s="84">
        <f>IF(TRIM($B133)="","",IFERROR(VLOOKUP($B133,'Section Data'!$B$5:$AC$35,10,FALSE),""))</f>
        <v>16.079999999999998</v>
      </c>
      <c r="N133" s="84">
        <f t="shared" si="10"/>
        <v>8</v>
      </c>
      <c r="O133" s="84">
        <f t="shared" si="11"/>
        <v>80</v>
      </c>
      <c r="P133" s="84">
        <f>IF(TRIM($B133)="","",IFERROR(VLOOKUP($B133,'Section Data'!$B$5:$AC$35,5,FALSE)*VLOOKUP($B133,'Section Data'!$B$5:$AC$35,3,FALSE),""))</f>
        <v>2158</v>
      </c>
      <c r="Q133" s="84">
        <f t="shared" si="12"/>
        <v>429.8430489143683</v>
      </c>
      <c r="R133" s="84">
        <f>'Steel Beam Design'!B4511</f>
        <v>55.624999999999993</v>
      </c>
      <c r="S133" s="84">
        <f t="shared" si="13"/>
        <v>0</v>
      </c>
      <c r="T133" s="84">
        <f>IF(TRIM($B133)="","",IFERROR(VLOOKUP($B133,'Section Data'!$B$5:$AC$35,20,FALSE),""))</f>
        <v>706</v>
      </c>
      <c r="U133" s="84">
        <f>IF(TRIM($B133)="","",IFERROR(VLOOKUP($B133,'Section Data'!$B$5:$AC$35,21,FALSE),""))</f>
        <v>246</v>
      </c>
      <c r="V133" s="84">
        <f>IF(TRIM($B133)="","",IFERROR(VLOOKUP($B133,'Section Data'!$B$5:$AC$35,22,FALSE),""))</f>
        <v>799</v>
      </c>
      <c r="W133" s="84">
        <f>IF(TRIM($B133)="","",IFERROR(VLOOKUP($B133,'Section Data'!$B$5:$AC$35,23,FALSE),""))</f>
        <v>374</v>
      </c>
      <c r="X133" s="84">
        <f>IF(TRIM($B133)="","",IFERROR((VLOOKUP($B133,'Section Data'!$B$5:$AC$35,5,FALSE)/10)*(VLOOKUP($B133,'Section Data'!$B$5:$AC$35,3,FALSE)/10)^2/4,""))</f>
        <v>116.42410000000002</v>
      </c>
      <c r="Y133" s="84">
        <f>IF(TRIM($B133)="","",IFERROR((VLOOKUP($B133,'Section Data'!$B$5:$AC$35,3,FALSE)/10)*(VLOOKUP($B133,'Section Data'!$B$5:$AC$35,5,FALSE)/10)^2/4,""))</f>
        <v>5.3950000000000005</v>
      </c>
      <c r="Z133" s="84">
        <f t="shared" si="14"/>
        <v>275.65499999999997</v>
      </c>
      <c r="AA133" s="84">
        <f t="shared" si="15"/>
        <v>101.84399999999999</v>
      </c>
      <c r="AB133" s="86">
        <f t="shared" si="16"/>
        <v>0.63060029747329072</v>
      </c>
      <c r="AC133" s="86">
        <f t="shared" si="17"/>
        <v>0.53599214404175688</v>
      </c>
      <c r="AD133" s="1" t="b">
        <f>AND(ISNUMBER(AB133),ISNUMBER(AC133),AB133&gt;=0,AC133&gt;=0,AB133&lt;=0.95,AC133&lt;=0.95,ISNUMBER(D133),D133&gt;0,'Steel Beam Design'!$A$18="",C133="UC")</f>
        <v>1</v>
      </c>
      <c r="AE133" s="84">
        <f>'Steel Beam Design'!O27</f>
        <v>278.12499999999994</v>
      </c>
    </row>
    <row r="134" spans="1:31">
      <c r="A134" s="1" t="s">
        <v>443</v>
      </c>
      <c r="B134" s="1" t="str">
        <f>'Section Data'!B30</f>
        <v>203x203x60</v>
      </c>
      <c r="C134" s="1" t="s">
        <v>367</v>
      </c>
      <c r="D134" s="84">
        <f>'Section Data'!C30</f>
        <v>60</v>
      </c>
      <c r="E134" s="84">
        <f>'Section Data'!Q30</f>
        <v>6125</v>
      </c>
      <c r="F134" s="84">
        <f>'Steel Beam Design'!D7043</f>
        <v>173.82812499999994</v>
      </c>
      <c r="G134" s="84">
        <f>'Steel Beam Design'!D7067</f>
        <v>4083.1881533101036</v>
      </c>
      <c r="H134" s="84" t="str">
        <f>IF(TRIM($B134)="","",IFERROR('Steel Beam Design'!$D$7006,""))</f>
        <v>S355</v>
      </c>
      <c r="I134" s="84">
        <f>IF(TRIM($B134)="","",IFERROR(MAX(VLOOKUP($B134,'Section Data'!$B$5:$AC$35,5,FALSE),VLOOKUP($B134,'Section Data'!$B$5:$AC$35,6,FALSE)),""))</f>
        <v>14.2</v>
      </c>
      <c r="J134" s="84">
        <f>IF(TRIM($B134)="","",IFERROR(IF(I134&gt;150,"",INDEX('Section Data'!$AH$5:$AK$10,IF(I134&lt;=16,1,IF(I134&lt;=40,2,IF(I134&lt;=63,3,IF(I134&lt;=80,4,IF(I134&lt;=100,5,6))))),MATCH(H134,'Section Data'!$AH$4:$AK$4,0))),""))</f>
        <v>355</v>
      </c>
      <c r="K134" s="84">
        <f t="shared" ref="K134:K197" si="18">IF(ISNUMBER(J134),IF(J134&gt;0,SQRT(275/J134),""),"")</f>
        <v>0.88014083380101371</v>
      </c>
      <c r="L134" s="84">
        <f>IF(TRIM($B134)="","",IFERROR(VLOOKUP($B134,'Section Data'!$B$5:$AC$35,9,FALSE),""))</f>
        <v>7.25</v>
      </c>
      <c r="M134" s="84">
        <f>IF(TRIM($B134)="","",IFERROR(VLOOKUP($B134,'Section Data'!$B$5:$AC$35,10,FALSE),""))</f>
        <v>17.11</v>
      </c>
      <c r="N134" s="84">
        <f t="shared" ref="N134:N197" si="19">IF(COUNT(L134,K134)=2,IF(L134&lt;=8*K134,8,IF(L134&lt;=9*K134,9,13)),"")</f>
        <v>9</v>
      </c>
      <c r="O134" s="84">
        <f t="shared" ref="O134:O197" si="20">IF(COUNT(M134,K134)=2,IF(M134&lt;=80*K134,80,IF(M134&lt;=100*K134,100,120)),"")</f>
        <v>80</v>
      </c>
      <c r="P134" s="84">
        <f>IF(TRIM($B134)="","",IFERROR(VLOOKUP($B134,'Section Data'!$B$5:$AC$35,5,FALSE)*VLOOKUP($B134,'Section Data'!$B$5:$AC$35,3,FALSE),""))</f>
        <v>1970.24</v>
      </c>
      <c r="Q134" s="84">
        <f t="shared" ref="Q134:Q197" si="21">IF(TRIM($B134)="","",IFERROR(J134*P134/SQRT(3)/1000,""))</f>
        <v>403.81910100069973</v>
      </c>
      <c r="R134" s="84">
        <f>'Steel Beam Design'!B4511</f>
        <v>55.624999999999993</v>
      </c>
      <c r="S134" s="84">
        <f t="shared" ref="S134:S197" si="22">IF(AND(ISNUMBER(Q134),Q134&gt;0),IF(R134&lt;=0.6*Q134,0,(2*R134/Q134-1)^2),"")</f>
        <v>0</v>
      </c>
      <c r="T134" s="84">
        <f>IF(TRIM($B134)="","",IFERROR(VLOOKUP($B134,'Section Data'!$B$5:$AC$35,20,FALSE),""))</f>
        <v>584</v>
      </c>
      <c r="U134" s="84">
        <f>IF(TRIM($B134)="","",IFERROR(VLOOKUP($B134,'Section Data'!$B$5:$AC$35,21,FALSE),""))</f>
        <v>201</v>
      </c>
      <c r="V134" s="84">
        <f>IF(TRIM($B134)="","",IFERROR(VLOOKUP($B134,'Section Data'!$B$5:$AC$35,22,FALSE),""))</f>
        <v>656</v>
      </c>
      <c r="W134" s="84">
        <f>IF(TRIM($B134)="","",IFERROR(VLOOKUP($B134,'Section Data'!$B$5:$AC$35,23,FALSE),""))</f>
        <v>305</v>
      </c>
      <c r="X134" s="84">
        <f>IF(TRIM($B134)="","",IFERROR((VLOOKUP($B134,'Section Data'!$B$5:$AC$35,5,FALSE)/10)*(VLOOKUP($B134,'Section Data'!$B$5:$AC$35,3,FALSE)/10)^2/4,""))</f>
        <v>103.24057600000002</v>
      </c>
      <c r="Y134" s="84">
        <f>IF(TRIM($B134)="","",IFERROR((VLOOKUP($B134,'Section Data'!$B$5:$AC$35,3,FALSE)/10)*(VLOOKUP($B134,'Section Data'!$B$5:$AC$35,5,FALSE)/10)^2/4,""))</f>
        <v>4.6300640000000008</v>
      </c>
      <c r="Z134" s="84">
        <f t="shared" ref="Z134:Z197" si="23">IF(TRIM($B134)="","",IFERROR(IF(AND(J134&gt;0,R134&lt;=Q134,L134&lt;=13*K134,M134&lt;=120*K134),IF(R134&lt;=0.6*Q134,IF(OR(N134=13,O134=120),T134,MIN(V134,1.2*T134)),IF(OR(N134=13,O134=120),T134-S134*X134/1.5,MIN(V134-S134*X134,1.2*(T134-S134*X134/1.5))))*J134/1000,""),""))</f>
        <v>232.88</v>
      </c>
      <c r="AA134" s="84">
        <f t="shared" ref="AA134:AA197" si="24">IF(TRIM($B134)="","",IFERROR(IF(AND(J134&gt;0,R134&lt;=Q134,L134&lt;=13*K134,M134&lt;=120*K134),IF(R134&lt;=0.6*Q134,IF(OR(N134=13,O134=120),U134,MIN(W134,1.2*U134)),IF(OR(N134=13,O134=120),U134-S134*Y134/1.5,MIN(W134-S134*Y134,1.2*(U134-S134*Y134/1.5))))*J134/1000,""),""))</f>
        <v>85.626000000000005</v>
      </c>
      <c r="AB134" s="86">
        <f t="shared" ref="AB134:AB197" si="25">IF(AND(ISNUMBER(F134),ISNUMBER(Z134),Z134&gt;0),F134/Z134,"")</f>
        <v>0.74642788131226356</v>
      </c>
      <c r="AC134" s="86">
        <f t="shared" ref="AC134:AC197" si="26">IF(AND(ISNUMBER(G134),ISNUMBER(E134),E134&gt;0),G134/E134,"")</f>
        <v>0.66664296380573118</v>
      </c>
      <c r="AD134" s="1" t="b">
        <f>AND(ISNUMBER(AB134),ISNUMBER(AC134),AB134&gt;=0,AC134&gt;=0,AB134&lt;=0.95,AC134&lt;=0.95,ISNUMBER(D134),D134&gt;0,'Steel Beam Design'!$A$18="",C134="UC")</f>
        <v>1</v>
      </c>
      <c r="AE134" s="84">
        <f>'Steel Beam Design'!O27</f>
        <v>278.12499999999994</v>
      </c>
    </row>
    <row r="135" spans="1:31">
      <c r="A135" s="1" t="s">
        <v>443</v>
      </c>
      <c r="B135" s="1" t="str">
        <f>'Section Data'!B31</f>
        <v>203x203x52</v>
      </c>
      <c r="C135" s="1" t="s">
        <v>367</v>
      </c>
      <c r="D135" s="84">
        <f>'Section Data'!C31</f>
        <v>52</v>
      </c>
      <c r="E135" s="84">
        <f>'Section Data'!Q31</f>
        <v>5259</v>
      </c>
      <c r="F135" s="84">
        <f>'Steel Beam Design'!D7043</f>
        <v>173.82812499999994</v>
      </c>
      <c r="G135" s="84">
        <f>'Steel Beam Design'!D7067</f>
        <v>4083.1881533101036</v>
      </c>
      <c r="H135" s="84" t="str">
        <f>IF(TRIM($B135)="","",IFERROR('Steel Beam Design'!$D$7006,""))</f>
        <v>S355</v>
      </c>
      <c r="I135" s="84">
        <f>IF(TRIM($B135)="","",IFERROR(MAX(VLOOKUP($B135,'Section Data'!$B$5:$AC$35,5,FALSE),VLOOKUP($B135,'Section Data'!$B$5:$AC$35,6,FALSE)),""))</f>
        <v>12.5</v>
      </c>
      <c r="J135" s="84">
        <f>IF(TRIM($B135)="","",IFERROR(IF(I135&gt;150,"",INDEX('Section Data'!$AH$5:$AK$10,IF(I135&lt;=16,1,IF(I135&lt;=40,2,IF(I135&lt;=63,3,IF(I135&lt;=80,4,IF(I135&lt;=100,5,6))))),MATCH(H135,'Section Data'!$AH$4:$AK$4,0))),""))</f>
        <v>355</v>
      </c>
      <c r="K135" s="84">
        <f t="shared" si="18"/>
        <v>0.88014083380101371</v>
      </c>
      <c r="L135" s="84">
        <f>IF(TRIM($B135)="","",IFERROR(VLOOKUP($B135,'Section Data'!$B$5:$AC$35,9,FALSE),""))</f>
        <v>8.17</v>
      </c>
      <c r="M135" s="84">
        <f>IF(TRIM($B135)="","",IFERROR(VLOOKUP($B135,'Section Data'!$B$5:$AC$35,10,FALSE),""))</f>
        <v>20.350000000000001</v>
      </c>
      <c r="N135" s="84">
        <f t="shared" si="19"/>
        <v>13</v>
      </c>
      <c r="O135" s="84">
        <f t="shared" si="20"/>
        <v>80</v>
      </c>
      <c r="P135" s="84">
        <f>IF(TRIM($B135)="","",IFERROR(VLOOKUP($B135,'Section Data'!$B$5:$AC$35,5,FALSE)*VLOOKUP($B135,'Section Data'!$B$5:$AC$35,3,FALSE),""))</f>
        <v>1628.98</v>
      </c>
      <c r="Q135" s="84">
        <f t="shared" si="21"/>
        <v>333.87467473410345</v>
      </c>
      <c r="R135" s="84">
        <f>'Steel Beam Design'!B4511</f>
        <v>55.624999999999993</v>
      </c>
      <c r="S135" s="84">
        <f t="shared" si="22"/>
        <v>0</v>
      </c>
      <c r="T135" s="84">
        <f>IF(TRIM($B135)="","",IFERROR(VLOOKUP($B135,'Section Data'!$B$5:$AC$35,20,FALSE),""))</f>
        <v>510</v>
      </c>
      <c r="U135" s="84">
        <f>IF(TRIM($B135)="","",IFERROR(VLOOKUP($B135,'Section Data'!$B$5:$AC$35,21,FALSE),""))</f>
        <v>174</v>
      </c>
      <c r="V135" s="84">
        <f>IF(TRIM($B135)="","",IFERROR(VLOOKUP($B135,'Section Data'!$B$5:$AC$35,22,FALSE),""))</f>
        <v>567</v>
      </c>
      <c r="W135" s="84">
        <f>IF(TRIM($B135)="","",IFERROR(VLOOKUP($B135,'Section Data'!$B$5:$AC$35,23,FALSE),""))</f>
        <v>264</v>
      </c>
      <c r="X135" s="84">
        <f>IF(TRIM($B135)="","",IFERROR((VLOOKUP($B135,'Section Data'!$B$5:$AC$35,5,FALSE)/10)*(VLOOKUP($B135,'Section Data'!$B$5:$AC$35,3,FALSE)/10)^2/4,""))</f>
        <v>83.973918999999981</v>
      </c>
      <c r="Y135" s="84">
        <f>IF(TRIM($B135)="","",IFERROR((VLOOKUP($B135,'Section Data'!$B$5:$AC$35,3,FALSE)/10)*(VLOOKUP($B135,'Section Data'!$B$5:$AC$35,5,FALSE)/10)^2/4,""))</f>
        <v>3.2172355000000001</v>
      </c>
      <c r="Z135" s="84">
        <f t="shared" si="23"/>
        <v>181.05</v>
      </c>
      <c r="AA135" s="84">
        <f t="shared" si="24"/>
        <v>61.77</v>
      </c>
      <c r="AB135" s="86">
        <f t="shared" si="25"/>
        <v>0.96011115713891149</v>
      </c>
      <c r="AC135" s="86">
        <f t="shared" si="26"/>
        <v>0.77641912023390447</v>
      </c>
      <c r="AD135" s="1" t="b">
        <f>AND(ISNUMBER(AB135),ISNUMBER(AC135),AB135&gt;=0,AC135&gt;=0,AB135&lt;=0.95,AC135&lt;=0.95,ISNUMBER(D135),D135&gt;0,'Steel Beam Design'!$A$18="",C135="UC")</f>
        <v>0</v>
      </c>
      <c r="AE135" s="84">
        <f>'Steel Beam Design'!O27</f>
        <v>278.12499999999994</v>
      </c>
    </row>
    <row r="136" spans="1:31">
      <c r="A136" s="1" t="s">
        <v>443</v>
      </c>
      <c r="B136" s="1" t="str">
        <f>'Section Data'!B32</f>
        <v>203x203x46</v>
      </c>
      <c r="C136" s="1" t="s">
        <v>367</v>
      </c>
      <c r="D136" s="84">
        <f>'Section Data'!C32</f>
        <v>46.1</v>
      </c>
      <c r="E136" s="84">
        <f>'Section Data'!Q32</f>
        <v>4568</v>
      </c>
      <c r="F136" s="84">
        <f>'Steel Beam Design'!D7043</f>
        <v>173.82812499999994</v>
      </c>
      <c r="G136" s="84">
        <f>'Steel Beam Design'!D7067</f>
        <v>4083.1881533101036</v>
      </c>
      <c r="H136" s="84" t="str">
        <f>IF(TRIM($B136)="","",IFERROR('Steel Beam Design'!$D$7006,""))</f>
        <v>S355</v>
      </c>
      <c r="I136" s="84">
        <f>IF(TRIM($B136)="","",IFERROR(MAX(VLOOKUP($B136,'Section Data'!$B$5:$AC$35,5,FALSE),VLOOKUP($B136,'Section Data'!$B$5:$AC$35,6,FALSE)),""))</f>
        <v>11</v>
      </c>
      <c r="J136" s="84">
        <f>IF(TRIM($B136)="","",IFERROR(IF(I136&gt;150,"",INDEX('Section Data'!$AH$5:$AK$10,IF(I136&lt;=16,1,IF(I136&lt;=40,2,IF(I136&lt;=63,3,IF(I136&lt;=80,4,IF(I136&lt;=100,5,6))))),MATCH(H136,'Section Data'!$AH$4:$AK$4,0))),""))</f>
        <v>355</v>
      </c>
      <c r="K136" s="84">
        <f t="shared" si="18"/>
        <v>0.88014083380101371</v>
      </c>
      <c r="L136" s="84">
        <f>IF(TRIM($B136)="","",IFERROR(VLOOKUP($B136,'Section Data'!$B$5:$AC$35,9,FALSE),""))</f>
        <v>9.25</v>
      </c>
      <c r="M136" s="84">
        <f>IF(TRIM($B136)="","",IFERROR(VLOOKUP($B136,'Section Data'!$B$5:$AC$35,10,FALSE),""))</f>
        <v>22.33</v>
      </c>
      <c r="N136" s="84">
        <f t="shared" si="19"/>
        <v>13</v>
      </c>
      <c r="O136" s="84">
        <f t="shared" si="20"/>
        <v>80</v>
      </c>
      <c r="P136" s="84">
        <f>IF(TRIM($B136)="","",IFERROR(VLOOKUP($B136,'Section Data'!$B$5:$AC$35,5,FALSE)*VLOOKUP($B136,'Section Data'!$B$5:$AC$35,3,FALSE),""))</f>
        <v>1463.04</v>
      </c>
      <c r="Q136" s="84">
        <f t="shared" si="21"/>
        <v>299.86372093149254</v>
      </c>
      <c r="R136" s="84">
        <f>'Steel Beam Design'!B4511</f>
        <v>55.624999999999993</v>
      </c>
      <c r="S136" s="84">
        <f t="shared" si="22"/>
        <v>0</v>
      </c>
      <c r="T136" s="84">
        <f>IF(TRIM($B136)="","",IFERROR(VLOOKUP($B136,'Section Data'!$B$5:$AC$35,20,FALSE),""))</f>
        <v>450</v>
      </c>
      <c r="U136" s="84">
        <f>IF(TRIM($B136)="","",IFERROR(VLOOKUP($B136,'Section Data'!$B$5:$AC$35,21,FALSE),""))</f>
        <v>152</v>
      </c>
      <c r="V136" s="84">
        <f>IF(TRIM($B136)="","",IFERROR(VLOOKUP($B136,'Section Data'!$B$5:$AC$35,22,FALSE),""))</f>
        <v>497</v>
      </c>
      <c r="W136" s="84">
        <f>IF(TRIM($B136)="","",IFERROR(VLOOKUP($B136,'Section Data'!$B$5:$AC$35,23,FALSE),""))</f>
        <v>231</v>
      </c>
      <c r="X136" s="84">
        <f>IF(TRIM($B136)="","",IFERROR((VLOOKUP($B136,'Section Data'!$B$5:$AC$35,5,FALSE)/10)*(VLOOKUP($B136,'Section Data'!$B$5:$AC$35,3,FALSE)/10)^2/4,""))</f>
        <v>74.322431999999992</v>
      </c>
      <c r="Y136" s="84">
        <f>IF(TRIM($B136)="","",IFERROR((VLOOKUP($B136,'Section Data'!$B$5:$AC$35,3,FALSE)/10)*(VLOOKUP($B136,'Section Data'!$B$5:$AC$35,5,FALSE)/10)^2/4,""))</f>
        <v>2.6334719999999998</v>
      </c>
      <c r="Z136" s="84">
        <f t="shared" si="23"/>
        <v>159.75</v>
      </c>
      <c r="AA136" s="84">
        <f t="shared" si="24"/>
        <v>53.96</v>
      </c>
      <c r="AB136" s="86">
        <f t="shared" si="25"/>
        <v>1.0881259780907664</v>
      </c>
      <c r="AC136" s="86">
        <f t="shared" si="26"/>
        <v>0.89386780939363042</v>
      </c>
      <c r="AD136" s="1" t="b">
        <f>AND(ISNUMBER(AB136),ISNUMBER(AC136),AB136&gt;=0,AC136&gt;=0,AB136&lt;=0.95,AC136&lt;=0.95,ISNUMBER(D136),D136&gt;0,'Steel Beam Design'!$A$18="",C136="UC")</f>
        <v>0</v>
      </c>
      <c r="AE136" s="84">
        <f>'Steel Beam Design'!O27</f>
        <v>278.12499999999994</v>
      </c>
    </row>
    <row r="137" spans="1:31">
      <c r="A137" s="1" t="s">
        <v>443</v>
      </c>
      <c r="B137" s="1" t="str">
        <f>'Section Data'!B33</f>
        <v>152x152x37</v>
      </c>
      <c r="C137" s="1" t="s">
        <v>367</v>
      </c>
      <c r="D137" s="84">
        <f>'Section Data'!C33</f>
        <v>37</v>
      </c>
      <c r="E137" s="84">
        <f>'Section Data'!Q33</f>
        <v>2210</v>
      </c>
      <c r="F137" s="84">
        <f>'Steel Beam Design'!D7043</f>
        <v>173.82812499999994</v>
      </c>
      <c r="G137" s="84">
        <f>'Steel Beam Design'!D7067</f>
        <v>4083.1881533101036</v>
      </c>
      <c r="H137" s="84" t="str">
        <f>IF(TRIM($B137)="","",IFERROR('Steel Beam Design'!$D$7006,""))</f>
        <v>S355</v>
      </c>
      <c r="I137" s="84">
        <f>IF(TRIM($B137)="","",IFERROR(MAX(VLOOKUP($B137,'Section Data'!$B$5:$AC$35,5,FALSE),VLOOKUP($B137,'Section Data'!$B$5:$AC$35,6,FALSE)),""))</f>
        <v>11.5</v>
      </c>
      <c r="J137" s="84">
        <f>IF(TRIM($B137)="","",IFERROR(IF(I137&gt;150,"",INDEX('Section Data'!$AH$5:$AK$10,IF(I137&lt;=16,1,IF(I137&lt;=40,2,IF(I137&lt;=63,3,IF(I137&lt;=80,4,IF(I137&lt;=100,5,6))))),MATCH(H137,'Section Data'!$AH$4:$AK$4,0))),""))</f>
        <v>355</v>
      </c>
      <c r="K137" s="84">
        <f t="shared" si="18"/>
        <v>0.88014083380101371</v>
      </c>
      <c r="L137" s="84">
        <f>IF(TRIM($B137)="","",IFERROR(VLOOKUP($B137,'Section Data'!$B$5:$AC$35,9,FALSE),""))</f>
        <v>6.71</v>
      </c>
      <c r="M137" s="84">
        <f>IF(TRIM($B137)="","",IFERROR(VLOOKUP($B137,'Section Data'!$B$5:$AC$35,10,FALSE),""))</f>
        <v>15.45</v>
      </c>
      <c r="N137" s="84">
        <f t="shared" si="19"/>
        <v>8</v>
      </c>
      <c r="O137" s="84">
        <f t="shared" si="20"/>
        <v>80</v>
      </c>
      <c r="P137" s="84">
        <f>IF(TRIM($B137)="","",IFERROR(VLOOKUP($B137,'Section Data'!$B$5:$AC$35,5,FALSE)*VLOOKUP($B137,'Section Data'!$B$5:$AC$35,3,FALSE),""))</f>
        <v>1294.4000000000001</v>
      </c>
      <c r="Q137" s="84">
        <f t="shared" si="21"/>
        <v>265.29937689586336</v>
      </c>
      <c r="R137" s="84">
        <f>'Steel Beam Design'!B4511</f>
        <v>55.624999999999993</v>
      </c>
      <c r="S137" s="84">
        <f t="shared" si="22"/>
        <v>0</v>
      </c>
      <c r="T137" s="84">
        <f>IF(TRIM($B137)="","",IFERROR(VLOOKUP($B137,'Section Data'!$B$5:$AC$35,20,FALSE),""))</f>
        <v>273</v>
      </c>
      <c r="U137" s="84">
        <f>IF(TRIM($B137)="","",IFERROR(VLOOKUP($B137,'Section Data'!$B$5:$AC$35,21,FALSE),""))</f>
        <v>91.5</v>
      </c>
      <c r="V137" s="84">
        <f>IF(TRIM($B137)="","",IFERROR(VLOOKUP($B137,'Section Data'!$B$5:$AC$35,22,FALSE),""))</f>
        <v>309</v>
      </c>
      <c r="W137" s="84">
        <f>IF(TRIM($B137)="","",IFERROR(VLOOKUP($B137,'Section Data'!$B$5:$AC$35,23,FALSE),""))</f>
        <v>140</v>
      </c>
      <c r="X137" s="84">
        <f>IF(TRIM($B137)="","",IFERROR((VLOOKUP($B137,'Section Data'!$B$5:$AC$35,5,FALSE)/10)*(VLOOKUP($B137,'Section Data'!$B$5:$AC$35,3,FALSE)/10)^2/4,""))</f>
        <v>52.35848</v>
      </c>
      <c r="Y137" s="84">
        <f>IF(TRIM($B137)="","",IFERROR((VLOOKUP($B137,'Section Data'!$B$5:$AC$35,3,FALSE)/10)*(VLOOKUP($B137,'Section Data'!$B$5:$AC$35,5,FALSE)/10)^2/4,""))</f>
        <v>2.5888000000000004</v>
      </c>
      <c r="Z137" s="84">
        <f t="shared" si="23"/>
        <v>109.69499999999999</v>
      </c>
      <c r="AA137" s="84">
        <f t="shared" si="24"/>
        <v>38.978999999999999</v>
      </c>
      <c r="AB137" s="86">
        <f t="shared" si="25"/>
        <v>1.5846494826564561</v>
      </c>
      <c r="AC137" s="86">
        <f t="shared" si="26"/>
        <v>1.8475964494615853</v>
      </c>
      <c r="AD137" s="1" t="b">
        <f>AND(ISNUMBER(AB137),ISNUMBER(AC137),AB137&gt;=0,AC137&gt;=0,AB137&lt;=0.95,AC137&lt;=0.95,ISNUMBER(D137),D137&gt;0,'Steel Beam Design'!$A$18="",C137="UC")</f>
        <v>0</v>
      </c>
      <c r="AE137" s="84">
        <f>'Steel Beam Design'!O27</f>
        <v>278.12499999999994</v>
      </c>
    </row>
    <row r="138" spans="1:31">
      <c r="A138" s="1" t="s">
        <v>443</v>
      </c>
      <c r="B138" s="1" t="str">
        <f>'Section Data'!B34</f>
        <v>152x152x30</v>
      </c>
      <c r="C138" s="1" t="s">
        <v>367</v>
      </c>
      <c r="D138" s="84">
        <f>'Section Data'!C34</f>
        <v>30</v>
      </c>
      <c r="E138" s="84">
        <f>'Section Data'!Q34</f>
        <v>1748</v>
      </c>
      <c r="F138" s="84">
        <f>'Steel Beam Design'!D7043</f>
        <v>173.82812499999994</v>
      </c>
      <c r="G138" s="84">
        <f>'Steel Beam Design'!D7067</f>
        <v>4083.1881533101036</v>
      </c>
      <c r="H138" s="84" t="str">
        <f>IF(TRIM($B138)="","",IFERROR('Steel Beam Design'!$D$7006,""))</f>
        <v>S355</v>
      </c>
      <c r="I138" s="84">
        <f>IF(TRIM($B138)="","",IFERROR(MAX(VLOOKUP($B138,'Section Data'!$B$5:$AC$35,5,FALSE),VLOOKUP($B138,'Section Data'!$B$5:$AC$35,6,FALSE)),""))</f>
        <v>9.4</v>
      </c>
      <c r="J138" s="84">
        <f>IF(TRIM($B138)="","",IFERROR(IF(I138&gt;150,"",INDEX('Section Data'!$AH$5:$AK$10,IF(I138&lt;=16,1,IF(I138&lt;=40,2,IF(I138&lt;=63,3,IF(I138&lt;=80,4,IF(I138&lt;=100,5,6))))),MATCH(H138,'Section Data'!$AH$4:$AK$4,0))),""))</f>
        <v>355</v>
      </c>
      <c r="K138" s="84">
        <f t="shared" si="18"/>
        <v>0.88014083380101371</v>
      </c>
      <c r="L138" s="84">
        <f>IF(TRIM($B138)="","",IFERROR(VLOOKUP($B138,'Section Data'!$B$5:$AC$35,9,FALSE),""))</f>
        <v>8.1300000000000008</v>
      </c>
      <c r="M138" s="84">
        <f>IF(TRIM($B138)="","",IFERROR(VLOOKUP($B138,'Section Data'!$B$5:$AC$35,10,FALSE),""))</f>
        <v>19.02</v>
      </c>
      <c r="N138" s="84">
        <f t="shared" si="19"/>
        <v>13</v>
      </c>
      <c r="O138" s="84">
        <f t="shared" si="20"/>
        <v>80</v>
      </c>
      <c r="P138" s="84">
        <f>IF(TRIM($B138)="","",IFERROR(VLOOKUP($B138,'Section Data'!$B$5:$AC$35,5,FALSE)*VLOOKUP($B138,'Section Data'!$B$5:$AC$35,3,FALSE),""))</f>
        <v>1024.3999999999999</v>
      </c>
      <c r="Q138" s="84">
        <f t="shared" si="21"/>
        <v>209.96035359403768</v>
      </c>
      <c r="R138" s="84">
        <f>'Steel Beam Design'!B4511</f>
        <v>55.624999999999993</v>
      </c>
      <c r="S138" s="84">
        <f t="shared" si="22"/>
        <v>0</v>
      </c>
      <c r="T138" s="84">
        <f>IF(TRIM($B138)="","",IFERROR(VLOOKUP($B138,'Section Data'!$B$5:$AC$35,20,FALSE),""))</f>
        <v>222</v>
      </c>
      <c r="U138" s="84">
        <f>IF(TRIM($B138)="","",IFERROR(VLOOKUP($B138,'Section Data'!$B$5:$AC$35,21,FALSE),""))</f>
        <v>73.3</v>
      </c>
      <c r="V138" s="84">
        <f>IF(TRIM($B138)="","",IFERROR(VLOOKUP($B138,'Section Data'!$B$5:$AC$35,22,FALSE),""))</f>
        <v>248</v>
      </c>
      <c r="W138" s="84">
        <f>IF(TRIM($B138)="","",IFERROR(VLOOKUP($B138,'Section Data'!$B$5:$AC$35,23,FALSE),""))</f>
        <v>112</v>
      </c>
      <c r="X138" s="84">
        <f>IF(TRIM($B138)="","",IFERROR((VLOOKUP($B138,'Section Data'!$B$5:$AC$35,5,FALSE)/10)*(VLOOKUP($B138,'Section Data'!$B$5:$AC$35,3,FALSE)/10)^2/4,""))</f>
        <v>40.361360000000005</v>
      </c>
      <c r="Y138" s="84">
        <f>IF(TRIM($B138)="","",IFERROR((VLOOKUP($B138,'Section Data'!$B$5:$AC$35,3,FALSE)/10)*(VLOOKUP($B138,'Section Data'!$B$5:$AC$35,5,FALSE)/10)^2/4,""))</f>
        <v>1.6646500000000002</v>
      </c>
      <c r="Z138" s="84">
        <f t="shared" si="23"/>
        <v>78.81</v>
      </c>
      <c r="AA138" s="84">
        <f t="shared" si="24"/>
        <v>26.0215</v>
      </c>
      <c r="AB138" s="86">
        <f t="shared" si="25"/>
        <v>2.2056607664002024</v>
      </c>
      <c r="AC138" s="86">
        <f t="shared" si="26"/>
        <v>2.3359199961728283</v>
      </c>
      <c r="AD138" s="1" t="b">
        <f>AND(ISNUMBER(AB138),ISNUMBER(AC138),AB138&gt;=0,AC138&gt;=0,AB138&lt;=0.95,AC138&lt;=0.95,ISNUMBER(D138),D138&gt;0,'Steel Beam Design'!$A$18="",C138="UC")</f>
        <v>0</v>
      </c>
      <c r="AE138" s="84">
        <f>'Steel Beam Design'!O27</f>
        <v>278.12499999999994</v>
      </c>
    </row>
    <row r="139" spans="1:31">
      <c r="A139" s="1" t="s">
        <v>443</v>
      </c>
      <c r="B139" s="1" t="str">
        <f>'Section Data'!B35</f>
        <v>152x152x23</v>
      </c>
      <c r="C139" s="1" t="s">
        <v>367</v>
      </c>
      <c r="D139" s="84">
        <f>'Section Data'!C35</f>
        <v>23</v>
      </c>
      <c r="E139" s="84">
        <f>'Section Data'!Q35</f>
        <v>1250</v>
      </c>
      <c r="F139" s="84">
        <f>'Steel Beam Design'!D7043</f>
        <v>173.82812499999994</v>
      </c>
      <c r="G139" s="84">
        <f>'Steel Beam Design'!D7067</f>
        <v>4083.1881533101036</v>
      </c>
      <c r="H139" s="84" t="str">
        <f>IF(TRIM($B139)="","",IFERROR('Steel Beam Design'!$D$7006,""))</f>
        <v>S355</v>
      </c>
      <c r="I139" s="84">
        <f>IF(TRIM($B139)="","",IFERROR(MAX(VLOOKUP($B139,'Section Data'!$B$5:$AC$35,5,FALSE),VLOOKUP($B139,'Section Data'!$B$5:$AC$35,6,FALSE)),""))</f>
        <v>6.8</v>
      </c>
      <c r="J139" s="84">
        <f>IF(TRIM($B139)="","",IFERROR(IF(I139&gt;150,"",INDEX('Section Data'!$AH$5:$AK$10,IF(I139&lt;=16,1,IF(I139&lt;=40,2,IF(I139&lt;=63,3,IF(I139&lt;=80,4,IF(I139&lt;=100,5,6))))),MATCH(H139,'Section Data'!$AH$4:$AK$4,0))),""))</f>
        <v>355</v>
      </c>
      <c r="K139" s="84">
        <f t="shared" si="18"/>
        <v>0.88014083380101371</v>
      </c>
      <c r="L139" s="84">
        <f>IF(TRIM($B139)="","",IFERROR(VLOOKUP($B139,'Section Data'!$B$5:$AC$35,9,FALSE),""))</f>
        <v>11.19</v>
      </c>
      <c r="M139" s="84">
        <f>IF(TRIM($B139)="","",IFERROR(VLOOKUP($B139,'Section Data'!$B$5:$AC$35,10,FALSE),""))</f>
        <v>21.31</v>
      </c>
      <c r="N139" s="84">
        <f t="shared" si="19"/>
        <v>13</v>
      </c>
      <c r="O139" s="84">
        <f t="shared" si="20"/>
        <v>80</v>
      </c>
      <c r="P139" s="84">
        <f>IF(TRIM($B139)="","",IFERROR(VLOOKUP($B139,'Section Data'!$B$5:$AC$35,5,FALSE)*VLOOKUP($B139,'Section Data'!$B$5:$AC$35,3,FALSE),""))</f>
        <v>883.92</v>
      </c>
      <c r="Q139" s="84">
        <f t="shared" si="21"/>
        <v>181.16766472944337</v>
      </c>
      <c r="R139" s="84">
        <f>'Steel Beam Design'!B4511</f>
        <v>55.624999999999993</v>
      </c>
      <c r="S139" s="84">
        <f t="shared" si="22"/>
        <v>0</v>
      </c>
      <c r="T139" s="84">
        <f>IF(TRIM($B139)="","",IFERROR(VLOOKUP($B139,'Section Data'!$B$5:$AC$35,20,FALSE),""))</f>
        <v>164</v>
      </c>
      <c r="U139" s="84">
        <f>IF(TRIM($B139)="","",IFERROR(VLOOKUP($B139,'Section Data'!$B$5:$AC$35,21,FALSE),""))</f>
        <v>52.6</v>
      </c>
      <c r="V139" s="84">
        <f>IF(TRIM($B139)="","",IFERROR(VLOOKUP($B139,'Section Data'!$B$5:$AC$35,22,FALSE),""))</f>
        <v>182</v>
      </c>
      <c r="W139" s="84">
        <f>IF(TRIM($B139)="","",IFERROR(VLOOKUP($B139,'Section Data'!$B$5:$AC$35,23,FALSE),""))</f>
        <v>80.2</v>
      </c>
      <c r="X139" s="84">
        <f>IF(TRIM($B139)="","",IFERROR((VLOOKUP($B139,'Section Data'!$B$5:$AC$35,5,FALSE)/10)*(VLOOKUP($B139,'Section Data'!$B$5:$AC$35,3,FALSE)/10)^2/4,""))</f>
        <v>33.677351999999999</v>
      </c>
      <c r="Y139" s="84">
        <f>IF(TRIM($B139)="","",IFERROR((VLOOKUP($B139,'Section Data'!$B$5:$AC$35,3,FALSE)/10)*(VLOOKUP($B139,'Section Data'!$B$5:$AC$35,5,FALSE)/10)^2/4,""))</f>
        <v>1.2816839999999998</v>
      </c>
      <c r="Z139" s="84">
        <f t="shared" si="23"/>
        <v>58.22</v>
      </c>
      <c r="AA139" s="84">
        <f t="shared" si="24"/>
        <v>18.672999999999998</v>
      </c>
      <c r="AB139" s="86">
        <f t="shared" si="25"/>
        <v>2.9857115252490543</v>
      </c>
      <c r="AC139" s="86">
        <f t="shared" si="26"/>
        <v>3.2665505226480831</v>
      </c>
      <c r="AD139" s="1" t="b">
        <f>AND(ISNUMBER(AB139),ISNUMBER(AC139),AB139&gt;=0,AC139&gt;=0,AB139&lt;=0.95,AC139&lt;=0.95,ISNUMBER(D139),D139&gt;0,'Steel Beam Design'!$A$18="",C139="UC")</f>
        <v>0</v>
      </c>
      <c r="AE139" s="84">
        <f>'Steel Beam Design'!O27</f>
        <v>278.12499999999994</v>
      </c>
    </row>
    <row r="140" spans="1:31">
      <c r="A140" s="1" t="s">
        <v>443</v>
      </c>
      <c r="B140" s="1" t="str">
        <f>'Section Data'!B36</f>
        <v>914x419x388</v>
      </c>
      <c r="C140" s="1" t="s">
        <v>368</v>
      </c>
      <c r="D140" s="84">
        <f>'Section Data'!C36</f>
        <v>338</v>
      </c>
      <c r="E140" s="84">
        <f>'Section Data'!Q36</f>
        <v>719600</v>
      </c>
      <c r="F140" s="84">
        <f>'Steel Beam Design'!D7043</f>
        <v>173.82812499999994</v>
      </c>
      <c r="G140" s="84">
        <f>'Steel Beam Design'!D7067</f>
        <v>4083.1881533101036</v>
      </c>
      <c r="H140" s="84" t="str">
        <f>IF(TRIM($B140)="","",IFERROR('Steel Beam Design'!$D$7006,""))</f>
        <v>S355</v>
      </c>
      <c r="I140" s="84">
        <f>IF(TRIM($B140)="","",IFERROR(MAX(VLOOKUP($B140,'Section Data'!$B$36:$AC$107,5,FALSE),VLOOKUP($B140,'Section Data'!$B$36:$AC$107,6,FALSE)),""))</f>
        <v>36.6</v>
      </c>
      <c r="J140" s="84">
        <f>IF(TRIM($B140)="","",IFERROR(IF(I140&gt;150,"",INDEX('Section Data'!$AH$5:$AK$10,IF(I140&lt;=16,1,IF(I140&lt;=40,2,IF(I140&lt;=63,3,IF(I140&lt;=80,4,IF(I140&lt;=100,5,6))))),MATCH(H140,'Section Data'!$AH$4:$AK$4,0))),""))</f>
        <v>345</v>
      </c>
      <c r="K140" s="84">
        <f t="shared" si="18"/>
        <v>0.8928053815224023</v>
      </c>
      <c r="L140" s="84">
        <f>IF(TRIM($B140)="","",IFERROR(VLOOKUP($B140,'Section Data'!$B$36:$AC$107,9,FALSE),""))</f>
        <v>5.74</v>
      </c>
      <c r="M140" s="84">
        <f>IF(TRIM($B140)="","",IFERROR(VLOOKUP($B140,'Section Data'!$B$36:$AC$107,10,FALSE),""))</f>
        <v>37.4</v>
      </c>
      <c r="N140" s="84">
        <f t="shared" si="19"/>
        <v>8</v>
      </c>
      <c r="O140" s="84">
        <f t="shared" si="20"/>
        <v>80</v>
      </c>
      <c r="P140" s="84">
        <f>IF(TRIM($B140)="","",IFERROR(VLOOKUP($B140,'Section Data'!$B$36:$AC$107,5,FALSE)*VLOOKUP($B140,'Section Data'!$B$36:$AC$107,3,FALSE),""))</f>
        <v>19709.399999999998</v>
      </c>
      <c r="Q140" s="84">
        <f t="shared" si="21"/>
        <v>3925.8334514702733</v>
      </c>
      <c r="R140" s="84">
        <f>'Steel Beam Design'!B4511</f>
        <v>55.624999999999993</v>
      </c>
      <c r="S140" s="84">
        <f t="shared" si="22"/>
        <v>0</v>
      </c>
      <c r="T140" s="84">
        <f>IF(TRIM($B140)="","",IFERROR(VLOOKUP($B140,'Section Data'!$B$36:$AC$107,20,FALSE),""))</f>
        <v>15630</v>
      </c>
      <c r="U140" s="84">
        <f>IF(TRIM($B140)="","",IFERROR(VLOOKUP($B140,'Section Data'!$B$36:$AC$107,21,FALSE),""))</f>
        <v>2161</v>
      </c>
      <c r="V140" s="84">
        <f>IF(TRIM($B140)="","",IFERROR(VLOOKUP($B140,'Section Data'!$B$36:$AC$107,22,FALSE),""))</f>
        <v>17670</v>
      </c>
      <c r="W140" s="84">
        <f>IF(TRIM($B140)="","",IFERROR(VLOOKUP($B140,'Section Data'!$B$36:$AC$107,23,FALSE),""))</f>
        <v>3341</v>
      </c>
      <c r="X140" s="84">
        <f>IF(TRIM($B140)="","",IFERROR((VLOOKUP($B140,'Section Data'!$B$36:$AC$107,5,FALSE)/10)*(VLOOKUP($B140,'Section Data'!$B$36:$AC$107,3,FALSE)/10)^2/4,""))</f>
        <v>4538.0893499999993</v>
      </c>
      <c r="Y140" s="84">
        <f>IF(TRIM($B140)="","",IFERROR((VLOOKUP($B140,'Section Data'!$B$36:$AC$107,3,FALSE)/10)*(VLOOKUP($B140,'Section Data'!$B$36:$AC$107,5,FALSE)/10)^2/4,""))</f>
        <v>105.44528999999996</v>
      </c>
      <c r="Z140" s="84">
        <f t="shared" si="23"/>
        <v>6096.15</v>
      </c>
      <c r="AA140" s="84">
        <f t="shared" si="24"/>
        <v>894.65399999999988</v>
      </c>
      <c r="AB140" s="86">
        <f t="shared" si="25"/>
        <v>2.8514410734643988E-2</v>
      </c>
      <c r="AC140" s="86">
        <f t="shared" si="26"/>
        <v>5.6742470168289379E-3</v>
      </c>
      <c r="AD140" s="1" t="b">
        <f>AND(ISNUMBER(AB140),ISNUMBER(AC140),AB140&gt;=0,AC140&gt;=0,AB140&lt;=0.95,AC140&lt;=0.95,ISNUMBER(D140),D140&gt;0,'Steel Beam Design'!$A$18="",C140="UC")</f>
        <v>0</v>
      </c>
      <c r="AE140" s="84">
        <f>'Steel Beam Design'!O27</f>
        <v>278.12499999999994</v>
      </c>
    </row>
    <row r="141" spans="1:31">
      <c r="A141" s="1" t="s">
        <v>443</v>
      </c>
      <c r="B141" s="1" t="str">
        <f>'Section Data'!B37</f>
        <v>914x419x343</v>
      </c>
      <c r="C141" s="1" t="s">
        <v>368</v>
      </c>
      <c r="D141" s="84">
        <f>'Section Data'!C37</f>
        <v>343.3</v>
      </c>
      <c r="E141" s="84">
        <f>'Section Data'!Q37</f>
        <v>625800</v>
      </c>
      <c r="F141" s="84">
        <f>'Steel Beam Design'!D7043</f>
        <v>173.82812499999994</v>
      </c>
      <c r="G141" s="84">
        <f>'Steel Beam Design'!D7067</f>
        <v>4083.1881533101036</v>
      </c>
      <c r="H141" s="84" t="str">
        <f>IF(TRIM($B141)="","",IFERROR('Steel Beam Design'!$D$7006,""))</f>
        <v>S355</v>
      </c>
      <c r="I141" s="84">
        <f>IF(TRIM($B141)="","",IFERROR(MAX(VLOOKUP($B141,'Section Data'!$B$36:$AC$107,5,FALSE),VLOOKUP($B141,'Section Data'!$B$36:$AC$107,6,FALSE)),""))</f>
        <v>32</v>
      </c>
      <c r="J141" s="84">
        <f>IF(TRIM($B141)="","",IFERROR(IF(I141&gt;150,"",INDEX('Section Data'!$AH$5:$AK$10,IF(I141&lt;=16,1,IF(I141&lt;=40,2,IF(I141&lt;=63,3,IF(I141&lt;=80,4,IF(I141&lt;=100,5,6))))),MATCH(H141,'Section Data'!$AH$4:$AK$4,0))),""))</f>
        <v>345</v>
      </c>
      <c r="K141" s="84">
        <f t="shared" si="18"/>
        <v>0.8928053815224023</v>
      </c>
      <c r="L141" s="84">
        <f>IF(TRIM($B141)="","",IFERROR(VLOOKUP($B141,'Section Data'!$B$36:$AC$107,9,FALSE),""))</f>
        <v>6.54</v>
      </c>
      <c r="M141" s="84">
        <f>IF(TRIM($B141)="","",IFERROR(VLOOKUP($B141,'Section Data'!$B$36:$AC$107,10,FALSE),""))</f>
        <v>41.2</v>
      </c>
      <c r="N141" s="84">
        <f t="shared" si="19"/>
        <v>8</v>
      </c>
      <c r="O141" s="84">
        <f t="shared" si="20"/>
        <v>80</v>
      </c>
      <c r="P141" s="84">
        <f>IF(TRIM($B141)="","",IFERROR(VLOOKUP($B141,'Section Data'!$B$36:$AC$107,5,FALSE)*VLOOKUP($B141,'Section Data'!$B$36:$AC$107,3,FALSE),""))</f>
        <v>17688.919999999998</v>
      </c>
      <c r="Q141" s="84">
        <f t="shared" si="21"/>
        <v>3523.3824396674449</v>
      </c>
      <c r="R141" s="84">
        <f>'Steel Beam Design'!B4511</f>
        <v>55.624999999999993</v>
      </c>
      <c r="S141" s="84">
        <f t="shared" si="22"/>
        <v>0</v>
      </c>
      <c r="T141" s="84">
        <f>IF(TRIM($B141)="","",IFERROR(VLOOKUP($B141,'Section Data'!$B$36:$AC$107,20,FALSE),""))</f>
        <v>13730</v>
      </c>
      <c r="U141" s="84">
        <f>IF(TRIM($B141)="","",IFERROR(VLOOKUP($B141,'Section Data'!$B$36:$AC$107,21,FALSE),""))</f>
        <v>1871</v>
      </c>
      <c r="V141" s="84">
        <f>IF(TRIM($B141)="","",IFERROR(VLOOKUP($B141,'Section Data'!$B$36:$AC$107,22,FALSE),""))</f>
        <v>15480</v>
      </c>
      <c r="W141" s="84">
        <f>IF(TRIM($B141)="","",IFERROR(VLOOKUP($B141,'Section Data'!$B$36:$AC$107,23,FALSE),""))</f>
        <v>2890</v>
      </c>
      <c r="X141" s="84">
        <f>IF(TRIM($B141)="","",IFERROR((VLOOKUP($B141,'Section Data'!$B$36:$AC$107,5,FALSE)/10)*(VLOOKUP($B141,'Section Data'!$B$36:$AC$107,3,FALSE)/10)^2/4,""))</f>
        <v>4032.1893139999993</v>
      </c>
      <c r="Y141" s="84">
        <f>IF(TRIM($B141)="","",IFERROR((VLOOKUP($B141,'Section Data'!$B$36:$AC$107,3,FALSE)/10)*(VLOOKUP($B141,'Section Data'!$B$36:$AC$107,5,FALSE)/10)^2/4,""))</f>
        <v>85.791261999999989</v>
      </c>
      <c r="Z141" s="84">
        <f t="shared" si="23"/>
        <v>5340.6</v>
      </c>
      <c r="AA141" s="84">
        <f t="shared" si="24"/>
        <v>774.59399999999994</v>
      </c>
      <c r="AB141" s="86">
        <f t="shared" si="25"/>
        <v>3.2548426206793234E-2</v>
      </c>
      <c r="AC141" s="86">
        <f t="shared" si="26"/>
        <v>6.5247493661075478E-3</v>
      </c>
      <c r="AD141" s="1" t="b">
        <f>AND(ISNUMBER(AB141),ISNUMBER(AC141),AB141&gt;=0,AC141&gt;=0,AB141&lt;=0.95,AC141&lt;=0.95,ISNUMBER(D141),D141&gt;0,'Steel Beam Design'!$A$18="",C141="UC")</f>
        <v>0</v>
      </c>
      <c r="AE141" s="84">
        <f>'Steel Beam Design'!O27</f>
        <v>278.12499999999994</v>
      </c>
    </row>
    <row r="142" spans="1:31">
      <c r="A142" s="1" t="s">
        <v>443</v>
      </c>
      <c r="B142" s="1" t="str">
        <f>'Section Data'!B38</f>
        <v>914x305x289</v>
      </c>
      <c r="C142" s="1" t="s">
        <v>368</v>
      </c>
      <c r="D142" s="84">
        <f>'Section Data'!C38</f>
        <v>289.10000000000002</v>
      </c>
      <c r="E142" s="84">
        <f>'Section Data'!Q38</f>
        <v>504200</v>
      </c>
      <c r="F142" s="84">
        <f>'Steel Beam Design'!D7043</f>
        <v>173.82812499999994</v>
      </c>
      <c r="G142" s="84">
        <f>'Steel Beam Design'!D7067</f>
        <v>4083.1881533101036</v>
      </c>
      <c r="H142" s="84" t="str">
        <f>IF(TRIM($B142)="","",IFERROR('Steel Beam Design'!$D$7006,""))</f>
        <v>S355</v>
      </c>
      <c r="I142" s="84">
        <f>IF(TRIM($B142)="","",IFERROR(MAX(VLOOKUP($B142,'Section Data'!$B$36:$AC$107,5,FALSE),VLOOKUP($B142,'Section Data'!$B$36:$AC$107,6,FALSE)),""))</f>
        <v>32</v>
      </c>
      <c r="J142" s="84">
        <f>IF(TRIM($B142)="","",IFERROR(IF(I142&gt;150,"",INDEX('Section Data'!$AH$5:$AK$10,IF(I142&lt;=16,1,IF(I142&lt;=40,2,IF(I142&lt;=63,3,IF(I142&lt;=80,4,IF(I142&lt;=100,5,6))))),MATCH(H142,'Section Data'!$AH$4:$AK$4,0))),""))</f>
        <v>345</v>
      </c>
      <c r="K142" s="84">
        <f t="shared" si="18"/>
        <v>0.8928053815224023</v>
      </c>
      <c r="L142" s="84">
        <f>IF(TRIM($B142)="","",IFERROR(VLOOKUP($B142,'Section Data'!$B$36:$AC$107,9,FALSE),""))</f>
        <v>4.8099999999999996</v>
      </c>
      <c r="M142" s="84">
        <f>IF(TRIM($B142)="","",IFERROR(VLOOKUP($B142,'Section Data'!$B$36:$AC$107,10,FALSE),""))</f>
        <v>42.3</v>
      </c>
      <c r="N142" s="84">
        <f t="shared" si="19"/>
        <v>8</v>
      </c>
      <c r="O142" s="84">
        <f t="shared" si="20"/>
        <v>80</v>
      </c>
      <c r="P142" s="84">
        <f>IF(TRIM($B142)="","",IFERROR(VLOOKUP($B142,'Section Data'!$B$36:$AC$107,5,FALSE)*VLOOKUP($B142,'Section Data'!$B$36:$AC$107,3,FALSE),""))</f>
        <v>18068.7</v>
      </c>
      <c r="Q142" s="84">
        <f t="shared" si="21"/>
        <v>3599.0292390727741</v>
      </c>
      <c r="R142" s="84">
        <f>'Steel Beam Design'!B4511</f>
        <v>55.624999999999993</v>
      </c>
      <c r="S142" s="84">
        <f t="shared" si="22"/>
        <v>0</v>
      </c>
      <c r="T142" s="84">
        <f>IF(TRIM($B142)="","",IFERROR(VLOOKUP($B142,'Section Data'!$B$36:$AC$107,20,FALSE),""))</f>
        <v>10880</v>
      </c>
      <c r="U142" s="84">
        <f>IF(TRIM($B142)="","",IFERROR(VLOOKUP($B142,'Section Data'!$B$36:$AC$107,21,FALSE),""))</f>
        <v>1014</v>
      </c>
      <c r="V142" s="84">
        <f>IF(TRIM($B142)="","",IFERROR(VLOOKUP($B142,'Section Data'!$B$36:$AC$107,22,FALSE),""))</f>
        <v>12570</v>
      </c>
      <c r="W142" s="84">
        <f>IF(TRIM($B142)="","",IFERROR(VLOOKUP($B142,'Section Data'!$B$36:$AC$107,23,FALSE),""))</f>
        <v>1601</v>
      </c>
      <c r="X142" s="84">
        <f>IF(TRIM($B142)="","",IFERROR((VLOOKUP($B142,'Section Data'!$B$36:$AC$107,5,FALSE)/10)*(VLOOKUP($B142,'Section Data'!$B$36:$AC$107,3,FALSE)/10)^2/4,""))</f>
        <v>4185.6143549999997</v>
      </c>
      <c r="Y142" s="84">
        <f>IF(TRIM($B142)="","",IFERROR((VLOOKUP($B142,'Section Data'!$B$36:$AC$107,3,FALSE)/10)*(VLOOKUP($B142,'Section Data'!$B$36:$AC$107,5,FALSE)/10)^2/4,""))</f>
        <v>88.084912499999987</v>
      </c>
      <c r="Z142" s="84">
        <f t="shared" si="23"/>
        <v>4336.6499999999996</v>
      </c>
      <c r="AA142" s="84">
        <f t="shared" si="24"/>
        <v>419.79599999999999</v>
      </c>
      <c r="AB142" s="86">
        <f t="shared" si="25"/>
        <v>4.0083503395478066E-2</v>
      </c>
      <c r="AC142" s="86">
        <f t="shared" si="26"/>
        <v>8.0983501652322556E-3</v>
      </c>
      <c r="AD142" s="1" t="b">
        <f>AND(ISNUMBER(AB142),ISNUMBER(AC142),AB142&gt;=0,AC142&gt;=0,AB142&lt;=0.95,AC142&lt;=0.95,ISNUMBER(D142),D142&gt;0,'Steel Beam Design'!$A$18="",C142="UC")</f>
        <v>0</v>
      </c>
      <c r="AE142" s="84">
        <f>'Steel Beam Design'!O27</f>
        <v>278.12499999999994</v>
      </c>
    </row>
    <row r="143" spans="1:31">
      <c r="A143" s="1" t="s">
        <v>443</v>
      </c>
      <c r="B143" s="1" t="str">
        <f>'Section Data'!B39</f>
        <v>914x305x253</v>
      </c>
      <c r="C143" s="1" t="s">
        <v>368</v>
      </c>
      <c r="D143" s="84">
        <f>'Section Data'!C39</f>
        <v>253.4</v>
      </c>
      <c r="E143" s="84">
        <f>'Section Data'!Q39</f>
        <v>436300</v>
      </c>
      <c r="F143" s="84">
        <f>'Steel Beam Design'!D7043</f>
        <v>173.82812499999994</v>
      </c>
      <c r="G143" s="84">
        <f>'Steel Beam Design'!D7067</f>
        <v>4083.1881533101036</v>
      </c>
      <c r="H143" s="84" t="str">
        <f>IF(TRIM($B143)="","",IFERROR('Steel Beam Design'!$D$7006,""))</f>
        <v>S355</v>
      </c>
      <c r="I143" s="84">
        <f>IF(TRIM($B143)="","",IFERROR(MAX(VLOOKUP($B143,'Section Data'!$B$36:$AC$107,5,FALSE),VLOOKUP($B143,'Section Data'!$B$36:$AC$107,6,FALSE)),""))</f>
        <v>27.9</v>
      </c>
      <c r="J143" s="84">
        <f>IF(TRIM($B143)="","",IFERROR(IF(I143&gt;150,"",INDEX('Section Data'!$AH$5:$AK$10,IF(I143&lt;=16,1,IF(I143&lt;=40,2,IF(I143&lt;=63,3,IF(I143&lt;=80,4,IF(I143&lt;=100,5,6))))),MATCH(H143,'Section Data'!$AH$4:$AK$4,0))),""))</f>
        <v>345</v>
      </c>
      <c r="K143" s="84">
        <f t="shared" si="18"/>
        <v>0.8928053815224023</v>
      </c>
      <c r="L143" s="84">
        <f>IF(TRIM($B143)="","",IFERROR(VLOOKUP($B143,'Section Data'!$B$36:$AC$107,9,FALSE),""))</f>
        <v>5.47</v>
      </c>
      <c r="M143" s="84">
        <f>IF(TRIM($B143)="","",IFERROR(VLOOKUP($B143,'Section Data'!$B$36:$AC$107,10,FALSE),""))</f>
        <v>47.7</v>
      </c>
      <c r="N143" s="84">
        <f t="shared" si="19"/>
        <v>8</v>
      </c>
      <c r="O143" s="84">
        <f t="shared" si="20"/>
        <v>80</v>
      </c>
      <c r="P143" s="84">
        <f>IF(TRIM($B143)="","",IFERROR(VLOOKUP($B143,'Section Data'!$B$36:$AC$107,5,FALSE)*VLOOKUP($B143,'Section Data'!$B$36:$AC$107,3,FALSE),""))</f>
        <v>15888.32</v>
      </c>
      <c r="Q143" s="84">
        <f t="shared" si="21"/>
        <v>3164.7284109949655</v>
      </c>
      <c r="R143" s="84">
        <f>'Steel Beam Design'!B4511</f>
        <v>55.624999999999993</v>
      </c>
      <c r="S143" s="84">
        <f t="shared" si="22"/>
        <v>0</v>
      </c>
      <c r="T143" s="84">
        <f>IF(TRIM($B143)="","",IFERROR(VLOOKUP($B143,'Section Data'!$B$36:$AC$107,20,FALSE),""))</f>
        <v>9501</v>
      </c>
      <c r="U143" s="84">
        <f>IF(TRIM($B143)="","",IFERROR(VLOOKUP($B143,'Section Data'!$B$36:$AC$107,21,FALSE),""))</f>
        <v>871</v>
      </c>
      <c r="V143" s="84">
        <f>IF(TRIM($B143)="","",IFERROR(VLOOKUP($B143,'Section Data'!$B$36:$AC$107,22,FALSE),""))</f>
        <v>10940</v>
      </c>
      <c r="W143" s="84">
        <f>IF(TRIM($B143)="","",IFERROR(VLOOKUP($B143,'Section Data'!$B$36:$AC$107,23,FALSE),""))</f>
        <v>1371</v>
      </c>
      <c r="X143" s="84">
        <f>IF(TRIM($B143)="","",IFERROR((VLOOKUP($B143,'Section Data'!$B$36:$AC$107,5,FALSE)/10)*(VLOOKUP($B143,'Section Data'!$B$36:$AC$107,3,FALSE)/10)^2/4,""))</f>
        <v>3647.9582720000003</v>
      </c>
      <c r="Y143" s="84">
        <f>IF(TRIM($B143)="","",IFERROR((VLOOKUP($B143,'Section Data'!$B$36:$AC$107,3,FALSE)/10)*(VLOOKUP($B143,'Section Data'!$B$36:$AC$107,5,FALSE)/10)^2/4,""))</f>
        <v>68.716984000000011</v>
      </c>
      <c r="Z143" s="84">
        <f t="shared" si="23"/>
        <v>3774.3</v>
      </c>
      <c r="AA143" s="84">
        <f t="shared" si="24"/>
        <v>360.59399999999999</v>
      </c>
      <c r="AB143" s="86">
        <f t="shared" si="25"/>
        <v>4.6055725565005416E-2</v>
      </c>
      <c r="AC143" s="86">
        <f t="shared" si="26"/>
        <v>9.3586709908551544E-3</v>
      </c>
      <c r="AD143" s="1" t="b">
        <f>AND(ISNUMBER(AB143),ISNUMBER(AC143),AB143&gt;=0,AC143&gt;=0,AB143&lt;=0.95,AC143&lt;=0.95,ISNUMBER(D143),D143&gt;0,'Steel Beam Design'!$A$18="",C143="UC")</f>
        <v>0</v>
      </c>
      <c r="AE143" s="84">
        <f>'Steel Beam Design'!O27</f>
        <v>278.12499999999994</v>
      </c>
    </row>
    <row r="144" spans="1:31">
      <c r="A144" s="1" t="s">
        <v>443</v>
      </c>
      <c r="B144" s="1" t="str">
        <f>'Section Data'!B40</f>
        <v>914x305x224</v>
      </c>
      <c r="C144" s="1" t="s">
        <v>368</v>
      </c>
      <c r="D144" s="84">
        <f>'Section Data'!C40</f>
        <v>224.2</v>
      </c>
      <c r="E144" s="84">
        <f>'Section Data'!Q40</f>
        <v>376400</v>
      </c>
      <c r="F144" s="84">
        <f>'Steel Beam Design'!D7043</f>
        <v>173.82812499999994</v>
      </c>
      <c r="G144" s="84">
        <f>'Steel Beam Design'!D7067</f>
        <v>4083.1881533101036</v>
      </c>
      <c r="H144" s="84" t="str">
        <f>IF(TRIM($B144)="","",IFERROR('Steel Beam Design'!$D$7006,""))</f>
        <v>S355</v>
      </c>
      <c r="I144" s="84">
        <f>IF(TRIM($B144)="","",IFERROR(MAX(VLOOKUP($B144,'Section Data'!$B$36:$AC$107,5,FALSE),VLOOKUP($B144,'Section Data'!$B$36:$AC$107,6,FALSE)),""))</f>
        <v>23.9</v>
      </c>
      <c r="J144" s="84">
        <f>IF(TRIM($B144)="","",IFERROR(IF(I144&gt;150,"",INDEX('Section Data'!$AH$5:$AK$10,IF(I144&lt;=16,1,IF(I144&lt;=40,2,IF(I144&lt;=63,3,IF(I144&lt;=80,4,IF(I144&lt;=100,5,6))))),MATCH(H144,'Section Data'!$AH$4:$AK$4,0))),""))</f>
        <v>345</v>
      </c>
      <c r="K144" s="84">
        <f t="shared" si="18"/>
        <v>0.8928053815224023</v>
      </c>
      <c r="L144" s="84">
        <f>IF(TRIM($B144)="","",IFERROR(VLOOKUP($B144,'Section Data'!$B$36:$AC$107,9,FALSE),""))</f>
        <v>6.36</v>
      </c>
      <c r="M144" s="84">
        <f>IF(TRIM($B144)="","",IFERROR(VLOOKUP($B144,'Section Data'!$B$36:$AC$107,10,FALSE),""))</f>
        <v>51.8</v>
      </c>
      <c r="N144" s="84">
        <f t="shared" si="19"/>
        <v>8</v>
      </c>
      <c r="O144" s="84">
        <f t="shared" si="20"/>
        <v>80</v>
      </c>
      <c r="P144" s="84">
        <f>IF(TRIM($B144)="","",IFERROR(VLOOKUP($B144,'Section Data'!$B$36:$AC$107,5,FALSE)*VLOOKUP($B144,'Section Data'!$B$36:$AC$107,3,FALSE),""))</f>
        <v>14475.36</v>
      </c>
      <c r="Q144" s="84">
        <f t="shared" si="21"/>
        <v>2883.2867824527762</v>
      </c>
      <c r="R144" s="84">
        <f>'Steel Beam Design'!B4511</f>
        <v>55.624999999999993</v>
      </c>
      <c r="S144" s="84">
        <f t="shared" si="22"/>
        <v>0</v>
      </c>
      <c r="T144" s="84">
        <f>IF(TRIM($B144)="","",IFERROR(VLOOKUP($B144,'Section Data'!$B$36:$AC$107,20,FALSE),""))</f>
        <v>8269</v>
      </c>
      <c r="U144" s="84">
        <f>IF(TRIM($B144)="","",IFERROR(VLOOKUP($B144,'Section Data'!$B$36:$AC$107,21,FALSE),""))</f>
        <v>739</v>
      </c>
      <c r="V144" s="84">
        <f>IF(TRIM($B144)="","",IFERROR(VLOOKUP($B144,'Section Data'!$B$36:$AC$107,22,FALSE),""))</f>
        <v>9535</v>
      </c>
      <c r="W144" s="84">
        <f>IF(TRIM($B144)="","",IFERROR(VLOOKUP($B144,'Section Data'!$B$36:$AC$107,23,FALSE),""))</f>
        <v>1163</v>
      </c>
      <c r="X144" s="84">
        <f>IF(TRIM($B144)="","",IFERROR((VLOOKUP($B144,'Section Data'!$B$36:$AC$107,5,FALSE)/10)*(VLOOKUP($B144,'Section Data'!$B$36:$AC$107,3,FALSE)/10)^2/4,""))</f>
        <v>3294.5919359999994</v>
      </c>
      <c r="Y144" s="84">
        <f>IF(TRIM($B144)="","",IFERROR((VLOOKUP($B144,'Section Data'!$B$36:$AC$107,3,FALSE)/10)*(VLOOKUP($B144,'Section Data'!$B$36:$AC$107,5,FALSE)/10)^2/4,""))</f>
        <v>57.539555999999997</v>
      </c>
      <c r="Z144" s="84">
        <f t="shared" si="23"/>
        <v>3289.5749999999998</v>
      </c>
      <c r="AA144" s="84">
        <f t="shared" si="24"/>
        <v>305.94600000000003</v>
      </c>
      <c r="AB144" s="86">
        <f t="shared" si="25"/>
        <v>5.2842122462628136E-2</v>
      </c>
      <c r="AC144" s="86">
        <f t="shared" si="26"/>
        <v>1.0848002532704844E-2</v>
      </c>
      <c r="AD144" s="1" t="b">
        <f>AND(ISNUMBER(AB144),ISNUMBER(AC144),AB144&gt;=0,AC144&gt;=0,AB144&lt;=0.95,AC144&lt;=0.95,ISNUMBER(D144),D144&gt;0,'Steel Beam Design'!$A$18="",C144="UC")</f>
        <v>0</v>
      </c>
      <c r="AE144" s="84">
        <f>'Steel Beam Design'!O27</f>
        <v>278.12499999999994</v>
      </c>
    </row>
    <row r="145" spans="1:31">
      <c r="A145" s="1" t="s">
        <v>443</v>
      </c>
      <c r="B145" s="1" t="str">
        <f>'Section Data'!B41</f>
        <v>914x305x201</v>
      </c>
      <c r="C145" s="1" t="s">
        <v>368</v>
      </c>
      <c r="D145" s="84">
        <f>'Section Data'!C41</f>
        <v>200.9</v>
      </c>
      <c r="E145" s="84">
        <f>'Section Data'!Q41</f>
        <v>325300</v>
      </c>
      <c r="F145" s="84">
        <f>'Steel Beam Design'!D7043</f>
        <v>173.82812499999994</v>
      </c>
      <c r="G145" s="84">
        <f>'Steel Beam Design'!D7067</f>
        <v>4083.1881533101036</v>
      </c>
      <c r="H145" s="84" t="str">
        <f>IF(TRIM($B145)="","",IFERROR('Steel Beam Design'!$D$7006,""))</f>
        <v>S355</v>
      </c>
      <c r="I145" s="84">
        <f>IF(TRIM($B145)="","",IFERROR(MAX(VLOOKUP($B145,'Section Data'!$B$36:$AC$107,5,FALSE),VLOOKUP($B145,'Section Data'!$B$36:$AC$107,6,FALSE)),""))</f>
        <v>20.2</v>
      </c>
      <c r="J145" s="84">
        <f>IF(TRIM($B145)="","",IFERROR(IF(I145&gt;150,"",INDEX('Section Data'!$AH$5:$AK$10,IF(I145&lt;=16,1,IF(I145&lt;=40,2,IF(I145&lt;=63,3,IF(I145&lt;=80,4,IF(I145&lt;=100,5,6))))),MATCH(H145,'Section Data'!$AH$4:$AK$4,0))),""))</f>
        <v>345</v>
      </c>
      <c r="K145" s="84">
        <f t="shared" si="18"/>
        <v>0.8928053815224023</v>
      </c>
      <c r="L145" s="84">
        <f>IF(TRIM($B145)="","",IFERROR(VLOOKUP($B145,'Section Data'!$B$36:$AC$107,9,FALSE),""))</f>
        <v>7.51</v>
      </c>
      <c r="M145" s="84">
        <f>IF(TRIM($B145)="","",IFERROR(VLOOKUP($B145,'Section Data'!$B$36:$AC$107,10,FALSE),""))</f>
        <v>54.6</v>
      </c>
      <c r="N145" s="84">
        <f t="shared" si="19"/>
        <v>9</v>
      </c>
      <c r="O145" s="84">
        <f t="shared" si="20"/>
        <v>80</v>
      </c>
      <c r="P145" s="84">
        <f>IF(TRIM($B145)="","",IFERROR(VLOOKUP($B145,'Section Data'!$B$36:$AC$107,5,FALSE)*VLOOKUP($B145,'Section Data'!$B$36:$AC$107,3,FALSE),""))</f>
        <v>13635.3</v>
      </c>
      <c r="Q145" s="84">
        <f t="shared" si="21"/>
        <v>2715.9587232910503</v>
      </c>
      <c r="R145" s="84">
        <f>'Steel Beam Design'!B4511</f>
        <v>55.624999999999993</v>
      </c>
      <c r="S145" s="84">
        <f t="shared" si="22"/>
        <v>0</v>
      </c>
      <c r="T145" s="84">
        <f>IF(TRIM($B145)="","",IFERROR(VLOOKUP($B145,'Section Data'!$B$36:$AC$107,20,FALSE),""))</f>
        <v>7204</v>
      </c>
      <c r="U145" s="84">
        <f>IF(TRIM($B145)="","",IFERROR(VLOOKUP($B145,'Section Data'!$B$36:$AC$107,21,FALSE),""))</f>
        <v>621</v>
      </c>
      <c r="V145" s="84">
        <f>IF(TRIM($B145)="","",IFERROR(VLOOKUP($B145,'Section Data'!$B$36:$AC$107,22,FALSE),""))</f>
        <v>8351</v>
      </c>
      <c r="W145" s="84">
        <f>IF(TRIM($B145)="","",IFERROR(VLOOKUP($B145,'Section Data'!$B$36:$AC$107,23,FALSE),""))</f>
        <v>982</v>
      </c>
      <c r="X145" s="84">
        <f>IF(TRIM($B145)="","",IFERROR((VLOOKUP($B145,'Section Data'!$B$36:$AC$107,5,FALSE)/10)*(VLOOKUP($B145,'Section Data'!$B$36:$AC$107,3,FALSE)/10)^2/4,""))</f>
        <v>3078.1689749999996</v>
      </c>
      <c r="Y145" s="84">
        <f>IF(TRIM($B145)="","",IFERROR((VLOOKUP($B145,'Section Data'!$B$36:$AC$107,3,FALSE)/10)*(VLOOKUP($B145,'Section Data'!$B$36:$AC$107,5,FALSE)/10)^2/4,""))</f>
        <v>51.473257499999995</v>
      </c>
      <c r="Z145" s="84">
        <f t="shared" si="23"/>
        <v>2881.0949999999998</v>
      </c>
      <c r="AA145" s="84">
        <f t="shared" si="24"/>
        <v>257.09399999999999</v>
      </c>
      <c r="AB145" s="86">
        <f t="shared" si="25"/>
        <v>6.0334048339259885E-2</v>
      </c>
      <c r="AC145" s="86">
        <f t="shared" si="26"/>
        <v>1.2552069330802655E-2</v>
      </c>
      <c r="AD145" s="1" t="b">
        <f>AND(ISNUMBER(AB145),ISNUMBER(AC145),AB145&gt;=0,AC145&gt;=0,AB145&lt;=0.95,AC145&lt;=0.95,ISNUMBER(D145),D145&gt;0,'Steel Beam Design'!$A$18="",C145="UC")</f>
        <v>0</v>
      </c>
      <c r="AE145" s="84">
        <f>'Steel Beam Design'!O27</f>
        <v>278.12499999999994</v>
      </c>
    </row>
    <row r="146" spans="1:31">
      <c r="A146" s="1" t="s">
        <v>443</v>
      </c>
      <c r="B146" s="1" t="str">
        <f>'Section Data'!B42</f>
        <v>838x292x226</v>
      </c>
      <c r="C146" s="1" t="s">
        <v>368</v>
      </c>
      <c r="D146" s="84">
        <f>'Section Data'!C42</f>
        <v>226.5</v>
      </c>
      <c r="E146" s="84">
        <f>'Section Data'!Q42</f>
        <v>339700</v>
      </c>
      <c r="F146" s="84">
        <f>'Steel Beam Design'!D7043</f>
        <v>173.82812499999994</v>
      </c>
      <c r="G146" s="84">
        <f>'Steel Beam Design'!D7067</f>
        <v>4083.1881533101036</v>
      </c>
      <c r="H146" s="84" t="str">
        <f>IF(TRIM($B146)="","",IFERROR('Steel Beam Design'!$D$7006,""))</f>
        <v>S355</v>
      </c>
      <c r="I146" s="84">
        <f>IF(TRIM($B146)="","",IFERROR(MAX(VLOOKUP($B146,'Section Data'!$B$36:$AC$107,5,FALSE),VLOOKUP($B146,'Section Data'!$B$36:$AC$107,6,FALSE)),""))</f>
        <v>26.8</v>
      </c>
      <c r="J146" s="84">
        <f>IF(TRIM($B146)="","",IFERROR(IF(I146&gt;150,"",INDEX('Section Data'!$AH$5:$AK$10,IF(I146&lt;=16,1,IF(I146&lt;=40,2,IF(I146&lt;=63,3,IF(I146&lt;=80,4,IF(I146&lt;=100,5,6))))),MATCH(H146,'Section Data'!$AH$4:$AK$4,0))),""))</f>
        <v>345</v>
      </c>
      <c r="K146" s="84">
        <f t="shared" si="18"/>
        <v>0.8928053815224023</v>
      </c>
      <c r="L146" s="84">
        <f>IF(TRIM($B146)="","",IFERROR(VLOOKUP($B146,'Section Data'!$B$36:$AC$107,9,FALSE),""))</f>
        <v>5.48</v>
      </c>
      <c r="M146" s="84">
        <f>IF(TRIM($B146)="","",IFERROR(VLOOKUP($B146,'Section Data'!$B$36:$AC$107,10,FALSE),""))</f>
        <v>47.3</v>
      </c>
      <c r="N146" s="84">
        <f t="shared" si="19"/>
        <v>8</v>
      </c>
      <c r="O146" s="84">
        <f t="shared" si="20"/>
        <v>80</v>
      </c>
      <c r="P146" s="84">
        <f>IF(TRIM($B146)="","",IFERROR(VLOOKUP($B146,'Section Data'!$B$36:$AC$107,5,FALSE)*VLOOKUP($B146,'Section Data'!$B$36:$AC$107,3,FALSE),""))</f>
        <v>13699.490000000002</v>
      </c>
      <c r="Q146" s="84">
        <f t="shared" si="21"/>
        <v>2728.7444625449025</v>
      </c>
      <c r="R146" s="84">
        <f>'Steel Beam Design'!B4511</f>
        <v>55.624999999999993</v>
      </c>
      <c r="S146" s="84">
        <f t="shared" si="22"/>
        <v>0</v>
      </c>
      <c r="T146" s="84">
        <f>IF(TRIM($B146)="","",IFERROR(VLOOKUP($B146,'Section Data'!$B$36:$AC$107,20,FALSE),""))</f>
        <v>7985</v>
      </c>
      <c r="U146" s="84">
        <f>IF(TRIM($B146)="","",IFERROR(VLOOKUP($B146,'Section Data'!$B$36:$AC$107,21,FALSE),""))</f>
        <v>773</v>
      </c>
      <c r="V146" s="84">
        <f>IF(TRIM($B146)="","",IFERROR(VLOOKUP($B146,'Section Data'!$B$36:$AC$107,22,FALSE),""))</f>
        <v>9155</v>
      </c>
      <c r="W146" s="84">
        <f>IF(TRIM($B146)="","",IFERROR(VLOOKUP($B146,'Section Data'!$B$36:$AC$107,23,FALSE),""))</f>
        <v>1212</v>
      </c>
      <c r="X146" s="84">
        <f>IF(TRIM($B146)="","",IFERROR((VLOOKUP($B146,'Section Data'!$B$36:$AC$107,5,FALSE)/10)*(VLOOKUP($B146,'Section Data'!$B$36:$AC$107,3,FALSE)/10)^2/4,""))</f>
        <v>2914.2240102500004</v>
      </c>
      <c r="Y146" s="84">
        <f>IF(TRIM($B146)="","",IFERROR((VLOOKUP($B146,'Section Data'!$B$36:$AC$107,3,FALSE)/10)*(VLOOKUP($B146,'Section Data'!$B$36:$AC$107,5,FALSE)/10)^2/4,""))</f>
        <v>55.140447250000008</v>
      </c>
      <c r="Z146" s="84">
        <f t="shared" si="23"/>
        <v>3158.4749999999999</v>
      </c>
      <c r="AA146" s="84">
        <f t="shared" si="24"/>
        <v>320.02199999999993</v>
      </c>
      <c r="AB146" s="86">
        <f t="shared" si="25"/>
        <v>5.5035460150863927E-2</v>
      </c>
      <c r="AC146" s="86">
        <f t="shared" si="26"/>
        <v>1.2019982788666776E-2</v>
      </c>
      <c r="AD146" s="1" t="b">
        <f>AND(ISNUMBER(AB146),ISNUMBER(AC146),AB146&gt;=0,AC146&gt;=0,AB146&lt;=0.95,AC146&lt;=0.95,ISNUMBER(D146),D146&gt;0,'Steel Beam Design'!$A$18="",C146="UC")</f>
        <v>0</v>
      </c>
      <c r="AE146" s="84">
        <f>'Steel Beam Design'!O27</f>
        <v>278.12499999999994</v>
      </c>
    </row>
    <row r="147" spans="1:31">
      <c r="A147" s="1" t="s">
        <v>443</v>
      </c>
      <c r="B147" s="1" t="str">
        <f>'Section Data'!B43</f>
        <v>838x292x194</v>
      </c>
      <c r="C147" s="1" t="s">
        <v>368</v>
      </c>
      <c r="D147" s="84">
        <f>'Section Data'!C43</f>
        <v>193.8</v>
      </c>
      <c r="E147" s="84">
        <f>'Section Data'!Q43</f>
        <v>279200</v>
      </c>
      <c r="F147" s="84">
        <f>'Steel Beam Design'!D7043</f>
        <v>173.82812499999994</v>
      </c>
      <c r="G147" s="84">
        <f>'Steel Beam Design'!D7067</f>
        <v>4083.1881533101036</v>
      </c>
      <c r="H147" s="84" t="str">
        <f>IF(TRIM($B147)="","",IFERROR('Steel Beam Design'!$D$7006,""))</f>
        <v>S355</v>
      </c>
      <c r="I147" s="84">
        <f>IF(TRIM($B147)="","",IFERROR(MAX(VLOOKUP($B147,'Section Data'!$B$36:$AC$107,5,FALSE),VLOOKUP($B147,'Section Data'!$B$36:$AC$107,6,FALSE)),""))</f>
        <v>21.7</v>
      </c>
      <c r="J147" s="84">
        <f>IF(TRIM($B147)="","",IFERROR(IF(I147&gt;150,"",INDEX('Section Data'!$AH$5:$AK$10,IF(I147&lt;=16,1,IF(I147&lt;=40,2,IF(I147&lt;=63,3,IF(I147&lt;=80,4,IF(I147&lt;=100,5,6))))),MATCH(H147,'Section Data'!$AH$4:$AK$4,0))),""))</f>
        <v>345</v>
      </c>
      <c r="K147" s="84">
        <f t="shared" si="18"/>
        <v>0.8928053815224023</v>
      </c>
      <c r="L147" s="84">
        <f>IF(TRIM($B147)="","",IFERROR(VLOOKUP($B147,'Section Data'!$B$36:$AC$107,9,FALSE),""))</f>
        <v>6.74</v>
      </c>
      <c r="M147" s="84">
        <f>IF(TRIM($B147)="","",IFERROR(VLOOKUP($B147,'Section Data'!$B$36:$AC$107,10,FALSE),""))</f>
        <v>51.8</v>
      </c>
      <c r="N147" s="84">
        <f t="shared" si="19"/>
        <v>8</v>
      </c>
      <c r="O147" s="84">
        <f t="shared" si="20"/>
        <v>80</v>
      </c>
      <c r="P147" s="84">
        <f>IF(TRIM($B147)="","",IFERROR(VLOOKUP($B147,'Section Data'!$B$36:$AC$107,5,FALSE)*VLOOKUP($B147,'Section Data'!$B$36:$AC$107,3,FALSE),""))</f>
        <v>12358.29</v>
      </c>
      <c r="Q147" s="84">
        <f t="shared" si="21"/>
        <v>2461.5964100870942</v>
      </c>
      <c r="R147" s="84">
        <f>'Steel Beam Design'!B4511</f>
        <v>55.624999999999993</v>
      </c>
      <c r="S147" s="84">
        <f t="shared" si="22"/>
        <v>0</v>
      </c>
      <c r="T147" s="84">
        <f>IF(TRIM($B147)="","",IFERROR(VLOOKUP($B147,'Section Data'!$B$36:$AC$107,20,FALSE),""))</f>
        <v>6641</v>
      </c>
      <c r="U147" s="84">
        <f>IF(TRIM($B147)="","",IFERROR(VLOOKUP($B147,'Section Data'!$B$36:$AC$107,21,FALSE),""))</f>
        <v>620</v>
      </c>
      <c r="V147" s="84">
        <f>IF(TRIM($B147)="","",IFERROR(VLOOKUP($B147,'Section Data'!$B$36:$AC$107,22,FALSE),""))</f>
        <v>7640</v>
      </c>
      <c r="W147" s="84">
        <f>IF(TRIM($B147)="","",IFERROR(VLOOKUP($B147,'Section Data'!$B$36:$AC$107,23,FALSE),""))</f>
        <v>974</v>
      </c>
      <c r="X147" s="84">
        <f>IF(TRIM($B147)="","",IFERROR((VLOOKUP($B147,'Section Data'!$B$36:$AC$107,5,FALSE)/10)*(VLOOKUP($B147,'Section Data'!$B$36:$AC$107,3,FALSE)/10)^2/4,""))</f>
        <v>2597.4036007500004</v>
      </c>
      <c r="Y147" s="84">
        <f>IF(TRIM($B147)="","",IFERROR((VLOOKUP($B147,'Section Data'!$B$36:$AC$107,3,FALSE)/10)*(VLOOKUP($B147,'Section Data'!$B$36:$AC$107,5,FALSE)/10)^2/4,""))</f>
        <v>45.416715750000002</v>
      </c>
      <c r="Z147" s="84">
        <f t="shared" si="23"/>
        <v>2635.8</v>
      </c>
      <c r="AA147" s="84">
        <f t="shared" si="24"/>
        <v>256.68</v>
      </c>
      <c r="AB147" s="86">
        <f t="shared" si="25"/>
        <v>6.5948905455649118E-2</v>
      </c>
      <c r="AC147" s="86">
        <f t="shared" si="26"/>
        <v>1.462459940297315E-2</v>
      </c>
      <c r="AD147" s="1" t="b">
        <f>AND(ISNUMBER(AB147),ISNUMBER(AC147),AB147&gt;=0,AC147&gt;=0,AB147&lt;=0.95,AC147&lt;=0.95,ISNUMBER(D147),D147&gt;0,'Steel Beam Design'!$A$18="",C147="UC")</f>
        <v>0</v>
      </c>
      <c r="AE147" s="84">
        <f>'Steel Beam Design'!O27</f>
        <v>278.12499999999994</v>
      </c>
    </row>
    <row r="148" spans="1:31">
      <c r="A148" s="1" t="s">
        <v>443</v>
      </c>
      <c r="B148" s="1" t="str">
        <f>'Section Data'!B44</f>
        <v>838x292x176</v>
      </c>
      <c r="C148" s="1" t="s">
        <v>368</v>
      </c>
      <c r="D148" s="84">
        <f>'Section Data'!C44</f>
        <v>175.9</v>
      </c>
      <c r="E148" s="84">
        <f>'Section Data'!Q44</f>
        <v>246000</v>
      </c>
      <c r="F148" s="84">
        <f>'Steel Beam Design'!D7043</f>
        <v>173.82812499999994</v>
      </c>
      <c r="G148" s="84">
        <f>'Steel Beam Design'!D7067</f>
        <v>4083.1881533101036</v>
      </c>
      <c r="H148" s="84" t="str">
        <f>IF(TRIM($B148)="","",IFERROR('Steel Beam Design'!$D$7006,""))</f>
        <v>S355</v>
      </c>
      <c r="I148" s="84">
        <f>IF(TRIM($B148)="","",IFERROR(MAX(VLOOKUP($B148,'Section Data'!$B$36:$AC$107,5,FALSE),VLOOKUP($B148,'Section Data'!$B$36:$AC$107,6,FALSE)),""))</f>
        <v>18.8</v>
      </c>
      <c r="J148" s="84">
        <f>IF(TRIM($B148)="","",IFERROR(IF(I148&gt;150,"",INDEX('Section Data'!$AH$5:$AK$10,IF(I148&lt;=16,1,IF(I148&lt;=40,2,IF(I148&lt;=63,3,IF(I148&lt;=80,4,IF(I148&lt;=100,5,6))))),MATCH(H148,'Section Data'!$AH$4:$AK$4,0))),""))</f>
        <v>345</v>
      </c>
      <c r="K148" s="84">
        <f t="shared" si="18"/>
        <v>0.8928053815224023</v>
      </c>
      <c r="L148" s="84">
        <f>IF(TRIM($B148)="","",IFERROR(VLOOKUP($B148,'Section Data'!$B$36:$AC$107,9,FALSE),""))</f>
        <v>7.76</v>
      </c>
      <c r="M148" s="84">
        <f>IF(TRIM($B148)="","",IFERROR(VLOOKUP($B148,'Section Data'!$B$36:$AC$107,10,FALSE),""))</f>
        <v>54.4</v>
      </c>
      <c r="N148" s="84">
        <f t="shared" si="19"/>
        <v>9</v>
      </c>
      <c r="O148" s="84">
        <f t="shared" si="20"/>
        <v>80</v>
      </c>
      <c r="P148" s="84">
        <f>IF(TRIM($B148)="","",IFERROR(VLOOKUP($B148,'Section Data'!$B$36:$AC$107,5,FALSE)*VLOOKUP($B148,'Section Data'!$B$36:$AC$107,3,FALSE),""))</f>
        <v>11688.6</v>
      </c>
      <c r="Q148" s="84">
        <f t="shared" si="21"/>
        <v>2328.203642975202</v>
      </c>
      <c r="R148" s="84">
        <f>'Steel Beam Design'!B4511</f>
        <v>55.624999999999993</v>
      </c>
      <c r="S148" s="84">
        <f t="shared" si="22"/>
        <v>0</v>
      </c>
      <c r="T148" s="84">
        <f>IF(TRIM($B148)="","",IFERROR(VLOOKUP($B148,'Section Data'!$B$36:$AC$107,20,FALSE),""))</f>
        <v>5893</v>
      </c>
      <c r="U148" s="84">
        <f>IF(TRIM($B148)="","",IFERROR(VLOOKUP($B148,'Section Data'!$B$36:$AC$107,21,FALSE),""))</f>
        <v>535</v>
      </c>
      <c r="V148" s="84">
        <f>IF(TRIM($B148)="","",IFERROR(VLOOKUP($B148,'Section Data'!$B$36:$AC$107,22,FALSE),""))</f>
        <v>6808</v>
      </c>
      <c r="W148" s="84">
        <f>IF(TRIM($B148)="","",IFERROR(VLOOKUP($B148,'Section Data'!$B$36:$AC$107,23,FALSE),""))</f>
        <v>842</v>
      </c>
      <c r="X148" s="84">
        <f>IF(TRIM($B148)="","",IFERROR((VLOOKUP($B148,'Section Data'!$B$36:$AC$107,5,FALSE)/10)*(VLOOKUP($B148,'Section Data'!$B$36:$AC$107,3,FALSE)/10)^2/4,""))</f>
        <v>2439.7030349999995</v>
      </c>
      <c r="Y148" s="84">
        <f>IF(TRIM($B148)="","",IFERROR((VLOOKUP($B148,'Section Data'!$B$36:$AC$107,3,FALSE)/10)*(VLOOKUP($B148,'Section Data'!$B$36:$AC$107,5,FALSE)/10)^2/4,""))</f>
        <v>40.910099999999993</v>
      </c>
      <c r="Z148" s="84">
        <f t="shared" si="23"/>
        <v>2348.7600000000002</v>
      </c>
      <c r="AA148" s="84">
        <f t="shared" si="24"/>
        <v>221.49</v>
      </c>
      <c r="AB148" s="86">
        <f t="shared" si="25"/>
        <v>7.4008466169382961E-2</v>
      </c>
      <c r="AC148" s="86">
        <f t="shared" si="26"/>
        <v>1.6598325826463835E-2</v>
      </c>
      <c r="AD148" s="1" t="b">
        <f>AND(ISNUMBER(AB148),ISNUMBER(AC148),AB148&gt;=0,AC148&gt;=0,AB148&lt;=0.95,AC148&lt;=0.95,ISNUMBER(D148),D148&gt;0,'Steel Beam Design'!$A$18="",C148="UC")</f>
        <v>0</v>
      </c>
      <c r="AE148" s="84">
        <f>'Steel Beam Design'!O27</f>
        <v>278.12499999999994</v>
      </c>
    </row>
    <row r="149" spans="1:31">
      <c r="A149" s="1" t="s">
        <v>443</v>
      </c>
      <c r="B149" s="1" t="str">
        <f>'Section Data'!B45</f>
        <v>762x267x197</v>
      </c>
      <c r="C149" s="1" t="s">
        <v>368</v>
      </c>
      <c r="D149" s="84">
        <f>'Section Data'!C45</f>
        <v>196.8</v>
      </c>
      <c r="E149" s="84">
        <f>'Section Data'!Q45</f>
        <v>240000</v>
      </c>
      <c r="F149" s="84">
        <f>'Steel Beam Design'!D7043</f>
        <v>173.82812499999994</v>
      </c>
      <c r="G149" s="84">
        <f>'Steel Beam Design'!D7067</f>
        <v>4083.1881533101036</v>
      </c>
      <c r="H149" s="84" t="str">
        <f>IF(TRIM($B149)="","",IFERROR('Steel Beam Design'!$D$7006,""))</f>
        <v>S355</v>
      </c>
      <c r="I149" s="84">
        <f>IF(TRIM($B149)="","",IFERROR(MAX(VLOOKUP($B149,'Section Data'!$B$36:$AC$107,5,FALSE),VLOOKUP($B149,'Section Data'!$B$36:$AC$107,6,FALSE)),""))</f>
        <v>25.4</v>
      </c>
      <c r="J149" s="84">
        <f>IF(TRIM($B149)="","",IFERROR(IF(I149&gt;150,"",INDEX('Section Data'!$AH$5:$AK$10,IF(I149&lt;=16,1,IF(I149&lt;=40,2,IF(I149&lt;=63,3,IF(I149&lt;=80,4,IF(I149&lt;=100,5,6))))),MATCH(H149,'Section Data'!$AH$4:$AK$4,0))),""))</f>
        <v>345</v>
      </c>
      <c r="K149" s="84">
        <f t="shared" si="18"/>
        <v>0.8928053815224023</v>
      </c>
      <c r="L149" s="84">
        <f>IF(TRIM($B149)="","",IFERROR(VLOOKUP($B149,'Section Data'!$B$36:$AC$107,9,FALSE),""))</f>
        <v>5.28</v>
      </c>
      <c r="M149" s="84">
        <f>IF(TRIM($B149)="","",IFERROR(VLOOKUP($B149,'Section Data'!$B$36:$AC$107,10,FALSE),""))</f>
        <v>44</v>
      </c>
      <c r="N149" s="84">
        <f t="shared" si="19"/>
        <v>8</v>
      </c>
      <c r="O149" s="84">
        <f t="shared" si="20"/>
        <v>80</v>
      </c>
      <c r="P149" s="84">
        <f>IF(TRIM($B149)="","",IFERROR(VLOOKUP($B149,'Section Data'!$B$36:$AC$107,5,FALSE)*VLOOKUP($B149,'Section Data'!$B$36:$AC$107,3,FALSE),""))</f>
        <v>12008.88</v>
      </c>
      <c r="Q149" s="84">
        <f t="shared" si="21"/>
        <v>2391.9988847297395</v>
      </c>
      <c r="R149" s="84">
        <f>'Steel Beam Design'!B4511</f>
        <v>55.624999999999993</v>
      </c>
      <c r="S149" s="84">
        <f t="shared" si="22"/>
        <v>0</v>
      </c>
      <c r="T149" s="84">
        <f>IF(TRIM($B149)="","",IFERROR(VLOOKUP($B149,'Section Data'!$B$36:$AC$107,20,FALSE),""))</f>
        <v>6234</v>
      </c>
      <c r="U149" s="84">
        <f>IF(TRIM($B149)="","",IFERROR(VLOOKUP($B149,'Section Data'!$B$36:$AC$107,21,FALSE),""))</f>
        <v>610</v>
      </c>
      <c r="V149" s="84">
        <f>IF(TRIM($B149)="","",IFERROR(VLOOKUP($B149,'Section Data'!$B$36:$AC$107,22,FALSE),""))</f>
        <v>7167</v>
      </c>
      <c r="W149" s="84">
        <f>IF(TRIM($B149)="","",IFERROR(VLOOKUP($B149,'Section Data'!$B$36:$AC$107,23,FALSE),""))</f>
        <v>959</v>
      </c>
      <c r="X149" s="84">
        <f>IF(TRIM($B149)="","",IFERROR((VLOOKUP($B149,'Section Data'!$B$36:$AC$107,5,FALSE)/10)*(VLOOKUP($B149,'Section Data'!$B$36:$AC$107,3,FALSE)/10)^2/4,""))</f>
        <v>2311.1089559999996</v>
      </c>
      <c r="Y149" s="84">
        <f>IF(TRIM($B149)="","",IFERROR((VLOOKUP($B149,'Section Data'!$B$36:$AC$107,3,FALSE)/10)*(VLOOKUP($B149,'Section Data'!$B$36:$AC$107,5,FALSE)/10)^2/4,""))</f>
        <v>46.834631999999999</v>
      </c>
      <c r="Z149" s="84">
        <f t="shared" si="23"/>
        <v>2472.6149999999998</v>
      </c>
      <c r="AA149" s="84">
        <f t="shared" si="24"/>
        <v>252.54</v>
      </c>
      <c r="AB149" s="86">
        <f t="shared" si="25"/>
        <v>7.0301330777334914E-2</v>
      </c>
      <c r="AC149" s="86">
        <f t="shared" si="26"/>
        <v>1.7013283972125433E-2</v>
      </c>
      <c r="AD149" s="1" t="b">
        <f>AND(ISNUMBER(AB149),ISNUMBER(AC149),AB149&gt;=0,AC149&gt;=0,AB149&lt;=0.95,AC149&lt;=0.95,ISNUMBER(D149),D149&gt;0,'Steel Beam Design'!$A$18="",C149="UC")</f>
        <v>0</v>
      </c>
      <c r="AE149" s="84">
        <f>'Steel Beam Design'!O27</f>
        <v>278.12499999999994</v>
      </c>
    </row>
    <row r="150" spans="1:31">
      <c r="A150" s="1" t="s">
        <v>443</v>
      </c>
      <c r="B150" s="1" t="str">
        <f>'Section Data'!B46</f>
        <v>762x267x173</v>
      </c>
      <c r="C150" s="1" t="s">
        <v>368</v>
      </c>
      <c r="D150" s="84">
        <f>'Section Data'!C46</f>
        <v>173</v>
      </c>
      <c r="E150" s="84">
        <f>'Section Data'!Q46</f>
        <v>205300</v>
      </c>
      <c r="F150" s="84">
        <f>'Steel Beam Design'!D7043</f>
        <v>173.82812499999994</v>
      </c>
      <c r="G150" s="84">
        <f>'Steel Beam Design'!D7067</f>
        <v>4083.1881533101036</v>
      </c>
      <c r="H150" s="84" t="str">
        <f>IF(TRIM($B150)="","",IFERROR('Steel Beam Design'!$D$7006,""))</f>
        <v>S355</v>
      </c>
      <c r="I150" s="84">
        <f>IF(TRIM($B150)="","",IFERROR(MAX(VLOOKUP($B150,'Section Data'!$B$36:$AC$107,5,FALSE),VLOOKUP($B150,'Section Data'!$B$36:$AC$107,6,FALSE)),""))</f>
        <v>21.6</v>
      </c>
      <c r="J150" s="84">
        <f>IF(TRIM($B150)="","",IFERROR(IF(I150&gt;150,"",INDEX('Section Data'!$AH$5:$AK$10,IF(I150&lt;=16,1,IF(I150&lt;=40,2,IF(I150&lt;=63,3,IF(I150&lt;=80,4,IF(I150&lt;=100,5,6))))),MATCH(H150,'Section Data'!$AH$4:$AK$4,0))),""))</f>
        <v>345</v>
      </c>
      <c r="K150" s="84">
        <f t="shared" si="18"/>
        <v>0.8928053815224023</v>
      </c>
      <c r="L150" s="84">
        <f>IF(TRIM($B150)="","",IFERROR(VLOOKUP($B150,'Section Data'!$B$36:$AC$107,9,FALSE),""))</f>
        <v>6.17</v>
      </c>
      <c r="M150" s="84">
        <f>IF(TRIM($B150)="","",IFERROR(VLOOKUP($B150,'Section Data'!$B$36:$AC$107,10,FALSE),""))</f>
        <v>48</v>
      </c>
      <c r="N150" s="84">
        <f t="shared" si="19"/>
        <v>8</v>
      </c>
      <c r="O150" s="84">
        <f t="shared" si="20"/>
        <v>80</v>
      </c>
      <c r="P150" s="84">
        <f>IF(TRIM($B150)="","",IFERROR(VLOOKUP($B150,'Section Data'!$B$36:$AC$107,5,FALSE)*VLOOKUP($B150,'Section Data'!$B$36:$AC$107,3,FALSE),""))</f>
        <v>10899.460000000001</v>
      </c>
      <c r="Q150" s="84">
        <f t="shared" si="21"/>
        <v>2171.018126932438</v>
      </c>
      <c r="R150" s="84">
        <f>'Steel Beam Design'!B4511</f>
        <v>55.624999999999993</v>
      </c>
      <c r="S150" s="84">
        <f t="shared" si="22"/>
        <v>0</v>
      </c>
      <c r="T150" s="84">
        <f>IF(TRIM($B150)="","",IFERROR(VLOOKUP($B150,'Section Data'!$B$36:$AC$107,20,FALSE),""))</f>
        <v>5387</v>
      </c>
      <c r="U150" s="84">
        <f>IF(TRIM($B150)="","",IFERROR(VLOOKUP($B150,'Section Data'!$B$36:$AC$107,21,FALSE),""))</f>
        <v>514</v>
      </c>
      <c r="V150" s="84">
        <f>IF(TRIM($B150)="","",IFERROR(VLOOKUP($B150,'Section Data'!$B$36:$AC$107,22,FALSE),""))</f>
        <v>6198</v>
      </c>
      <c r="W150" s="84">
        <f>IF(TRIM($B150)="","",IFERROR(VLOOKUP($B150,'Section Data'!$B$36:$AC$107,23,FALSE),""))</f>
        <v>807</v>
      </c>
      <c r="X150" s="84">
        <f>IF(TRIM($B150)="","",IFERROR((VLOOKUP($B150,'Section Data'!$B$36:$AC$107,5,FALSE)/10)*(VLOOKUP($B150,'Section Data'!$B$36:$AC$107,3,FALSE)/10)^2/4,""))</f>
        <v>2076.8921030000001</v>
      </c>
      <c r="Y150" s="84">
        <f>IF(TRIM($B150)="","",IFERROR((VLOOKUP($B150,'Section Data'!$B$36:$AC$107,3,FALSE)/10)*(VLOOKUP($B150,'Section Data'!$B$36:$AC$107,5,FALSE)/10)^2/4,""))</f>
        <v>38.965569500000008</v>
      </c>
      <c r="Z150" s="84">
        <f t="shared" si="23"/>
        <v>2138.31</v>
      </c>
      <c r="AA150" s="84">
        <f t="shared" si="24"/>
        <v>212.79599999999996</v>
      </c>
      <c r="AB150" s="86">
        <f t="shared" si="25"/>
        <v>8.1292293914352901E-2</v>
      </c>
      <c r="AC150" s="86">
        <f t="shared" si="26"/>
        <v>1.9888885305943026E-2</v>
      </c>
      <c r="AD150" s="1" t="b">
        <f>AND(ISNUMBER(AB150),ISNUMBER(AC150),AB150&gt;=0,AC150&gt;=0,AB150&lt;=0.95,AC150&lt;=0.95,ISNUMBER(D150),D150&gt;0,'Steel Beam Design'!$A$18="",C150="UC")</f>
        <v>0</v>
      </c>
      <c r="AE150" s="84">
        <f>'Steel Beam Design'!O27</f>
        <v>278.12499999999994</v>
      </c>
    </row>
    <row r="151" spans="1:31">
      <c r="A151" s="1" t="s">
        <v>443</v>
      </c>
      <c r="B151" s="1" t="str">
        <f>'Section Data'!B47</f>
        <v>762x267x147</v>
      </c>
      <c r="C151" s="1" t="s">
        <v>368</v>
      </c>
      <c r="D151" s="84">
        <f>'Section Data'!C47</f>
        <v>146.9</v>
      </c>
      <c r="E151" s="84">
        <f>'Section Data'!Q47</f>
        <v>168500</v>
      </c>
      <c r="F151" s="84">
        <f>'Steel Beam Design'!D7043</f>
        <v>173.82812499999994</v>
      </c>
      <c r="G151" s="84">
        <f>'Steel Beam Design'!D7067</f>
        <v>4083.1881533101036</v>
      </c>
      <c r="H151" s="84" t="str">
        <f>IF(TRIM($B151)="","",IFERROR('Steel Beam Design'!$D$7006,""))</f>
        <v>S355</v>
      </c>
      <c r="I151" s="84">
        <f>IF(TRIM($B151)="","",IFERROR(MAX(VLOOKUP($B151,'Section Data'!$B$36:$AC$107,5,FALSE),VLOOKUP($B151,'Section Data'!$B$36:$AC$107,6,FALSE)),""))</f>
        <v>17.5</v>
      </c>
      <c r="J151" s="84">
        <f>IF(TRIM($B151)="","",IFERROR(IF(I151&gt;150,"",INDEX('Section Data'!$AH$5:$AK$10,IF(I151&lt;=16,1,IF(I151&lt;=40,2,IF(I151&lt;=63,3,IF(I151&lt;=80,4,IF(I151&lt;=100,5,6))))),MATCH(H151,'Section Data'!$AH$4:$AK$4,0))),""))</f>
        <v>345</v>
      </c>
      <c r="K151" s="84">
        <f t="shared" si="18"/>
        <v>0.8928053815224023</v>
      </c>
      <c r="L151" s="84">
        <f>IF(TRIM($B151)="","",IFERROR(VLOOKUP($B151,'Section Data'!$B$36:$AC$107,9,FALSE),""))</f>
        <v>7.58</v>
      </c>
      <c r="M151" s="84">
        <f>IF(TRIM($B151)="","",IFERROR(VLOOKUP($B151,'Section Data'!$B$36:$AC$107,10,FALSE),""))</f>
        <v>53.6</v>
      </c>
      <c r="N151" s="84">
        <f t="shared" si="19"/>
        <v>9</v>
      </c>
      <c r="O151" s="84">
        <f t="shared" si="20"/>
        <v>80</v>
      </c>
      <c r="P151" s="84">
        <f>IF(TRIM($B151)="","",IFERROR(VLOOKUP($B151,'Section Data'!$B$36:$AC$107,5,FALSE)*VLOOKUP($B151,'Section Data'!$B$36:$AC$107,3,FALSE),""))</f>
        <v>9651.2000000000007</v>
      </c>
      <c r="Q151" s="84">
        <f t="shared" si="21"/>
        <v>1922.3824067110065</v>
      </c>
      <c r="R151" s="84">
        <f>'Steel Beam Design'!B4511</f>
        <v>55.624999999999993</v>
      </c>
      <c r="S151" s="84">
        <f t="shared" si="22"/>
        <v>0</v>
      </c>
      <c r="T151" s="84">
        <f>IF(TRIM($B151)="","",IFERROR(VLOOKUP($B151,'Section Data'!$B$36:$AC$107,20,FALSE),""))</f>
        <v>4470</v>
      </c>
      <c r="U151" s="84">
        <f>IF(TRIM($B151)="","",IFERROR(VLOOKUP($B151,'Section Data'!$B$36:$AC$107,21,FALSE),""))</f>
        <v>411</v>
      </c>
      <c r="V151" s="84">
        <f>IF(TRIM($B151)="","",IFERROR(VLOOKUP($B151,'Section Data'!$B$36:$AC$107,22,FALSE),""))</f>
        <v>5156</v>
      </c>
      <c r="W151" s="84">
        <f>IF(TRIM($B151)="","",IFERROR(VLOOKUP($B151,'Section Data'!$B$36:$AC$107,23,FALSE),""))</f>
        <v>647</v>
      </c>
      <c r="X151" s="84">
        <f>IF(TRIM($B151)="","",IFERROR((VLOOKUP($B151,'Section Data'!$B$36:$AC$107,5,FALSE)/10)*(VLOOKUP($B151,'Section Data'!$B$36:$AC$107,3,FALSE)/10)^2/4,""))</f>
        <v>1819.2512000000004</v>
      </c>
      <c r="Y151" s="84">
        <f>IF(TRIM($B151)="","",IFERROR((VLOOKUP($B151,'Section Data'!$B$36:$AC$107,3,FALSE)/10)*(VLOOKUP($B151,'Section Data'!$B$36:$AC$107,5,FALSE)/10)^2/4,""))</f>
        <v>30.883840000000003</v>
      </c>
      <c r="Z151" s="84">
        <f t="shared" si="23"/>
        <v>1778.82</v>
      </c>
      <c r="AA151" s="84">
        <f t="shared" si="24"/>
        <v>170.154</v>
      </c>
      <c r="AB151" s="86">
        <f t="shared" si="25"/>
        <v>9.7721031357866417E-2</v>
      </c>
      <c r="AC151" s="86">
        <f t="shared" si="26"/>
        <v>2.4232570642789934E-2</v>
      </c>
      <c r="AD151" s="1" t="b">
        <f>AND(ISNUMBER(AB151),ISNUMBER(AC151),AB151&gt;=0,AC151&gt;=0,AB151&lt;=0.95,AC151&lt;=0.95,ISNUMBER(D151),D151&gt;0,'Steel Beam Design'!$A$18="",C151="UC")</f>
        <v>0</v>
      </c>
      <c r="AE151" s="84">
        <f>'Steel Beam Design'!O27</f>
        <v>278.12499999999994</v>
      </c>
    </row>
    <row r="152" spans="1:31">
      <c r="A152" s="1" t="s">
        <v>443</v>
      </c>
      <c r="B152" s="1" t="str">
        <f>'Section Data'!B48</f>
        <v>762x267x134</v>
      </c>
      <c r="C152" s="1" t="s">
        <v>368</v>
      </c>
      <c r="D152" s="84">
        <f>'Section Data'!C48</f>
        <v>133.9</v>
      </c>
      <c r="E152" s="84">
        <f>'Section Data'!Q48</f>
        <v>150700</v>
      </c>
      <c r="F152" s="84">
        <f>'Steel Beam Design'!D7043</f>
        <v>173.82812499999994</v>
      </c>
      <c r="G152" s="84">
        <f>'Steel Beam Design'!D7067</f>
        <v>4083.1881533101036</v>
      </c>
      <c r="H152" s="84" t="str">
        <f>IF(TRIM($B152)="","",IFERROR('Steel Beam Design'!$D$7006,""))</f>
        <v>S355</v>
      </c>
      <c r="I152" s="84">
        <f>IF(TRIM($B152)="","",IFERROR(MAX(VLOOKUP($B152,'Section Data'!$B$36:$AC$107,5,FALSE),VLOOKUP($B152,'Section Data'!$B$36:$AC$107,6,FALSE)),""))</f>
        <v>15.5</v>
      </c>
      <c r="J152" s="84">
        <f>IF(TRIM($B152)="","",IFERROR(IF(I152&gt;150,"",INDEX('Section Data'!$AH$5:$AK$10,IF(I152&lt;=16,1,IF(I152&lt;=40,2,IF(I152&lt;=63,3,IF(I152&lt;=80,4,IF(I152&lt;=100,5,6))))),MATCH(H152,'Section Data'!$AH$4:$AK$4,0))),""))</f>
        <v>355</v>
      </c>
      <c r="K152" s="84">
        <f t="shared" si="18"/>
        <v>0.88014083380101371</v>
      </c>
      <c r="L152" s="84">
        <f>IF(TRIM($B152)="","",IFERROR(VLOOKUP($B152,'Section Data'!$B$36:$AC$107,9,FALSE),""))</f>
        <v>8.5299999999999994</v>
      </c>
      <c r="M152" s="84">
        <f>IF(TRIM($B152)="","",IFERROR(VLOOKUP($B152,'Section Data'!$B$36:$AC$107,10,FALSE),""))</f>
        <v>57.2</v>
      </c>
      <c r="N152" s="84">
        <f t="shared" si="19"/>
        <v>13</v>
      </c>
      <c r="O152" s="84">
        <f t="shared" si="20"/>
        <v>80</v>
      </c>
      <c r="P152" s="84">
        <f>IF(TRIM($B152)="","",IFERROR(VLOOKUP($B152,'Section Data'!$B$36:$AC$107,5,FALSE)*VLOOKUP($B152,'Section Data'!$B$36:$AC$107,3,FALSE),""))</f>
        <v>9000</v>
      </c>
      <c r="Q152" s="84">
        <f t="shared" si="21"/>
        <v>1844.6341100608543</v>
      </c>
      <c r="R152" s="84">
        <f>'Steel Beam Design'!B4511</f>
        <v>55.624999999999993</v>
      </c>
      <c r="S152" s="84">
        <f t="shared" si="22"/>
        <v>0</v>
      </c>
      <c r="T152" s="84">
        <f>IF(TRIM($B152)="","",IFERROR(VLOOKUP($B152,'Section Data'!$B$36:$AC$107,20,FALSE),""))</f>
        <v>4018</v>
      </c>
      <c r="U152" s="84">
        <f>IF(TRIM($B152)="","",IFERROR(VLOOKUP($B152,'Section Data'!$B$36:$AC$107,21,FALSE),""))</f>
        <v>362</v>
      </c>
      <c r="V152" s="84">
        <f>IF(TRIM($B152)="","",IFERROR(VLOOKUP($B152,'Section Data'!$B$36:$AC$107,22,FALSE),""))</f>
        <v>4644</v>
      </c>
      <c r="W152" s="84">
        <f>IF(TRIM($B152)="","",IFERROR(VLOOKUP($B152,'Section Data'!$B$36:$AC$107,23,FALSE),""))</f>
        <v>540</v>
      </c>
      <c r="X152" s="84">
        <f>IF(TRIM($B152)="","",IFERROR((VLOOKUP($B152,'Section Data'!$B$36:$AC$107,5,FALSE)/10)*(VLOOKUP($B152,'Section Data'!$B$36:$AC$107,3,FALSE)/10)^2/4,""))</f>
        <v>1687.5</v>
      </c>
      <c r="Y152" s="84">
        <f>IF(TRIM($B152)="","",IFERROR((VLOOKUP($B152,'Section Data'!$B$36:$AC$107,3,FALSE)/10)*(VLOOKUP($B152,'Section Data'!$B$36:$AC$107,5,FALSE)/10)^2/4,""))</f>
        <v>27</v>
      </c>
      <c r="Z152" s="84">
        <f t="shared" si="23"/>
        <v>1426.39</v>
      </c>
      <c r="AA152" s="84">
        <f t="shared" si="24"/>
        <v>128.51</v>
      </c>
      <c r="AB152" s="86">
        <f t="shared" si="25"/>
        <v>0.12186577654077772</v>
      </c>
      <c r="AC152" s="86">
        <f t="shared" si="26"/>
        <v>2.7094811899867975E-2</v>
      </c>
      <c r="AD152" s="1" t="b">
        <f>AND(ISNUMBER(AB152),ISNUMBER(AC152),AB152&gt;=0,AC152&gt;=0,AB152&lt;=0.95,AC152&lt;=0.95,ISNUMBER(D152),D152&gt;0,'Steel Beam Design'!$A$18="",C152="UC")</f>
        <v>0</v>
      </c>
      <c r="AE152" s="84">
        <f>'Steel Beam Design'!O27</f>
        <v>278.12499999999994</v>
      </c>
    </row>
    <row r="153" spans="1:31">
      <c r="A153" s="1" t="s">
        <v>443</v>
      </c>
      <c r="B153" s="1" t="str">
        <f>'Section Data'!B49</f>
        <v>686x254x170</v>
      </c>
      <c r="C153" s="1" t="s">
        <v>368</v>
      </c>
      <c r="D153" s="84">
        <f>'Section Data'!C49</f>
        <v>170.2</v>
      </c>
      <c r="E153" s="84">
        <f>'Section Data'!Q49</f>
        <v>170300</v>
      </c>
      <c r="F153" s="84">
        <f>'Steel Beam Design'!D7043</f>
        <v>173.82812499999994</v>
      </c>
      <c r="G153" s="84">
        <f>'Steel Beam Design'!D7067</f>
        <v>4083.1881533101036</v>
      </c>
      <c r="H153" s="84" t="str">
        <f>IF(TRIM($B153)="","",IFERROR('Steel Beam Design'!$D$7006,""))</f>
        <v>S355</v>
      </c>
      <c r="I153" s="84">
        <f>IF(TRIM($B153)="","",IFERROR(MAX(VLOOKUP($B153,'Section Data'!$B$36:$AC$107,5,FALSE),VLOOKUP($B153,'Section Data'!$B$36:$AC$107,6,FALSE)),""))</f>
        <v>23.7</v>
      </c>
      <c r="J153" s="84">
        <f>IF(TRIM($B153)="","",IFERROR(IF(I153&gt;150,"",INDEX('Section Data'!$AH$5:$AK$10,IF(I153&lt;=16,1,IF(I153&lt;=40,2,IF(I153&lt;=63,3,IF(I153&lt;=80,4,IF(I153&lt;=100,5,6))))),MATCH(H153,'Section Data'!$AH$4:$AK$4,0))),""))</f>
        <v>345</v>
      </c>
      <c r="K153" s="84">
        <f t="shared" si="18"/>
        <v>0.8928053815224023</v>
      </c>
      <c r="L153" s="84">
        <f>IF(TRIM($B153)="","",IFERROR(VLOOKUP($B153,'Section Data'!$B$36:$AC$107,9,FALSE),""))</f>
        <v>5.4</v>
      </c>
      <c r="M153" s="84">
        <f>IF(TRIM($B153)="","",IFERROR(VLOOKUP($B153,'Section Data'!$B$36:$AC$107,10,FALSE),""))</f>
        <v>42.4</v>
      </c>
      <c r="N153" s="84">
        <f t="shared" si="19"/>
        <v>8</v>
      </c>
      <c r="O153" s="84">
        <f t="shared" si="20"/>
        <v>80</v>
      </c>
      <c r="P153" s="84">
        <f>IF(TRIM($B153)="","",IFERROR(VLOOKUP($B153,'Section Data'!$B$36:$AC$107,5,FALSE)*VLOOKUP($B153,'Section Data'!$B$36:$AC$107,3,FALSE),""))</f>
        <v>10047.049999999999</v>
      </c>
      <c r="Q153" s="84">
        <f t="shared" si="21"/>
        <v>2001.2301226112622</v>
      </c>
      <c r="R153" s="84">
        <f>'Steel Beam Design'!B4511</f>
        <v>55.624999999999993</v>
      </c>
      <c r="S153" s="84">
        <f t="shared" si="22"/>
        <v>0</v>
      </c>
      <c r="T153" s="84">
        <f>IF(TRIM($B153)="","",IFERROR(VLOOKUP($B153,'Section Data'!$B$36:$AC$107,20,FALSE),""))</f>
        <v>4918</v>
      </c>
      <c r="U153" s="84">
        <f>IF(TRIM($B153)="","",IFERROR(VLOOKUP($B153,'Section Data'!$B$36:$AC$107,21,FALSE),""))</f>
        <v>518</v>
      </c>
      <c r="V153" s="84">
        <f>IF(TRIM($B153)="","",IFERROR(VLOOKUP($B153,'Section Data'!$B$36:$AC$107,22,FALSE),""))</f>
        <v>5631</v>
      </c>
      <c r="W153" s="84">
        <f>IF(TRIM($B153)="","",IFERROR(VLOOKUP($B153,'Section Data'!$B$36:$AC$107,23,FALSE),""))</f>
        <v>811</v>
      </c>
      <c r="X153" s="84">
        <f>IF(TRIM($B153)="","",IFERROR((VLOOKUP($B153,'Section Data'!$B$36:$AC$107,5,FALSE)/10)*(VLOOKUP($B153,'Section Data'!$B$36:$AC$107,3,FALSE)/10)^2/4,""))</f>
        <v>1740.4002362499994</v>
      </c>
      <c r="Y153" s="84">
        <f>IF(TRIM($B153)="","",IFERROR((VLOOKUP($B153,'Section Data'!$B$36:$AC$107,3,FALSE)/10)*(VLOOKUP($B153,'Section Data'!$B$36:$AC$107,5,FALSE)/10)^2/4,""))</f>
        <v>36.420556249999997</v>
      </c>
      <c r="Z153" s="84">
        <f t="shared" si="23"/>
        <v>1942.6949999999999</v>
      </c>
      <c r="AA153" s="84">
        <f t="shared" si="24"/>
        <v>214.452</v>
      </c>
      <c r="AB153" s="86">
        <f t="shared" si="25"/>
        <v>8.94778259067944E-2</v>
      </c>
      <c r="AC153" s="86">
        <f t="shared" si="26"/>
        <v>2.397644247392897E-2</v>
      </c>
      <c r="AD153" s="1" t="b">
        <f>AND(ISNUMBER(AB153),ISNUMBER(AC153),AB153&gt;=0,AC153&gt;=0,AB153&lt;=0.95,AC153&lt;=0.95,ISNUMBER(D153),D153&gt;0,'Steel Beam Design'!$A$18="",C153="UC")</f>
        <v>0</v>
      </c>
      <c r="AE153" s="84">
        <f>'Steel Beam Design'!O27</f>
        <v>278.12499999999994</v>
      </c>
    </row>
    <row r="154" spans="1:31">
      <c r="A154" s="1" t="s">
        <v>443</v>
      </c>
      <c r="B154" s="1" t="str">
        <f>'Section Data'!B50</f>
        <v>686x254x152</v>
      </c>
      <c r="C154" s="1" t="s">
        <v>368</v>
      </c>
      <c r="D154" s="84">
        <f>'Section Data'!C50</f>
        <v>152.4</v>
      </c>
      <c r="E154" s="84">
        <f>'Section Data'!Q50</f>
        <v>150400</v>
      </c>
      <c r="F154" s="84">
        <f>'Steel Beam Design'!D7043</f>
        <v>173.82812499999994</v>
      </c>
      <c r="G154" s="84">
        <f>'Steel Beam Design'!D7067</f>
        <v>4083.1881533101036</v>
      </c>
      <c r="H154" s="84" t="str">
        <f>IF(TRIM($B154)="","",IFERROR('Steel Beam Design'!$D$7006,""))</f>
        <v>S355</v>
      </c>
      <c r="I154" s="84">
        <f>IF(TRIM($B154)="","",IFERROR(MAX(VLOOKUP($B154,'Section Data'!$B$36:$AC$107,5,FALSE),VLOOKUP($B154,'Section Data'!$B$36:$AC$107,6,FALSE)),""))</f>
        <v>21</v>
      </c>
      <c r="J154" s="84">
        <f>IF(TRIM($B154)="","",IFERROR(IF(I154&gt;150,"",INDEX('Section Data'!$AH$5:$AK$10,IF(I154&lt;=16,1,IF(I154&lt;=40,2,IF(I154&lt;=63,3,IF(I154&lt;=80,4,IF(I154&lt;=100,5,6))))),MATCH(H154,'Section Data'!$AH$4:$AK$4,0))),""))</f>
        <v>345</v>
      </c>
      <c r="K154" s="84">
        <f t="shared" si="18"/>
        <v>0.8928053815224023</v>
      </c>
      <c r="L154" s="84">
        <f>IF(TRIM($B154)="","",IFERROR(VLOOKUP($B154,'Section Data'!$B$36:$AC$107,9,FALSE),""))</f>
        <v>6.06</v>
      </c>
      <c r="M154" s="84">
        <f>IF(TRIM($B154)="","",IFERROR(VLOOKUP($B154,'Section Data'!$B$36:$AC$107,10,FALSE),""))</f>
        <v>46.6</v>
      </c>
      <c r="N154" s="84">
        <f t="shared" si="19"/>
        <v>8</v>
      </c>
      <c r="O154" s="84">
        <f t="shared" si="20"/>
        <v>80</v>
      </c>
      <c r="P154" s="84">
        <f>IF(TRIM($B154)="","",IFERROR(VLOOKUP($B154,'Section Data'!$B$36:$AC$107,5,FALSE)*VLOOKUP($B154,'Section Data'!$B$36:$AC$107,3,FALSE),""))</f>
        <v>9075</v>
      </c>
      <c r="Q154" s="84">
        <f t="shared" si="21"/>
        <v>1807.6115240490697</v>
      </c>
      <c r="R154" s="84">
        <f>'Steel Beam Design'!B4511</f>
        <v>55.624999999999993</v>
      </c>
      <c r="S154" s="84">
        <f t="shared" si="22"/>
        <v>0</v>
      </c>
      <c r="T154" s="84">
        <f>IF(TRIM($B154)="","",IFERROR(VLOOKUP($B154,'Section Data'!$B$36:$AC$107,20,FALSE),""))</f>
        <v>4374</v>
      </c>
      <c r="U154" s="84">
        <f>IF(TRIM($B154)="","",IFERROR(VLOOKUP($B154,'Section Data'!$B$36:$AC$107,21,FALSE),""))</f>
        <v>455</v>
      </c>
      <c r="V154" s="84">
        <f>IF(TRIM($B154)="","",IFERROR(VLOOKUP($B154,'Section Data'!$B$36:$AC$107,22,FALSE),""))</f>
        <v>5000</v>
      </c>
      <c r="W154" s="84">
        <f>IF(TRIM($B154)="","",IFERROR(VLOOKUP($B154,'Section Data'!$B$36:$AC$107,23,FALSE),""))</f>
        <v>710</v>
      </c>
      <c r="X154" s="84">
        <f>IF(TRIM($B154)="","",IFERROR((VLOOKUP($B154,'Section Data'!$B$36:$AC$107,5,FALSE)/10)*(VLOOKUP($B154,'Section Data'!$B$36:$AC$107,3,FALSE)/10)^2/4,""))</f>
        <v>1559.7656249999998</v>
      </c>
      <c r="Y154" s="84">
        <f>IF(TRIM($B154)="","",IFERROR((VLOOKUP($B154,'Section Data'!$B$36:$AC$107,3,FALSE)/10)*(VLOOKUP($B154,'Section Data'!$B$36:$AC$107,5,FALSE)/10)^2/4,""))</f>
        <v>29.947499999999991</v>
      </c>
      <c r="Z154" s="84">
        <f t="shared" si="23"/>
        <v>1725</v>
      </c>
      <c r="AA154" s="84">
        <f t="shared" si="24"/>
        <v>188.37</v>
      </c>
      <c r="AB154" s="86">
        <f t="shared" si="25"/>
        <v>0.10076992753623185</v>
      </c>
      <c r="AC154" s="86">
        <f t="shared" si="26"/>
        <v>2.7148857402327815E-2</v>
      </c>
      <c r="AD154" s="1" t="b">
        <f>AND(ISNUMBER(AB154),ISNUMBER(AC154),AB154&gt;=0,AC154&gt;=0,AB154&lt;=0.95,AC154&lt;=0.95,ISNUMBER(D154),D154&gt;0,'Steel Beam Design'!$A$18="",C154="UC")</f>
        <v>0</v>
      </c>
      <c r="AE154" s="84">
        <f>'Steel Beam Design'!O27</f>
        <v>278.12499999999994</v>
      </c>
    </row>
    <row r="155" spans="1:31">
      <c r="A155" s="1" t="s">
        <v>443</v>
      </c>
      <c r="B155" s="1" t="str">
        <f>'Section Data'!B51</f>
        <v>686x254x140</v>
      </c>
      <c r="C155" s="1" t="s">
        <v>368</v>
      </c>
      <c r="D155" s="84">
        <f>'Section Data'!C51</f>
        <v>140.1</v>
      </c>
      <c r="E155" s="84">
        <f>'Section Data'!Q51</f>
        <v>136300</v>
      </c>
      <c r="F155" s="84">
        <f>'Steel Beam Design'!D7043</f>
        <v>173.82812499999994</v>
      </c>
      <c r="G155" s="84">
        <f>'Steel Beam Design'!D7067</f>
        <v>4083.1881533101036</v>
      </c>
      <c r="H155" s="84" t="str">
        <f>IF(TRIM($B155)="","",IFERROR('Steel Beam Design'!$D$7006,""))</f>
        <v>S355</v>
      </c>
      <c r="I155" s="84">
        <f>IF(TRIM($B155)="","",IFERROR(MAX(VLOOKUP($B155,'Section Data'!$B$36:$AC$107,5,FALSE),VLOOKUP($B155,'Section Data'!$B$36:$AC$107,6,FALSE)),""))</f>
        <v>19</v>
      </c>
      <c r="J155" s="84">
        <f>IF(TRIM($B155)="","",IFERROR(IF(I155&gt;150,"",INDEX('Section Data'!$AH$5:$AK$10,IF(I155&lt;=16,1,IF(I155&lt;=40,2,IF(I155&lt;=63,3,IF(I155&lt;=80,4,IF(I155&lt;=100,5,6))))),MATCH(H155,'Section Data'!$AH$4:$AK$4,0))),""))</f>
        <v>345</v>
      </c>
      <c r="K155" s="84">
        <f t="shared" si="18"/>
        <v>0.8928053815224023</v>
      </c>
      <c r="L155" s="84">
        <f>IF(TRIM($B155)="","",IFERROR(VLOOKUP($B155,'Section Data'!$B$36:$AC$107,9,FALSE),""))</f>
        <v>6.68</v>
      </c>
      <c r="M155" s="84">
        <f>IF(TRIM($B155)="","",IFERROR(VLOOKUP($B155,'Section Data'!$B$36:$AC$107,10,FALSE),""))</f>
        <v>49.6</v>
      </c>
      <c r="N155" s="84">
        <f t="shared" si="19"/>
        <v>8</v>
      </c>
      <c r="O155" s="84">
        <f t="shared" si="20"/>
        <v>80</v>
      </c>
      <c r="P155" s="84">
        <f>IF(TRIM($B155)="","",IFERROR(VLOOKUP($B155,'Section Data'!$B$36:$AC$107,5,FALSE)*VLOOKUP($B155,'Section Data'!$B$36:$AC$107,3,FALSE),""))</f>
        <v>8475.4</v>
      </c>
      <c r="Q155" s="84">
        <f t="shared" si="21"/>
        <v>1688.1796926639652</v>
      </c>
      <c r="R155" s="84">
        <f>'Steel Beam Design'!B4511</f>
        <v>55.624999999999993</v>
      </c>
      <c r="S155" s="84">
        <f t="shared" si="22"/>
        <v>0</v>
      </c>
      <c r="T155" s="84">
        <f>IF(TRIM($B155)="","",IFERROR(VLOOKUP($B155,'Section Data'!$B$36:$AC$107,20,FALSE),""))</f>
        <v>3987</v>
      </c>
      <c r="U155" s="84">
        <f>IF(TRIM($B155)="","",IFERROR(VLOOKUP($B155,'Section Data'!$B$36:$AC$107,21,FALSE),""))</f>
        <v>409</v>
      </c>
      <c r="V155" s="84">
        <f>IF(TRIM($B155)="","",IFERROR(VLOOKUP($B155,'Section Data'!$B$36:$AC$107,22,FALSE),""))</f>
        <v>4558</v>
      </c>
      <c r="W155" s="84">
        <f>IF(TRIM($B155)="","",IFERROR(VLOOKUP($B155,'Section Data'!$B$36:$AC$107,23,FALSE),""))</f>
        <v>638</v>
      </c>
      <c r="X155" s="84">
        <f>IF(TRIM($B155)="","",IFERROR((VLOOKUP($B155,'Section Data'!$B$36:$AC$107,5,FALSE)/10)*(VLOOKUP($B155,'Section Data'!$B$36:$AC$107,3,FALSE)/10)^2/4,""))</f>
        <v>1448.2339749999996</v>
      </c>
      <c r="Y155" s="84">
        <f>IF(TRIM($B155)="","",IFERROR((VLOOKUP($B155,'Section Data'!$B$36:$AC$107,3,FALSE)/10)*(VLOOKUP($B155,'Section Data'!$B$36:$AC$107,5,FALSE)/10)^2/4,""))</f>
        <v>26.27374</v>
      </c>
      <c r="Z155" s="84">
        <f t="shared" si="23"/>
        <v>1572.51</v>
      </c>
      <c r="AA155" s="84">
        <f t="shared" si="24"/>
        <v>169.32599999999996</v>
      </c>
      <c r="AB155" s="86">
        <f t="shared" si="25"/>
        <v>0.11054182485326004</v>
      </c>
      <c r="AC155" s="86">
        <f t="shared" si="26"/>
        <v>2.9957359892223798E-2</v>
      </c>
      <c r="AD155" s="1" t="b">
        <f>AND(ISNUMBER(AB155),ISNUMBER(AC155),AB155&gt;=0,AC155&gt;=0,AB155&lt;=0.95,AC155&lt;=0.95,ISNUMBER(D155),D155&gt;0,'Steel Beam Design'!$A$18="",C155="UC")</f>
        <v>0</v>
      </c>
      <c r="AE155" s="84">
        <f>'Steel Beam Design'!O27</f>
        <v>278.12499999999994</v>
      </c>
    </row>
    <row r="156" spans="1:31">
      <c r="A156" s="1" t="s">
        <v>443</v>
      </c>
      <c r="B156" s="1" t="str">
        <f>'Section Data'!B52</f>
        <v>686x254x125</v>
      </c>
      <c r="C156" s="1" t="s">
        <v>368</v>
      </c>
      <c r="D156" s="84">
        <f>'Section Data'!C52</f>
        <v>125.2</v>
      </c>
      <c r="E156" s="84">
        <f>'Section Data'!Q52</f>
        <v>118000</v>
      </c>
      <c r="F156" s="84">
        <f>'Steel Beam Design'!D7043</f>
        <v>173.82812499999994</v>
      </c>
      <c r="G156" s="84">
        <f>'Steel Beam Design'!D7067</f>
        <v>4083.1881533101036</v>
      </c>
      <c r="H156" s="84" t="str">
        <f>IF(TRIM($B156)="","",IFERROR('Steel Beam Design'!$D$7006,""))</f>
        <v>S355</v>
      </c>
      <c r="I156" s="84">
        <f>IF(TRIM($B156)="","",IFERROR(MAX(VLOOKUP($B156,'Section Data'!$B$36:$AC$107,5,FALSE),VLOOKUP($B156,'Section Data'!$B$36:$AC$107,6,FALSE)),""))</f>
        <v>16.2</v>
      </c>
      <c r="J156" s="84">
        <f>IF(TRIM($B156)="","",IFERROR(IF(I156&gt;150,"",INDEX('Section Data'!$AH$5:$AK$10,IF(I156&lt;=16,1,IF(I156&lt;=40,2,IF(I156&lt;=63,3,IF(I156&lt;=80,4,IF(I156&lt;=100,5,6))))),MATCH(H156,'Section Data'!$AH$4:$AK$4,0))),""))</f>
        <v>345</v>
      </c>
      <c r="K156" s="84">
        <f t="shared" si="18"/>
        <v>0.8928053815224023</v>
      </c>
      <c r="L156" s="84">
        <f>IF(TRIM($B156)="","",IFERROR(VLOOKUP($B156,'Section Data'!$B$36:$AC$107,9,FALSE),""))</f>
        <v>7.81</v>
      </c>
      <c r="M156" s="84">
        <f>IF(TRIM($B156)="","",IFERROR(VLOOKUP($B156,'Section Data'!$B$36:$AC$107,10,FALSE),""))</f>
        <v>52.6</v>
      </c>
      <c r="N156" s="84">
        <f t="shared" si="19"/>
        <v>9</v>
      </c>
      <c r="O156" s="84">
        <f t="shared" si="20"/>
        <v>80</v>
      </c>
      <c r="P156" s="84">
        <f>IF(TRIM($B156)="","",IFERROR(VLOOKUP($B156,'Section Data'!$B$36:$AC$107,5,FALSE)*VLOOKUP($B156,'Section Data'!$B$36:$AC$107,3,FALSE),""))</f>
        <v>7931.4299999999994</v>
      </c>
      <c r="Q156" s="84">
        <f t="shared" si="21"/>
        <v>1579.8285697177423</v>
      </c>
      <c r="R156" s="84">
        <f>'Steel Beam Design'!B4511</f>
        <v>55.624999999999993</v>
      </c>
      <c r="S156" s="84">
        <f t="shared" si="22"/>
        <v>0</v>
      </c>
      <c r="T156" s="84">
        <f>IF(TRIM($B156)="","",IFERROR(VLOOKUP($B156,'Section Data'!$B$36:$AC$107,20,FALSE),""))</f>
        <v>3481</v>
      </c>
      <c r="U156" s="84">
        <f>IF(TRIM($B156)="","",IFERROR(VLOOKUP($B156,'Section Data'!$B$36:$AC$107,21,FALSE),""))</f>
        <v>346</v>
      </c>
      <c r="V156" s="84">
        <f>IF(TRIM($B156)="","",IFERROR(VLOOKUP($B156,'Section Data'!$B$36:$AC$107,22,FALSE),""))</f>
        <v>3994</v>
      </c>
      <c r="W156" s="84">
        <f>IF(TRIM($B156)="","",IFERROR(VLOOKUP($B156,'Section Data'!$B$36:$AC$107,23,FALSE),""))</f>
        <v>542</v>
      </c>
      <c r="X156" s="84">
        <f>IF(TRIM($B156)="","",IFERROR((VLOOKUP($B156,'Section Data'!$B$36:$AC$107,5,FALSE)/10)*(VLOOKUP($B156,'Section Data'!$B$36:$AC$107,3,FALSE)/10)^2/4,""))</f>
        <v>1344.1790992499996</v>
      </c>
      <c r="Y156" s="84">
        <f>IF(TRIM($B156)="","",IFERROR((VLOOKUP($B156,'Section Data'!$B$36:$AC$107,3,FALSE)/10)*(VLOOKUP($B156,'Section Data'!$B$36:$AC$107,5,FALSE)/10)^2/4,""))</f>
        <v>23.199432749999993</v>
      </c>
      <c r="Z156" s="84">
        <f t="shared" si="23"/>
        <v>1377.93</v>
      </c>
      <c r="AA156" s="84">
        <f t="shared" si="24"/>
        <v>143.244</v>
      </c>
      <c r="AB156" s="86">
        <f t="shared" si="25"/>
        <v>0.12615163687560321</v>
      </c>
      <c r="AC156" s="86">
        <f t="shared" si="26"/>
        <v>3.4603289434831389E-2</v>
      </c>
      <c r="AD156" s="1" t="b">
        <f>AND(ISNUMBER(AB156),ISNUMBER(AC156),AB156&gt;=0,AC156&gt;=0,AB156&lt;=0.95,AC156&lt;=0.95,ISNUMBER(D156),D156&gt;0,'Steel Beam Design'!$A$18="",C156="UC")</f>
        <v>0</v>
      </c>
      <c r="AE156" s="84">
        <f>'Steel Beam Design'!O27</f>
        <v>278.12499999999994</v>
      </c>
    </row>
    <row r="157" spans="1:31">
      <c r="A157" s="1" t="s">
        <v>443</v>
      </c>
      <c r="B157" s="1" t="str">
        <f>'Section Data'!B53</f>
        <v>610x305x238</v>
      </c>
      <c r="C157" s="1" t="s">
        <v>368</v>
      </c>
      <c r="D157" s="84">
        <f>'Section Data'!C53</f>
        <v>238.1</v>
      </c>
      <c r="E157" s="84">
        <f>'Section Data'!Q53</f>
        <v>209500</v>
      </c>
      <c r="F157" s="84">
        <f>'Steel Beam Design'!D7043</f>
        <v>173.82812499999994</v>
      </c>
      <c r="G157" s="84">
        <f>'Steel Beam Design'!D7067</f>
        <v>4083.1881533101036</v>
      </c>
      <c r="H157" s="84" t="str">
        <f>IF(TRIM($B157)="","",IFERROR('Steel Beam Design'!$D$7006,""))</f>
        <v>S355</v>
      </c>
      <c r="I157" s="84">
        <f>IF(TRIM($B157)="","",IFERROR(MAX(VLOOKUP($B157,'Section Data'!$B$36:$AC$107,5,FALSE),VLOOKUP($B157,'Section Data'!$B$36:$AC$107,6,FALSE)),""))</f>
        <v>31.4</v>
      </c>
      <c r="J157" s="84">
        <f>IF(TRIM($B157)="","",IFERROR(IF(I157&gt;150,"",INDEX('Section Data'!$AH$5:$AK$10,IF(I157&lt;=16,1,IF(I157&lt;=40,2,IF(I157&lt;=63,3,IF(I157&lt;=80,4,IF(I157&lt;=100,5,6))))),MATCH(H157,'Section Data'!$AH$4:$AK$4,0))),""))</f>
        <v>345</v>
      </c>
      <c r="K157" s="84">
        <f t="shared" si="18"/>
        <v>0.8928053815224023</v>
      </c>
      <c r="L157" s="84">
        <f>IF(TRIM($B157)="","",IFERROR(VLOOKUP($B157,'Section Data'!$B$36:$AC$107,9,FALSE),""))</f>
        <v>4.96</v>
      </c>
      <c r="M157" s="84">
        <f>IF(TRIM($B157)="","",IFERROR(VLOOKUP($B157,'Section Data'!$B$36:$AC$107,10,FALSE),""))</f>
        <v>29.3</v>
      </c>
      <c r="N157" s="84">
        <f t="shared" si="19"/>
        <v>8</v>
      </c>
      <c r="O157" s="84">
        <f t="shared" si="20"/>
        <v>80</v>
      </c>
      <c r="P157" s="84">
        <f>IF(TRIM($B157)="","",IFERROR(VLOOKUP($B157,'Section Data'!$B$36:$AC$107,5,FALSE)*VLOOKUP($B157,'Section Data'!$B$36:$AC$107,3,FALSE),""))</f>
        <v>11698.719999999998</v>
      </c>
      <c r="Q157" s="84">
        <f t="shared" si="21"/>
        <v>2330.2194037050499</v>
      </c>
      <c r="R157" s="84">
        <f>'Steel Beam Design'!B4511</f>
        <v>55.624999999999993</v>
      </c>
      <c r="S157" s="84">
        <f t="shared" si="22"/>
        <v>0</v>
      </c>
      <c r="T157" s="84">
        <f>IF(TRIM($B157)="","",IFERROR(VLOOKUP($B157,'Section Data'!$B$36:$AC$107,20,FALSE),""))</f>
        <v>6589</v>
      </c>
      <c r="U157" s="84">
        <f>IF(TRIM($B157)="","",IFERROR(VLOOKUP($B157,'Section Data'!$B$36:$AC$107,21,FALSE),""))</f>
        <v>1017</v>
      </c>
      <c r="V157" s="84">
        <f>IF(TRIM($B157)="","",IFERROR(VLOOKUP($B157,'Section Data'!$B$36:$AC$107,22,FALSE),""))</f>
        <v>7486</v>
      </c>
      <c r="W157" s="84">
        <f>IF(TRIM($B157)="","",IFERROR(VLOOKUP($B157,'Section Data'!$B$36:$AC$107,23,FALSE),""))</f>
        <v>1574</v>
      </c>
      <c r="X157" s="84">
        <f>IF(TRIM($B157)="","",IFERROR((VLOOKUP($B157,'Section Data'!$B$36:$AC$107,5,FALSE)/10)*(VLOOKUP($B157,'Section Data'!$B$36:$AC$107,3,FALSE)/10)^2/4,""))</f>
        <v>1859.5115439999997</v>
      </c>
      <c r="Y157" s="84">
        <f>IF(TRIM($B157)="","",IFERROR((VLOOKUP($B157,'Section Data'!$B$36:$AC$107,3,FALSE)/10)*(VLOOKUP($B157,'Section Data'!$B$36:$AC$107,5,FALSE)/10)^2/4,""))</f>
        <v>53.814111999999987</v>
      </c>
      <c r="Z157" s="84">
        <f t="shared" si="23"/>
        <v>2582.67</v>
      </c>
      <c r="AA157" s="84">
        <f t="shared" si="24"/>
        <v>421.03799999999995</v>
      </c>
      <c r="AB157" s="86">
        <f t="shared" si="25"/>
        <v>6.7305588789895704E-2</v>
      </c>
      <c r="AC157" s="86">
        <f t="shared" si="26"/>
        <v>1.9490158249690231E-2</v>
      </c>
      <c r="AD157" s="1" t="b">
        <f>AND(ISNUMBER(AB157),ISNUMBER(AC157),AB157&gt;=0,AC157&gt;=0,AB157&lt;=0.95,AC157&lt;=0.95,ISNUMBER(D157),D157&gt;0,'Steel Beam Design'!$A$18="",C157="UC")</f>
        <v>0</v>
      </c>
      <c r="AE157" s="84">
        <f>'Steel Beam Design'!O27</f>
        <v>278.12499999999994</v>
      </c>
    </row>
    <row r="158" spans="1:31">
      <c r="A158" s="1" t="s">
        <v>443</v>
      </c>
      <c r="B158" s="1" t="str">
        <f>'Section Data'!B54</f>
        <v>610x305x179</v>
      </c>
      <c r="C158" s="1" t="s">
        <v>368</v>
      </c>
      <c r="D158" s="84">
        <f>'Section Data'!C54</f>
        <v>179</v>
      </c>
      <c r="E158" s="84">
        <f>'Section Data'!Q54</f>
        <v>153000</v>
      </c>
      <c r="F158" s="84">
        <f>'Steel Beam Design'!D7043</f>
        <v>173.82812499999994</v>
      </c>
      <c r="G158" s="84">
        <f>'Steel Beam Design'!D7067</f>
        <v>4083.1881533101036</v>
      </c>
      <c r="H158" s="84" t="str">
        <f>IF(TRIM($B158)="","",IFERROR('Steel Beam Design'!$D$7006,""))</f>
        <v>S355</v>
      </c>
      <c r="I158" s="84">
        <f>IF(TRIM($B158)="","",IFERROR(MAX(VLOOKUP($B158,'Section Data'!$B$36:$AC$107,5,FALSE),VLOOKUP($B158,'Section Data'!$B$36:$AC$107,6,FALSE)),""))</f>
        <v>23.6</v>
      </c>
      <c r="J158" s="84">
        <f>IF(TRIM($B158)="","",IFERROR(IF(I158&gt;150,"",INDEX('Section Data'!$AH$5:$AK$10,IF(I158&lt;=16,1,IF(I158&lt;=40,2,IF(I158&lt;=63,3,IF(I158&lt;=80,4,IF(I158&lt;=100,5,6))))),MATCH(H158,'Section Data'!$AH$4:$AK$4,0))),""))</f>
        <v>345</v>
      </c>
      <c r="K158" s="84">
        <f t="shared" si="18"/>
        <v>0.8928053815224023</v>
      </c>
      <c r="L158" s="84">
        <f>IF(TRIM($B158)="","",IFERROR(VLOOKUP($B158,'Section Data'!$B$36:$AC$107,9,FALSE),""))</f>
        <v>6.51</v>
      </c>
      <c r="M158" s="84">
        <f>IF(TRIM($B158)="","",IFERROR(VLOOKUP($B158,'Section Data'!$B$36:$AC$107,10,FALSE),""))</f>
        <v>38.299999999999997</v>
      </c>
      <c r="N158" s="84">
        <f t="shared" si="19"/>
        <v>8</v>
      </c>
      <c r="O158" s="84">
        <f t="shared" si="20"/>
        <v>80</v>
      </c>
      <c r="P158" s="84">
        <f>IF(TRIM($B158)="","",IFERROR(VLOOKUP($B158,'Section Data'!$B$36:$AC$107,5,FALSE)*VLOOKUP($B158,'Section Data'!$B$36:$AC$107,3,FALSE),""))</f>
        <v>8744.82</v>
      </c>
      <c r="Q158" s="84">
        <f t="shared" si="21"/>
        <v>1741.844342450114</v>
      </c>
      <c r="R158" s="84">
        <f>'Steel Beam Design'!B4511</f>
        <v>55.624999999999993</v>
      </c>
      <c r="S158" s="84">
        <f t="shared" si="22"/>
        <v>0</v>
      </c>
      <c r="T158" s="84">
        <f>IF(TRIM($B158)="","",IFERROR(VLOOKUP($B158,'Section Data'!$B$36:$AC$107,20,FALSE),""))</f>
        <v>4935</v>
      </c>
      <c r="U158" s="84">
        <f>IF(TRIM($B158)="","",IFERROR(VLOOKUP($B158,'Section Data'!$B$36:$AC$107,21,FALSE),""))</f>
        <v>743</v>
      </c>
      <c r="V158" s="84">
        <f>IF(TRIM($B158)="","",IFERROR(VLOOKUP($B158,'Section Data'!$B$36:$AC$107,22,FALSE),""))</f>
        <v>5547</v>
      </c>
      <c r="W158" s="84">
        <f>IF(TRIM($B158)="","",IFERROR(VLOOKUP($B158,'Section Data'!$B$36:$AC$107,23,FALSE),""))</f>
        <v>1144</v>
      </c>
      <c r="X158" s="84">
        <f>IF(TRIM($B158)="","",IFERROR((VLOOKUP($B158,'Section Data'!$B$36:$AC$107,5,FALSE)/10)*(VLOOKUP($B158,'Section Data'!$B$36:$AC$107,3,FALSE)/10)^2/4,""))</f>
        <v>1355.8843409999999</v>
      </c>
      <c r="Y158" s="84">
        <f>IF(TRIM($B158)="","",IFERROR((VLOOKUP($B158,'Section Data'!$B$36:$AC$107,3,FALSE)/10)*(VLOOKUP($B158,'Section Data'!$B$36:$AC$107,5,FALSE)/10)^2/4,""))</f>
        <v>30.825490499999997</v>
      </c>
      <c r="Z158" s="84">
        <f t="shared" si="23"/>
        <v>1913.7149999999999</v>
      </c>
      <c r="AA158" s="84">
        <f t="shared" si="24"/>
        <v>307.60199999999998</v>
      </c>
      <c r="AB158" s="86">
        <f t="shared" si="25"/>
        <v>9.0832817321283441E-2</v>
      </c>
      <c r="AC158" s="86">
        <f t="shared" si="26"/>
        <v>2.6687504270000679E-2</v>
      </c>
      <c r="AD158" s="1" t="b">
        <f>AND(ISNUMBER(AB158),ISNUMBER(AC158),AB158&gt;=0,AC158&gt;=0,AB158&lt;=0.95,AC158&lt;=0.95,ISNUMBER(D158),D158&gt;0,'Steel Beam Design'!$A$18="",C158="UC")</f>
        <v>0</v>
      </c>
      <c r="AE158" s="84">
        <f>'Steel Beam Design'!O27</f>
        <v>278.12499999999994</v>
      </c>
    </row>
    <row r="159" spans="1:31">
      <c r="A159" s="1" t="s">
        <v>443</v>
      </c>
      <c r="B159" s="1" t="str">
        <f>'Section Data'!B55</f>
        <v>610x305x149</v>
      </c>
      <c r="C159" s="1" t="s">
        <v>368</v>
      </c>
      <c r="D159" s="84">
        <f>'Section Data'!C55</f>
        <v>149.19999999999999</v>
      </c>
      <c r="E159" s="84">
        <f>'Section Data'!Q55</f>
        <v>125900</v>
      </c>
      <c r="F159" s="84">
        <f>'Steel Beam Design'!D7043</f>
        <v>173.82812499999994</v>
      </c>
      <c r="G159" s="84">
        <f>'Steel Beam Design'!D7067</f>
        <v>4083.1881533101036</v>
      </c>
      <c r="H159" s="84" t="str">
        <f>IF(TRIM($B159)="","",IFERROR('Steel Beam Design'!$D$7006,""))</f>
        <v>S355</v>
      </c>
      <c r="I159" s="84">
        <f>IF(TRIM($B159)="","",IFERROR(MAX(VLOOKUP($B159,'Section Data'!$B$36:$AC$107,5,FALSE),VLOOKUP($B159,'Section Data'!$B$36:$AC$107,6,FALSE)),""))</f>
        <v>19.7</v>
      </c>
      <c r="J159" s="84">
        <f>IF(TRIM($B159)="","",IFERROR(IF(I159&gt;150,"",INDEX('Section Data'!$AH$5:$AK$10,IF(I159&lt;=16,1,IF(I159&lt;=40,2,IF(I159&lt;=63,3,IF(I159&lt;=80,4,IF(I159&lt;=100,5,6))))),MATCH(H159,'Section Data'!$AH$4:$AK$4,0))),""))</f>
        <v>345</v>
      </c>
      <c r="K159" s="84">
        <f t="shared" si="18"/>
        <v>0.8928053815224023</v>
      </c>
      <c r="L159" s="84">
        <f>IF(TRIM($B159)="","",IFERROR(VLOOKUP($B159,'Section Data'!$B$36:$AC$107,9,FALSE),""))</f>
        <v>7.74</v>
      </c>
      <c r="M159" s="84">
        <f>IF(TRIM($B159)="","",IFERROR(VLOOKUP($B159,'Section Data'!$B$36:$AC$107,10,FALSE),""))</f>
        <v>45.8</v>
      </c>
      <c r="N159" s="84">
        <f t="shared" si="19"/>
        <v>9</v>
      </c>
      <c r="O159" s="84">
        <f t="shared" si="20"/>
        <v>80</v>
      </c>
      <c r="P159" s="84">
        <f>IF(TRIM($B159)="","",IFERROR(VLOOKUP($B159,'Section Data'!$B$36:$AC$107,5,FALSE)*VLOOKUP($B159,'Section Data'!$B$36:$AC$107,3,FALSE),""))</f>
        <v>7226.3200000000006</v>
      </c>
      <c r="Q159" s="84">
        <f t="shared" si="21"/>
        <v>1439.3806400513802</v>
      </c>
      <c r="R159" s="84">
        <f>'Steel Beam Design'!B4511</f>
        <v>55.624999999999993</v>
      </c>
      <c r="S159" s="84">
        <f t="shared" si="22"/>
        <v>0</v>
      </c>
      <c r="T159" s="84">
        <f>IF(TRIM($B159)="","",IFERROR(VLOOKUP($B159,'Section Data'!$B$36:$AC$107,20,FALSE),""))</f>
        <v>4111</v>
      </c>
      <c r="U159" s="84">
        <f>IF(TRIM($B159)="","",IFERROR(VLOOKUP($B159,'Section Data'!$B$36:$AC$107,21,FALSE),""))</f>
        <v>611</v>
      </c>
      <c r="V159" s="84">
        <f>IF(TRIM($B159)="","",IFERROR(VLOOKUP($B159,'Section Data'!$B$36:$AC$107,22,FALSE),""))</f>
        <v>4594</v>
      </c>
      <c r="W159" s="84">
        <f>IF(TRIM($B159)="","",IFERROR(VLOOKUP($B159,'Section Data'!$B$36:$AC$107,23,FALSE),""))</f>
        <v>937</v>
      </c>
      <c r="X159" s="84">
        <f>IF(TRIM($B159)="","",IFERROR((VLOOKUP($B159,'Section Data'!$B$36:$AC$107,5,FALSE)/10)*(VLOOKUP($B159,'Section Data'!$B$36:$AC$107,3,FALSE)/10)^2/4,""))</f>
        <v>1106.349592</v>
      </c>
      <c r="Y159" s="84">
        <f>IF(TRIM($B159)="","",IFERROR((VLOOKUP($B159,'Section Data'!$B$36:$AC$107,3,FALSE)/10)*(VLOOKUP($B159,'Section Data'!$B$36:$AC$107,5,FALSE)/10)^2/4,""))</f>
        <v>21.317644000000001</v>
      </c>
      <c r="Z159" s="84">
        <f t="shared" si="23"/>
        <v>1584.93</v>
      </c>
      <c r="AA159" s="84">
        <f t="shared" si="24"/>
        <v>252.95399999999998</v>
      </c>
      <c r="AB159" s="86">
        <f t="shared" si="25"/>
        <v>0.10967558504161062</v>
      </c>
      <c r="AC159" s="86">
        <f t="shared" si="26"/>
        <v>3.2431994863463889E-2</v>
      </c>
      <c r="AD159" s="1" t="b">
        <f>AND(ISNUMBER(AB159),ISNUMBER(AC159),AB159&gt;=0,AC159&gt;=0,AB159&lt;=0.95,AC159&lt;=0.95,ISNUMBER(D159),D159&gt;0,'Steel Beam Design'!$A$18="",C159="UC")</f>
        <v>0</v>
      </c>
      <c r="AE159" s="84">
        <f>'Steel Beam Design'!O27</f>
        <v>278.12499999999994</v>
      </c>
    </row>
    <row r="160" spans="1:31">
      <c r="A160" s="1" t="s">
        <v>443</v>
      </c>
      <c r="B160" s="1" t="str">
        <f>'Section Data'!B56</f>
        <v>610x229x140</v>
      </c>
      <c r="C160" s="1" t="s">
        <v>368</v>
      </c>
      <c r="D160" s="84">
        <f>'Section Data'!C56</f>
        <v>139.9</v>
      </c>
      <c r="E160" s="84">
        <f>'Section Data'!Q56</f>
        <v>111800</v>
      </c>
      <c r="F160" s="84">
        <f>'Steel Beam Design'!D7043</f>
        <v>173.82812499999994</v>
      </c>
      <c r="G160" s="84">
        <f>'Steel Beam Design'!D7067</f>
        <v>4083.1881533101036</v>
      </c>
      <c r="H160" s="84" t="str">
        <f>IF(TRIM($B160)="","",IFERROR('Steel Beam Design'!$D$7006,""))</f>
        <v>S355</v>
      </c>
      <c r="I160" s="84">
        <f>IF(TRIM($B160)="","",IFERROR(MAX(VLOOKUP($B160,'Section Data'!$B$36:$AC$107,5,FALSE),VLOOKUP($B160,'Section Data'!$B$36:$AC$107,6,FALSE)),""))</f>
        <v>22.1</v>
      </c>
      <c r="J160" s="84">
        <f>IF(TRIM($B160)="","",IFERROR(IF(I160&gt;150,"",INDEX('Section Data'!$AH$5:$AK$10,IF(I160&lt;=16,1,IF(I160&lt;=40,2,IF(I160&lt;=63,3,IF(I160&lt;=80,4,IF(I160&lt;=100,5,6))))),MATCH(H160,'Section Data'!$AH$4:$AK$4,0))),""))</f>
        <v>345</v>
      </c>
      <c r="K160" s="84">
        <f t="shared" si="18"/>
        <v>0.8928053815224023</v>
      </c>
      <c r="L160" s="84">
        <f>IF(TRIM($B160)="","",IFERROR(VLOOKUP($B160,'Section Data'!$B$36:$AC$107,9,FALSE),""))</f>
        <v>5.21</v>
      </c>
      <c r="M160" s="84">
        <f>IF(TRIM($B160)="","",IFERROR(VLOOKUP($B160,'Section Data'!$B$36:$AC$107,10,FALSE),""))</f>
        <v>41.8</v>
      </c>
      <c r="N160" s="84">
        <f t="shared" si="19"/>
        <v>8</v>
      </c>
      <c r="O160" s="84">
        <f t="shared" si="20"/>
        <v>80</v>
      </c>
      <c r="P160" s="84">
        <f>IF(TRIM($B160)="","",IFERROR(VLOOKUP($B160,'Section Data'!$B$36:$AC$107,5,FALSE)*VLOOKUP($B160,'Section Data'!$B$36:$AC$107,3,FALSE),""))</f>
        <v>8085.3200000000006</v>
      </c>
      <c r="Q160" s="84">
        <f t="shared" si="21"/>
        <v>1610.4812790770718</v>
      </c>
      <c r="R160" s="84">
        <f>'Steel Beam Design'!B4511</f>
        <v>55.624999999999993</v>
      </c>
      <c r="S160" s="84">
        <f t="shared" si="22"/>
        <v>0</v>
      </c>
      <c r="T160" s="84">
        <f>IF(TRIM($B160)="","",IFERROR(VLOOKUP($B160,'Section Data'!$B$36:$AC$107,20,FALSE),""))</f>
        <v>3622</v>
      </c>
      <c r="U160" s="84">
        <f>IF(TRIM($B160)="","",IFERROR(VLOOKUP($B160,'Section Data'!$B$36:$AC$107,21,FALSE),""))</f>
        <v>391</v>
      </c>
      <c r="V160" s="84">
        <f>IF(TRIM($B160)="","",IFERROR(VLOOKUP($B160,'Section Data'!$B$36:$AC$107,22,FALSE),""))</f>
        <v>4142</v>
      </c>
      <c r="W160" s="84">
        <f>IF(TRIM($B160)="","",IFERROR(VLOOKUP($B160,'Section Data'!$B$36:$AC$107,23,FALSE),""))</f>
        <v>611</v>
      </c>
      <c r="X160" s="84">
        <f>IF(TRIM($B160)="","",IFERROR((VLOOKUP($B160,'Section Data'!$B$36:$AC$107,5,FALSE)/10)*(VLOOKUP($B160,'Section Data'!$B$36:$AC$107,3,FALSE)/10)^2/4,""))</f>
        <v>1247.5648760000001</v>
      </c>
      <c r="Y160" s="84">
        <f>IF(TRIM($B160)="","",IFERROR((VLOOKUP($B160,'Section Data'!$B$36:$AC$107,3,FALSE)/10)*(VLOOKUP($B160,'Section Data'!$B$36:$AC$107,5,FALSE)/10)^2/4,""))</f>
        <v>26.479423000000004</v>
      </c>
      <c r="Z160" s="84">
        <f t="shared" si="23"/>
        <v>1428.99</v>
      </c>
      <c r="AA160" s="84">
        <f t="shared" si="24"/>
        <v>161.874</v>
      </c>
      <c r="AB160" s="86">
        <f t="shared" si="25"/>
        <v>0.12164404579458214</v>
      </c>
      <c r="AC160" s="86">
        <f t="shared" si="26"/>
        <v>3.6522255396333664E-2</v>
      </c>
      <c r="AD160" s="1" t="b">
        <f>AND(ISNUMBER(AB160),ISNUMBER(AC160),AB160&gt;=0,AC160&gt;=0,AB160&lt;=0.95,AC160&lt;=0.95,ISNUMBER(D160),D160&gt;0,'Steel Beam Design'!$A$18="",C160="UC")</f>
        <v>0</v>
      </c>
      <c r="AE160" s="84">
        <f>'Steel Beam Design'!O27</f>
        <v>278.12499999999994</v>
      </c>
    </row>
    <row r="161" spans="1:31">
      <c r="A161" s="1" t="s">
        <v>443</v>
      </c>
      <c r="B161" s="1" t="str">
        <f>'Section Data'!B57</f>
        <v>610x229x125</v>
      </c>
      <c r="C161" s="1" t="s">
        <v>368</v>
      </c>
      <c r="D161" s="84">
        <f>'Section Data'!C57</f>
        <v>125.1</v>
      </c>
      <c r="E161" s="84">
        <f>'Section Data'!Q57</f>
        <v>98610</v>
      </c>
      <c r="F161" s="84">
        <f>'Steel Beam Design'!D7043</f>
        <v>173.82812499999994</v>
      </c>
      <c r="G161" s="84">
        <f>'Steel Beam Design'!D7067</f>
        <v>4083.1881533101036</v>
      </c>
      <c r="H161" s="84" t="str">
        <f>IF(TRIM($B161)="","",IFERROR('Steel Beam Design'!$D$7006,""))</f>
        <v>S355</v>
      </c>
      <c r="I161" s="84">
        <f>IF(TRIM($B161)="","",IFERROR(MAX(VLOOKUP($B161,'Section Data'!$B$36:$AC$107,5,FALSE),VLOOKUP($B161,'Section Data'!$B$36:$AC$107,6,FALSE)),""))</f>
        <v>19.600000000000001</v>
      </c>
      <c r="J161" s="84">
        <f>IF(TRIM($B161)="","",IFERROR(IF(I161&gt;150,"",INDEX('Section Data'!$AH$5:$AK$10,IF(I161&lt;=16,1,IF(I161&lt;=40,2,IF(I161&lt;=63,3,IF(I161&lt;=80,4,IF(I161&lt;=100,5,6))))),MATCH(H161,'Section Data'!$AH$4:$AK$4,0))),""))</f>
        <v>345</v>
      </c>
      <c r="K161" s="84">
        <f t="shared" si="18"/>
        <v>0.8928053815224023</v>
      </c>
      <c r="L161" s="84">
        <f>IF(TRIM($B161)="","",IFERROR(VLOOKUP($B161,'Section Data'!$B$36:$AC$107,9,FALSE),""))</f>
        <v>5.84</v>
      </c>
      <c r="M161" s="84">
        <f>IF(TRIM($B161)="","",IFERROR(VLOOKUP($B161,'Section Data'!$B$36:$AC$107,10,FALSE),""))</f>
        <v>46</v>
      </c>
      <c r="N161" s="84">
        <f t="shared" si="19"/>
        <v>8</v>
      </c>
      <c r="O161" s="84">
        <f t="shared" si="20"/>
        <v>80</v>
      </c>
      <c r="P161" s="84">
        <f>IF(TRIM($B161)="","",IFERROR(VLOOKUP($B161,'Section Data'!$B$36:$AC$107,5,FALSE)*VLOOKUP($B161,'Section Data'!$B$36:$AC$107,3,FALSE),""))</f>
        <v>7285.1800000000012</v>
      </c>
      <c r="Q161" s="84">
        <f t="shared" si="21"/>
        <v>1451.1047187627332</v>
      </c>
      <c r="R161" s="84">
        <f>'Steel Beam Design'!B4511</f>
        <v>55.624999999999993</v>
      </c>
      <c r="S161" s="84">
        <f t="shared" si="22"/>
        <v>0</v>
      </c>
      <c r="T161" s="84">
        <f>IF(TRIM($B161)="","",IFERROR(VLOOKUP($B161,'Section Data'!$B$36:$AC$107,20,FALSE),""))</f>
        <v>3221</v>
      </c>
      <c r="U161" s="84">
        <f>IF(TRIM($B161)="","",IFERROR(VLOOKUP($B161,'Section Data'!$B$36:$AC$107,21,FALSE),""))</f>
        <v>343</v>
      </c>
      <c r="V161" s="84">
        <f>IF(TRIM($B161)="","",IFERROR(VLOOKUP($B161,'Section Data'!$B$36:$AC$107,22,FALSE),""))</f>
        <v>3676</v>
      </c>
      <c r="W161" s="84">
        <f>IF(TRIM($B161)="","",IFERROR(VLOOKUP($B161,'Section Data'!$B$36:$AC$107,23,FALSE),""))</f>
        <v>535</v>
      </c>
      <c r="X161" s="84">
        <f>IF(TRIM($B161)="","",IFERROR((VLOOKUP($B161,'Section Data'!$B$36:$AC$107,5,FALSE)/10)*(VLOOKUP($B161,'Section Data'!$B$36:$AC$107,3,FALSE)/10)^2/4,""))</f>
        <v>1114.9967990000002</v>
      </c>
      <c r="Y161" s="84">
        <f>IF(TRIM($B161)="","",IFERROR((VLOOKUP($B161,'Section Data'!$B$36:$AC$107,3,FALSE)/10)*(VLOOKUP($B161,'Section Data'!$B$36:$AC$107,5,FALSE)/10)^2/4,""))</f>
        <v>21.673410499999999</v>
      </c>
      <c r="Z161" s="84">
        <f t="shared" si="23"/>
        <v>1268.22</v>
      </c>
      <c r="AA161" s="84">
        <f t="shared" si="24"/>
        <v>142.00200000000001</v>
      </c>
      <c r="AB161" s="86">
        <f t="shared" si="25"/>
        <v>0.13706464572392799</v>
      </c>
      <c r="AC161" s="86">
        <f t="shared" si="26"/>
        <v>4.1407445018863238E-2</v>
      </c>
      <c r="AD161" s="1" t="b">
        <f>AND(ISNUMBER(AB161),ISNUMBER(AC161),AB161&gt;=0,AC161&gt;=0,AB161&lt;=0.95,AC161&lt;=0.95,ISNUMBER(D161),D161&gt;0,'Steel Beam Design'!$A$18="",C161="UC")</f>
        <v>0</v>
      </c>
      <c r="AE161" s="84">
        <f>'Steel Beam Design'!O27</f>
        <v>278.12499999999994</v>
      </c>
    </row>
    <row r="162" spans="1:31">
      <c r="A162" s="1" t="s">
        <v>443</v>
      </c>
      <c r="B162" s="1" t="str">
        <f>'Section Data'!B58</f>
        <v>610x229x113</v>
      </c>
      <c r="C162" s="1" t="s">
        <v>368</v>
      </c>
      <c r="D162" s="84">
        <f>'Section Data'!C58</f>
        <v>113</v>
      </c>
      <c r="E162" s="84">
        <f>'Section Data'!Q58</f>
        <v>87320</v>
      </c>
      <c r="F162" s="84">
        <f>'Steel Beam Design'!D7043</f>
        <v>173.82812499999994</v>
      </c>
      <c r="G162" s="84">
        <f>'Steel Beam Design'!D7067</f>
        <v>4083.1881533101036</v>
      </c>
      <c r="H162" s="84" t="str">
        <f>IF(TRIM($B162)="","",IFERROR('Steel Beam Design'!$D$7006,""))</f>
        <v>S355</v>
      </c>
      <c r="I162" s="84">
        <f>IF(TRIM($B162)="","",IFERROR(MAX(VLOOKUP($B162,'Section Data'!$B$36:$AC$107,5,FALSE),VLOOKUP($B162,'Section Data'!$B$36:$AC$107,6,FALSE)),""))</f>
        <v>17.3</v>
      </c>
      <c r="J162" s="84">
        <f>IF(TRIM($B162)="","",IFERROR(IF(I162&gt;150,"",INDEX('Section Data'!$AH$5:$AK$10,IF(I162&lt;=16,1,IF(I162&lt;=40,2,IF(I162&lt;=63,3,IF(I162&lt;=80,4,IF(I162&lt;=100,5,6))))),MATCH(H162,'Section Data'!$AH$4:$AK$4,0))),""))</f>
        <v>345</v>
      </c>
      <c r="K162" s="84">
        <f t="shared" si="18"/>
        <v>0.8928053815224023</v>
      </c>
      <c r="L162" s="84">
        <f>IF(TRIM($B162)="","",IFERROR(VLOOKUP($B162,'Section Data'!$B$36:$AC$107,9,FALSE),""))</f>
        <v>6.6</v>
      </c>
      <c r="M162" s="84">
        <f>IF(TRIM($B162)="","",IFERROR(VLOOKUP($B162,'Section Data'!$B$36:$AC$107,10,FALSE),""))</f>
        <v>49.3</v>
      </c>
      <c r="N162" s="84">
        <f t="shared" si="19"/>
        <v>8</v>
      </c>
      <c r="O162" s="84">
        <f t="shared" si="20"/>
        <v>80</v>
      </c>
      <c r="P162" s="84">
        <f>IF(TRIM($B162)="","",IFERROR(VLOOKUP($B162,'Section Data'!$B$36:$AC$107,5,FALSE)*VLOOKUP($B162,'Section Data'!$B$36:$AC$107,3,FALSE),""))</f>
        <v>6744.36</v>
      </c>
      <c r="Q162" s="84">
        <f t="shared" si="21"/>
        <v>1343.3810312215519</v>
      </c>
      <c r="R162" s="84">
        <f>'Steel Beam Design'!B4511</f>
        <v>55.624999999999993</v>
      </c>
      <c r="S162" s="84">
        <f t="shared" si="22"/>
        <v>0</v>
      </c>
      <c r="T162" s="84">
        <f>IF(TRIM($B162)="","",IFERROR(VLOOKUP($B162,'Section Data'!$B$36:$AC$107,20,FALSE),""))</f>
        <v>2874</v>
      </c>
      <c r="U162" s="84">
        <f>IF(TRIM($B162)="","",IFERROR(VLOOKUP($B162,'Section Data'!$B$36:$AC$107,21,FALSE),""))</f>
        <v>301</v>
      </c>
      <c r="V162" s="84">
        <f>IF(TRIM($B162)="","",IFERROR(VLOOKUP($B162,'Section Data'!$B$36:$AC$107,22,FALSE),""))</f>
        <v>3281</v>
      </c>
      <c r="W162" s="84">
        <f>IF(TRIM($B162)="","",IFERROR(VLOOKUP($B162,'Section Data'!$B$36:$AC$107,23,FALSE),""))</f>
        <v>469</v>
      </c>
      <c r="X162" s="84">
        <f>IF(TRIM($B162)="","",IFERROR((VLOOKUP($B162,'Section Data'!$B$36:$AC$107,5,FALSE)/10)*(VLOOKUP($B162,'Section Data'!$B$36:$AC$107,3,FALSE)/10)^2/4,""))</f>
        <v>1024.468284</v>
      </c>
      <c r="Y162" s="84">
        <f>IF(TRIM($B162)="","",IFERROR((VLOOKUP($B162,'Section Data'!$B$36:$AC$107,3,FALSE)/10)*(VLOOKUP($B162,'Section Data'!$B$36:$AC$107,5,FALSE)/10)^2/4,""))</f>
        <v>18.715598999999997</v>
      </c>
      <c r="Z162" s="84">
        <f t="shared" si="23"/>
        <v>1131.9449999999999</v>
      </c>
      <c r="AA162" s="84">
        <f t="shared" si="24"/>
        <v>124.614</v>
      </c>
      <c r="AB162" s="86">
        <f t="shared" si="25"/>
        <v>0.15356587555049048</v>
      </c>
      <c r="AC162" s="86">
        <f t="shared" si="26"/>
        <v>4.6761201938961335E-2</v>
      </c>
      <c r="AD162" s="1" t="b">
        <f>AND(ISNUMBER(AB162),ISNUMBER(AC162),AB162&gt;=0,AC162&gt;=0,AB162&lt;=0.95,AC162&lt;=0.95,ISNUMBER(D162),D162&gt;0,'Steel Beam Design'!$A$18="",C162="UC")</f>
        <v>0</v>
      </c>
      <c r="AE162" s="84">
        <f>'Steel Beam Design'!O27</f>
        <v>278.12499999999994</v>
      </c>
    </row>
    <row r="163" spans="1:31">
      <c r="A163" s="1" t="s">
        <v>443</v>
      </c>
      <c r="B163" s="1" t="str">
        <f>'Section Data'!B59</f>
        <v>610x229x101</v>
      </c>
      <c r="C163" s="1" t="s">
        <v>368</v>
      </c>
      <c r="D163" s="84">
        <f>'Section Data'!C59</f>
        <v>101.2</v>
      </c>
      <c r="E163" s="84">
        <f>'Section Data'!Q59</f>
        <v>75780</v>
      </c>
      <c r="F163" s="84">
        <f>'Steel Beam Design'!D7043</f>
        <v>173.82812499999994</v>
      </c>
      <c r="G163" s="84">
        <f>'Steel Beam Design'!D7067</f>
        <v>4083.1881533101036</v>
      </c>
      <c r="H163" s="84" t="str">
        <f>IF(TRIM($B163)="","",IFERROR('Steel Beam Design'!$D$7006,""))</f>
        <v>S355</v>
      </c>
      <c r="I163" s="84">
        <f>IF(TRIM($B163)="","",IFERROR(MAX(VLOOKUP($B163,'Section Data'!$B$36:$AC$107,5,FALSE),VLOOKUP($B163,'Section Data'!$B$36:$AC$107,6,FALSE)),""))</f>
        <v>14.8</v>
      </c>
      <c r="J163" s="84">
        <f>IF(TRIM($B163)="","",IFERROR(IF(I163&gt;150,"",INDEX('Section Data'!$AH$5:$AK$10,IF(I163&lt;=16,1,IF(I163&lt;=40,2,IF(I163&lt;=63,3,IF(I163&lt;=80,4,IF(I163&lt;=100,5,6))))),MATCH(H163,'Section Data'!$AH$4:$AK$4,0))),""))</f>
        <v>355</v>
      </c>
      <c r="K163" s="84">
        <f t="shared" si="18"/>
        <v>0.88014083380101371</v>
      </c>
      <c r="L163" s="84">
        <f>IF(TRIM($B163)="","",IFERROR(VLOOKUP($B163,'Section Data'!$B$36:$AC$107,9,FALSE),""))</f>
        <v>7.69</v>
      </c>
      <c r="M163" s="84">
        <f>IF(TRIM($B163)="","",IFERROR(VLOOKUP($B163,'Section Data'!$B$36:$AC$107,10,FALSE),""))</f>
        <v>52.2</v>
      </c>
      <c r="N163" s="84">
        <f t="shared" si="19"/>
        <v>9</v>
      </c>
      <c r="O163" s="84">
        <f t="shared" si="20"/>
        <v>80</v>
      </c>
      <c r="P163" s="84">
        <f>IF(TRIM($B163)="","",IFERROR(VLOOKUP($B163,'Section Data'!$B$36:$AC$107,5,FALSE)*VLOOKUP($B163,'Section Data'!$B$36:$AC$107,3,FALSE),""))</f>
        <v>6327.3</v>
      </c>
      <c r="Q163" s="84">
        <f t="shared" si="21"/>
        <v>1296.8392671764493</v>
      </c>
      <c r="R163" s="84">
        <f>'Steel Beam Design'!B4511</f>
        <v>55.624999999999993</v>
      </c>
      <c r="S163" s="84">
        <f t="shared" si="22"/>
        <v>0</v>
      </c>
      <c r="T163" s="84">
        <f>IF(TRIM($B163)="","",IFERROR(VLOOKUP($B163,'Section Data'!$B$36:$AC$107,20,FALSE),""))</f>
        <v>2515</v>
      </c>
      <c r="U163" s="84">
        <f>IF(TRIM($B163)="","",IFERROR(VLOOKUP($B163,'Section Data'!$B$36:$AC$107,21,FALSE),""))</f>
        <v>256</v>
      </c>
      <c r="V163" s="84">
        <f>IF(TRIM($B163)="","",IFERROR(VLOOKUP($B163,'Section Data'!$B$36:$AC$107,22,FALSE),""))</f>
        <v>2881</v>
      </c>
      <c r="W163" s="84">
        <f>IF(TRIM($B163)="","",IFERROR(VLOOKUP($B163,'Section Data'!$B$36:$AC$107,23,FALSE),""))</f>
        <v>400</v>
      </c>
      <c r="X163" s="84">
        <f>IF(TRIM($B163)="","",IFERROR((VLOOKUP($B163,'Section Data'!$B$36:$AC$107,5,FALSE)/10)*(VLOOKUP($B163,'Section Data'!$B$36:$AC$107,3,FALSE)/10)^2/4,""))</f>
        <v>953.20774500000016</v>
      </c>
      <c r="Y163" s="84">
        <f>IF(TRIM($B163)="","",IFERROR((VLOOKUP($B163,'Section Data'!$B$36:$AC$107,3,FALSE)/10)*(VLOOKUP($B163,'Section Data'!$B$36:$AC$107,5,FALSE)/10)^2/4,""))</f>
        <v>16.609162500000004</v>
      </c>
      <c r="Z163" s="84">
        <f t="shared" si="23"/>
        <v>1022.755</v>
      </c>
      <c r="AA163" s="84">
        <f t="shared" si="24"/>
        <v>109.056</v>
      </c>
      <c r="AB163" s="86">
        <f t="shared" si="25"/>
        <v>0.16996066995517006</v>
      </c>
      <c r="AC163" s="86">
        <f t="shared" si="26"/>
        <v>5.3882134511877851E-2</v>
      </c>
      <c r="AD163" s="1" t="b">
        <f>AND(ISNUMBER(AB163),ISNUMBER(AC163),AB163&gt;=0,AC163&gt;=0,AB163&lt;=0.95,AC163&lt;=0.95,ISNUMBER(D163),D163&gt;0,'Steel Beam Design'!$A$18="",C163="UC")</f>
        <v>0</v>
      </c>
      <c r="AE163" s="84">
        <f>'Steel Beam Design'!O27</f>
        <v>278.12499999999994</v>
      </c>
    </row>
    <row r="164" spans="1:31">
      <c r="A164" s="1" t="s">
        <v>443</v>
      </c>
      <c r="B164" s="1" t="str">
        <f>'Section Data'!B60</f>
        <v>533x210x122</v>
      </c>
      <c r="C164" s="1" t="s">
        <v>368</v>
      </c>
      <c r="D164" s="84">
        <f>'Section Data'!C60</f>
        <v>122</v>
      </c>
      <c r="E164" s="84">
        <f>'Section Data'!Q60</f>
        <v>76040</v>
      </c>
      <c r="F164" s="84">
        <f>'Steel Beam Design'!D7043</f>
        <v>173.82812499999994</v>
      </c>
      <c r="G164" s="84">
        <f>'Steel Beam Design'!D7067</f>
        <v>4083.1881533101036</v>
      </c>
      <c r="H164" s="84" t="str">
        <f>IF(TRIM($B164)="","",IFERROR('Steel Beam Design'!$D$7006,""))</f>
        <v>S355</v>
      </c>
      <c r="I164" s="84">
        <f>IF(TRIM($B164)="","",IFERROR(MAX(VLOOKUP($B164,'Section Data'!$B$36:$AC$107,5,FALSE),VLOOKUP($B164,'Section Data'!$B$36:$AC$107,6,FALSE)),""))</f>
        <v>21.3</v>
      </c>
      <c r="J164" s="84">
        <f>IF(TRIM($B164)="","",IFERROR(IF(I164&gt;150,"",INDEX('Section Data'!$AH$5:$AK$10,IF(I164&lt;=16,1,IF(I164&lt;=40,2,IF(I164&lt;=63,3,IF(I164&lt;=80,4,IF(I164&lt;=100,5,6))))),MATCH(H164,'Section Data'!$AH$4:$AK$4,0))),""))</f>
        <v>345</v>
      </c>
      <c r="K164" s="84">
        <f t="shared" si="18"/>
        <v>0.8928053815224023</v>
      </c>
      <c r="L164" s="84">
        <f>IF(TRIM($B164)="","",IFERROR(VLOOKUP($B164,'Section Data'!$B$36:$AC$107,9,FALSE),""))</f>
        <v>4.97</v>
      </c>
      <c r="M164" s="84">
        <f>IF(TRIM($B164)="","",IFERROR(VLOOKUP($B164,'Section Data'!$B$36:$AC$107,10,FALSE),""))</f>
        <v>37.299999999999997</v>
      </c>
      <c r="N164" s="84">
        <f t="shared" si="19"/>
        <v>8</v>
      </c>
      <c r="O164" s="84">
        <f t="shared" si="20"/>
        <v>80</v>
      </c>
      <c r="P164" s="84">
        <f>IF(TRIM($B164)="","",IFERROR(VLOOKUP($B164,'Section Data'!$B$36:$AC$107,5,FALSE)*VLOOKUP($B164,'Section Data'!$B$36:$AC$107,3,FALSE),""))</f>
        <v>6958.71</v>
      </c>
      <c r="Q164" s="84">
        <f t="shared" si="21"/>
        <v>1386.0765166408269</v>
      </c>
      <c r="R164" s="84">
        <f>'Steel Beam Design'!B4511</f>
        <v>55.624999999999993</v>
      </c>
      <c r="S164" s="84">
        <f t="shared" si="22"/>
        <v>0</v>
      </c>
      <c r="T164" s="84">
        <f>IF(TRIM($B164)="","",IFERROR(VLOOKUP($B164,'Section Data'!$B$36:$AC$107,20,FALSE),""))</f>
        <v>2793</v>
      </c>
      <c r="U164" s="84">
        <f>IF(TRIM($B164)="","",IFERROR(VLOOKUP($B164,'Section Data'!$B$36:$AC$107,21,FALSE),""))</f>
        <v>320</v>
      </c>
      <c r="V164" s="84">
        <f>IF(TRIM($B164)="","",IFERROR(VLOOKUP($B164,'Section Data'!$B$36:$AC$107,22,FALSE),""))</f>
        <v>3196</v>
      </c>
      <c r="W164" s="84">
        <f>IF(TRIM($B164)="","",IFERROR(VLOOKUP($B164,'Section Data'!$B$36:$AC$107,23,FALSE),""))</f>
        <v>500</v>
      </c>
      <c r="X164" s="84">
        <f>IF(TRIM($B164)="","",IFERROR((VLOOKUP($B164,'Section Data'!$B$36:$AC$107,5,FALSE)/10)*(VLOOKUP($B164,'Section Data'!$B$36:$AC$107,3,FALSE)/10)^2/4,""))</f>
        <v>947.25439875000006</v>
      </c>
      <c r="Y164" s="84">
        <f>IF(TRIM($B164)="","",IFERROR((VLOOKUP($B164,'Section Data'!$B$36:$AC$107,3,FALSE)/10)*(VLOOKUP($B164,'Section Data'!$B$36:$AC$107,5,FALSE)/10)^2/4,""))</f>
        <v>22.233078450000001</v>
      </c>
      <c r="Z164" s="84">
        <f t="shared" si="23"/>
        <v>1102.6199999999999</v>
      </c>
      <c r="AA164" s="84">
        <f t="shared" si="24"/>
        <v>132.47999999999999</v>
      </c>
      <c r="AB164" s="86">
        <f t="shared" si="25"/>
        <v>0.15765007436832268</v>
      </c>
      <c r="AC164" s="86">
        <f t="shared" si="26"/>
        <v>5.3697897860469537E-2</v>
      </c>
      <c r="AD164" s="1" t="b">
        <f>AND(ISNUMBER(AB164),ISNUMBER(AC164),AB164&gt;=0,AC164&gt;=0,AB164&lt;=0.95,AC164&lt;=0.95,ISNUMBER(D164),D164&gt;0,'Steel Beam Design'!$A$18="",C164="UC")</f>
        <v>0</v>
      </c>
      <c r="AE164" s="84">
        <f>'Steel Beam Design'!O27</f>
        <v>278.12499999999994</v>
      </c>
    </row>
    <row r="165" spans="1:31">
      <c r="A165" s="1" t="s">
        <v>443</v>
      </c>
      <c r="B165" s="1" t="str">
        <f>'Section Data'!B61</f>
        <v>533x210x109</v>
      </c>
      <c r="C165" s="1" t="s">
        <v>368</v>
      </c>
      <c r="D165" s="84">
        <f>'Section Data'!C61</f>
        <v>109</v>
      </c>
      <c r="E165" s="84">
        <f>'Section Data'!Q61</f>
        <v>66820</v>
      </c>
      <c r="F165" s="84">
        <f>'Steel Beam Design'!D7043</f>
        <v>173.82812499999994</v>
      </c>
      <c r="G165" s="84">
        <f>'Steel Beam Design'!D7067</f>
        <v>4083.1881533101036</v>
      </c>
      <c r="H165" s="84" t="str">
        <f>IF(TRIM($B165)="","",IFERROR('Steel Beam Design'!$D$7006,""))</f>
        <v>S355</v>
      </c>
      <c r="I165" s="84">
        <f>IF(TRIM($B165)="","",IFERROR(MAX(VLOOKUP($B165,'Section Data'!$B$36:$AC$107,5,FALSE),VLOOKUP($B165,'Section Data'!$B$36:$AC$107,6,FALSE)),""))</f>
        <v>18.8</v>
      </c>
      <c r="J165" s="84">
        <f>IF(TRIM($B165)="","",IFERROR(IF(I165&gt;150,"",INDEX('Section Data'!$AH$5:$AK$10,IF(I165&lt;=16,1,IF(I165&lt;=40,2,IF(I165&lt;=63,3,IF(I165&lt;=80,4,IF(I165&lt;=100,5,6))))),MATCH(H165,'Section Data'!$AH$4:$AK$4,0))),""))</f>
        <v>345</v>
      </c>
      <c r="K165" s="84">
        <f t="shared" si="18"/>
        <v>0.8928053815224023</v>
      </c>
      <c r="L165" s="84">
        <f>IF(TRIM($B165)="","",IFERROR(VLOOKUP($B165,'Section Data'!$B$36:$AC$107,9,FALSE),""))</f>
        <v>5.61</v>
      </c>
      <c r="M165" s="84">
        <f>IF(TRIM($B165)="","",IFERROR(VLOOKUP($B165,'Section Data'!$B$36:$AC$107,10,FALSE),""))</f>
        <v>41.1</v>
      </c>
      <c r="N165" s="84">
        <f t="shared" si="19"/>
        <v>8</v>
      </c>
      <c r="O165" s="84">
        <f t="shared" si="20"/>
        <v>80</v>
      </c>
      <c r="P165" s="84">
        <f>IF(TRIM($B165)="","",IFERROR(VLOOKUP($B165,'Section Data'!$B$36:$AC$107,5,FALSE)*VLOOKUP($B165,'Section Data'!$B$36:$AC$107,3,FALSE),""))</f>
        <v>6258.2</v>
      </c>
      <c r="Q165" s="84">
        <f t="shared" si="21"/>
        <v>1246.544841851668</v>
      </c>
      <c r="R165" s="84">
        <f>'Steel Beam Design'!B4511</f>
        <v>55.624999999999993</v>
      </c>
      <c r="S165" s="84">
        <f t="shared" si="22"/>
        <v>0</v>
      </c>
      <c r="T165" s="84">
        <f>IF(TRIM($B165)="","",IFERROR(VLOOKUP($B165,'Section Data'!$B$36:$AC$107,20,FALSE),""))</f>
        <v>2477</v>
      </c>
      <c r="U165" s="84">
        <f>IF(TRIM($B165)="","",IFERROR(VLOOKUP($B165,'Section Data'!$B$36:$AC$107,21,FALSE),""))</f>
        <v>279</v>
      </c>
      <c r="V165" s="84">
        <f>IF(TRIM($B165)="","",IFERROR(VLOOKUP($B165,'Section Data'!$B$36:$AC$107,22,FALSE),""))</f>
        <v>2828</v>
      </c>
      <c r="W165" s="84">
        <f>IF(TRIM($B165)="","",IFERROR(VLOOKUP($B165,'Section Data'!$B$36:$AC$107,23,FALSE),""))</f>
        <v>436</v>
      </c>
      <c r="X165" s="84">
        <f>IF(TRIM($B165)="","",IFERROR((VLOOKUP($B165,'Section Data'!$B$36:$AC$107,5,FALSE)/10)*(VLOOKUP($B165,'Section Data'!$B$36:$AC$107,3,FALSE)/10)^2/4,""))</f>
        <v>844.07472500000006</v>
      </c>
      <c r="Y165" s="84">
        <f>IF(TRIM($B165)="","",IFERROR((VLOOKUP($B165,'Section Data'!$B$36:$AC$107,3,FALSE)/10)*(VLOOKUP($B165,'Section Data'!$B$36:$AC$107,5,FALSE)/10)^2/4,""))</f>
        <v>18.148779999999999</v>
      </c>
      <c r="Z165" s="84">
        <f t="shared" si="23"/>
        <v>975.66</v>
      </c>
      <c r="AA165" s="84">
        <f t="shared" si="24"/>
        <v>115.506</v>
      </c>
      <c r="AB165" s="86">
        <f t="shared" si="25"/>
        <v>0.17816465264538872</v>
      </c>
      <c r="AC165" s="86">
        <f t="shared" si="26"/>
        <v>6.1107275565850099E-2</v>
      </c>
      <c r="AD165" s="1" t="b">
        <f>AND(ISNUMBER(AB165),ISNUMBER(AC165),AB165&gt;=0,AC165&gt;=0,AB165&lt;=0.95,AC165&lt;=0.95,ISNUMBER(D165),D165&gt;0,'Steel Beam Design'!$A$18="",C165="UC")</f>
        <v>0</v>
      </c>
      <c r="AE165" s="84">
        <f>'Steel Beam Design'!O27</f>
        <v>278.12499999999994</v>
      </c>
    </row>
    <row r="166" spans="1:31">
      <c r="A166" s="1" t="s">
        <v>443</v>
      </c>
      <c r="B166" s="1" t="str">
        <f>'Section Data'!B62</f>
        <v>533x210x101</v>
      </c>
      <c r="C166" s="1" t="s">
        <v>368</v>
      </c>
      <c r="D166" s="84">
        <f>'Section Data'!C62</f>
        <v>101</v>
      </c>
      <c r="E166" s="84">
        <f>'Section Data'!Q62</f>
        <v>61520</v>
      </c>
      <c r="F166" s="84">
        <f>'Steel Beam Design'!D7043</f>
        <v>173.82812499999994</v>
      </c>
      <c r="G166" s="84">
        <f>'Steel Beam Design'!D7067</f>
        <v>4083.1881533101036</v>
      </c>
      <c r="H166" s="84" t="str">
        <f>IF(TRIM($B166)="","",IFERROR('Steel Beam Design'!$D$7006,""))</f>
        <v>S355</v>
      </c>
      <c r="I166" s="84">
        <f>IF(TRIM($B166)="","",IFERROR(MAX(VLOOKUP($B166,'Section Data'!$B$36:$AC$107,5,FALSE),VLOOKUP($B166,'Section Data'!$B$36:$AC$107,6,FALSE)),""))</f>
        <v>17.399999999999999</v>
      </c>
      <c r="J166" s="84">
        <f>IF(TRIM($B166)="","",IFERROR(IF(I166&gt;150,"",INDEX('Section Data'!$AH$5:$AK$10,IF(I166&lt;=16,1,IF(I166&lt;=40,2,IF(I166&lt;=63,3,IF(I166&lt;=80,4,IF(I166&lt;=100,5,6))))),MATCH(H166,'Section Data'!$AH$4:$AK$4,0))),""))</f>
        <v>345</v>
      </c>
      <c r="K166" s="84">
        <f t="shared" si="18"/>
        <v>0.8928053815224023</v>
      </c>
      <c r="L166" s="84">
        <f>IF(TRIM($B166)="","",IFERROR(VLOOKUP($B166,'Section Data'!$B$36:$AC$107,9,FALSE),""))</f>
        <v>6.03</v>
      </c>
      <c r="M166" s="84">
        <f>IF(TRIM($B166)="","",IFERROR(VLOOKUP($B166,'Section Data'!$B$36:$AC$107,10,FALSE),""))</f>
        <v>44.1</v>
      </c>
      <c r="N166" s="84">
        <f t="shared" si="19"/>
        <v>8</v>
      </c>
      <c r="O166" s="84">
        <f t="shared" si="20"/>
        <v>80</v>
      </c>
      <c r="P166" s="84">
        <f>IF(TRIM($B166)="","",IFERROR(VLOOKUP($B166,'Section Data'!$B$36:$AC$107,5,FALSE)*VLOOKUP($B166,'Section Data'!$B$36:$AC$107,3,FALSE),""))</f>
        <v>5796.3600000000006</v>
      </c>
      <c r="Q166" s="84">
        <f t="shared" si="21"/>
        <v>1154.5528521803928</v>
      </c>
      <c r="R166" s="84">
        <f>'Steel Beam Design'!B4511</f>
        <v>55.624999999999993</v>
      </c>
      <c r="S166" s="84">
        <f t="shared" si="22"/>
        <v>0</v>
      </c>
      <c r="T166" s="84">
        <f>IF(TRIM($B166)="","",IFERROR(VLOOKUP($B166,'Section Data'!$B$36:$AC$107,20,FALSE),""))</f>
        <v>2292</v>
      </c>
      <c r="U166" s="84">
        <f>IF(TRIM($B166)="","",IFERROR(VLOOKUP($B166,'Section Data'!$B$36:$AC$107,21,FALSE),""))</f>
        <v>258</v>
      </c>
      <c r="V166" s="84">
        <f>IF(TRIM($B166)="","",IFERROR(VLOOKUP($B166,'Section Data'!$B$36:$AC$107,22,FALSE),""))</f>
        <v>2612</v>
      </c>
      <c r="W166" s="84">
        <f>IF(TRIM($B166)="","",IFERROR(VLOOKUP($B166,'Section Data'!$B$36:$AC$107,23,FALSE),""))</f>
        <v>399</v>
      </c>
      <c r="X166" s="84">
        <f>IF(TRIM($B166)="","",IFERROR((VLOOKUP($B166,'Section Data'!$B$36:$AC$107,5,FALSE)/10)*(VLOOKUP($B166,'Section Data'!$B$36:$AC$107,3,FALSE)/10)^2/4,""))</f>
        <v>777.72660300000018</v>
      </c>
      <c r="Y166" s="84">
        <f>IF(TRIM($B166)="","",IFERROR((VLOOKUP($B166,'Section Data'!$B$36:$AC$107,3,FALSE)/10)*(VLOOKUP($B166,'Section Data'!$B$36:$AC$107,5,FALSE)/10)^2/4,""))</f>
        <v>15.650172000000001</v>
      </c>
      <c r="Z166" s="84">
        <f t="shared" si="23"/>
        <v>901.14</v>
      </c>
      <c r="AA166" s="84">
        <f t="shared" si="24"/>
        <v>106.81199999999998</v>
      </c>
      <c r="AB166" s="86">
        <f t="shared" si="25"/>
        <v>0.19289802361453265</v>
      </c>
      <c r="AC166" s="86">
        <f t="shared" si="26"/>
        <v>6.6371719006991278E-2</v>
      </c>
      <c r="AD166" s="1" t="b">
        <f>AND(ISNUMBER(AB166),ISNUMBER(AC166),AB166&gt;=0,AC166&gt;=0,AB166&lt;=0.95,AC166&lt;=0.95,ISNUMBER(D166),D166&gt;0,'Steel Beam Design'!$A$18="",C166="UC")</f>
        <v>0</v>
      </c>
      <c r="AE166" s="84">
        <f>'Steel Beam Design'!O27</f>
        <v>278.12499999999994</v>
      </c>
    </row>
    <row r="167" spans="1:31">
      <c r="A167" s="1" t="s">
        <v>443</v>
      </c>
      <c r="B167" s="1" t="str">
        <f>'Section Data'!B63</f>
        <v>533x210x92</v>
      </c>
      <c r="C167" s="1" t="s">
        <v>368</v>
      </c>
      <c r="D167" s="84">
        <f>'Section Data'!C63</f>
        <v>92.1</v>
      </c>
      <c r="E167" s="84">
        <f>'Section Data'!Q63</f>
        <v>55230</v>
      </c>
      <c r="F167" s="84">
        <f>'Steel Beam Design'!D7043</f>
        <v>173.82812499999994</v>
      </c>
      <c r="G167" s="84">
        <f>'Steel Beam Design'!D7067</f>
        <v>4083.1881533101036</v>
      </c>
      <c r="H167" s="84" t="str">
        <f>IF(TRIM($B167)="","",IFERROR('Steel Beam Design'!$D$7006,""))</f>
        <v>S355</v>
      </c>
      <c r="I167" s="84">
        <f>IF(TRIM($B167)="","",IFERROR(MAX(VLOOKUP($B167,'Section Data'!$B$36:$AC$107,5,FALSE),VLOOKUP($B167,'Section Data'!$B$36:$AC$107,6,FALSE)),""))</f>
        <v>15.6</v>
      </c>
      <c r="J167" s="84">
        <f>IF(TRIM($B167)="","",IFERROR(IF(I167&gt;150,"",INDEX('Section Data'!$AH$5:$AK$10,IF(I167&lt;=16,1,IF(I167&lt;=40,2,IF(I167&lt;=63,3,IF(I167&lt;=80,4,IF(I167&lt;=100,5,6))))),MATCH(H167,'Section Data'!$AH$4:$AK$4,0))),""))</f>
        <v>355</v>
      </c>
      <c r="K167" s="84">
        <f t="shared" si="18"/>
        <v>0.88014083380101371</v>
      </c>
      <c r="L167" s="84">
        <f>IF(TRIM($B167)="","",IFERROR(VLOOKUP($B167,'Section Data'!$B$36:$AC$107,9,FALSE),""))</f>
        <v>6.71</v>
      </c>
      <c r="M167" s="84">
        <f>IF(TRIM($B167)="","",IFERROR(VLOOKUP($B167,'Section Data'!$B$36:$AC$107,10,FALSE),""))</f>
        <v>47.2</v>
      </c>
      <c r="N167" s="84">
        <f t="shared" si="19"/>
        <v>8</v>
      </c>
      <c r="O167" s="84">
        <f t="shared" si="20"/>
        <v>80</v>
      </c>
      <c r="P167" s="84">
        <f>IF(TRIM($B167)="","",IFERROR(VLOOKUP($B167,'Section Data'!$B$36:$AC$107,5,FALSE)*VLOOKUP($B167,'Section Data'!$B$36:$AC$107,3,FALSE),""))</f>
        <v>5384.31</v>
      </c>
      <c r="Q167" s="84">
        <f t="shared" si="21"/>
        <v>1103.56465390464</v>
      </c>
      <c r="R167" s="84">
        <f>'Steel Beam Design'!B4511</f>
        <v>55.624999999999993</v>
      </c>
      <c r="S167" s="84">
        <f t="shared" si="22"/>
        <v>0</v>
      </c>
      <c r="T167" s="84">
        <f>IF(TRIM($B167)="","",IFERROR(VLOOKUP($B167,'Section Data'!$B$36:$AC$107,20,FALSE),""))</f>
        <v>2072</v>
      </c>
      <c r="U167" s="84">
        <f>IF(TRIM($B167)="","",IFERROR(VLOOKUP($B167,'Section Data'!$B$36:$AC$107,21,FALSE),""))</f>
        <v>228</v>
      </c>
      <c r="V167" s="84">
        <f>IF(TRIM($B167)="","",IFERROR(VLOOKUP($B167,'Section Data'!$B$36:$AC$107,22,FALSE),""))</f>
        <v>2360</v>
      </c>
      <c r="W167" s="84">
        <f>IF(TRIM($B167)="","",IFERROR(VLOOKUP($B167,'Section Data'!$B$36:$AC$107,23,FALSE),""))</f>
        <v>356</v>
      </c>
      <c r="X167" s="84">
        <f>IF(TRIM($B167)="","",IFERROR((VLOOKUP($B167,'Section Data'!$B$36:$AC$107,5,FALSE)/10)*(VLOOKUP($B167,'Section Data'!$B$36:$AC$107,3,FALSE)/10)^2/4,""))</f>
        <v>717.59391525000012</v>
      </c>
      <c r="Y167" s="84">
        <f>IF(TRIM($B167)="","",IFERROR((VLOOKUP($B167,'Section Data'!$B$36:$AC$107,3,FALSE)/10)*(VLOOKUP($B167,'Section Data'!$B$36:$AC$107,5,FALSE)/10)^2/4,""))</f>
        <v>13.595382750000001</v>
      </c>
      <c r="Z167" s="84">
        <f t="shared" si="23"/>
        <v>837.8</v>
      </c>
      <c r="AA167" s="84">
        <f t="shared" si="24"/>
        <v>97.127999999999986</v>
      </c>
      <c r="AB167" s="86">
        <f t="shared" si="25"/>
        <v>0.20748164836476479</v>
      </c>
      <c r="AC167" s="86">
        <f t="shared" si="26"/>
        <v>7.3930620193918231E-2</v>
      </c>
      <c r="AD167" s="1" t="b">
        <f>AND(ISNUMBER(AB167),ISNUMBER(AC167),AB167&gt;=0,AC167&gt;=0,AB167&lt;=0.95,AC167&lt;=0.95,ISNUMBER(D167),D167&gt;0,'Steel Beam Design'!$A$18="",C167="UC")</f>
        <v>0</v>
      </c>
      <c r="AE167" s="84">
        <f>'Steel Beam Design'!O27</f>
        <v>278.12499999999994</v>
      </c>
    </row>
    <row r="168" spans="1:31">
      <c r="A168" s="1" t="s">
        <v>443</v>
      </c>
      <c r="B168" s="1" t="str">
        <f>'Section Data'!B64</f>
        <v>533x210x82</v>
      </c>
      <c r="C168" s="1" t="s">
        <v>368</v>
      </c>
      <c r="D168" s="84">
        <f>'Section Data'!C64</f>
        <v>82.2</v>
      </c>
      <c r="E168" s="84">
        <f>'Section Data'!Q64</f>
        <v>47540</v>
      </c>
      <c r="F168" s="84">
        <f>'Steel Beam Design'!D7043</f>
        <v>173.82812499999994</v>
      </c>
      <c r="G168" s="84">
        <f>'Steel Beam Design'!D7067</f>
        <v>4083.1881533101036</v>
      </c>
      <c r="H168" s="84" t="str">
        <f>IF(TRIM($B168)="","",IFERROR('Steel Beam Design'!$D$7006,""))</f>
        <v>S355</v>
      </c>
      <c r="I168" s="84">
        <f>IF(TRIM($B168)="","",IFERROR(MAX(VLOOKUP($B168,'Section Data'!$B$36:$AC$107,5,FALSE),VLOOKUP($B168,'Section Data'!$B$36:$AC$107,6,FALSE)),""))</f>
        <v>13.2</v>
      </c>
      <c r="J168" s="84">
        <f>IF(TRIM($B168)="","",IFERROR(IF(I168&gt;150,"",INDEX('Section Data'!$AH$5:$AK$10,IF(I168&lt;=16,1,IF(I168&lt;=40,2,IF(I168&lt;=63,3,IF(I168&lt;=80,4,IF(I168&lt;=100,5,6))))),MATCH(H168,'Section Data'!$AH$4:$AK$4,0))),""))</f>
        <v>355</v>
      </c>
      <c r="K168" s="84">
        <f t="shared" si="18"/>
        <v>0.88014083380101371</v>
      </c>
      <c r="L168" s="84">
        <f>IF(TRIM($B168)="","",IFERROR(VLOOKUP($B168,'Section Data'!$B$36:$AC$107,9,FALSE),""))</f>
        <v>7.91</v>
      </c>
      <c r="M168" s="84">
        <f>IF(TRIM($B168)="","",IFERROR(VLOOKUP($B168,'Section Data'!$B$36:$AC$107,10,FALSE),""))</f>
        <v>49.6</v>
      </c>
      <c r="N168" s="84">
        <f t="shared" si="19"/>
        <v>9</v>
      </c>
      <c r="O168" s="84">
        <f t="shared" si="20"/>
        <v>80</v>
      </c>
      <c r="P168" s="84">
        <f>IF(TRIM($B168)="","",IFERROR(VLOOKUP($B168,'Section Data'!$B$36:$AC$107,5,FALSE)*VLOOKUP($B168,'Section Data'!$B$36:$AC$107,3,FALSE),""))</f>
        <v>5071.6799999999994</v>
      </c>
      <c r="Q168" s="84">
        <f t="shared" si="21"/>
        <v>1039.4882137014924</v>
      </c>
      <c r="R168" s="84">
        <f>'Steel Beam Design'!B4511</f>
        <v>55.624999999999993</v>
      </c>
      <c r="S168" s="84">
        <f t="shared" si="22"/>
        <v>0</v>
      </c>
      <c r="T168" s="84">
        <f>IF(TRIM($B168)="","",IFERROR(VLOOKUP($B168,'Section Data'!$B$36:$AC$107,20,FALSE),""))</f>
        <v>1800</v>
      </c>
      <c r="U168" s="84">
        <f>IF(TRIM($B168)="","",IFERROR(VLOOKUP($B168,'Section Data'!$B$36:$AC$107,21,FALSE),""))</f>
        <v>192</v>
      </c>
      <c r="V168" s="84">
        <f>IF(TRIM($B168)="","",IFERROR(VLOOKUP($B168,'Section Data'!$B$36:$AC$107,22,FALSE),""))</f>
        <v>2059</v>
      </c>
      <c r="W168" s="84">
        <f>IF(TRIM($B168)="","",IFERROR(VLOOKUP($B168,'Section Data'!$B$36:$AC$107,23,FALSE),""))</f>
        <v>300</v>
      </c>
      <c r="X168" s="84">
        <f>IF(TRIM($B168)="","",IFERROR((VLOOKUP($B168,'Section Data'!$B$36:$AC$107,5,FALSE)/10)*(VLOOKUP($B168,'Section Data'!$B$36:$AC$107,3,FALSE)/10)^2/4,""))</f>
        <v>669.84213599999998</v>
      </c>
      <c r="Y168" s="84">
        <f>IF(TRIM($B168)="","",IFERROR((VLOOKUP($B168,'Section Data'!$B$36:$AC$107,3,FALSE)/10)*(VLOOKUP($B168,'Section Data'!$B$36:$AC$107,5,FALSE)/10)^2/4,""))</f>
        <v>12.172032</v>
      </c>
      <c r="Z168" s="84">
        <f t="shared" si="23"/>
        <v>730.94500000000005</v>
      </c>
      <c r="AA168" s="84">
        <f t="shared" si="24"/>
        <v>81.791999999999987</v>
      </c>
      <c r="AB168" s="86">
        <f t="shared" si="25"/>
        <v>0.23781286553707862</v>
      </c>
      <c r="AC168" s="86">
        <f t="shared" si="26"/>
        <v>8.5889527835719473E-2</v>
      </c>
      <c r="AD168" s="1" t="b">
        <f>AND(ISNUMBER(AB168),ISNUMBER(AC168),AB168&gt;=0,AC168&gt;=0,AB168&lt;=0.95,AC168&lt;=0.95,ISNUMBER(D168),D168&gt;0,'Steel Beam Design'!$A$18="",C168="UC")</f>
        <v>0</v>
      </c>
      <c r="AE168" s="84">
        <f>'Steel Beam Design'!O27</f>
        <v>278.12499999999994</v>
      </c>
    </row>
    <row r="169" spans="1:31">
      <c r="A169" s="1" t="s">
        <v>443</v>
      </c>
      <c r="B169" s="1" t="str">
        <f>'Section Data'!B65</f>
        <v>457x191x98</v>
      </c>
      <c r="C169" s="1" t="s">
        <v>368</v>
      </c>
      <c r="D169" s="84">
        <f>'Section Data'!C65</f>
        <v>98.3</v>
      </c>
      <c r="E169" s="84">
        <f>'Section Data'!Q65</f>
        <v>45730</v>
      </c>
      <c r="F169" s="84">
        <f>'Steel Beam Design'!D7043</f>
        <v>173.82812499999994</v>
      </c>
      <c r="G169" s="84">
        <f>'Steel Beam Design'!D7067</f>
        <v>4083.1881533101036</v>
      </c>
      <c r="H169" s="84" t="str">
        <f>IF(TRIM($B169)="","",IFERROR('Steel Beam Design'!$D$7006,""))</f>
        <v>S355</v>
      </c>
      <c r="I169" s="84">
        <f>IF(TRIM($B169)="","",IFERROR(MAX(VLOOKUP($B169,'Section Data'!$B$36:$AC$107,5,FALSE),VLOOKUP($B169,'Section Data'!$B$36:$AC$107,6,FALSE)),""))</f>
        <v>19.600000000000001</v>
      </c>
      <c r="J169" s="84">
        <f>IF(TRIM($B169)="","",IFERROR(IF(I169&gt;150,"",INDEX('Section Data'!$AH$5:$AK$10,IF(I169&lt;=16,1,IF(I169&lt;=40,2,IF(I169&lt;=63,3,IF(I169&lt;=80,4,IF(I169&lt;=100,5,6))))),MATCH(H169,'Section Data'!$AH$4:$AK$4,0))),""))</f>
        <v>345</v>
      </c>
      <c r="K169" s="84">
        <f t="shared" si="18"/>
        <v>0.8928053815224023</v>
      </c>
      <c r="L169" s="84">
        <f>IF(TRIM($B169)="","",IFERROR(VLOOKUP($B169,'Section Data'!$B$36:$AC$107,9,FALSE),""))</f>
        <v>4.92</v>
      </c>
      <c r="M169" s="84">
        <f>IF(TRIM($B169)="","",IFERROR(VLOOKUP($B169,'Section Data'!$B$36:$AC$107,10,FALSE),""))</f>
        <v>35.799999999999997</v>
      </c>
      <c r="N169" s="84">
        <f t="shared" si="19"/>
        <v>8</v>
      </c>
      <c r="O169" s="84">
        <f t="shared" si="20"/>
        <v>80</v>
      </c>
      <c r="P169" s="84">
        <f>IF(TRIM($B169)="","",IFERROR(VLOOKUP($B169,'Section Data'!$B$36:$AC$107,5,FALSE)*VLOOKUP($B169,'Section Data'!$B$36:$AC$107,3,FALSE),""))</f>
        <v>5326.08</v>
      </c>
      <c r="Q169" s="84">
        <f t="shared" si="21"/>
        <v>1060.8797339952912</v>
      </c>
      <c r="R169" s="84">
        <f>'Steel Beam Design'!B4511</f>
        <v>55.624999999999993</v>
      </c>
      <c r="S169" s="84">
        <f t="shared" si="22"/>
        <v>0</v>
      </c>
      <c r="T169" s="84">
        <f>IF(TRIM($B169)="","",IFERROR(VLOOKUP($B169,'Section Data'!$B$36:$AC$107,20,FALSE),""))</f>
        <v>1957</v>
      </c>
      <c r="U169" s="84">
        <f>IF(TRIM($B169)="","",IFERROR(VLOOKUP($B169,'Section Data'!$B$36:$AC$107,21,FALSE),""))</f>
        <v>243</v>
      </c>
      <c r="V169" s="84">
        <f>IF(TRIM($B169)="","",IFERROR(VLOOKUP($B169,'Section Data'!$B$36:$AC$107,22,FALSE),""))</f>
        <v>2232</v>
      </c>
      <c r="W169" s="84">
        <f>IF(TRIM($B169)="","",IFERROR(VLOOKUP($B169,'Section Data'!$B$36:$AC$107,23,FALSE),""))</f>
        <v>379</v>
      </c>
      <c r="X169" s="84">
        <f>IF(TRIM($B169)="","",IFERROR((VLOOKUP($B169,'Section Data'!$B$36:$AC$107,5,FALSE)/10)*(VLOOKUP($B169,'Section Data'!$B$36:$AC$107,3,FALSE)/10)^2/4,""))</f>
        <v>622.08614399999999</v>
      </c>
      <c r="Y169" s="84">
        <f>IF(TRIM($B169)="","",IFERROR((VLOOKUP($B169,'Section Data'!$B$36:$AC$107,3,FALSE)/10)*(VLOOKUP($B169,'Section Data'!$B$36:$AC$107,5,FALSE)/10)^2/4,""))</f>
        <v>15.179328000000003</v>
      </c>
      <c r="Z169" s="84">
        <f t="shared" si="23"/>
        <v>770.04</v>
      </c>
      <c r="AA169" s="84">
        <f t="shared" si="24"/>
        <v>100.60199999999999</v>
      </c>
      <c r="AB169" s="86">
        <f t="shared" si="25"/>
        <v>0.22573908498259823</v>
      </c>
      <c r="AC169" s="86">
        <f t="shared" si="26"/>
        <v>8.9289047743496691E-2</v>
      </c>
      <c r="AD169" s="1" t="b">
        <f>AND(ISNUMBER(AB169),ISNUMBER(AC169),AB169&gt;=0,AC169&gt;=0,AB169&lt;=0.95,AC169&lt;=0.95,ISNUMBER(D169),D169&gt;0,'Steel Beam Design'!$A$18="",C169="UC")</f>
        <v>0</v>
      </c>
      <c r="AE169" s="84">
        <f>'Steel Beam Design'!O27</f>
        <v>278.12499999999994</v>
      </c>
    </row>
    <row r="170" spans="1:31">
      <c r="A170" s="1" t="s">
        <v>443</v>
      </c>
      <c r="B170" s="1" t="str">
        <f>'Section Data'!B66</f>
        <v>457x191x89</v>
      </c>
      <c r="C170" s="1" t="s">
        <v>368</v>
      </c>
      <c r="D170" s="84">
        <f>'Section Data'!C66</f>
        <v>89.3</v>
      </c>
      <c r="E170" s="84">
        <f>'Section Data'!Q66</f>
        <v>41020</v>
      </c>
      <c r="F170" s="84">
        <f>'Steel Beam Design'!D7043</f>
        <v>173.82812499999994</v>
      </c>
      <c r="G170" s="84">
        <f>'Steel Beam Design'!D7067</f>
        <v>4083.1881533101036</v>
      </c>
      <c r="H170" s="84" t="str">
        <f>IF(TRIM($B170)="","",IFERROR('Steel Beam Design'!$D$7006,""))</f>
        <v>S355</v>
      </c>
      <c r="I170" s="84">
        <f>IF(TRIM($B170)="","",IFERROR(MAX(VLOOKUP($B170,'Section Data'!$B$36:$AC$107,5,FALSE),VLOOKUP($B170,'Section Data'!$B$36:$AC$107,6,FALSE)),""))</f>
        <v>17.7</v>
      </c>
      <c r="J170" s="84">
        <f>IF(TRIM($B170)="","",IFERROR(IF(I170&gt;150,"",INDEX('Section Data'!$AH$5:$AK$10,IF(I170&lt;=16,1,IF(I170&lt;=40,2,IF(I170&lt;=63,3,IF(I170&lt;=80,4,IF(I170&lt;=100,5,6))))),MATCH(H170,'Section Data'!$AH$4:$AK$4,0))),""))</f>
        <v>345</v>
      </c>
      <c r="K170" s="84">
        <f t="shared" si="18"/>
        <v>0.8928053815224023</v>
      </c>
      <c r="L170" s="84">
        <f>IF(TRIM($B170)="","",IFERROR(VLOOKUP($B170,'Section Data'!$B$36:$AC$107,9,FALSE),""))</f>
        <v>5.42</v>
      </c>
      <c r="M170" s="84">
        <f>IF(TRIM($B170)="","",IFERROR(VLOOKUP($B170,'Section Data'!$B$36:$AC$107,10,FALSE),""))</f>
        <v>38.799999999999997</v>
      </c>
      <c r="N170" s="84">
        <f t="shared" si="19"/>
        <v>8</v>
      </c>
      <c r="O170" s="84">
        <f t="shared" si="20"/>
        <v>80</v>
      </c>
      <c r="P170" s="84">
        <f>IF(TRIM($B170)="","",IFERROR(VLOOKUP($B170,'Section Data'!$B$36:$AC$107,5,FALSE)*VLOOKUP($B170,'Section Data'!$B$36:$AC$107,3,FALSE),""))</f>
        <v>4865.7</v>
      </c>
      <c r="Q170" s="84">
        <f t="shared" si="21"/>
        <v>969.17855565460707</v>
      </c>
      <c r="R170" s="84">
        <f>'Steel Beam Design'!B4511</f>
        <v>55.624999999999993</v>
      </c>
      <c r="S170" s="84">
        <f t="shared" si="22"/>
        <v>0</v>
      </c>
      <c r="T170" s="84">
        <f>IF(TRIM($B170)="","",IFERROR(VLOOKUP($B170,'Section Data'!$B$36:$AC$107,20,FALSE),""))</f>
        <v>1770</v>
      </c>
      <c r="U170" s="84">
        <f>IF(TRIM($B170)="","",IFERROR(VLOOKUP($B170,'Section Data'!$B$36:$AC$107,21,FALSE),""))</f>
        <v>218</v>
      </c>
      <c r="V170" s="84">
        <f>IF(TRIM($B170)="","",IFERROR(VLOOKUP($B170,'Section Data'!$B$36:$AC$107,22,FALSE),""))</f>
        <v>2015</v>
      </c>
      <c r="W170" s="84">
        <f>IF(TRIM($B170)="","",IFERROR(VLOOKUP($B170,'Section Data'!$B$36:$AC$107,23,FALSE),""))</f>
        <v>338</v>
      </c>
      <c r="X170" s="84">
        <f>IF(TRIM($B170)="","",IFERROR((VLOOKUP($B170,'Section Data'!$B$36:$AC$107,5,FALSE)/10)*(VLOOKUP($B170,'Section Data'!$B$36:$AC$107,3,FALSE)/10)^2/4,""))</f>
        <v>563.69134499999996</v>
      </c>
      <c r="Y170" s="84">
        <f>IF(TRIM($B170)="","",IFERROR((VLOOKUP($B170,'Section Data'!$B$36:$AC$107,3,FALSE)/10)*(VLOOKUP($B170,'Section Data'!$B$36:$AC$107,5,FALSE)/10)^2/4,""))</f>
        <v>12.7724625</v>
      </c>
      <c r="Z170" s="84">
        <f t="shared" si="23"/>
        <v>695.17499999999995</v>
      </c>
      <c r="AA170" s="84">
        <f t="shared" si="24"/>
        <v>90.251999999999981</v>
      </c>
      <c r="AB170" s="86">
        <f t="shared" si="25"/>
        <v>0.2500494479807242</v>
      </c>
      <c r="AC170" s="86">
        <f t="shared" si="26"/>
        <v>9.9541398179183407E-2</v>
      </c>
      <c r="AD170" s="1" t="b">
        <f>AND(ISNUMBER(AB170),ISNUMBER(AC170),AB170&gt;=0,AC170&gt;=0,AB170&lt;=0.95,AC170&lt;=0.95,ISNUMBER(D170),D170&gt;0,'Steel Beam Design'!$A$18="",C170="UC")</f>
        <v>0</v>
      </c>
      <c r="AE170" s="84">
        <f>'Steel Beam Design'!O27</f>
        <v>278.12499999999994</v>
      </c>
    </row>
    <row r="171" spans="1:31">
      <c r="A171" s="1" t="s">
        <v>443</v>
      </c>
      <c r="B171" s="1" t="str">
        <f>'Section Data'!B67</f>
        <v>457x191x82</v>
      </c>
      <c r="C171" s="1" t="s">
        <v>368</v>
      </c>
      <c r="D171" s="84">
        <f>'Section Data'!C67</f>
        <v>82</v>
      </c>
      <c r="E171" s="84">
        <f>'Section Data'!Q67</f>
        <v>37050</v>
      </c>
      <c r="F171" s="84">
        <f>'Steel Beam Design'!D7043</f>
        <v>173.82812499999994</v>
      </c>
      <c r="G171" s="84">
        <f>'Steel Beam Design'!D7067</f>
        <v>4083.1881533101036</v>
      </c>
      <c r="H171" s="84" t="str">
        <f>IF(TRIM($B171)="","",IFERROR('Steel Beam Design'!$D$7006,""))</f>
        <v>S355</v>
      </c>
      <c r="I171" s="84">
        <f>IF(TRIM($B171)="","",IFERROR(MAX(VLOOKUP($B171,'Section Data'!$B$36:$AC$107,5,FALSE),VLOOKUP($B171,'Section Data'!$B$36:$AC$107,6,FALSE)),""))</f>
        <v>16</v>
      </c>
      <c r="J171" s="84">
        <f>IF(TRIM($B171)="","",IFERROR(IF(I171&gt;150,"",INDEX('Section Data'!$AH$5:$AK$10,IF(I171&lt;=16,1,IF(I171&lt;=40,2,IF(I171&lt;=63,3,IF(I171&lt;=80,4,IF(I171&lt;=100,5,6))))),MATCH(H171,'Section Data'!$AH$4:$AK$4,0))),""))</f>
        <v>355</v>
      </c>
      <c r="K171" s="84">
        <f t="shared" si="18"/>
        <v>0.88014083380101371</v>
      </c>
      <c r="L171" s="84">
        <f>IF(TRIM($B171)="","",IFERROR(VLOOKUP($B171,'Section Data'!$B$36:$AC$107,9,FALSE),""))</f>
        <v>5.98</v>
      </c>
      <c r="M171" s="84">
        <f>IF(TRIM($B171)="","",IFERROR(VLOOKUP($B171,'Section Data'!$B$36:$AC$107,10,FALSE),""))</f>
        <v>41.2</v>
      </c>
      <c r="N171" s="84">
        <f t="shared" si="19"/>
        <v>8</v>
      </c>
      <c r="O171" s="84">
        <f t="shared" si="20"/>
        <v>80</v>
      </c>
      <c r="P171" s="84">
        <f>IF(TRIM($B171)="","",IFERROR(VLOOKUP($B171,'Section Data'!$B$36:$AC$107,5,FALSE)*VLOOKUP($B171,'Section Data'!$B$36:$AC$107,3,FALSE),""))</f>
        <v>4554</v>
      </c>
      <c r="Q171" s="84">
        <f t="shared" si="21"/>
        <v>933.38485969079238</v>
      </c>
      <c r="R171" s="84">
        <f>'Steel Beam Design'!B4511</f>
        <v>55.624999999999993</v>
      </c>
      <c r="S171" s="84">
        <f t="shared" si="22"/>
        <v>0</v>
      </c>
      <c r="T171" s="84">
        <f>IF(TRIM($B171)="","",IFERROR(VLOOKUP($B171,'Section Data'!$B$36:$AC$107,20,FALSE),""))</f>
        <v>1611</v>
      </c>
      <c r="U171" s="84">
        <f>IF(TRIM($B171)="","",IFERROR(VLOOKUP($B171,'Section Data'!$B$36:$AC$107,21,FALSE),""))</f>
        <v>196</v>
      </c>
      <c r="V171" s="84">
        <f>IF(TRIM($B171)="","",IFERROR(VLOOKUP($B171,'Section Data'!$B$36:$AC$107,22,FALSE),""))</f>
        <v>1831</v>
      </c>
      <c r="W171" s="84">
        <f>IF(TRIM($B171)="","",IFERROR(VLOOKUP($B171,'Section Data'!$B$36:$AC$107,23,FALSE),""))</f>
        <v>304</v>
      </c>
      <c r="X171" s="84">
        <f>IF(TRIM($B171)="","",IFERROR((VLOOKUP($B171,'Section Data'!$B$36:$AC$107,5,FALSE)/10)*(VLOOKUP($B171,'Section Data'!$B$36:$AC$107,3,FALSE)/10)^2/4,""))</f>
        <v>523.71</v>
      </c>
      <c r="Y171" s="84">
        <f>IF(TRIM($B171)="","",IFERROR((VLOOKUP($B171,'Section Data'!$B$36:$AC$107,3,FALSE)/10)*(VLOOKUP($B171,'Section Data'!$B$36:$AC$107,5,FALSE)/10)^2/4,""))</f>
        <v>11.27115</v>
      </c>
      <c r="Z171" s="84">
        <f t="shared" si="23"/>
        <v>650.005</v>
      </c>
      <c r="AA171" s="84">
        <f t="shared" si="24"/>
        <v>83.495999999999995</v>
      </c>
      <c r="AB171" s="86">
        <f t="shared" si="25"/>
        <v>0.26742582749363458</v>
      </c>
      <c r="AC171" s="86">
        <f t="shared" si="26"/>
        <v>0.11020750751174369</v>
      </c>
      <c r="AD171" s="1" t="b">
        <f>AND(ISNUMBER(AB171),ISNUMBER(AC171),AB171&gt;=0,AC171&gt;=0,AB171&lt;=0.95,AC171&lt;=0.95,ISNUMBER(D171),D171&gt;0,'Steel Beam Design'!$A$18="",C171="UC")</f>
        <v>0</v>
      </c>
      <c r="AE171" s="84">
        <f>'Steel Beam Design'!O27</f>
        <v>278.12499999999994</v>
      </c>
    </row>
    <row r="172" spans="1:31">
      <c r="A172" s="1" t="s">
        <v>443</v>
      </c>
      <c r="B172" s="1" t="str">
        <f>'Section Data'!B68</f>
        <v>457x191x74</v>
      </c>
      <c r="C172" s="1" t="s">
        <v>368</v>
      </c>
      <c r="D172" s="84">
        <f>'Section Data'!C68</f>
        <v>74.3</v>
      </c>
      <c r="E172" s="84">
        <f>'Section Data'!Q68</f>
        <v>33320</v>
      </c>
      <c r="F172" s="84">
        <f>'Steel Beam Design'!D7043</f>
        <v>173.82812499999994</v>
      </c>
      <c r="G172" s="84">
        <f>'Steel Beam Design'!D7067</f>
        <v>4083.1881533101036</v>
      </c>
      <c r="H172" s="84" t="str">
        <f>IF(TRIM($B172)="","",IFERROR('Steel Beam Design'!$D$7006,""))</f>
        <v>S355</v>
      </c>
      <c r="I172" s="84">
        <f>IF(TRIM($B172)="","",IFERROR(MAX(VLOOKUP($B172,'Section Data'!$B$36:$AC$107,5,FALSE),VLOOKUP($B172,'Section Data'!$B$36:$AC$107,6,FALSE)),""))</f>
        <v>14.5</v>
      </c>
      <c r="J172" s="84">
        <f>IF(TRIM($B172)="","",IFERROR(IF(I172&gt;150,"",INDEX('Section Data'!$AH$5:$AK$10,IF(I172&lt;=16,1,IF(I172&lt;=40,2,IF(I172&lt;=63,3,IF(I172&lt;=80,4,IF(I172&lt;=100,5,6))))),MATCH(H172,'Section Data'!$AH$4:$AK$4,0))),""))</f>
        <v>355</v>
      </c>
      <c r="K172" s="84">
        <f t="shared" si="18"/>
        <v>0.88014083380101371</v>
      </c>
      <c r="L172" s="84">
        <f>IF(TRIM($B172)="","",IFERROR(VLOOKUP($B172,'Section Data'!$B$36:$AC$107,9,FALSE),""))</f>
        <v>6.57</v>
      </c>
      <c r="M172" s="84">
        <f>IF(TRIM($B172)="","",IFERROR(VLOOKUP($B172,'Section Data'!$B$36:$AC$107,10,FALSE),""))</f>
        <v>45.3</v>
      </c>
      <c r="N172" s="84">
        <f t="shared" si="19"/>
        <v>8</v>
      </c>
      <c r="O172" s="84">
        <f t="shared" si="20"/>
        <v>80</v>
      </c>
      <c r="P172" s="84">
        <f>IF(TRIM($B172)="","",IFERROR(VLOOKUP($B172,'Section Data'!$B$36:$AC$107,5,FALSE)*VLOOKUP($B172,'Section Data'!$B$36:$AC$107,3,FALSE),""))</f>
        <v>4113</v>
      </c>
      <c r="Q172" s="84">
        <f t="shared" si="21"/>
        <v>842.99778829781053</v>
      </c>
      <c r="R172" s="84">
        <f>'Steel Beam Design'!B4511</f>
        <v>55.624999999999993</v>
      </c>
      <c r="S172" s="84">
        <f t="shared" si="22"/>
        <v>0</v>
      </c>
      <c r="T172" s="84">
        <f>IF(TRIM($B172)="","",IFERROR(VLOOKUP($B172,'Section Data'!$B$36:$AC$107,20,FALSE),""))</f>
        <v>1458</v>
      </c>
      <c r="U172" s="84">
        <f>IF(TRIM($B172)="","",IFERROR(VLOOKUP($B172,'Section Data'!$B$36:$AC$107,21,FALSE),""))</f>
        <v>176</v>
      </c>
      <c r="V172" s="84">
        <f>IF(TRIM($B172)="","",IFERROR(VLOOKUP($B172,'Section Data'!$B$36:$AC$107,22,FALSE),""))</f>
        <v>1653</v>
      </c>
      <c r="W172" s="84">
        <f>IF(TRIM($B172)="","",IFERROR(VLOOKUP($B172,'Section Data'!$B$36:$AC$107,23,FALSE),""))</f>
        <v>272</v>
      </c>
      <c r="X172" s="84">
        <f>IF(TRIM($B172)="","",IFERROR((VLOOKUP($B172,'Section Data'!$B$36:$AC$107,5,FALSE)/10)*(VLOOKUP($B172,'Section Data'!$B$36:$AC$107,3,FALSE)/10)^2/4,""))</f>
        <v>469.91025000000008</v>
      </c>
      <c r="Y172" s="84">
        <f>IF(TRIM($B172)="","",IFERROR((VLOOKUP($B172,'Section Data'!$B$36:$AC$107,3,FALSE)/10)*(VLOOKUP($B172,'Section Data'!$B$36:$AC$107,5,FALSE)/10)^2/4,""))</f>
        <v>9.2542500000000008</v>
      </c>
      <c r="Z172" s="84">
        <f t="shared" si="23"/>
        <v>586.81500000000005</v>
      </c>
      <c r="AA172" s="84">
        <f t="shared" si="24"/>
        <v>74.975999999999999</v>
      </c>
      <c r="AB172" s="86">
        <f t="shared" si="25"/>
        <v>0.2962230430374137</v>
      </c>
      <c r="AC172" s="86">
        <f t="shared" si="26"/>
        <v>0.12254466246428883</v>
      </c>
      <c r="AD172" s="1" t="b">
        <f>AND(ISNUMBER(AB172),ISNUMBER(AC172),AB172&gt;=0,AC172&gt;=0,AB172&lt;=0.95,AC172&lt;=0.95,ISNUMBER(D172),D172&gt;0,'Steel Beam Design'!$A$18="",C172="UC")</f>
        <v>0</v>
      </c>
      <c r="AE172" s="84">
        <f>'Steel Beam Design'!O27</f>
        <v>278.12499999999994</v>
      </c>
    </row>
    <row r="173" spans="1:31">
      <c r="A173" s="1" t="s">
        <v>443</v>
      </c>
      <c r="B173" s="1" t="str">
        <f>'Section Data'!B69</f>
        <v>457x191x67</v>
      </c>
      <c r="C173" s="1" t="s">
        <v>368</v>
      </c>
      <c r="D173" s="84">
        <f>'Section Data'!C69</f>
        <v>67.099999999999994</v>
      </c>
      <c r="E173" s="84">
        <f>'Section Data'!Q69</f>
        <v>29380</v>
      </c>
      <c r="F173" s="84">
        <f>'Steel Beam Design'!D7043</f>
        <v>173.82812499999994</v>
      </c>
      <c r="G173" s="84">
        <f>'Steel Beam Design'!D7067</f>
        <v>4083.1881533101036</v>
      </c>
      <c r="H173" s="84" t="str">
        <f>IF(TRIM($B173)="","",IFERROR('Steel Beam Design'!$D$7006,""))</f>
        <v>S355</v>
      </c>
      <c r="I173" s="84">
        <f>IF(TRIM($B173)="","",IFERROR(MAX(VLOOKUP($B173,'Section Data'!$B$36:$AC$107,5,FALSE),VLOOKUP($B173,'Section Data'!$B$36:$AC$107,6,FALSE)),""))</f>
        <v>12.7</v>
      </c>
      <c r="J173" s="84">
        <f>IF(TRIM($B173)="","",IFERROR(IF(I173&gt;150,"",INDEX('Section Data'!$AH$5:$AK$10,IF(I173&lt;=16,1,IF(I173&lt;=40,2,IF(I173&lt;=63,3,IF(I173&lt;=80,4,IF(I173&lt;=100,5,6))))),MATCH(H173,'Section Data'!$AH$4:$AK$4,0))),""))</f>
        <v>355</v>
      </c>
      <c r="K173" s="84">
        <f t="shared" si="18"/>
        <v>0.88014083380101371</v>
      </c>
      <c r="L173" s="84">
        <f>IF(TRIM($B173)="","",IFERROR(VLOOKUP($B173,'Section Data'!$B$36:$AC$107,9,FALSE),""))</f>
        <v>7.48</v>
      </c>
      <c r="M173" s="84">
        <f>IF(TRIM($B173)="","",IFERROR(VLOOKUP($B173,'Section Data'!$B$36:$AC$107,10,FALSE),""))</f>
        <v>48</v>
      </c>
      <c r="N173" s="84">
        <f t="shared" si="19"/>
        <v>9</v>
      </c>
      <c r="O173" s="84">
        <f t="shared" si="20"/>
        <v>80</v>
      </c>
      <c r="P173" s="84">
        <f>IF(TRIM($B173)="","",IFERROR(VLOOKUP($B173,'Section Data'!$B$36:$AC$107,5,FALSE)*VLOOKUP($B173,'Section Data'!$B$36:$AC$107,3,FALSE),""))</f>
        <v>3853.8999999999996</v>
      </c>
      <c r="Q173" s="84">
        <f t="shared" si="21"/>
        <v>789.89282186261403</v>
      </c>
      <c r="R173" s="84">
        <f>'Steel Beam Design'!B4511</f>
        <v>55.624999999999993</v>
      </c>
      <c r="S173" s="84">
        <f t="shared" si="22"/>
        <v>0</v>
      </c>
      <c r="T173" s="84">
        <f>IF(TRIM($B173)="","",IFERROR(VLOOKUP($B173,'Section Data'!$B$36:$AC$107,20,FALSE),""))</f>
        <v>1296</v>
      </c>
      <c r="U173" s="84">
        <f>IF(TRIM($B173)="","",IFERROR(VLOOKUP($B173,'Section Data'!$B$36:$AC$107,21,FALSE),""))</f>
        <v>153</v>
      </c>
      <c r="V173" s="84">
        <f>IF(TRIM($B173)="","",IFERROR(VLOOKUP($B173,'Section Data'!$B$36:$AC$107,22,FALSE),""))</f>
        <v>1471</v>
      </c>
      <c r="W173" s="84">
        <f>IF(TRIM($B173)="","",IFERROR(VLOOKUP($B173,'Section Data'!$B$36:$AC$107,23,FALSE),""))</f>
        <v>237</v>
      </c>
      <c r="X173" s="84">
        <f>IF(TRIM($B173)="","",IFERROR((VLOOKUP($B173,'Section Data'!$B$36:$AC$107,5,FALSE)/10)*(VLOOKUP($B173,'Section Data'!$B$36:$AC$107,3,FALSE)/10)^2/4,""))</f>
        <v>436.83956499999988</v>
      </c>
      <c r="Y173" s="84">
        <f>IF(TRIM($B173)="","",IFERROR((VLOOKUP($B173,'Section Data'!$B$36:$AC$107,3,FALSE)/10)*(VLOOKUP($B173,'Section Data'!$B$36:$AC$107,5,FALSE)/10)^2/4,""))</f>
        <v>8.1895374999999984</v>
      </c>
      <c r="Z173" s="84">
        <f t="shared" si="23"/>
        <v>522.20500000000004</v>
      </c>
      <c r="AA173" s="84">
        <f t="shared" si="24"/>
        <v>65.177999999999997</v>
      </c>
      <c r="AB173" s="86">
        <f t="shared" si="25"/>
        <v>0.33287334475924191</v>
      </c>
      <c r="AC173" s="86">
        <f t="shared" si="26"/>
        <v>0.13897849398604845</v>
      </c>
      <c r="AD173" s="1" t="b">
        <f>AND(ISNUMBER(AB173),ISNUMBER(AC173),AB173&gt;=0,AC173&gt;=0,AB173&lt;=0.95,AC173&lt;=0.95,ISNUMBER(D173),D173&gt;0,'Steel Beam Design'!$A$18="",C173="UC")</f>
        <v>0</v>
      </c>
      <c r="AE173" s="84">
        <f>'Steel Beam Design'!O27</f>
        <v>278.12499999999994</v>
      </c>
    </row>
    <row r="174" spans="1:31">
      <c r="A174" s="1" t="s">
        <v>443</v>
      </c>
      <c r="B174" s="1" t="str">
        <f>'Section Data'!B70</f>
        <v>457x152x82</v>
      </c>
      <c r="C174" s="1" t="s">
        <v>368</v>
      </c>
      <c r="D174" s="84">
        <f>'Section Data'!C70</f>
        <v>82.1</v>
      </c>
      <c r="E174" s="84">
        <f>'Section Data'!Q70</f>
        <v>36590</v>
      </c>
      <c r="F174" s="84">
        <f>'Steel Beam Design'!D7043</f>
        <v>173.82812499999994</v>
      </c>
      <c r="G174" s="84">
        <f>'Steel Beam Design'!D7067</f>
        <v>4083.1881533101036</v>
      </c>
      <c r="H174" s="84" t="str">
        <f>IF(TRIM($B174)="","",IFERROR('Steel Beam Design'!$D$7006,""))</f>
        <v>S355</v>
      </c>
      <c r="I174" s="84">
        <f>IF(TRIM($B174)="","",IFERROR(MAX(VLOOKUP($B174,'Section Data'!$B$36:$AC$107,5,FALSE),VLOOKUP($B174,'Section Data'!$B$36:$AC$107,6,FALSE)),""))</f>
        <v>18.899999999999999</v>
      </c>
      <c r="J174" s="84">
        <f>IF(TRIM($B174)="","",IFERROR(IF(I174&gt;150,"",INDEX('Section Data'!$AH$5:$AK$10,IF(I174&lt;=16,1,IF(I174&lt;=40,2,IF(I174&lt;=63,3,IF(I174&lt;=80,4,IF(I174&lt;=100,5,6))))),MATCH(H174,'Section Data'!$AH$4:$AK$4,0))),""))</f>
        <v>345</v>
      </c>
      <c r="K174" s="84">
        <f t="shared" si="18"/>
        <v>0.8928053815224023</v>
      </c>
      <c r="L174" s="84">
        <f>IF(TRIM($B174)="","",IFERROR(VLOOKUP($B174,'Section Data'!$B$36:$AC$107,9,FALSE),""))</f>
        <v>4.1100000000000003</v>
      </c>
      <c r="M174" s="84">
        <f>IF(TRIM($B174)="","",IFERROR(VLOOKUP($B174,'Section Data'!$B$36:$AC$107,10,FALSE),""))</f>
        <v>38.1</v>
      </c>
      <c r="N174" s="84">
        <f t="shared" si="19"/>
        <v>8</v>
      </c>
      <c r="O174" s="84">
        <f t="shared" si="20"/>
        <v>80</v>
      </c>
      <c r="P174" s="84">
        <f>IF(TRIM($B174)="","",IFERROR(VLOOKUP($B174,'Section Data'!$B$36:$AC$107,5,FALSE)*VLOOKUP($B174,'Section Data'!$B$36:$AC$107,3,FALSE),""))</f>
        <v>4984.0599999999995</v>
      </c>
      <c r="Q174" s="84">
        <f t="shared" si="21"/>
        <v>992.75419201674993</v>
      </c>
      <c r="R174" s="84">
        <f>'Steel Beam Design'!B4511</f>
        <v>55.624999999999993</v>
      </c>
      <c r="S174" s="84">
        <f t="shared" si="22"/>
        <v>0</v>
      </c>
      <c r="T174" s="84">
        <f>IF(TRIM($B174)="","",IFERROR(VLOOKUP($B174,'Section Data'!$B$36:$AC$107,20,FALSE),""))</f>
        <v>1571</v>
      </c>
      <c r="U174" s="84">
        <f>IF(TRIM($B174)="","",IFERROR(VLOOKUP($B174,'Section Data'!$B$36:$AC$107,21,FALSE),""))</f>
        <v>153</v>
      </c>
      <c r="V174" s="84">
        <f>IF(TRIM($B174)="","",IFERROR(VLOOKUP($B174,'Section Data'!$B$36:$AC$107,22,FALSE),""))</f>
        <v>1811</v>
      </c>
      <c r="W174" s="84">
        <f>IF(TRIM($B174)="","",IFERROR(VLOOKUP($B174,'Section Data'!$B$36:$AC$107,23,FALSE),""))</f>
        <v>240</v>
      </c>
      <c r="X174" s="84">
        <f>IF(TRIM($B174)="","",IFERROR((VLOOKUP($B174,'Section Data'!$B$36:$AC$107,5,FALSE)/10)*(VLOOKUP($B174,'Section Data'!$B$36:$AC$107,3,FALSE)/10)^2/4,""))</f>
        <v>580.39378699999986</v>
      </c>
      <c r="Y174" s="84">
        <f>IF(TRIM($B174)="","",IFERROR((VLOOKUP($B174,'Section Data'!$B$36:$AC$107,3,FALSE)/10)*(VLOOKUP($B174,'Section Data'!$B$36:$AC$107,5,FALSE)/10)^2/4,""))</f>
        <v>13.332360499999995</v>
      </c>
      <c r="Z174" s="84">
        <f t="shared" si="23"/>
        <v>624.79499999999996</v>
      </c>
      <c r="AA174" s="84">
        <f t="shared" si="24"/>
        <v>63.341999999999999</v>
      </c>
      <c r="AB174" s="86">
        <f t="shared" si="25"/>
        <v>0.2782162549316175</v>
      </c>
      <c r="AC174" s="86">
        <f t="shared" si="26"/>
        <v>0.11159300774282874</v>
      </c>
      <c r="AD174" s="1" t="b">
        <f>AND(ISNUMBER(AB174),ISNUMBER(AC174),AB174&gt;=0,AC174&gt;=0,AB174&lt;=0.95,AC174&lt;=0.95,ISNUMBER(D174),D174&gt;0,'Steel Beam Design'!$A$18="",C174="UC")</f>
        <v>0</v>
      </c>
      <c r="AE174" s="84">
        <f>'Steel Beam Design'!O27</f>
        <v>278.12499999999994</v>
      </c>
    </row>
    <row r="175" spans="1:31">
      <c r="A175" s="1" t="s">
        <v>443</v>
      </c>
      <c r="B175" s="1" t="str">
        <f>'Section Data'!B71</f>
        <v>457x152x74</v>
      </c>
      <c r="C175" s="1" t="s">
        <v>368</v>
      </c>
      <c r="D175" s="84">
        <f>'Section Data'!C71</f>
        <v>74.2</v>
      </c>
      <c r="E175" s="84">
        <f>'Section Data'!Q71</f>
        <v>32670</v>
      </c>
      <c r="F175" s="84">
        <f>'Steel Beam Design'!D7043</f>
        <v>173.82812499999994</v>
      </c>
      <c r="G175" s="84">
        <f>'Steel Beam Design'!D7067</f>
        <v>4083.1881533101036</v>
      </c>
      <c r="H175" s="84" t="str">
        <f>IF(TRIM($B175)="","",IFERROR('Steel Beam Design'!$D$7006,""))</f>
        <v>S355</v>
      </c>
      <c r="I175" s="84">
        <f>IF(TRIM($B175)="","",IFERROR(MAX(VLOOKUP($B175,'Section Data'!$B$36:$AC$107,5,FALSE),VLOOKUP($B175,'Section Data'!$B$36:$AC$107,6,FALSE)),""))</f>
        <v>17</v>
      </c>
      <c r="J175" s="84">
        <f>IF(TRIM($B175)="","",IFERROR(IF(I175&gt;150,"",INDEX('Section Data'!$AH$5:$AK$10,IF(I175&lt;=16,1,IF(I175&lt;=40,2,IF(I175&lt;=63,3,IF(I175&lt;=80,4,IF(I175&lt;=100,5,6))))),MATCH(H175,'Section Data'!$AH$4:$AK$4,0))),""))</f>
        <v>345</v>
      </c>
      <c r="K175" s="84">
        <f t="shared" si="18"/>
        <v>0.8928053815224023</v>
      </c>
      <c r="L175" s="84">
        <f>IF(TRIM($B175)="","",IFERROR(VLOOKUP($B175,'Section Data'!$B$36:$AC$107,9,FALSE),""))</f>
        <v>4.54</v>
      </c>
      <c r="M175" s="84">
        <f>IF(TRIM($B175)="","",IFERROR(VLOOKUP($B175,'Section Data'!$B$36:$AC$107,10,FALSE),""))</f>
        <v>42.5</v>
      </c>
      <c r="N175" s="84">
        <f t="shared" si="19"/>
        <v>8</v>
      </c>
      <c r="O175" s="84">
        <f t="shared" si="20"/>
        <v>80</v>
      </c>
      <c r="P175" s="84">
        <f>IF(TRIM($B175)="","",IFERROR(VLOOKUP($B175,'Section Data'!$B$36:$AC$107,5,FALSE)*VLOOKUP($B175,'Section Data'!$B$36:$AC$107,3,FALSE),""))</f>
        <v>4435.2</v>
      </c>
      <c r="Q175" s="84">
        <f t="shared" si="21"/>
        <v>883.42905029889084</v>
      </c>
      <c r="R175" s="84">
        <f>'Steel Beam Design'!B4511</f>
        <v>55.624999999999993</v>
      </c>
      <c r="S175" s="84">
        <f t="shared" si="22"/>
        <v>0</v>
      </c>
      <c r="T175" s="84">
        <f>IF(TRIM($B175)="","",IFERROR(VLOOKUP($B175,'Section Data'!$B$36:$AC$107,20,FALSE),""))</f>
        <v>1414</v>
      </c>
      <c r="U175" s="84">
        <f>IF(TRIM($B175)="","",IFERROR(VLOOKUP($B175,'Section Data'!$B$36:$AC$107,21,FALSE),""))</f>
        <v>136</v>
      </c>
      <c r="V175" s="84">
        <f>IF(TRIM($B175)="","",IFERROR(VLOOKUP($B175,'Section Data'!$B$36:$AC$107,22,FALSE),""))</f>
        <v>1627</v>
      </c>
      <c r="W175" s="84">
        <f>IF(TRIM($B175)="","",IFERROR(VLOOKUP($B175,'Section Data'!$B$36:$AC$107,23,FALSE),""))</f>
        <v>213</v>
      </c>
      <c r="X175" s="84">
        <f>IF(TRIM($B175)="","",IFERROR((VLOOKUP($B175,'Section Data'!$B$36:$AC$107,5,FALSE)/10)*(VLOOKUP($B175,'Section Data'!$B$36:$AC$107,3,FALSE)/10)^2/4,""))</f>
        <v>512.26559999999995</v>
      </c>
      <c r="Y175" s="84">
        <f>IF(TRIM($B175)="","",IFERROR((VLOOKUP($B175,'Section Data'!$B$36:$AC$107,3,FALSE)/10)*(VLOOKUP($B175,'Section Data'!$B$36:$AC$107,5,FALSE)/10)^2/4,""))</f>
        <v>10.64448</v>
      </c>
      <c r="Z175" s="84">
        <f t="shared" si="23"/>
        <v>561.31500000000005</v>
      </c>
      <c r="AA175" s="84">
        <f t="shared" si="24"/>
        <v>56.303999999999995</v>
      </c>
      <c r="AB175" s="86">
        <f t="shared" si="25"/>
        <v>0.30968017067065717</v>
      </c>
      <c r="AC175" s="86">
        <f t="shared" si="26"/>
        <v>0.12498280236639436</v>
      </c>
      <c r="AD175" s="1" t="b">
        <f>AND(ISNUMBER(AB175),ISNUMBER(AC175),AB175&gt;=0,AC175&gt;=0,AB175&lt;=0.95,AC175&lt;=0.95,ISNUMBER(D175),D175&gt;0,'Steel Beam Design'!$A$18="",C175="UC")</f>
        <v>0</v>
      </c>
      <c r="AE175" s="84">
        <f>'Steel Beam Design'!O27</f>
        <v>278.12499999999994</v>
      </c>
    </row>
    <row r="176" spans="1:31">
      <c r="A176" s="1" t="s">
        <v>443</v>
      </c>
      <c r="B176" s="1" t="str">
        <f>'Section Data'!B72</f>
        <v>457x152x67</v>
      </c>
      <c r="C176" s="1" t="s">
        <v>368</v>
      </c>
      <c r="D176" s="84">
        <f>'Section Data'!C72</f>
        <v>67.2</v>
      </c>
      <c r="E176" s="84">
        <f>'Section Data'!Q72</f>
        <v>28930</v>
      </c>
      <c r="F176" s="84">
        <f>'Steel Beam Design'!D7043</f>
        <v>173.82812499999994</v>
      </c>
      <c r="G176" s="84">
        <f>'Steel Beam Design'!D7067</f>
        <v>4083.1881533101036</v>
      </c>
      <c r="H176" s="84" t="str">
        <f>IF(TRIM($B176)="","",IFERROR('Steel Beam Design'!$D$7006,""))</f>
        <v>S355</v>
      </c>
      <c r="I176" s="84">
        <f>IF(TRIM($B176)="","",IFERROR(MAX(VLOOKUP($B176,'Section Data'!$B$36:$AC$107,5,FALSE),VLOOKUP($B176,'Section Data'!$B$36:$AC$107,6,FALSE)),""))</f>
        <v>15</v>
      </c>
      <c r="J176" s="84">
        <f>IF(TRIM($B176)="","",IFERROR(IF(I176&gt;150,"",INDEX('Section Data'!$AH$5:$AK$10,IF(I176&lt;=16,1,IF(I176&lt;=40,2,IF(I176&lt;=63,3,IF(I176&lt;=80,4,IF(I176&lt;=100,5,6))))),MATCH(H176,'Section Data'!$AH$4:$AK$4,0))),""))</f>
        <v>355</v>
      </c>
      <c r="K176" s="84">
        <f t="shared" si="18"/>
        <v>0.88014083380101371</v>
      </c>
      <c r="L176" s="84">
        <f>IF(TRIM($B176)="","",IFERROR(VLOOKUP($B176,'Section Data'!$B$36:$AC$107,9,FALSE),""))</f>
        <v>5.13</v>
      </c>
      <c r="M176" s="84">
        <f>IF(TRIM($B176)="","",IFERROR(VLOOKUP($B176,'Section Data'!$B$36:$AC$107,10,FALSE),""))</f>
        <v>45.3</v>
      </c>
      <c r="N176" s="84">
        <f t="shared" si="19"/>
        <v>8</v>
      </c>
      <c r="O176" s="84">
        <f t="shared" si="20"/>
        <v>80</v>
      </c>
      <c r="P176" s="84">
        <f>IF(TRIM($B176)="","",IFERROR(VLOOKUP($B176,'Section Data'!$B$36:$AC$107,5,FALSE)*VLOOKUP($B176,'Section Data'!$B$36:$AC$107,3,FALSE),""))</f>
        <v>4122</v>
      </c>
      <c r="Q176" s="84">
        <f t="shared" si="21"/>
        <v>844.84242240787137</v>
      </c>
      <c r="R176" s="84">
        <f>'Steel Beam Design'!B4511</f>
        <v>55.624999999999993</v>
      </c>
      <c r="S176" s="84">
        <f t="shared" si="22"/>
        <v>0</v>
      </c>
      <c r="T176" s="84">
        <f>IF(TRIM($B176)="","",IFERROR(VLOOKUP($B176,'Section Data'!$B$36:$AC$107,20,FALSE),""))</f>
        <v>1263</v>
      </c>
      <c r="U176" s="84">
        <f>IF(TRIM($B176)="","",IFERROR(VLOOKUP($B176,'Section Data'!$B$36:$AC$107,21,FALSE),""))</f>
        <v>119</v>
      </c>
      <c r="V176" s="84">
        <f>IF(TRIM($B176)="","",IFERROR(VLOOKUP($B176,'Section Data'!$B$36:$AC$107,22,FALSE),""))</f>
        <v>1453</v>
      </c>
      <c r="W176" s="84">
        <f>IF(TRIM($B176)="","",IFERROR(VLOOKUP($B176,'Section Data'!$B$36:$AC$107,23,FALSE),""))</f>
        <v>187</v>
      </c>
      <c r="X176" s="84">
        <f>IF(TRIM($B176)="","",IFERROR((VLOOKUP($B176,'Section Data'!$B$36:$AC$107,5,FALSE)/10)*(VLOOKUP($B176,'Section Data'!$B$36:$AC$107,3,FALSE)/10)^2/4,""))</f>
        <v>471.96899999999999</v>
      </c>
      <c r="Y176" s="84">
        <f>IF(TRIM($B176)="","",IFERROR((VLOOKUP($B176,'Section Data'!$B$36:$AC$107,3,FALSE)/10)*(VLOOKUP($B176,'Section Data'!$B$36:$AC$107,5,FALSE)/10)^2/4,""))</f>
        <v>9.2744999999999997</v>
      </c>
      <c r="Z176" s="84">
        <f t="shared" si="23"/>
        <v>515.81500000000005</v>
      </c>
      <c r="AA176" s="84">
        <f t="shared" si="24"/>
        <v>50.693999999999996</v>
      </c>
      <c r="AB176" s="86">
        <f t="shared" si="25"/>
        <v>0.33699703382026486</v>
      </c>
      <c r="AC176" s="86">
        <f t="shared" si="26"/>
        <v>0.14114027491566206</v>
      </c>
      <c r="AD176" s="1" t="b">
        <f>AND(ISNUMBER(AB176),ISNUMBER(AC176),AB176&gt;=0,AC176&gt;=0,AB176&lt;=0.95,AC176&lt;=0.95,ISNUMBER(D176),D176&gt;0,'Steel Beam Design'!$A$18="",C176="UC")</f>
        <v>0</v>
      </c>
      <c r="AE176" s="84">
        <f>'Steel Beam Design'!O27</f>
        <v>278.12499999999994</v>
      </c>
    </row>
    <row r="177" spans="1:31">
      <c r="A177" s="1" t="s">
        <v>443</v>
      </c>
      <c r="B177" s="1" t="str">
        <f>'Section Data'!B73</f>
        <v>457x152x60</v>
      </c>
      <c r="C177" s="1" t="s">
        <v>368</v>
      </c>
      <c r="D177" s="84">
        <f>'Section Data'!C73</f>
        <v>59.8</v>
      </c>
      <c r="E177" s="84">
        <f>'Section Data'!Q73</f>
        <v>25500</v>
      </c>
      <c r="F177" s="84">
        <f>'Steel Beam Design'!D7043</f>
        <v>173.82812499999994</v>
      </c>
      <c r="G177" s="84">
        <f>'Steel Beam Design'!D7067</f>
        <v>4083.1881533101036</v>
      </c>
      <c r="H177" s="84" t="str">
        <f>IF(TRIM($B177)="","",IFERROR('Steel Beam Design'!$D$7006,""))</f>
        <v>S355</v>
      </c>
      <c r="I177" s="84">
        <f>IF(TRIM($B177)="","",IFERROR(MAX(VLOOKUP($B177,'Section Data'!$B$36:$AC$107,5,FALSE),VLOOKUP($B177,'Section Data'!$B$36:$AC$107,6,FALSE)),""))</f>
        <v>13.3</v>
      </c>
      <c r="J177" s="84">
        <f>IF(TRIM($B177)="","",IFERROR(IF(I177&gt;150,"",INDEX('Section Data'!$AH$5:$AK$10,IF(I177&lt;=16,1,IF(I177&lt;=40,2,IF(I177&lt;=63,3,IF(I177&lt;=80,4,IF(I177&lt;=100,5,6))))),MATCH(H177,'Section Data'!$AH$4:$AK$4,0))),""))</f>
        <v>355</v>
      </c>
      <c r="K177" s="84">
        <f t="shared" si="18"/>
        <v>0.88014083380101371</v>
      </c>
      <c r="L177" s="84">
        <f>IF(TRIM($B177)="","",IFERROR(VLOOKUP($B177,'Section Data'!$B$36:$AC$107,9,FALSE),""))</f>
        <v>5.76</v>
      </c>
      <c r="M177" s="84">
        <f>IF(TRIM($B177)="","",IFERROR(VLOOKUP($B177,'Section Data'!$B$36:$AC$107,10,FALSE),""))</f>
        <v>50.3</v>
      </c>
      <c r="N177" s="84">
        <f t="shared" si="19"/>
        <v>8</v>
      </c>
      <c r="O177" s="84">
        <f t="shared" si="20"/>
        <v>80</v>
      </c>
      <c r="P177" s="84">
        <f>IF(TRIM($B177)="","",IFERROR(VLOOKUP($B177,'Section Data'!$B$36:$AC$107,5,FALSE)*VLOOKUP($B177,'Section Data'!$B$36:$AC$107,3,FALSE),""))</f>
        <v>3682.26</v>
      </c>
      <c r="Q177" s="84">
        <f t="shared" si="21"/>
        <v>754.71359979029808</v>
      </c>
      <c r="R177" s="84">
        <f>'Steel Beam Design'!B4511</f>
        <v>55.624999999999993</v>
      </c>
      <c r="S177" s="84">
        <f t="shared" si="22"/>
        <v>0</v>
      </c>
      <c r="T177" s="84">
        <f>IF(TRIM($B177)="","",IFERROR(VLOOKUP($B177,'Section Data'!$B$36:$AC$107,20,FALSE),""))</f>
        <v>1122</v>
      </c>
      <c r="U177" s="84">
        <f>IF(TRIM($B177)="","",IFERROR(VLOOKUP($B177,'Section Data'!$B$36:$AC$107,21,FALSE),""))</f>
        <v>104</v>
      </c>
      <c r="V177" s="84">
        <f>IF(TRIM($B177)="","",IFERROR(VLOOKUP($B177,'Section Data'!$B$36:$AC$107,22,FALSE),""))</f>
        <v>1287</v>
      </c>
      <c r="W177" s="84">
        <f>IF(TRIM($B177)="","",IFERROR(VLOOKUP($B177,'Section Data'!$B$36:$AC$107,23,FALSE),""))</f>
        <v>163</v>
      </c>
      <c r="X177" s="84">
        <f>IF(TRIM($B177)="","",IFERROR((VLOOKUP($B177,'Section Data'!$B$36:$AC$107,5,FALSE)/10)*(VLOOKUP($B177,'Section Data'!$B$36:$AC$107,3,FALSE)/10)^2/4,""))</f>
        <v>418.48884900000002</v>
      </c>
      <c r="Y177" s="84">
        <f>IF(TRIM($B177)="","",IFERROR((VLOOKUP($B177,'Section Data'!$B$36:$AC$107,3,FALSE)/10)*(VLOOKUP($B177,'Section Data'!$B$36:$AC$107,5,FALSE)/10)^2/4,""))</f>
        <v>7.4565764999999988</v>
      </c>
      <c r="Z177" s="84">
        <f t="shared" si="23"/>
        <v>456.88499999999999</v>
      </c>
      <c r="AA177" s="84">
        <f t="shared" si="24"/>
        <v>44.304000000000002</v>
      </c>
      <c r="AB177" s="86">
        <f t="shared" si="25"/>
        <v>0.38046362870306522</v>
      </c>
      <c r="AC177" s="86">
        <f t="shared" si="26"/>
        <v>0.16012502562000405</v>
      </c>
      <c r="AD177" s="1" t="b">
        <f>AND(ISNUMBER(AB177),ISNUMBER(AC177),AB177&gt;=0,AC177&gt;=0,AB177&lt;=0.95,AC177&lt;=0.95,ISNUMBER(D177),D177&gt;0,'Steel Beam Design'!$A$18="",C177="UC")</f>
        <v>0</v>
      </c>
      <c r="AE177" s="84">
        <f>'Steel Beam Design'!O27</f>
        <v>278.12499999999994</v>
      </c>
    </row>
    <row r="178" spans="1:31">
      <c r="A178" s="1" t="s">
        <v>443</v>
      </c>
      <c r="B178" s="1" t="str">
        <f>'Section Data'!B74</f>
        <v>457x152x52</v>
      </c>
      <c r="C178" s="1" t="s">
        <v>368</v>
      </c>
      <c r="D178" s="84">
        <f>'Section Data'!C74</f>
        <v>52.3</v>
      </c>
      <c r="E178" s="84">
        <f>'Section Data'!Q74</f>
        <v>21370</v>
      </c>
      <c r="F178" s="84">
        <f>'Steel Beam Design'!D7043</f>
        <v>173.82812499999994</v>
      </c>
      <c r="G178" s="84">
        <f>'Steel Beam Design'!D7067</f>
        <v>4083.1881533101036</v>
      </c>
      <c r="H178" s="84" t="str">
        <f>IF(TRIM($B178)="","",IFERROR('Steel Beam Design'!$D$7006,""))</f>
        <v>S355</v>
      </c>
      <c r="I178" s="84">
        <f>IF(TRIM($B178)="","",IFERROR(MAX(VLOOKUP($B178,'Section Data'!$B$36:$AC$107,5,FALSE),VLOOKUP($B178,'Section Data'!$B$36:$AC$107,6,FALSE)),""))</f>
        <v>10.9</v>
      </c>
      <c r="J178" s="84">
        <f>IF(TRIM($B178)="","",IFERROR(IF(I178&gt;150,"",INDEX('Section Data'!$AH$5:$AK$10,IF(I178&lt;=16,1,IF(I178&lt;=40,2,IF(I178&lt;=63,3,IF(I178&lt;=80,4,IF(I178&lt;=100,5,6))))),MATCH(H178,'Section Data'!$AH$4:$AK$4,0))),""))</f>
        <v>355</v>
      </c>
      <c r="K178" s="84">
        <f t="shared" si="18"/>
        <v>0.88014083380101371</v>
      </c>
      <c r="L178" s="84">
        <f>IF(TRIM($B178)="","",IFERROR(VLOOKUP($B178,'Section Data'!$B$36:$AC$107,9,FALSE),""))</f>
        <v>6.99</v>
      </c>
      <c r="M178" s="84">
        <f>IF(TRIM($B178)="","",IFERROR(VLOOKUP($B178,'Section Data'!$B$36:$AC$107,10,FALSE),""))</f>
        <v>53.6</v>
      </c>
      <c r="N178" s="84">
        <f t="shared" si="19"/>
        <v>8</v>
      </c>
      <c r="O178" s="84">
        <f t="shared" si="20"/>
        <v>80</v>
      </c>
      <c r="P178" s="84">
        <f>IF(TRIM($B178)="","",IFERROR(VLOOKUP($B178,'Section Data'!$B$36:$AC$107,5,FALSE)*VLOOKUP($B178,'Section Data'!$B$36:$AC$107,3,FALSE),""))</f>
        <v>3418.48</v>
      </c>
      <c r="Q178" s="84">
        <f t="shared" si="21"/>
        <v>700.64942361786984</v>
      </c>
      <c r="R178" s="84">
        <f>'Steel Beam Design'!B4511</f>
        <v>55.624999999999993</v>
      </c>
      <c r="S178" s="84">
        <f t="shared" si="22"/>
        <v>0</v>
      </c>
      <c r="T178" s="84">
        <f>IF(TRIM($B178)="","",IFERROR(VLOOKUP($B178,'Section Data'!$B$36:$AC$107,20,FALSE),""))</f>
        <v>950</v>
      </c>
      <c r="U178" s="84">
        <f>IF(TRIM($B178)="","",IFERROR(VLOOKUP($B178,'Section Data'!$B$36:$AC$107,21,FALSE),""))</f>
        <v>84.6</v>
      </c>
      <c r="V178" s="84">
        <f>IF(TRIM($B178)="","",IFERROR(VLOOKUP($B178,'Section Data'!$B$36:$AC$107,22,FALSE),""))</f>
        <v>1096</v>
      </c>
      <c r="W178" s="84">
        <f>IF(TRIM($B178)="","",IFERROR(VLOOKUP($B178,'Section Data'!$B$36:$AC$107,23,FALSE),""))</f>
        <v>133</v>
      </c>
      <c r="X178" s="84">
        <f>IF(TRIM($B178)="","",IFERROR((VLOOKUP($B178,'Section Data'!$B$36:$AC$107,5,FALSE)/10)*(VLOOKUP($B178,'Section Data'!$B$36:$AC$107,3,FALSE)/10)^2/4,""))</f>
        <v>384.40807600000011</v>
      </c>
      <c r="Y178" s="84">
        <f>IF(TRIM($B178)="","",IFERROR((VLOOKUP($B178,'Section Data'!$B$36:$AC$107,3,FALSE)/10)*(VLOOKUP($B178,'Section Data'!$B$36:$AC$107,5,FALSE)/10)^2/4,""))</f>
        <v>6.4951120000000007</v>
      </c>
      <c r="Z178" s="84">
        <f t="shared" si="23"/>
        <v>389.08</v>
      </c>
      <c r="AA178" s="84">
        <f t="shared" si="24"/>
        <v>36.0396</v>
      </c>
      <c r="AB178" s="86">
        <f t="shared" si="25"/>
        <v>0.44676705304821618</v>
      </c>
      <c r="AC178" s="86">
        <f t="shared" si="26"/>
        <v>0.19107104133411809</v>
      </c>
      <c r="AD178" s="1" t="b">
        <f>AND(ISNUMBER(AB178),ISNUMBER(AC178),AB178&gt;=0,AC178&gt;=0,AB178&lt;=0.95,AC178&lt;=0.95,ISNUMBER(D178),D178&gt;0,'Steel Beam Design'!$A$18="",C178="UC")</f>
        <v>0</v>
      </c>
      <c r="AE178" s="84">
        <f>'Steel Beam Design'!O27</f>
        <v>278.12499999999994</v>
      </c>
    </row>
    <row r="179" spans="1:31">
      <c r="A179" s="1" t="s">
        <v>443</v>
      </c>
      <c r="B179" s="1" t="str">
        <f>'Section Data'!B75</f>
        <v>406x178x74</v>
      </c>
      <c r="C179" s="1" t="s">
        <v>368</v>
      </c>
      <c r="D179" s="84">
        <f>'Section Data'!C75</f>
        <v>74.2</v>
      </c>
      <c r="E179" s="84">
        <f>'Section Data'!Q75</f>
        <v>27310</v>
      </c>
      <c r="F179" s="84">
        <f>'Steel Beam Design'!D7043</f>
        <v>173.82812499999994</v>
      </c>
      <c r="G179" s="84">
        <f>'Steel Beam Design'!D7067</f>
        <v>4083.1881533101036</v>
      </c>
      <c r="H179" s="84" t="str">
        <f>IF(TRIM($B179)="","",IFERROR('Steel Beam Design'!$D$7006,""))</f>
        <v>S355</v>
      </c>
      <c r="I179" s="84">
        <f>IF(TRIM($B179)="","",IFERROR(MAX(VLOOKUP($B179,'Section Data'!$B$36:$AC$107,5,FALSE),VLOOKUP($B179,'Section Data'!$B$36:$AC$107,6,FALSE)),""))</f>
        <v>16</v>
      </c>
      <c r="J179" s="84">
        <f>IF(TRIM($B179)="","",IFERROR(IF(I179&gt;150,"",INDEX('Section Data'!$AH$5:$AK$10,IF(I179&lt;=16,1,IF(I179&lt;=40,2,IF(I179&lt;=63,3,IF(I179&lt;=80,4,IF(I179&lt;=100,5,6))))),MATCH(H179,'Section Data'!$AH$4:$AK$4,0))),""))</f>
        <v>355</v>
      </c>
      <c r="K179" s="84">
        <f t="shared" si="18"/>
        <v>0.88014083380101371</v>
      </c>
      <c r="L179" s="84">
        <f>IF(TRIM($B179)="","",IFERROR(VLOOKUP($B179,'Section Data'!$B$36:$AC$107,9,FALSE),""))</f>
        <v>5.61</v>
      </c>
      <c r="M179" s="84">
        <f>IF(TRIM($B179)="","",IFERROR(VLOOKUP($B179,'Section Data'!$B$36:$AC$107,10,FALSE),""))</f>
        <v>37.9</v>
      </c>
      <c r="N179" s="84">
        <f t="shared" si="19"/>
        <v>8</v>
      </c>
      <c r="O179" s="84">
        <f t="shared" si="20"/>
        <v>80</v>
      </c>
      <c r="P179" s="84">
        <f>IF(TRIM($B179)="","",IFERROR(VLOOKUP($B179,'Section Data'!$B$36:$AC$107,5,FALSE)*VLOOKUP($B179,'Section Data'!$B$36:$AC$107,3,FALSE),""))</f>
        <v>3921.6</v>
      </c>
      <c r="Q179" s="84">
        <f t="shared" si="21"/>
        <v>803.7685695571829</v>
      </c>
      <c r="R179" s="84">
        <f>'Steel Beam Design'!B4511</f>
        <v>55.624999999999993</v>
      </c>
      <c r="S179" s="84">
        <f t="shared" si="22"/>
        <v>0</v>
      </c>
      <c r="T179" s="84">
        <f>IF(TRIM($B179)="","",IFERROR(VLOOKUP($B179,'Section Data'!$B$36:$AC$107,20,FALSE),""))</f>
        <v>1323</v>
      </c>
      <c r="U179" s="84">
        <f>IF(TRIM($B179)="","",IFERROR(VLOOKUP($B179,'Section Data'!$B$36:$AC$107,21,FALSE),""))</f>
        <v>172</v>
      </c>
      <c r="V179" s="84">
        <f>IF(TRIM($B179)="","",IFERROR(VLOOKUP($B179,'Section Data'!$B$36:$AC$107,22,FALSE),""))</f>
        <v>1501</v>
      </c>
      <c r="W179" s="84">
        <f>IF(TRIM($B179)="","",IFERROR(VLOOKUP($B179,'Section Data'!$B$36:$AC$107,23,FALSE),""))</f>
        <v>267</v>
      </c>
      <c r="X179" s="84">
        <f>IF(TRIM($B179)="","",IFERROR((VLOOKUP($B179,'Section Data'!$B$36:$AC$107,5,FALSE)/10)*(VLOOKUP($B179,'Section Data'!$B$36:$AC$107,3,FALSE)/10)^2/4,""))</f>
        <v>404.70912000000004</v>
      </c>
      <c r="Y179" s="84">
        <f>IF(TRIM($B179)="","",IFERROR((VLOOKUP($B179,'Section Data'!$B$36:$AC$107,3,FALSE)/10)*(VLOOKUP($B179,'Section Data'!$B$36:$AC$107,5,FALSE)/10)^2/4,""))</f>
        <v>9.3138000000000005</v>
      </c>
      <c r="Z179" s="84">
        <f t="shared" si="23"/>
        <v>532.85500000000002</v>
      </c>
      <c r="AA179" s="84">
        <f t="shared" si="24"/>
        <v>73.272000000000006</v>
      </c>
      <c r="AB179" s="86">
        <f t="shared" si="25"/>
        <v>0.32622031321841766</v>
      </c>
      <c r="AC179" s="86">
        <f t="shared" si="26"/>
        <v>0.14951256511571231</v>
      </c>
      <c r="AD179" s="1" t="b">
        <f>AND(ISNUMBER(AB179),ISNUMBER(AC179),AB179&gt;=0,AC179&gt;=0,AB179&lt;=0.95,AC179&lt;=0.95,ISNUMBER(D179),D179&gt;0,'Steel Beam Design'!$A$18="",C179="UC")</f>
        <v>0</v>
      </c>
      <c r="AE179" s="84">
        <f>'Steel Beam Design'!O27</f>
        <v>278.12499999999994</v>
      </c>
    </row>
    <row r="180" spans="1:31">
      <c r="A180" s="1" t="s">
        <v>443</v>
      </c>
      <c r="B180" s="1" t="str">
        <f>'Section Data'!B76</f>
        <v>406x178x67</v>
      </c>
      <c r="C180" s="1" t="s">
        <v>368</v>
      </c>
      <c r="D180" s="84">
        <f>'Section Data'!C76</f>
        <v>67.099999999999994</v>
      </c>
      <c r="E180" s="84">
        <f>'Section Data'!Q76</f>
        <v>24330</v>
      </c>
      <c r="F180" s="84">
        <f>'Steel Beam Design'!D7043</f>
        <v>173.82812499999994</v>
      </c>
      <c r="G180" s="84">
        <f>'Steel Beam Design'!D7067</f>
        <v>4083.1881533101036</v>
      </c>
      <c r="H180" s="84" t="str">
        <f>IF(TRIM($B180)="","",IFERROR('Steel Beam Design'!$D$7006,""))</f>
        <v>S355</v>
      </c>
      <c r="I180" s="84">
        <f>IF(TRIM($B180)="","",IFERROR(MAX(VLOOKUP($B180,'Section Data'!$B$36:$AC$107,5,FALSE),VLOOKUP($B180,'Section Data'!$B$36:$AC$107,6,FALSE)),""))</f>
        <v>14.3</v>
      </c>
      <c r="J180" s="84">
        <f>IF(TRIM($B180)="","",IFERROR(IF(I180&gt;150,"",INDEX('Section Data'!$AH$5:$AK$10,IF(I180&lt;=16,1,IF(I180&lt;=40,2,IF(I180&lt;=63,3,IF(I180&lt;=80,4,IF(I180&lt;=100,5,6))))),MATCH(H180,'Section Data'!$AH$4:$AK$4,0))),""))</f>
        <v>355</v>
      </c>
      <c r="K180" s="84">
        <f t="shared" si="18"/>
        <v>0.88014083380101371</v>
      </c>
      <c r="L180" s="84">
        <f>IF(TRIM($B180)="","",IFERROR(VLOOKUP($B180,'Section Data'!$B$36:$AC$107,9,FALSE),""))</f>
        <v>6.25</v>
      </c>
      <c r="M180" s="84">
        <f>IF(TRIM($B180)="","",IFERROR(VLOOKUP($B180,'Section Data'!$B$36:$AC$107,10,FALSE),""))</f>
        <v>41</v>
      </c>
      <c r="N180" s="84">
        <f t="shared" si="19"/>
        <v>8</v>
      </c>
      <c r="O180" s="84">
        <f t="shared" si="20"/>
        <v>80</v>
      </c>
      <c r="P180" s="84">
        <f>IF(TRIM($B180)="","",IFERROR(VLOOKUP($B180,'Section Data'!$B$36:$AC$107,5,FALSE)*VLOOKUP($B180,'Section Data'!$B$36:$AC$107,3,FALSE),""))</f>
        <v>3602.7200000000003</v>
      </c>
      <c r="Q180" s="84">
        <f t="shared" si="21"/>
        <v>738.41113344427129</v>
      </c>
      <c r="R180" s="84">
        <f>'Steel Beam Design'!B4511</f>
        <v>55.624999999999993</v>
      </c>
      <c r="S180" s="84">
        <f t="shared" si="22"/>
        <v>0</v>
      </c>
      <c r="T180" s="84">
        <f>IF(TRIM($B180)="","",IFERROR(VLOOKUP($B180,'Section Data'!$B$36:$AC$107,20,FALSE),""))</f>
        <v>1189</v>
      </c>
      <c r="U180" s="84">
        <f>IF(TRIM($B180)="","",IFERROR(VLOOKUP($B180,'Section Data'!$B$36:$AC$107,21,FALSE),""))</f>
        <v>153</v>
      </c>
      <c r="V180" s="84">
        <f>IF(TRIM($B180)="","",IFERROR(VLOOKUP($B180,'Section Data'!$B$36:$AC$107,22,FALSE),""))</f>
        <v>1346</v>
      </c>
      <c r="W180" s="84">
        <f>IF(TRIM($B180)="","",IFERROR(VLOOKUP($B180,'Section Data'!$B$36:$AC$107,23,FALSE),""))</f>
        <v>237</v>
      </c>
      <c r="X180" s="84">
        <f>IF(TRIM($B180)="","",IFERROR((VLOOKUP($B180,'Section Data'!$B$36:$AC$107,5,FALSE)/10)*(VLOOKUP($B180,'Section Data'!$B$36:$AC$107,3,FALSE)/10)^2/4,""))</f>
        <v>368.73839199999998</v>
      </c>
      <c r="Y180" s="84">
        <f>IF(TRIM($B180)="","",IFERROR((VLOOKUP($B180,'Section Data'!$B$36:$AC$107,3,FALSE)/10)*(VLOOKUP($B180,'Section Data'!$B$36:$AC$107,5,FALSE)/10)^2/4,""))</f>
        <v>7.9259840000000015</v>
      </c>
      <c r="Z180" s="84">
        <f t="shared" si="23"/>
        <v>477.83</v>
      </c>
      <c r="AA180" s="84">
        <f t="shared" si="24"/>
        <v>65.177999999999997</v>
      </c>
      <c r="AB180" s="86">
        <f t="shared" si="25"/>
        <v>0.36378654542410471</v>
      </c>
      <c r="AC180" s="86">
        <f t="shared" si="26"/>
        <v>0.16782524263502274</v>
      </c>
      <c r="AD180" s="1" t="b">
        <f>AND(ISNUMBER(AB180),ISNUMBER(AC180),AB180&gt;=0,AC180&gt;=0,AB180&lt;=0.95,AC180&lt;=0.95,ISNUMBER(D180),D180&gt;0,'Steel Beam Design'!$A$18="",C180="UC")</f>
        <v>0</v>
      </c>
      <c r="AE180" s="84">
        <f>'Steel Beam Design'!O27</f>
        <v>278.12499999999994</v>
      </c>
    </row>
    <row r="181" spans="1:31">
      <c r="A181" s="1" t="s">
        <v>443</v>
      </c>
      <c r="B181" s="1" t="str">
        <f>'Section Data'!B77</f>
        <v>406x178x60</v>
      </c>
      <c r="C181" s="1" t="s">
        <v>368</v>
      </c>
      <c r="D181" s="84">
        <f>'Section Data'!C77</f>
        <v>6.1</v>
      </c>
      <c r="E181" s="84">
        <f>'Section Data'!Q77</f>
        <v>21600</v>
      </c>
      <c r="F181" s="84">
        <f>'Steel Beam Design'!D7043</f>
        <v>173.82812499999994</v>
      </c>
      <c r="G181" s="84">
        <f>'Steel Beam Design'!D7067</f>
        <v>4083.1881533101036</v>
      </c>
      <c r="H181" s="84" t="str">
        <f>IF(TRIM($B181)="","",IFERROR('Steel Beam Design'!$D$7006,""))</f>
        <v>S355</v>
      </c>
      <c r="I181" s="84">
        <f>IF(TRIM($B181)="","",IFERROR(MAX(VLOOKUP($B181,'Section Data'!$B$36:$AC$107,5,FALSE),VLOOKUP($B181,'Section Data'!$B$36:$AC$107,6,FALSE)),""))</f>
        <v>12.8</v>
      </c>
      <c r="J181" s="84">
        <f>IF(TRIM($B181)="","",IFERROR(IF(I181&gt;150,"",INDEX('Section Data'!$AH$5:$AK$10,IF(I181&lt;=16,1,IF(I181&lt;=40,2,IF(I181&lt;=63,3,IF(I181&lt;=80,4,IF(I181&lt;=100,5,6))))),MATCH(H181,'Section Data'!$AH$4:$AK$4,0))),""))</f>
        <v>355</v>
      </c>
      <c r="K181" s="84">
        <f t="shared" si="18"/>
        <v>0.88014083380101371</v>
      </c>
      <c r="L181" s="84">
        <f>IF(TRIM($B181)="","",IFERROR(VLOOKUP($B181,'Section Data'!$B$36:$AC$107,9,FALSE),""))</f>
        <v>6.95</v>
      </c>
      <c r="M181" s="84">
        <f>IF(TRIM($B181)="","",IFERROR(VLOOKUP($B181,'Section Data'!$B$36:$AC$107,10,FALSE),""))</f>
        <v>45.6</v>
      </c>
      <c r="N181" s="84">
        <f t="shared" si="19"/>
        <v>8</v>
      </c>
      <c r="O181" s="84">
        <f t="shared" si="20"/>
        <v>80</v>
      </c>
      <c r="P181" s="84">
        <f>IF(TRIM($B181)="","",IFERROR(VLOOKUP($B181,'Section Data'!$B$36:$AC$107,5,FALSE)*VLOOKUP($B181,'Section Data'!$B$36:$AC$107,3,FALSE),""))</f>
        <v>3210.56</v>
      </c>
      <c r="Q181" s="84">
        <f t="shared" si="21"/>
        <v>658.03427648855302</v>
      </c>
      <c r="R181" s="84">
        <f>'Steel Beam Design'!B4511</f>
        <v>55.624999999999993</v>
      </c>
      <c r="S181" s="84">
        <f t="shared" si="22"/>
        <v>0</v>
      </c>
      <c r="T181" s="84">
        <f>IF(TRIM($B181)="","",IFERROR(VLOOKUP($B181,'Section Data'!$B$36:$AC$107,20,FALSE),""))</f>
        <v>1063</v>
      </c>
      <c r="U181" s="84">
        <f>IF(TRIM($B181)="","",IFERROR(VLOOKUP($B181,'Section Data'!$B$36:$AC$107,21,FALSE),""))</f>
        <v>135</v>
      </c>
      <c r="V181" s="84">
        <f>IF(TRIM($B181)="","",IFERROR(VLOOKUP($B181,'Section Data'!$B$36:$AC$107,22,FALSE),""))</f>
        <v>1199</v>
      </c>
      <c r="W181" s="84">
        <f>IF(TRIM($B181)="","",IFERROR(VLOOKUP($B181,'Section Data'!$B$36:$AC$107,23,FALSE),""))</f>
        <v>209</v>
      </c>
      <c r="X181" s="84">
        <f>IF(TRIM($B181)="","",IFERROR((VLOOKUP($B181,'Section Data'!$B$36:$AC$107,5,FALSE)/10)*(VLOOKUP($B181,'Section Data'!$B$36:$AC$107,3,FALSE)/10)^2/4,""))</f>
        <v>326.19289600000002</v>
      </c>
      <c r="Y181" s="84">
        <f>IF(TRIM($B181)="","",IFERROR((VLOOKUP($B181,'Section Data'!$B$36:$AC$107,3,FALSE)/10)*(VLOOKUP($B181,'Section Data'!$B$36:$AC$107,5,FALSE)/10)^2/4,""))</f>
        <v>6.3408560000000014</v>
      </c>
      <c r="Z181" s="84">
        <f t="shared" si="23"/>
        <v>425.64499999999998</v>
      </c>
      <c r="AA181" s="84">
        <f t="shared" si="24"/>
        <v>57.51</v>
      </c>
      <c r="AB181" s="86">
        <f t="shared" si="25"/>
        <v>0.40838756475466631</v>
      </c>
      <c r="AC181" s="86">
        <f t="shared" si="26"/>
        <v>0.18903648857917146</v>
      </c>
      <c r="AD181" s="1" t="b">
        <f>AND(ISNUMBER(AB181),ISNUMBER(AC181),AB181&gt;=0,AC181&gt;=0,AB181&lt;=0.95,AC181&lt;=0.95,ISNUMBER(D181),D181&gt;0,'Steel Beam Design'!$A$18="",C181="UC")</f>
        <v>0</v>
      </c>
      <c r="AE181" s="84">
        <f>'Steel Beam Design'!O27</f>
        <v>278.12499999999994</v>
      </c>
    </row>
    <row r="182" spans="1:31">
      <c r="A182" s="1" t="s">
        <v>443</v>
      </c>
      <c r="B182" s="1" t="str">
        <f>'Section Data'!B78</f>
        <v>406x178x54</v>
      </c>
      <c r="C182" s="1" t="s">
        <v>368</v>
      </c>
      <c r="D182" s="84">
        <f>'Section Data'!C78</f>
        <v>54.1</v>
      </c>
      <c r="E182" s="84">
        <f>'Section Data'!Q78</f>
        <v>18720</v>
      </c>
      <c r="F182" s="84">
        <f>'Steel Beam Design'!D7043</f>
        <v>173.82812499999994</v>
      </c>
      <c r="G182" s="84">
        <f>'Steel Beam Design'!D7067</f>
        <v>4083.1881533101036</v>
      </c>
      <c r="H182" s="84" t="str">
        <f>IF(TRIM($B182)="","",IFERROR('Steel Beam Design'!$D$7006,""))</f>
        <v>S355</v>
      </c>
      <c r="I182" s="84">
        <f>IF(TRIM($B182)="","",IFERROR(MAX(VLOOKUP($B182,'Section Data'!$B$36:$AC$107,5,FALSE),VLOOKUP($B182,'Section Data'!$B$36:$AC$107,6,FALSE)),""))</f>
        <v>10.9</v>
      </c>
      <c r="J182" s="84">
        <f>IF(TRIM($B182)="","",IFERROR(IF(I182&gt;150,"",INDEX('Section Data'!$AH$5:$AK$10,IF(I182&lt;=16,1,IF(I182&lt;=40,2,IF(I182&lt;=63,3,IF(I182&lt;=80,4,IF(I182&lt;=100,5,6))))),MATCH(H182,'Section Data'!$AH$4:$AK$4,0))),""))</f>
        <v>355</v>
      </c>
      <c r="K182" s="84">
        <f t="shared" si="18"/>
        <v>0.88014083380101371</v>
      </c>
      <c r="L182" s="84">
        <f>IF(TRIM($B182)="","",IFERROR(VLOOKUP($B182,'Section Data'!$B$36:$AC$107,9,FALSE),""))</f>
        <v>8.15</v>
      </c>
      <c r="M182" s="84">
        <f>IF(TRIM($B182)="","",IFERROR(VLOOKUP($B182,'Section Data'!$B$36:$AC$107,10,FALSE),""))</f>
        <v>46.8</v>
      </c>
      <c r="N182" s="84">
        <f t="shared" si="19"/>
        <v>13</v>
      </c>
      <c r="O182" s="84">
        <f t="shared" si="20"/>
        <v>80</v>
      </c>
      <c r="P182" s="84">
        <f>IF(TRIM($B182)="","",IFERROR(VLOOKUP($B182,'Section Data'!$B$36:$AC$107,5,FALSE)*VLOOKUP($B182,'Section Data'!$B$36:$AC$107,3,FALSE),""))</f>
        <v>3100.0200000000004</v>
      </c>
      <c r="Q182" s="84">
        <f t="shared" si="21"/>
        <v>635.37807043009445</v>
      </c>
      <c r="R182" s="84">
        <f>'Steel Beam Design'!B4511</f>
        <v>55.624999999999993</v>
      </c>
      <c r="S182" s="84">
        <f t="shared" si="22"/>
        <v>0</v>
      </c>
      <c r="T182" s="84">
        <f>IF(TRIM($B182)="","",IFERROR(VLOOKUP($B182,'Section Data'!$B$36:$AC$107,20,FALSE),""))</f>
        <v>930</v>
      </c>
      <c r="U182" s="84">
        <f>IF(TRIM($B182)="","",IFERROR(VLOOKUP($B182,'Section Data'!$B$36:$AC$107,21,FALSE),""))</f>
        <v>115</v>
      </c>
      <c r="V182" s="84">
        <f>IF(TRIM($B182)="","",IFERROR(VLOOKUP($B182,'Section Data'!$B$36:$AC$107,22,FALSE),""))</f>
        <v>1055</v>
      </c>
      <c r="W182" s="84">
        <f>IF(TRIM($B182)="","",IFERROR(VLOOKUP($B182,'Section Data'!$B$36:$AC$107,23,FALSE),""))</f>
        <v>178</v>
      </c>
      <c r="X182" s="84">
        <f>IF(TRIM($B182)="","",IFERROR((VLOOKUP($B182,'Section Data'!$B$36:$AC$107,5,FALSE)/10)*(VLOOKUP($B182,'Section Data'!$B$36:$AC$107,3,FALSE)/10)^2/4,""))</f>
        <v>312.01701300000008</v>
      </c>
      <c r="Y182" s="84">
        <f>IF(TRIM($B182)="","",IFERROR((VLOOKUP($B182,'Section Data'!$B$36:$AC$107,3,FALSE)/10)*(VLOOKUP($B182,'Section Data'!$B$36:$AC$107,5,FALSE)/10)^2/4,""))</f>
        <v>5.9675385000000007</v>
      </c>
      <c r="Z182" s="84">
        <f t="shared" si="23"/>
        <v>330.15</v>
      </c>
      <c r="AA182" s="84">
        <f t="shared" si="24"/>
        <v>40.825000000000003</v>
      </c>
      <c r="AB182" s="86">
        <f t="shared" si="25"/>
        <v>0.52651257004391927</v>
      </c>
      <c r="AC182" s="86">
        <f t="shared" si="26"/>
        <v>0.2181190252836594</v>
      </c>
      <c r="AD182" s="1" t="b">
        <f>AND(ISNUMBER(AB182),ISNUMBER(AC182),AB182&gt;=0,AC182&gt;=0,AB182&lt;=0.95,AC182&lt;=0.95,ISNUMBER(D182),D182&gt;0,'Steel Beam Design'!$A$18="",C182="UC")</f>
        <v>0</v>
      </c>
      <c r="AE182" s="84">
        <f>'Steel Beam Design'!O27</f>
        <v>278.12499999999994</v>
      </c>
    </row>
    <row r="183" spans="1:31">
      <c r="A183" s="1" t="s">
        <v>443</v>
      </c>
      <c r="B183" s="1" t="str">
        <f>'Section Data'!B79</f>
        <v>406x140x46</v>
      </c>
      <c r="C183" s="1" t="s">
        <v>368</v>
      </c>
      <c r="D183" s="84">
        <f>'Section Data'!C79</f>
        <v>46</v>
      </c>
      <c r="E183" s="84">
        <f>'Section Data'!Q79</f>
        <v>15690</v>
      </c>
      <c r="F183" s="84">
        <f>'Steel Beam Design'!D7043</f>
        <v>173.82812499999994</v>
      </c>
      <c r="G183" s="84">
        <f>'Steel Beam Design'!D7067</f>
        <v>4083.1881533101036</v>
      </c>
      <c r="H183" s="84" t="str">
        <f>IF(TRIM($B183)="","",IFERROR('Steel Beam Design'!$D$7006,""))</f>
        <v>S355</v>
      </c>
      <c r="I183" s="84">
        <f>IF(TRIM($B183)="","",IFERROR(MAX(VLOOKUP($B183,'Section Data'!$B$36:$AC$107,5,FALSE),VLOOKUP($B183,'Section Data'!$B$36:$AC$107,6,FALSE)),""))</f>
        <v>11.2</v>
      </c>
      <c r="J183" s="84">
        <f>IF(TRIM($B183)="","",IFERROR(IF(I183&gt;150,"",INDEX('Section Data'!$AH$5:$AK$10,IF(I183&lt;=16,1,IF(I183&lt;=40,2,IF(I183&lt;=63,3,IF(I183&lt;=80,4,IF(I183&lt;=100,5,6))))),MATCH(H183,'Section Data'!$AH$4:$AK$4,0))),""))</f>
        <v>355</v>
      </c>
      <c r="K183" s="84">
        <f t="shared" si="18"/>
        <v>0.88014083380101371</v>
      </c>
      <c r="L183" s="84">
        <f>IF(TRIM($B183)="","",IFERROR(VLOOKUP($B183,'Section Data'!$B$36:$AC$107,9,FALSE),""))</f>
        <v>6.35</v>
      </c>
      <c r="M183" s="84">
        <f>IF(TRIM($B183)="","",IFERROR(VLOOKUP($B183,'Section Data'!$B$36:$AC$107,10,FALSE),""))</f>
        <v>53</v>
      </c>
      <c r="N183" s="84">
        <f t="shared" si="19"/>
        <v>8</v>
      </c>
      <c r="O183" s="84">
        <f t="shared" si="20"/>
        <v>80</v>
      </c>
      <c r="P183" s="84">
        <f>IF(TRIM($B183)="","",IFERROR(VLOOKUP($B183,'Section Data'!$B$36:$AC$107,5,FALSE)*VLOOKUP($B183,'Section Data'!$B$36:$AC$107,3,FALSE),""))</f>
        <v>2741.7599999999998</v>
      </c>
      <c r="Q183" s="84">
        <f t="shared" si="21"/>
        <v>561.94933528893864</v>
      </c>
      <c r="R183" s="84">
        <f>'Steel Beam Design'!B4511</f>
        <v>55.624999999999993</v>
      </c>
      <c r="S183" s="84">
        <f t="shared" si="22"/>
        <v>0</v>
      </c>
      <c r="T183" s="84">
        <f>IF(TRIM($B183)="","",IFERROR(VLOOKUP($B183,'Section Data'!$B$36:$AC$107,20,FALSE),""))</f>
        <v>778</v>
      </c>
      <c r="U183" s="84">
        <f>IF(TRIM($B183)="","",IFERROR(VLOOKUP($B183,'Section Data'!$B$36:$AC$107,21,FALSE),""))</f>
        <v>75.7</v>
      </c>
      <c r="V183" s="84">
        <f>IF(TRIM($B183)="","",IFERROR(VLOOKUP($B183,'Section Data'!$B$36:$AC$107,22,FALSE),""))</f>
        <v>888</v>
      </c>
      <c r="W183" s="84">
        <f>IF(TRIM($B183)="","",IFERROR(VLOOKUP($B183,'Section Data'!$B$36:$AC$107,23,FALSE),""))</f>
        <v>118</v>
      </c>
      <c r="X183" s="84">
        <f>IF(TRIM($B183)="","",IFERROR((VLOOKUP($B183,'Section Data'!$B$36:$AC$107,5,FALSE)/10)*(VLOOKUP($B183,'Section Data'!$B$36:$AC$107,3,FALSE)/10)^2/4,""))</f>
        <v>276.36940800000002</v>
      </c>
      <c r="Y183" s="84">
        <f>IF(TRIM($B183)="","",IFERROR((VLOOKUP($B183,'Section Data'!$B$36:$AC$107,3,FALSE)/10)*(VLOOKUP($B183,'Section Data'!$B$36:$AC$107,5,FALSE)/10)^2/4,""))</f>
        <v>4.6609919999999994</v>
      </c>
      <c r="Z183" s="84">
        <f t="shared" si="23"/>
        <v>315.24</v>
      </c>
      <c r="AA183" s="84">
        <f t="shared" si="24"/>
        <v>32.248200000000004</v>
      </c>
      <c r="AB183" s="86">
        <f t="shared" si="25"/>
        <v>0.55141519160005059</v>
      </c>
      <c r="AC183" s="86">
        <f t="shared" si="26"/>
        <v>0.26024143743212896</v>
      </c>
      <c r="AD183" s="1" t="b">
        <f>AND(ISNUMBER(AB183),ISNUMBER(AC183),AB183&gt;=0,AC183&gt;=0,AB183&lt;=0.95,AC183&lt;=0.95,ISNUMBER(D183),D183&gt;0,'Steel Beam Design'!$A$18="",C183="UC")</f>
        <v>0</v>
      </c>
      <c r="AE183" s="84">
        <f>'Steel Beam Design'!O27</f>
        <v>278.12499999999994</v>
      </c>
    </row>
    <row r="184" spans="1:31">
      <c r="A184" s="1" t="s">
        <v>443</v>
      </c>
      <c r="B184" s="1" t="str">
        <f>'Section Data'!B80</f>
        <v>406x140x36</v>
      </c>
      <c r="C184" s="1" t="s">
        <v>368</v>
      </c>
      <c r="D184" s="84">
        <f>'Section Data'!C80</f>
        <v>39</v>
      </c>
      <c r="E184" s="84">
        <f>'Section Data'!Q80</f>
        <v>12510</v>
      </c>
      <c r="F184" s="84">
        <f>'Steel Beam Design'!D7043</f>
        <v>173.82812499999994</v>
      </c>
      <c r="G184" s="84">
        <f>'Steel Beam Design'!D7067</f>
        <v>4083.1881533101036</v>
      </c>
      <c r="H184" s="84" t="str">
        <f>IF(TRIM($B184)="","",IFERROR('Steel Beam Design'!$D$7006,""))</f>
        <v>S355</v>
      </c>
      <c r="I184" s="84">
        <f>IF(TRIM($B184)="","",IFERROR(MAX(VLOOKUP($B184,'Section Data'!$B$36:$AC$107,5,FALSE),VLOOKUP($B184,'Section Data'!$B$36:$AC$107,6,FALSE)),""))</f>
        <v>8.6</v>
      </c>
      <c r="J184" s="84">
        <f>IF(TRIM($B184)="","",IFERROR(IF(I184&gt;150,"",INDEX('Section Data'!$AH$5:$AK$10,IF(I184&lt;=16,1,IF(I184&lt;=40,2,IF(I184&lt;=63,3,IF(I184&lt;=80,4,IF(I184&lt;=100,5,6))))),MATCH(H184,'Section Data'!$AH$4:$AK$4,0))),""))</f>
        <v>355</v>
      </c>
      <c r="K184" s="84">
        <f t="shared" si="18"/>
        <v>0.88014083380101371</v>
      </c>
      <c r="L184" s="84">
        <f>IF(TRIM($B184)="","",IFERROR(VLOOKUP($B184,'Section Data'!$B$36:$AC$107,9,FALSE),""))</f>
        <v>8.24</v>
      </c>
      <c r="M184" s="84">
        <f>IF(TRIM($B184)="","",IFERROR(VLOOKUP($B184,'Section Data'!$B$36:$AC$107,10,FALSE),""))</f>
        <v>56.3</v>
      </c>
      <c r="N184" s="84">
        <f t="shared" si="19"/>
        <v>13</v>
      </c>
      <c r="O184" s="84">
        <f t="shared" si="20"/>
        <v>80</v>
      </c>
      <c r="P184" s="84">
        <f>IF(TRIM($B184)="","",IFERROR(VLOOKUP($B184,'Section Data'!$B$36:$AC$107,5,FALSE)*VLOOKUP($B184,'Section Data'!$B$36:$AC$107,3,FALSE),""))</f>
        <v>2547.2000000000003</v>
      </c>
      <c r="Q184" s="84">
        <f t="shared" si="21"/>
        <v>522.07244501633431</v>
      </c>
      <c r="R184" s="84">
        <f>'Steel Beam Design'!B4511</f>
        <v>55.624999999999993</v>
      </c>
      <c r="S184" s="84">
        <f t="shared" si="22"/>
        <v>0</v>
      </c>
      <c r="T184" s="84">
        <f>IF(TRIM($B184)="","",IFERROR(VLOOKUP($B184,'Section Data'!$B$36:$AC$107,20,FALSE),""))</f>
        <v>629</v>
      </c>
      <c r="U184" s="84">
        <f>IF(TRIM($B184)="","",IFERROR(VLOOKUP($B184,'Section Data'!$B$36:$AC$107,21,FALSE),""))</f>
        <v>57.8</v>
      </c>
      <c r="V184" s="84">
        <f>IF(TRIM($B184)="","",IFERROR(VLOOKUP($B184,'Section Data'!$B$36:$AC$107,22,FALSE),""))</f>
        <v>724</v>
      </c>
      <c r="W184" s="84">
        <f>IF(TRIM($B184)="","",IFERROR(VLOOKUP($B184,'Section Data'!$B$36:$AC$107,23,FALSE),""))</f>
        <v>90.8</v>
      </c>
      <c r="X184" s="84">
        <f>IF(TRIM($B184)="","",IFERROR((VLOOKUP($B184,'Section Data'!$B$36:$AC$107,5,FALSE)/10)*(VLOOKUP($B184,'Section Data'!$B$36:$AC$107,3,FALSE)/10)^2/4,""))</f>
        <v>253.44639999999995</v>
      </c>
      <c r="Y184" s="84">
        <f>IF(TRIM($B184)="","",IFERROR((VLOOKUP($B184,'Section Data'!$B$36:$AC$107,3,FALSE)/10)*(VLOOKUP($B184,'Section Data'!$B$36:$AC$107,5,FALSE)/10)^2/4,""))</f>
        <v>4.07552</v>
      </c>
      <c r="Z184" s="84">
        <f t="shared" si="23"/>
        <v>223.29499999999999</v>
      </c>
      <c r="AA184" s="84">
        <f t="shared" si="24"/>
        <v>20.518999999999998</v>
      </c>
      <c r="AB184" s="86">
        <f t="shared" si="25"/>
        <v>0.77846850578830673</v>
      </c>
      <c r="AC184" s="86">
        <f t="shared" si="26"/>
        <v>0.32639393711511622</v>
      </c>
      <c r="AD184" s="1" t="b">
        <f>AND(ISNUMBER(AB184),ISNUMBER(AC184),AB184&gt;=0,AC184&gt;=0,AB184&lt;=0.95,AC184&lt;=0.95,ISNUMBER(D184),D184&gt;0,'Steel Beam Design'!$A$18="",C184="UC")</f>
        <v>0</v>
      </c>
      <c r="AE184" s="84">
        <f>'Steel Beam Design'!O27</f>
        <v>278.12499999999994</v>
      </c>
    </row>
    <row r="185" spans="1:31">
      <c r="A185" s="1" t="s">
        <v>443</v>
      </c>
      <c r="B185" s="1" t="str">
        <f>'Section Data'!B81</f>
        <v>356x171x67</v>
      </c>
      <c r="C185" s="1" t="s">
        <v>368</v>
      </c>
      <c r="D185" s="84">
        <f>'Section Data'!C81</f>
        <v>67.099999999999994</v>
      </c>
      <c r="E185" s="84">
        <f>'Section Data'!Q81</f>
        <v>19460</v>
      </c>
      <c r="F185" s="84">
        <f>'Steel Beam Design'!D7043</f>
        <v>173.82812499999994</v>
      </c>
      <c r="G185" s="84">
        <f>'Steel Beam Design'!D7067</f>
        <v>4083.1881533101036</v>
      </c>
      <c r="H185" s="84" t="str">
        <f>IF(TRIM($B185)="","",IFERROR('Steel Beam Design'!$D$7006,""))</f>
        <v>S355</v>
      </c>
      <c r="I185" s="84">
        <f>IF(TRIM($B185)="","",IFERROR(MAX(VLOOKUP($B185,'Section Data'!$B$36:$AC$107,5,FALSE),VLOOKUP($B185,'Section Data'!$B$36:$AC$107,6,FALSE)),""))</f>
        <v>15.7</v>
      </c>
      <c r="J185" s="84">
        <f>IF(TRIM($B185)="","",IFERROR(IF(I185&gt;150,"",INDEX('Section Data'!$AH$5:$AK$10,IF(I185&lt;=16,1,IF(I185&lt;=40,2,IF(I185&lt;=63,3,IF(I185&lt;=80,4,IF(I185&lt;=100,5,6))))),MATCH(H185,'Section Data'!$AH$4:$AK$4,0))),""))</f>
        <v>355</v>
      </c>
      <c r="K185" s="84">
        <f t="shared" si="18"/>
        <v>0.88014083380101371</v>
      </c>
      <c r="L185" s="84">
        <f>IF(TRIM($B185)="","",IFERROR(VLOOKUP($B185,'Section Data'!$B$36:$AC$107,9,FALSE),""))</f>
        <v>5.52</v>
      </c>
      <c r="M185" s="84">
        <f>IF(TRIM($B185)="","",IFERROR(VLOOKUP($B185,'Section Data'!$B$36:$AC$107,10,FALSE),""))</f>
        <v>34.200000000000003</v>
      </c>
      <c r="N185" s="84">
        <f t="shared" si="19"/>
        <v>8</v>
      </c>
      <c r="O185" s="84">
        <f t="shared" si="20"/>
        <v>80</v>
      </c>
      <c r="P185" s="84">
        <f>IF(TRIM($B185)="","",IFERROR(VLOOKUP($B185,'Section Data'!$B$36:$AC$107,5,FALSE)*VLOOKUP($B185,'Section Data'!$B$36:$AC$107,3,FALSE),""))</f>
        <v>3306.9399999999996</v>
      </c>
      <c r="Q185" s="84">
        <f t="shared" si="21"/>
        <v>677.78825821384908</v>
      </c>
      <c r="R185" s="84">
        <f>'Steel Beam Design'!B4511</f>
        <v>55.624999999999993</v>
      </c>
      <c r="S185" s="84">
        <f t="shared" si="22"/>
        <v>0</v>
      </c>
      <c r="T185" s="84">
        <f>IF(TRIM($B185)="","",IFERROR(VLOOKUP($B185,'Section Data'!$B$36:$AC$107,20,FALSE),""))</f>
        <v>1071</v>
      </c>
      <c r="U185" s="84">
        <f>IF(TRIM($B185)="","",IFERROR(VLOOKUP($B185,'Section Data'!$B$36:$AC$107,21,FALSE),""))</f>
        <v>157</v>
      </c>
      <c r="V185" s="84">
        <f>IF(TRIM($B185)="","",IFERROR(VLOOKUP($B185,'Section Data'!$B$36:$AC$107,22,FALSE),""))</f>
        <v>1211</v>
      </c>
      <c r="W185" s="84">
        <f>IF(TRIM($B185)="","",IFERROR(VLOOKUP($B185,'Section Data'!$B$36:$AC$107,23,FALSE),""))</f>
        <v>243</v>
      </c>
      <c r="X185" s="84">
        <f>IF(TRIM($B185)="","",IFERROR((VLOOKUP($B185,'Section Data'!$B$36:$AC$107,5,FALSE)/10)*(VLOOKUP($B185,'Section Data'!$B$36:$AC$107,3,FALSE)/10)^2/4,""))</f>
        <v>300.43549899999988</v>
      </c>
      <c r="Y185" s="84">
        <f>IF(TRIM($B185)="","",IFERROR((VLOOKUP($B185,'Section Data'!$B$36:$AC$107,3,FALSE)/10)*(VLOOKUP($B185,'Section Data'!$B$36:$AC$107,5,FALSE)/10)^2/4,""))</f>
        <v>7.5232884999999978</v>
      </c>
      <c r="Z185" s="84">
        <f t="shared" si="23"/>
        <v>429.90499999999997</v>
      </c>
      <c r="AA185" s="84">
        <f t="shared" si="24"/>
        <v>66.882000000000005</v>
      </c>
      <c r="AB185" s="86">
        <f t="shared" si="25"/>
        <v>0.40434078459194461</v>
      </c>
      <c r="AC185" s="86">
        <f t="shared" si="26"/>
        <v>0.20982467385971756</v>
      </c>
      <c r="AD185" s="1" t="b">
        <f>AND(ISNUMBER(AB185),ISNUMBER(AC185),AB185&gt;=0,AC185&gt;=0,AB185&lt;=0.95,AC185&lt;=0.95,ISNUMBER(D185),D185&gt;0,'Steel Beam Design'!$A$18="",C185="UC")</f>
        <v>0</v>
      </c>
      <c r="AE185" s="84">
        <f>'Steel Beam Design'!O27</f>
        <v>278.12499999999994</v>
      </c>
    </row>
    <row r="186" spans="1:31">
      <c r="A186" s="1" t="s">
        <v>443</v>
      </c>
      <c r="B186" s="1" t="str">
        <f>'Section Data'!B82</f>
        <v>356x171x57</v>
      </c>
      <c r="C186" s="1" t="s">
        <v>368</v>
      </c>
      <c r="D186" s="84">
        <f>'Section Data'!C82</f>
        <v>54</v>
      </c>
      <c r="E186" s="84">
        <f>'Section Data'!Q82</f>
        <v>16040</v>
      </c>
      <c r="F186" s="84">
        <f>'Steel Beam Design'!D7043</f>
        <v>173.82812499999994</v>
      </c>
      <c r="G186" s="84">
        <f>'Steel Beam Design'!D7067</f>
        <v>4083.1881533101036</v>
      </c>
      <c r="H186" s="84" t="str">
        <f>IF(TRIM($B186)="","",IFERROR('Steel Beam Design'!$D$7006,""))</f>
        <v>S355</v>
      </c>
      <c r="I186" s="84">
        <f>IF(TRIM($B186)="","",IFERROR(MAX(VLOOKUP($B186,'Section Data'!$B$36:$AC$107,5,FALSE),VLOOKUP($B186,'Section Data'!$B$36:$AC$107,6,FALSE)),""))</f>
        <v>13</v>
      </c>
      <c r="J186" s="84">
        <f>IF(TRIM($B186)="","",IFERROR(IF(I186&gt;150,"",INDEX('Section Data'!$AH$5:$AK$10,IF(I186&lt;=16,1,IF(I186&lt;=40,2,IF(I186&lt;=63,3,IF(I186&lt;=80,4,IF(I186&lt;=100,5,6))))),MATCH(H186,'Section Data'!$AH$4:$AK$4,0))),""))</f>
        <v>355</v>
      </c>
      <c r="K186" s="84">
        <f t="shared" si="18"/>
        <v>0.88014083380101371</v>
      </c>
      <c r="L186" s="84">
        <f>IF(TRIM($B186)="","",IFERROR(VLOOKUP($B186,'Section Data'!$B$36:$AC$107,9,FALSE),""))</f>
        <v>6.62</v>
      </c>
      <c r="M186" s="84">
        <f>IF(TRIM($B186)="","",IFERROR(VLOOKUP($B186,'Section Data'!$B$36:$AC$107,10,FALSE),""))</f>
        <v>38.5</v>
      </c>
      <c r="N186" s="84">
        <f t="shared" si="19"/>
        <v>8</v>
      </c>
      <c r="O186" s="84">
        <f t="shared" si="20"/>
        <v>80</v>
      </c>
      <c r="P186" s="84">
        <f>IF(TRIM($B186)="","",IFERROR(VLOOKUP($B186,'Section Data'!$B$36:$AC$107,5,FALSE)*VLOOKUP($B186,'Section Data'!$B$36:$AC$107,3,FALSE),""))</f>
        <v>2899.7999999999997</v>
      </c>
      <c r="Q186" s="84">
        <f t="shared" si="21"/>
        <v>594.34111026160724</v>
      </c>
      <c r="R186" s="84">
        <f>'Steel Beam Design'!B4511</f>
        <v>55.624999999999993</v>
      </c>
      <c r="S186" s="84">
        <f t="shared" si="22"/>
        <v>0</v>
      </c>
      <c r="T186" s="84">
        <f>IF(TRIM($B186)="","",IFERROR(VLOOKUP($B186,'Section Data'!$B$36:$AC$107,20,FALSE),""))</f>
        <v>896</v>
      </c>
      <c r="U186" s="84">
        <f>IF(TRIM($B186)="","",IFERROR(VLOOKUP($B186,'Section Data'!$B$36:$AC$107,21,FALSE),""))</f>
        <v>129</v>
      </c>
      <c r="V186" s="84">
        <f>IF(TRIM($B186)="","",IFERROR(VLOOKUP($B186,'Section Data'!$B$36:$AC$107,22,FALSE),""))</f>
        <v>1010</v>
      </c>
      <c r="W186" s="84">
        <f>IF(TRIM($B186)="","",IFERROR(VLOOKUP($B186,'Section Data'!$B$36:$AC$107,23,FALSE),""))</f>
        <v>199</v>
      </c>
      <c r="X186" s="84">
        <f>IF(TRIM($B186)="","",IFERROR((VLOOKUP($B186,'Section Data'!$B$36:$AC$107,5,FALSE)/10)*(VLOOKUP($B186,'Section Data'!$B$36:$AC$107,3,FALSE)/10)^2/4,""))</f>
        <v>259.53209999999996</v>
      </c>
      <c r="Y186" s="84">
        <f>IF(TRIM($B186)="","",IFERROR((VLOOKUP($B186,'Section Data'!$B$36:$AC$107,3,FALSE)/10)*(VLOOKUP($B186,'Section Data'!$B$36:$AC$107,5,FALSE)/10)^2/4,""))</f>
        <v>5.872094999999999</v>
      </c>
      <c r="Z186" s="84">
        <f t="shared" si="23"/>
        <v>358.55</v>
      </c>
      <c r="AA186" s="84">
        <f t="shared" si="24"/>
        <v>54.953999999999994</v>
      </c>
      <c r="AB186" s="86">
        <f t="shared" si="25"/>
        <v>0.48480860409984644</v>
      </c>
      <c r="AC186" s="86">
        <f t="shared" si="26"/>
        <v>0.25456285245075461</v>
      </c>
      <c r="AD186" s="1" t="b">
        <f>AND(ISNUMBER(AB186),ISNUMBER(AC186),AB186&gt;=0,AC186&gt;=0,AB186&lt;=0.95,AC186&lt;=0.95,ISNUMBER(D186),D186&gt;0,'Steel Beam Design'!$A$18="",C186="UC")</f>
        <v>0</v>
      </c>
      <c r="AE186" s="84">
        <f>'Steel Beam Design'!O27</f>
        <v>278.12499999999994</v>
      </c>
    </row>
    <row r="187" spans="1:31">
      <c r="A187" s="1" t="s">
        <v>443</v>
      </c>
      <c r="B187" s="1" t="str">
        <f>'Section Data'!B83</f>
        <v>356x171x51</v>
      </c>
      <c r="C187" s="1" t="s">
        <v>368</v>
      </c>
      <c r="D187" s="84">
        <f>'Section Data'!C83</f>
        <v>51</v>
      </c>
      <c r="E187" s="84">
        <f>'Section Data'!Q83</f>
        <v>14140</v>
      </c>
      <c r="F187" s="84">
        <f>'Steel Beam Design'!D7043</f>
        <v>173.82812499999994</v>
      </c>
      <c r="G187" s="84">
        <f>'Steel Beam Design'!D7067</f>
        <v>4083.1881533101036</v>
      </c>
      <c r="H187" s="84" t="str">
        <f>IF(TRIM($B187)="","",IFERROR('Steel Beam Design'!$D$7006,""))</f>
        <v>S355</v>
      </c>
      <c r="I187" s="84">
        <f>IF(TRIM($B187)="","",IFERROR(MAX(VLOOKUP($B187,'Section Data'!$B$36:$AC$107,5,FALSE),VLOOKUP($B187,'Section Data'!$B$36:$AC$107,6,FALSE)),""))</f>
        <v>11.5</v>
      </c>
      <c r="J187" s="84">
        <f>IF(TRIM($B187)="","",IFERROR(IF(I187&gt;150,"",INDEX('Section Data'!$AH$5:$AK$10,IF(I187&lt;=16,1,IF(I187&lt;=40,2,IF(I187&lt;=63,3,IF(I187&lt;=80,4,IF(I187&lt;=100,5,6))))),MATCH(H187,'Section Data'!$AH$4:$AK$4,0))),""))</f>
        <v>355</v>
      </c>
      <c r="K187" s="84">
        <f t="shared" si="18"/>
        <v>0.88014083380101371</v>
      </c>
      <c r="L187" s="84">
        <f>IF(TRIM($B187)="","",IFERROR(VLOOKUP($B187,'Section Data'!$B$36:$AC$107,9,FALSE),""))</f>
        <v>7.46</v>
      </c>
      <c r="M187" s="84">
        <f>IF(TRIM($B187)="","",IFERROR(VLOOKUP($B187,'Section Data'!$B$36:$AC$107,10,FALSE),""))</f>
        <v>42.1</v>
      </c>
      <c r="N187" s="84">
        <f t="shared" si="19"/>
        <v>9</v>
      </c>
      <c r="O187" s="84">
        <f t="shared" si="20"/>
        <v>80</v>
      </c>
      <c r="P187" s="84">
        <f>IF(TRIM($B187)="","",IFERROR(VLOOKUP($B187,'Section Data'!$B$36:$AC$107,5,FALSE)*VLOOKUP($B187,'Section Data'!$B$36:$AC$107,3,FALSE),""))</f>
        <v>2627</v>
      </c>
      <c r="Q187" s="84">
        <f t="shared" si="21"/>
        <v>538.42820079220712</v>
      </c>
      <c r="R187" s="84">
        <f>'Steel Beam Design'!B4511</f>
        <v>55.624999999999993</v>
      </c>
      <c r="S187" s="84">
        <f t="shared" si="22"/>
        <v>0</v>
      </c>
      <c r="T187" s="84">
        <f>IF(TRIM($B187)="","",IFERROR(VLOOKUP($B187,'Section Data'!$B$36:$AC$107,20,FALSE),""))</f>
        <v>796</v>
      </c>
      <c r="U187" s="84">
        <f>IF(TRIM($B187)="","",IFERROR(VLOOKUP($B187,'Section Data'!$B$36:$AC$107,21,FALSE),""))</f>
        <v>113</v>
      </c>
      <c r="V187" s="84">
        <f>IF(TRIM($B187)="","",IFERROR(VLOOKUP($B187,'Section Data'!$B$36:$AC$107,22,FALSE),""))</f>
        <v>896</v>
      </c>
      <c r="W187" s="84">
        <f>IF(TRIM($B187)="","",IFERROR(VLOOKUP($B187,'Section Data'!$B$36:$AC$107,23,FALSE),""))</f>
        <v>174</v>
      </c>
      <c r="X187" s="84">
        <f>IF(TRIM($B187)="","",IFERROR((VLOOKUP($B187,'Section Data'!$B$36:$AC$107,5,FALSE)/10)*(VLOOKUP($B187,'Section Data'!$B$36:$AC$107,3,FALSE)/10)^2/4,""))</f>
        <v>233.14625000000001</v>
      </c>
      <c r="Y187" s="84">
        <f>IF(TRIM($B187)="","",IFERROR((VLOOKUP($B187,'Section Data'!$B$36:$AC$107,3,FALSE)/10)*(VLOOKUP($B187,'Section Data'!$B$36:$AC$107,5,FALSE)/10)^2/4,""))</f>
        <v>4.8599499999999995</v>
      </c>
      <c r="Z187" s="84">
        <f t="shared" si="23"/>
        <v>318.08</v>
      </c>
      <c r="AA187" s="84">
        <f t="shared" si="24"/>
        <v>48.137999999999998</v>
      </c>
      <c r="AB187" s="86">
        <f t="shared" si="25"/>
        <v>0.54649184167505016</v>
      </c>
      <c r="AC187" s="86">
        <f t="shared" si="26"/>
        <v>0.28876861055941327</v>
      </c>
      <c r="AD187" s="1" t="b">
        <f>AND(ISNUMBER(AB187),ISNUMBER(AC187),AB187&gt;=0,AC187&gt;=0,AB187&lt;=0.95,AC187&lt;=0.95,ISNUMBER(D187),D187&gt;0,'Steel Beam Design'!$A$18="",C187="UC")</f>
        <v>0</v>
      </c>
      <c r="AE187" s="84">
        <f>'Steel Beam Design'!O27</f>
        <v>278.12499999999994</v>
      </c>
    </row>
    <row r="188" spans="1:31">
      <c r="A188" s="1" t="s">
        <v>443</v>
      </c>
      <c r="B188" s="1" t="str">
        <f>'Section Data'!B84</f>
        <v>356x171x45</v>
      </c>
      <c r="C188" s="1" t="s">
        <v>368</v>
      </c>
      <c r="D188" s="84">
        <f>'Section Data'!C84</f>
        <v>45</v>
      </c>
      <c r="E188" s="84">
        <f>'Section Data'!Q84</f>
        <v>12070</v>
      </c>
      <c r="F188" s="84">
        <f>'Steel Beam Design'!D7043</f>
        <v>173.82812499999994</v>
      </c>
      <c r="G188" s="84">
        <f>'Steel Beam Design'!D7067</f>
        <v>4083.1881533101036</v>
      </c>
      <c r="H188" s="84" t="str">
        <f>IF(TRIM($B188)="","",IFERROR('Steel Beam Design'!$D$7006,""))</f>
        <v>S355</v>
      </c>
      <c r="I188" s="84">
        <f>IF(TRIM($B188)="","",IFERROR(MAX(VLOOKUP($B188,'Section Data'!$B$36:$AC$107,5,FALSE),VLOOKUP($B188,'Section Data'!$B$36:$AC$107,6,FALSE)),""))</f>
        <v>9.6999999999999993</v>
      </c>
      <c r="J188" s="84">
        <f>IF(TRIM($B188)="","",IFERROR(IF(I188&gt;150,"",INDEX('Section Data'!$AH$5:$AK$10,IF(I188&lt;=16,1,IF(I188&lt;=40,2,IF(I188&lt;=63,3,IF(I188&lt;=80,4,IF(I188&lt;=100,5,6))))),MATCH(H188,'Section Data'!$AH$4:$AK$4,0))),""))</f>
        <v>355</v>
      </c>
      <c r="K188" s="84">
        <f t="shared" si="18"/>
        <v>0.88014083380101371</v>
      </c>
      <c r="L188" s="84">
        <f>IF(TRIM($B188)="","",IFERROR(VLOOKUP($B188,'Section Data'!$B$36:$AC$107,9,FALSE),""))</f>
        <v>8.82</v>
      </c>
      <c r="M188" s="84">
        <f>IF(TRIM($B188)="","",IFERROR(VLOOKUP($B188,'Section Data'!$B$36:$AC$107,10,FALSE),""))</f>
        <v>44.5</v>
      </c>
      <c r="N188" s="84">
        <f t="shared" si="19"/>
        <v>13</v>
      </c>
      <c r="O188" s="84">
        <f t="shared" si="20"/>
        <v>80</v>
      </c>
      <c r="P188" s="84">
        <f>IF(TRIM($B188)="","",IFERROR(VLOOKUP($B188,'Section Data'!$B$36:$AC$107,5,FALSE)*VLOOKUP($B188,'Section Data'!$B$36:$AC$107,3,FALSE),""))</f>
        <v>2459.7999999999997</v>
      </c>
      <c r="Q188" s="84">
        <f t="shared" si="21"/>
        <v>504.1589982141877</v>
      </c>
      <c r="R188" s="84">
        <f>'Steel Beam Design'!B4511</f>
        <v>55.624999999999993</v>
      </c>
      <c r="S188" s="84">
        <f t="shared" si="22"/>
        <v>0</v>
      </c>
      <c r="T188" s="84">
        <f>IF(TRIM($B188)="","",IFERROR(VLOOKUP($B188,'Section Data'!$B$36:$AC$107,20,FALSE),""))</f>
        <v>687</v>
      </c>
      <c r="U188" s="84">
        <f>IF(TRIM($B188)="","",IFERROR(VLOOKUP($B188,'Section Data'!$B$36:$AC$107,21,FALSE),""))</f>
        <v>94.8</v>
      </c>
      <c r="V188" s="84">
        <f>IF(TRIM($B188)="","",IFERROR(VLOOKUP($B188,'Section Data'!$B$36:$AC$107,22,FALSE),""))</f>
        <v>775</v>
      </c>
      <c r="W188" s="84">
        <f>IF(TRIM($B188)="","",IFERROR(VLOOKUP($B188,'Section Data'!$B$36:$AC$107,23,FALSE),""))</f>
        <v>147</v>
      </c>
      <c r="X188" s="84">
        <f>IF(TRIM($B188)="","",IFERROR((VLOOKUP($B188,'Section Data'!$B$36:$AC$107,5,FALSE)/10)*(VLOOKUP($B188,'Section Data'!$B$36:$AC$107,3,FALSE)/10)^2/4,""))</f>
        <v>216.09342999999998</v>
      </c>
      <c r="Y188" s="84">
        <f>IF(TRIM($B188)="","",IFERROR((VLOOKUP($B188,'Section Data'!$B$36:$AC$107,3,FALSE)/10)*(VLOOKUP($B188,'Section Data'!$B$36:$AC$107,5,FALSE)/10)^2/4,""))</f>
        <v>4.3046499999999996</v>
      </c>
      <c r="Z188" s="84">
        <f t="shared" si="23"/>
        <v>243.88499999999999</v>
      </c>
      <c r="AA188" s="84">
        <f t="shared" si="24"/>
        <v>33.654000000000003</v>
      </c>
      <c r="AB188" s="86">
        <f t="shared" si="25"/>
        <v>0.71274627385858069</v>
      </c>
      <c r="AC188" s="86">
        <f t="shared" si="26"/>
        <v>0.33829230764789592</v>
      </c>
      <c r="AD188" s="1" t="b">
        <f>AND(ISNUMBER(AB188),ISNUMBER(AC188),AB188&gt;=0,AC188&gt;=0,AB188&lt;=0.95,AC188&lt;=0.95,ISNUMBER(D188),D188&gt;0,'Steel Beam Design'!$A$18="",C188="UC")</f>
        <v>0</v>
      </c>
      <c r="AE188" s="84">
        <f>'Steel Beam Design'!O27</f>
        <v>278.12499999999994</v>
      </c>
    </row>
    <row r="189" spans="1:31">
      <c r="A189" s="1" t="s">
        <v>443</v>
      </c>
      <c r="B189" s="1" t="str">
        <f>'Section Data'!B85</f>
        <v>356x127x39</v>
      </c>
      <c r="C189" s="1" t="s">
        <v>368</v>
      </c>
      <c r="D189" s="84">
        <f>'Section Data'!C85</f>
        <v>39.1</v>
      </c>
      <c r="E189" s="84">
        <f>'Section Data'!Q85</f>
        <v>10170</v>
      </c>
      <c r="F189" s="84">
        <f>'Steel Beam Design'!D7043</f>
        <v>173.82812499999994</v>
      </c>
      <c r="G189" s="84">
        <f>'Steel Beam Design'!D7067</f>
        <v>4083.1881533101036</v>
      </c>
      <c r="H189" s="84" t="str">
        <f>IF(TRIM($B189)="","",IFERROR('Steel Beam Design'!$D$7006,""))</f>
        <v>S355</v>
      </c>
      <c r="I189" s="84">
        <f>IF(TRIM($B189)="","",IFERROR(MAX(VLOOKUP($B189,'Section Data'!$B$36:$AC$107,5,FALSE),VLOOKUP($B189,'Section Data'!$B$36:$AC$107,6,FALSE)),""))</f>
        <v>10.7</v>
      </c>
      <c r="J189" s="84">
        <f>IF(TRIM($B189)="","",IFERROR(IF(I189&gt;150,"",INDEX('Section Data'!$AH$5:$AK$10,IF(I189&lt;=16,1,IF(I189&lt;=40,2,IF(I189&lt;=63,3,IF(I189&lt;=80,4,IF(I189&lt;=100,5,6))))),MATCH(H189,'Section Data'!$AH$4:$AK$4,0))),""))</f>
        <v>355</v>
      </c>
      <c r="K189" s="84">
        <f t="shared" si="18"/>
        <v>0.88014083380101371</v>
      </c>
      <c r="L189" s="84">
        <f>IF(TRIM($B189)="","",IFERROR(VLOOKUP($B189,'Section Data'!$B$36:$AC$107,9,FALSE),""))</f>
        <v>5.89</v>
      </c>
      <c r="M189" s="84">
        <f>IF(TRIM($B189)="","",IFERROR(VLOOKUP($B189,'Section Data'!$B$36:$AC$107,10,FALSE),""))</f>
        <v>47.2</v>
      </c>
      <c r="N189" s="84">
        <f t="shared" si="19"/>
        <v>8</v>
      </c>
      <c r="O189" s="84">
        <f t="shared" si="20"/>
        <v>80</v>
      </c>
      <c r="P189" s="84">
        <f>IF(TRIM($B189)="","",IFERROR(VLOOKUP($B189,'Section Data'!$B$36:$AC$107,5,FALSE)*VLOOKUP($B189,'Section Data'!$B$36:$AC$107,3,FALSE),""))</f>
        <v>2332.4399999999996</v>
      </c>
      <c r="Q189" s="84">
        <f t="shared" si="21"/>
        <v>478.05537596337098</v>
      </c>
      <c r="R189" s="84">
        <f>'Steel Beam Design'!B4511</f>
        <v>55.624999999999993</v>
      </c>
      <c r="S189" s="84">
        <f t="shared" si="22"/>
        <v>0</v>
      </c>
      <c r="T189" s="84">
        <f>IF(TRIM($B189)="","",IFERROR(VLOOKUP($B189,'Section Data'!$B$36:$AC$107,20,FALSE),""))</f>
        <v>576</v>
      </c>
      <c r="U189" s="84">
        <f>IF(TRIM($B189)="","",IFERROR(VLOOKUP($B189,'Section Data'!$B$36:$AC$107,21,FALSE),""))</f>
        <v>56.8</v>
      </c>
      <c r="V189" s="84">
        <f>IF(TRIM($B189)="","",IFERROR(VLOOKUP($B189,'Section Data'!$B$36:$AC$107,22,FALSE),""))</f>
        <v>659</v>
      </c>
      <c r="W189" s="84">
        <f>IF(TRIM($B189)="","",IFERROR(VLOOKUP($B189,'Section Data'!$B$36:$AC$107,23,FALSE),""))</f>
        <v>89.1</v>
      </c>
      <c r="X189" s="84">
        <f>IF(TRIM($B189)="","",IFERROR((VLOOKUP($B189,'Section Data'!$B$36:$AC$107,5,FALSE)/10)*(VLOOKUP($B189,'Section Data'!$B$36:$AC$107,3,FALSE)/10)^2/4,""))</f>
        <v>206.07107399999995</v>
      </c>
      <c r="Y189" s="84">
        <f>IF(TRIM($B189)="","",IFERROR((VLOOKUP($B189,'Section Data'!$B$36:$AC$107,3,FALSE)/10)*(VLOOKUP($B189,'Section Data'!$B$36:$AC$107,5,FALSE)/10)^2/4,""))</f>
        <v>3.8485259999999983</v>
      </c>
      <c r="Z189" s="84">
        <f t="shared" si="23"/>
        <v>233.94499999999999</v>
      </c>
      <c r="AA189" s="84">
        <f t="shared" si="24"/>
        <v>24.1968</v>
      </c>
      <c r="AB189" s="86">
        <f t="shared" si="25"/>
        <v>0.74302987881767057</v>
      </c>
      <c r="AC189" s="86">
        <f t="shared" si="26"/>
        <v>0.40149342707080665</v>
      </c>
      <c r="AD189" s="1" t="b">
        <f>AND(ISNUMBER(AB189),ISNUMBER(AC189),AB189&gt;=0,AC189&gt;=0,AB189&lt;=0.95,AC189&lt;=0.95,ISNUMBER(D189),D189&gt;0,'Steel Beam Design'!$A$18="",C189="UC")</f>
        <v>0</v>
      </c>
      <c r="AE189" s="84">
        <f>'Steel Beam Design'!O27</f>
        <v>278.12499999999994</v>
      </c>
    </row>
    <row r="190" spans="1:31">
      <c r="A190" s="1" t="s">
        <v>443</v>
      </c>
      <c r="B190" s="1" t="str">
        <f>'Section Data'!B86</f>
        <v>356x127x33</v>
      </c>
      <c r="C190" s="1" t="s">
        <v>368</v>
      </c>
      <c r="D190" s="84">
        <f>'Section Data'!C86</f>
        <v>33.1</v>
      </c>
      <c r="E190" s="84">
        <f>'Section Data'!Q86</f>
        <v>8249</v>
      </c>
      <c r="F190" s="84">
        <f>'Steel Beam Design'!D7043</f>
        <v>173.82812499999994</v>
      </c>
      <c r="G190" s="84">
        <f>'Steel Beam Design'!D7067</f>
        <v>4083.1881533101036</v>
      </c>
      <c r="H190" s="84" t="str">
        <f>IF(TRIM($B190)="","",IFERROR('Steel Beam Design'!$D$7006,""))</f>
        <v>S355</v>
      </c>
      <c r="I190" s="84">
        <f>IF(TRIM($B190)="","",IFERROR(MAX(VLOOKUP($B190,'Section Data'!$B$36:$AC$107,5,FALSE),VLOOKUP($B190,'Section Data'!$B$36:$AC$107,6,FALSE)),""))</f>
        <v>8.5</v>
      </c>
      <c r="J190" s="84">
        <f>IF(TRIM($B190)="","",IFERROR(IF(I190&gt;150,"",INDEX('Section Data'!$AH$5:$AK$10,IF(I190&lt;=16,1,IF(I190&lt;=40,2,IF(I190&lt;=63,3,IF(I190&lt;=80,4,IF(I190&lt;=100,5,6))))),MATCH(H190,'Section Data'!$AH$4:$AK$4,0))),""))</f>
        <v>355</v>
      </c>
      <c r="K190" s="84">
        <f t="shared" si="18"/>
        <v>0.88014083380101371</v>
      </c>
      <c r="L190" s="84">
        <f>IF(TRIM($B190)="","",IFERROR(VLOOKUP($B190,'Section Data'!$B$36:$AC$107,9,FALSE),""))</f>
        <v>7.38</v>
      </c>
      <c r="M190" s="84">
        <f>IF(TRIM($B190)="","",IFERROR(VLOOKUP($B190,'Section Data'!$B$36:$AC$107,10,FALSE),""))</f>
        <v>51.9</v>
      </c>
      <c r="N190" s="84">
        <f t="shared" si="19"/>
        <v>9</v>
      </c>
      <c r="O190" s="84">
        <f t="shared" si="20"/>
        <v>80</v>
      </c>
      <c r="P190" s="84">
        <f>IF(TRIM($B190)="","",IFERROR(VLOOKUP($B190,'Section Data'!$B$36:$AC$107,5,FALSE)*VLOOKUP($B190,'Section Data'!$B$36:$AC$107,3,FALSE),""))</f>
        <v>2094</v>
      </c>
      <c r="Q190" s="84">
        <f t="shared" si="21"/>
        <v>429.18486960749209</v>
      </c>
      <c r="R190" s="84">
        <f>'Steel Beam Design'!B4511</f>
        <v>55.624999999999993</v>
      </c>
      <c r="S190" s="84">
        <f t="shared" si="22"/>
        <v>0</v>
      </c>
      <c r="T190" s="84">
        <f>IF(TRIM($B190)="","",IFERROR(VLOOKUP($B190,'Section Data'!$B$36:$AC$107,20,FALSE),""))</f>
        <v>473</v>
      </c>
      <c r="U190" s="84">
        <f>IF(TRIM($B190)="","",IFERROR(VLOOKUP($B190,'Section Data'!$B$36:$AC$107,21,FALSE),""))</f>
        <v>44.7</v>
      </c>
      <c r="V190" s="84">
        <f>IF(TRIM($B190)="","",IFERROR(VLOOKUP($B190,'Section Data'!$B$36:$AC$107,22,FALSE),""))</f>
        <v>543</v>
      </c>
      <c r="W190" s="84">
        <f>IF(TRIM($B190)="","",IFERROR(VLOOKUP($B190,'Section Data'!$B$36:$AC$107,23,FALSE),""))</f>
        <v>70.3</v>
      </c>
      <c r="X190" s="84">
        <f>IF(TRIM($B190)="","",IFERROR((VLOOKUP($B190,'Section Data'!$B$36:$AC$107,5,FALSE)/10)*(VLOOKUP($B190,'Section Data'!$B$36:$AC$107,3,FALSE)/10)^2/4,""))</f>
        <v>182.70149999999998</v>
      </c>
      <c r="Y190" s="84">
        <f>IF(TRIM($B190)="","",IFERROR((VLOOKUP($B190,'Section Data'!$B$36:$AC$107,3,FALSE)/10)*(VLOOKUP($B190,'Section Data'!$B$36:$AC$107,5,FALSE)/10)^2/4,""))</f>
        <v>3.1409999999999996</v>
      </c>
      <c r="Z190" s="84">
        <f t="shared" si="23"/>
        <v>192.76499999999999</v>
      </c>
      <c r="AA190" s="84">
        <f t="shared" si="24"/>
        <v>19.042200000000001</v>
      </c>
      <c r="AB190" s="86">
        <f t="shared" si="25"/>
        <v>0.90176186029621541</v>
      </c>
      <c r="AC190" s="86">
        <f t="shared" si="26"/>
        <v>0.49499189638866575</v>
      </c>
      <c r="AD190" s="1" t="b">
        <f>AND(ISNUMBER(AB190),ISNUMBER(AC190),AB190&gt;=0,AC190&gt;=0,AB190&lt;=0.95,AC190&lt;=0.95,ISNUMBER(D190),D190&gt;0,'Steel Beam Design'!$A$18="",C190="UC")</f>
        <v>0</v>
      </c>
      <c r="AE190" s="84">
        <f>'Steel Beam Design'!O27</f>
        <v>278.12499999999994</v>
      </c>
    </row>
    <row r="191" spans="1:31">
      <c r="A191" s="1" t="s">
        <v>443</v>
      </c>
      <c r="B191" s="1" t="str">
        <f>'Section Data'!B87</f>
        <v>305x165x54</v>
      </c>
      <c r="C191" s="1" t="s">
        <v>368</v>
      </c>
      <c r="D191" s="84">
        <f>'Section Data'!C87</f>
        <v>54</v>
      </c>
      <c r="E191" s="84">
        <f>'Section Data'!Q87</f>
        <v>11700</v>
      </c>
      <c r="F191" s="84">
        <f>'Steel Beam Design'!D7043</f>
        <v>173.82812499999994</v>
      </c>
      <c r="G191" s="84">
        <f>'Steel Beam Design'!D7067</f>
        <v>4083.1881533101036</v>
      </c>
      <c r="H191" s="84" t="str">
        <f>IF(TRIM($B191)="","",IFERROR('Steel Beam Design'!$D$7006,""))</f>
        <v>S355</v>
      </c>
      <c r="I191" s="84">
        <f>IF(TRIM($B191)="","",IFERROR(MAX(VLOOKUP($B191,'Section Data'!$B$36:$AC$107,5,FALSE),VLOOKUP($B191,'Section Data'!$B$36:$AC$107,6,FALSE)),""))</f>
        <v>13.7</v>
      </c>
      <c r="J191" s="84">
        <f>IF(TRIM($B191)="","",IFERROR(IF(I191&gt;150,"",INDEX('Section Data'!$AH$5:$AK$10,IF(I191&lt;=16,1,IF(I191&lt;=40,2,IF(I191&lt;=63,3,IF(I191&lt;=80,4,IF(I191&lt;=100,5,6))))),MATCH(H191,'Section Data'!$AH$4:$AK$4,0))),""))</f>
        <v>355</v>
      </c>
      <c r="K191" s="84">
        <f t="shared" si="18"/>
        <v>0.88014083380101371</v>
      </c>
      <c r="L191" s="84">
        <f>IF(TRIM($B191)="","",IFERROR(VLOOKUP($B191,'Section Data'!$B$36:$AC$107,9,FALSE),""))</f>
        <v>6.09</v>
      </c>
      <c r="M191" s="84">
        <f>IF(TRIM($B191)="","",IFERROR(VLOOKUP($B191,'Section Data'!$B$36:$AC$107,10,FALSE),""))</f>
        <v>33.6</v>
      </c>
      <c r="N191" s="84">
        <f t="shared" si="19"/>
        <v>8</v>
      </c>
      <c r="O191" s="84">
        <f t="shared" si="20"/>
        <v>80</v>
      </c>
      <c r="P191" s="84">
        <f>IF(TRIM($B191)="","",IFERROR(VLOOKUP($B191,'Section Data'!$B$36:$AC$107,5,FALSE)*VLOOKUP($B191,'Section Data'!$B$36:$AC$107,3,FALSE),""))</f>
        <v>2452.16</v>
      </c>
      <c r="Q191" s="84">
        <f t="shared" si="21"/>
        <v>502.59310881409158</v>
      </c>
      <c r="R191" s="84">
        <f>'Steel Beam Design'!B4511</f>
        <v>55.624999999999993</v>
      </c>
      <c r="S191" s="84">
        <f t="shared" si="22"/>
        <v>0</v>
      </c>
      <c r="T191" s="84">
        <f>IF(TRIM($B191)="","",IFERROR(VLOOKUP($B191,'Section Data'!$B$36:$AC$107,20,FALSE),""))</f>
        <v>754</v>
      </c>
      <c r="U191" s="84">
        <f>IF(TRIM($B191)="","",IFERROR(VLOOKUP($B191,'Section Data'!$B$36:$AC$107,21,FALSE),""))</f>
        <v>127</v>
      </c>
      <c r="V191" s="84">
        <f>IF(TRIM($B191)="","",IFERROR(VLOOKUP($B191,'Section Data'!$B$36:$AC$107,22,FALSE),""))</f>
        <v>846</v>
      </c>
      <c r="W191" s="84">
        <f>IF(TRIM($B191)="","",IFERROR(VLOOKUP($B191,'Section Data'!$B$36:$AC$107,23,FALSE),""))</f>
        <v>196</v>
      </c>
      <c r="X191" s="84">
        <f>IF(TRIM($B191)="","",IFERROR((VLOOKUP($B191,'Section Data'!$B$36:$AC$107,5,FALSE)/10)*(VLOOKUP($B191,'Section Data'!$B$36:$AC$107,3,FALSE)/10)^2/4,""))</f>
        <v>190.28761600000001</v>
      </c>
      <c r="Y191" s="84">
        <f>IF(TRIM($B191)="","",IFERROR((VLOOKUP($B191,'Section Data'!$B$36:$AC$107,3,FALSE)/10)*(VLOOKUP($B191,'Section Data'!$B$36:$AC$107,5,FALSE)/10)^2/4,""))</f>
        <v>4.8430160000000004</v>
      </c>
      <c r="Z191" s="84">
        <f t="shared" si="23"/>
        <v>300.33</v>
      </c>
      <c r="AA191" s="84">
        <f t="shared" si="24"/>
        <v>54.101999999999997</v>
      </c>
      <c r="AB191" s="86">
        <f t="shared" si="25"/>
        <v>0.57879041387806729</v>
      </c>
      <c r="AC191" s="86">
        <f t="shared" si="26"/>
        <v>0.34899044045385502</v>
      </c>
      <c r="AD191" s="1" t="b">
        <f>AND(ISNUMBER(AB191),ISNUMBER(AC191),AB191&gt;=0,AC191&gt;=0,AB191&lt;=0.95,AC191&lt;=0.95,ISNUMBER(D191),D191&gt;0,'Steel Beam Design'!$A$18="",C191="UC")</f>
        <v>0</v>
      </c>
      <c r="AE191" s="84">
        <f>'Steel Beam Design'!O27</f>
        <v>278.12499999999994</v>
      </c>
    </row>
    <row r="192" spans="1:31">
      <c r="A192" s="1" t="s">
        <v>443</v>
      </c>
      <c r="B192" s="1" t="str">
        <f>'Section Data'!B88</f>
        <v>305x165x46</v>
      </c>
      <c r="C192" s="1" t="s">
        <v>368</v>
      </c>
      <c r="D192" s="84">
        <f>'Section Data'!C88</f>
        <v>46.1</v>
      </c>
      <c r="E192" s="84">
        <f>'Section Data'!Q88</f>
        <v>9899</v>
      </c>
      <c r="F192" s="84">
        <f>'Steel Beam Design'!D7043</f>
        <v>173.82812499999994</v>
      </c>
      <c r="G192" s="84">
        <f>'Steel Beam Design'!D7067</f>
        <v>4083.1881533101036</v>
      </c>
      <c r="H192" s="84" t="str">
        <f>IF(TRIM($B192)="","",IFERROR('Steel Beam Design'!$D$7006,""))</f>
        <v>S355</v>
      </c>
      <c r="I192" s="84">
        <f>IF(TRIM($B192)="","",IFERROR(MAX(VLOOKUP($B192,'Section Data'!$B$36:$AC$107,5,FALSE),VLOOKUP($B192,'Section Data'!$B$36:$AC$107,6,FALSE)),""))</f>
        <v>11.8</v>
      </c>
      <c r="J192" s="84">
        <f>IF(TRIM($B192)="","",IFERROR(IF(I192&gt;150,"",INDEX('Section Data'!$AH$5:$AK$10,IF(I192&lt;=16,1,IF(I192&lt;=40,2,IF(I192&lt;=63,3,IF(I192&lt;=80,4,IF(I192&lt;=100,5,6))))),MATCH(H192,'Section Data'!$AH$4:$AK$4,0))),""))</f>
        <v>355</v>
      </c>
      <c r="K192" s="84">
        <f t="shared" si="18"/>
        <v>0.88014083380101371</v>
      </c>
      <c r="L192" s="84">
        <f>IF(TRIM($B192)="","",IFERROR(VLOOKUP($B192,'Section Data'!$B$36:$AC$107,9,FALSE),""))</f>
        <v>7.02</v>
      </c>
      <c r="M192" s="84">
        <f>IF(TRIM($B192)="","",IFERROR(VLOOKUP($B192,'Section Data'!$B$36:$AC$107,10,FALSE),""))</f>
        <v>39.6</v>
      </c>
      <c r="N192" s="84">
        <f t="shared" si="19"/>
        <v>8</v>
      </c>
      <c r="O192" s="84">
        <f t="shared" si="20"/>
        <v>80</v>
      </c>
      <c r="P192" s="84">
        <f>IF(TRIM($B192)="","",IFERROR(VLOOKUP($B192,'Section Data'!$B$36:$AC$107,5,FALSE)*VLOOKUP($B192,'Section Data'!$B$36:$AC$107,3,FALSE),""))</f>
        <v>2054.2200000000003</v>
      </c>
      <c r="Q192" s="84">
        <f t="shared" si="21"/>
        <v>421.03158684102317</v>
      </c>
      <c r="R192" s="84">
        <f>'Steel Beam Design'!B4511</f>
        <v>55.624999999999993</v>
      </c>
      <c r="S192" s="84">
        <f t="shared" si="22"/>
        <v>0</v>
      </c>
      <c r="T192" s="84">
        <f>IF(TRIM($B192)="","",IFERROR(VLOOKUP($B192,'Section Data'!$B$36:$AC$107,20,FALSE),""))</f>
        <v>646</v>
      </c>
      <c r="U192" s="84">
        <f>IF(TRIM($B192)="","",IFERROR(VLOOKUP($B192,'Section Data'!$B$36:$AC$107,21,FALSE),""))</f>
        <v>108</v>
      </c>
      <c r="V192" s="84">
        <f>IF(TRIM($B192)="","",IFERROR(VLOOKUP($B192,'Section Data'!$B$36:$AC$107,22,FALSE),""))</f>
        <v>720</v>
      </c>
      <c r="W192" s="84">
        <f>IF(TRIM($B192)="","",IFERROR(VLOOKUP($B192,'Section Data'!$B$36:$AC$107,23,FALSE),""))</f>
        <v>166</v>
      </c>
      <c r="X192" s="84">
        <f>IF(TRIM($B192)="","",IFERROR((VLOOKUP($B192,'Section Data'!$B$36:$AC$107,5,FALSE)/10)*(VLOOKUP($B192,'Section Data'!$B$36:$AC$107,3,FALSE)/10)^2/4,""))</f>
        <v>157.45596300000005</v>
      </c>
      <c r="Y192" s="84">
        <f>IF(TRIM($B192)="","",IFERROR((VLOOKUP($B192,'Section Data'!$B$36:$AC$107,3,FALSE)/10)*(VLOOKUP($B192,'Section Data'!$B$36:$AC$107,5,FALSE)/10)^2/4,""))</f>
        <v>3.4408185000000011</v>
      </c>
      <c r="Z192" s="84">
        <f t="shared" si="23"/>
        <v>255.6</v>
      </c>
      <c r="AA192" s="84">
        <f t="shared" si="24"/>
        <v>46.008000000000003</v>
      </c>
      <c r="AB192" s="86">
        <f t="shared" si="25"/>
        <v>0.6800787363067291</v>
      </c>
      <c r="AC192" s="86">
        <f t="shared" si="26"/>
        <v>0.41248491295182377</v>
      </c>
      <c r="AD192" s="1" t="b">
        <f>AND(ISNUMBER(AB192),ISNUMBER(AC192),AB192&gt;=0,AC192&gt;=0,AB192&lt;=0.95,AC192&lt;=0.95,ISNUMBER(D192),D192&gt;0,'Steel Beam Design'!$A$18="",C192="UC")</f>
        <v>0</v>
      </c>
      <c r="AE192" s="84">
        <f>'Steel Beam Design'!O27</f>
        <v>278.12499999999994</v>
      </c>
    </row>
    <row r="193" spans="1:31">
      <c r="A193" s="1" t="s">
        <v>443</v>
      </c>
      <c r="B193" s="1" t="str">
        <f>'Section Data'!B89</f>
        <v>305x165x40</v>
      </c>
      <c r="C193" s="1" t="s">
        <v>368</v>
      </c>
      <c r="D193" s="84">
        <f>'Section Data'!C89</f>
        <v>40.299999999999997</v>
      </c>
      <c r="E193" s="84">
        <f>'Section Data'!Q89</f>
        <v>8503</v>
      </c>
      <c r="F193" s="84">
        <f>'Steel Beam Design'!D7043</f>
        <v>173.82812499999994</v>
      </c>
      <c r="G193" s="84">
        <f>'Steel Beam Design'!D7067</f>
        <v>4083.1881533101036</v>
      </c>
      <c r="H193" s="84" t="str">
        <f>IF(TRIM($B193)="","",IFERROR('Steel Beam Design'!$D$7006,""))</f>
        <v>S355</v>
      </c>
      <c r="I193" s="84">
        <f>IF(TRIM($B193)="","",IFERROR(MAX(VLOOKUP($B193,'Section Data'!$B$36:$AC$107,5,FALSE),VLOOKUP($B193,'Section Data'!$B$36:$AC$107,6,FALSE)),""))</f>
        <v>10.199999999999999</v>
      </c>
      <c r="J193" s="84">
        <f>IF(TRIM($B193)="","",IFERROR(IF(I193&gt;150,"",INDEX('Section Data'!$AH$5:$AK$10,IF(I193&lt;=16,1,IF(I193&lt;=40,2,IF(I193&lt;=63,3,IF(I193&lt;=80,4,IF(I193&lt;=100,5,6))))),MATCH(H193,'Section Data'!$AH$4:$AK$4,0))),""))</f>
        <v>355</v>
      </c>
      <c r="K193" s="84">
        <f t="shared" si="18"/>
        <v>0.88014083380101371</v>
      </c>
      <c r="L193" s="84">
        <f>IF(TRIM($B193)="","",IFERROR(VLOOKUP($B193,'Section Data'!$B$36:$AC$107,9,FALSE),""))</f>
        <v>8.09</v>
      </c>
      <c r="M193" s="84">
        <f>IF(TRIM($B193)="","",IFERROR(VLOOKUP($B193,'Section Data'!$B$36:$AC$107,10,FALSE),""))</f>
        <v>44.2</v>
      </c>
      <c r="N193" s="84">
        <f t="shared" si="19"/>
        <v>13</v>
      </c>
      <c r="O193" s="84">
        <f t="shared" si="20"/>
        <v>80</v>
      </c>
      <c r="P193" s="84">
        <f>IF(TRIM($B193)="","",IFERROR(VLOOKUP($B193,'Section Data'!$B$36:$AC$107,5,FALSE)*VLOOKUP($B193,'Section Data'!$B$36:$AC$107,3,FALSE),""))</f>
        <v>1820.3999999999999</v>
      </c>
      <c r="Q193" s="84">
        <f t="shared" si="21"/>
        <v>373.10799266164213</v>
      </c>
      <c r="R193" s="84">
        <f>'Steel Beam Design'!B4511</f>
        <v>55.624999999999993</v>
      </c>
      <c r="S193" s="84">
        <f t="shared" si="22"/>
        <v>0</v>
      </c>
      <c r="T193" s="84">
        <f>IF(TRIM($B193)="","",IFERROR(VLOOKUP($B193,'Section Data'!$B$36:$AC$107,20,FALSE),""))</f>
        <v>560</v>
      </c>
      <c r="U193" s="84">
        <f>IF(TRIM($B193)="","",IFERROR(VLOOKUP($B193,'Section Data'!$B$36:$AC$107,21,FALSE),""))</f>
        <v>92.6</v>
      </c>
      <c r="V193" s="84">
        <f>IF(TRIM($B193)="","",IFERROR(VLOOKUP($B193,'Section Data'!$B$36:$AC$107,22,FALSE),""))</f>
        <v>623</v>
      </c>
      <c r="W193" s="84">
        <f>IF(TRIM($B193)="","",IFERROR(VLOOKUP($B193,'Section Data'!$B$36:$AC$107,23,FALSE),""))</f>
        <v>142</v>
      </c>
      <c r="X193" s="84">
        <f>IF(TRIM($B193)="","",IFERROR((VLOOKUP($B193,'Section Data'!$B$36:$AC$107,5,FALSE)/10)*(VLOOKUP($B193,'Section Data'!$B$36:$AC$107,3,FALSE)/10)^2/4,""))</f>
        <v>138.07733999999996</v>
      </c>
      <c r="Y193" s="84">
        <f>IF(TRIM($B193)="","",IFERROR((VLOOKUP($B193,'Section Data'!$B$36:$AC$107,3,FALSE)/10)*(VLOOKUP($B193,'Section Data'!$B$36:$AC$107,5,FALSE)/10)^2/4,""))</f>
        <v>2.7305999999999995</v>
      </c>
      <c r="Z193" s="84">
        <f t="shared" si="23"/>
        <v>198.8</v>
      </c>
      <c r="AA193" s="84">
        <f t="shared" si="24"/>
        <v>32.872999999999998</v>
      </c>
      <c r="AB193" s="86">
        <f t="shared" si="25"/>
        <v>0.8743869466800801</v>
      </c>
      <c r="AC193" s="86">
        <f t="shared" si="26"/>
        <v>0.48020559253323575</v>
      </c>
      <c r="AD193" s="1" t="b">
        <f>AND(ISNUMBER(AB193),ISNUMBER(AC193),AB193&gt;=0,AC193&gt;=0,AB193&lt;=0.95,AC193&lt;=0.95,ISNUMBER(D193),D193&gt;0,'Steel Beam Design'!$A$18="",C193="UC")</f>
        <v>0</v>
      </c>
      <c r="AE193" s="84">
        <f>'Steel Beam Design'!O27</f>
        <v>278.12499999999994</v>
      </c>
    </row>
    <row r="194" spans="1:31">
      <c r="A194" s="1" t="s">
        <v>443</v>
      </c>
      <c r="B194" s="1" t="str">
        <f>'Section Data'!B90</f>
        <v>305x127x48</v>
      </c>
      <c r="C194" s="1" t="s">
        <v>368</v>
      </c>
      <c r="D194" s="84">
        <f>'Section Data'!C90</f>
        <v>48.1</v>
      </c>
      <c r="E194" s="84">
        <f>'Section Data'!Q90</f>
        <v>9575</v>
      </c>
      <c r="F194" s="84">
        <f>'Steel Beam Design'!D7043</f>
        <v>173.82812499999994</v>
      </c>
      <c r="G194" s="84">
        <f>'Steel Beam Design'!D7067</f>
        <v>4083.1881533101036</v>
      </c>
      <c r="H194" s="84" t="str">
        <f>IF(TRIM($B194)="","",IFERROR('Steel Beam Design'!$D$7006,""))</f>
        <v>S355</v>
      </c>
      <c r="I194" s="84">
        <f>IF(TRIM($B194)="","",IFERROR(MAX(VLOOKUP($B194,'Section Data'!$B$36:$AC$107,5,FALSE),VLOOKUP($B194,'Section Data'!$B$36:$AC$107,6,FALSE)),""))</f>
        <v>14</v>
      </c>
      <c r="J194" s="84">
        <f>IF(TRIM($B194)="","",IFERROR(IF(I194&gt;150,"",INDEX('Section Data'!$AH$5:$AK$10,IF(I194&lt;=16,1,IF(I194&lt;=40,2,IF(I194&lt;=63,3,IF(I194&lt;=80,4,IF(I194&lt;=100,5,6))))),MATCH(H194,'Section Data'!$AH$4:$AK$4,0))),""))</f>
        <v>355</v>
      </c>
      <c r="K194" s="84">
        <f t="shared" si="18"/>
        <v>0.88014083380101371</v>
      </c>
      <c r="L194" s="84">
        <f>IF(TRIM($B194)="","",IFERROR(VLOOKUP($B194,'Section Data'!$B$36:$AC$107,9,FALSE),""))</f>
        <v>4.4800000000000004</v>
      </c>
      <c r="M194" s="84">
        <f>IF(TRIM($B194)="","",IFERROR(VLOOKUP($B194,'Section Data'!$B$36:$AC$107,10,FALSE),""))</f>
        <v>29.5</v>
      </c>
      <c r="N194" s="84">
        <f t="shared" si="19"/>
        <v>8</v>
      </c>
      <c r="O194" s="84">
        <f t="shared" si="20"/>
        <v>80</v>
      </c>
      <c r="P194" s="84">
        <f>IF(TRIM($B194)="","",IFERROR(VLOOKUP($B194,'Section Data'!$B$36:$AC$107,5,FALSE)*VLOOKUP($B194,'Section Data'!$B$36:$AC$107,3,FALSE),""))</f>
        <v>2799</v>
      </c>
      <c r="Q194" s="84">
        <f t="shared" si="21"/>
        <v>573.6812082289257</v>
      </c>
      <c r="R194" s="84">
        <f>'Steel Beam Design'!B4511</f>
        <v>55.624999999999993</v>
      </c>
      <c r="S194" s="84">
        <f t="shared" si="22"/>
        <v>0</v>
      </c>
      <c r="T194" s="84">
        <f>IF(TRIM($B194)="","",IFERROR(VLOOKUP($B194,'Section Data'!$B$36:$AC$107,20,FALSE),""))</f>
        <v>616</v>
      </c>
      <c r="U194" s="84">
        <f>IF(TRIM($B194)="","",IFERROR(VLOOKUP($B194,'Section Data'!$B$36:$AC$107,21,FALSE),""))</f>
        <v>73.599999999999994</v>
      </c>
      <c r="V194" s="84">
        <f>IF(TRIM($B194)="","",IFERROR(VLOOKUP($B194,'Section Data'!$B$36:$AC$107,22,FALSE),""))</f>
        <v>711</v>
      </c>
      <c r="W194" s="84">
        <f>IF(TRIM($B194)="","",IFERROR(VLOOKUP($B194,'Section Data'!$B$36:$AC$107,23,FALSE),""))</f>
        <v>116</v>
      </c>
      <c r="X194" s="84">
        <f>IF(TRIM($B194)="","",IFERROR((VLOOKUP($B194,'Section Data'!$B$36:$AC$107,5,FALSE)/10)*(VLOOKUP($B194,'Section Data'!$B$36:$AC$107,3,FALSE)/10)^2/4,""))</f>
        <v>217.62225000000001</v>
      </c>
      <c r="Y194" s="84">
        <f>IF(TRIM($B194)="","",IFERROR((VLOOKUP($B194,'Section Data'!$B$36:$AC$107,3,FALSE)/10)*(VLOOKUP($B194,'Section Data'!$B$36:$AC$107,5,FALSE)/10)^2/4,""))</f>
        <v>6.2977500000000006</v>
      </c>
      <c r="Z194" s="84">
        <f t="shared" si="23"/>
        <v>252.405</v>
      </c>
      <c r="AA194" s="84">
        <f t="shared" si="24"/>
        <v>31.3536</v>
      </c>
      <c r="AB194" s="86">
        <f t="shared" si="25"/>
        <v>0.68868732790554843</v>
      </c>
      <c r="AC194" s="86">
        <f t="shared" si="26"/>
        <v>0.42644262697755653</v>
      </c>
      <c r="AD194" s="1" t="b">
        <f>AND(ISNUMBER(AB194),ISNUMBER(AC194),AB194&gt;=0,AC194&gt;=0,AB194&lt;=0.95,AC194&lt;=0.95,ISNUMBER(D194),D194&gt;0,'Steel Beam Design'!$A$18="",C194="UC")</f>
        <v>0</v>
      </c>
      <c r="AE194" s="84">
        <f>'Steel Beam Design'!O27</f>
        <v>278.12499999999994</v>
      </c>
    </row>
    <row r="195" spans="1:31">
      <c r="A195" s="1" t="s">
        <v>443</v>
      </c>
      <c r="B195" s="1" t="str">
        <f>'Section Data'!B91</f>
        <v>305x127x42</v>
      </c>
      <c r="C195" s="1" t="s">
        <v>368</v>
      </c>
      <c r="D195" s="84">
        <f>'Section Data'!C91</f>
        <v>41.9</v>
      </c>
      <c r="E195" s="84">
        <f>'Section Data'!Q91</f>
        <v>8196</v>
      </c>
      <c r="F195" s="84">
        <f>'Steel Beam Design'!D7043</f>
        <v>173.82812499999994</v>
      </c>
      <c r="G195" s="84">
        <f>'Steel Beam Design'!D7067</f>
        <v>4083.1881533101036</v>
      </c>
      <c r="H195" s="84" t="str">
        <f>IF(TRIM($B195)="","",IFERROR('Steel Beam Design'!$D$7006,""))</f>
        <v>S355</v>
      </c>
      <c r="I195" s="84">
        <f>IF(TRIM($B195)="","",IFERROR(MAX(VLOOKUP($B195,'Section Data'!$B$36:$AC$107,5,FALSE),VLOOKUP($B195,'Section Data'!$B$36:$AC$107,6,FALSE)),""))</f>
        <v>12.1</v>
      </c>
      <c r="J195" s="84">
        <f>IF(TRIM($B195)="","",IFERROR(IF(I195&gt;150,"",INDEX('Section Data'!$AH$5:$AK$10,IF(I195&lt;=16,1,IF(I195&lt;=40,2,IF(I195&lt;=63,3,IF(I195&lt;=80,4,IF(I195&lt;=100,5,6))))),MATCH(H195,'Section Data'!$AH$4:$AK$4,0))),""))</f>
        <v>355</v>
      </c>
      <c r="K195" s="84">
        <f t="shared" si="18"/>
        <v>0.88014083380101371</v>
      </c>
      <c r="L195" s="84">
        <f>IF(TRIM($B195)="","",IFERROR(VLOOKUP($B195,'Section Data'!$B$36:$AC$107,9,FALSE),""))</f>
        <v>5.14</v>
      </c>
      <c r="M195" s="84">
        <f>IF(TRIM($B195)="","",IFERROR(VLOOKUP($B195,'Section Data'!$B$36:$AC$107,10,FALSE),""))</f>
        <v>33.200000000000003</v>
      </c>
      <c r="N195" s="84">
        <f t="shared" si="19"/>
        <v>8</v>
      </c>
      <c r="O195" s="84">
        <f t="shared" si="20"/>
        <v>80</v>
      </c>
      <c r="P195" s="84">
        <f>IF(TRIM($B195)="","",IFERROR(VLOOKUP($B195,'Section Data'!$B$36:$AC$107,5,FALSE)*VLOOKUP($B195,'Section Data'!$B$36:$AC$107,3,FALSE),""))</f>
        <v>2457.6</v>
      </c>
      <c r="Q195" s="84">
        <f t="shared" si="21"/>
        <v>503.70808765395066</v>
      </c>
      <c r="R195" s="84">
        <f>'Steel Beam Design'!B4511</f>
        <v>55.624999999999993</v>
      </c>
      <c r="S195" s="84">
        <f t="shared" si="22"/>
        <v>0</v>
      </c>
      <c r="T195" s="84">
        <f>IF(TRIM($B195)="","",IFERROR(VLOOKUP($B195,'Section Data'!$B$36:$AC$107,20,FALSE),""))</f>
        <v>534</v>
      </c>
      <c r="U195" s="84">
        <f>IF(TRIM($B195)="","",IFERROR(VLOOKUP($B195,'Section Data'!$B$36:$AC$107,21,FALSE),""))</f>
        <v>62.6</v>
      </c>
      <c r="V195" s="84">
        <f>IF(TRIM($B195)="","",IFERROR(VLOOKUP($B195,'Section Data'!$B$36:$AC$107,22,FALSE),""))</f>
        <v>614</v>
      </c>
      <c r="W195" s="84">
        <f>IF(TRIM($B195)="","",IFERROR(VLOOKUP($B195,'Section Data'!$B$36:$AC$107,23,FALSE),""))</f>
        <v>98.4</v>
      </c>
      <c r="X195" s="84">
        <f>IF(TRIM($B195)="","",IFERROR((VLOOKUP($B195,'Section Data'!$B$36:$AC$107,5,FALSE)/10)*(VLOOKUP($B195,'Section Data'!$B$36:$AC$107,3,FALSE)/10)^2/4,""))</f>
        <v>188.74368000000001</v>
      </c>
      <c r="Y195" s="84">
        <f>IF(TRIM($B195)="","",IFERROR((VLOOKUP($B195,'Section Data'!$B$36:$AC$107,3,FALSE)/10)*(VLOOKUP($B195,'Section Data'!$B$36:$AC$107,5,FALSE)/10)^2/4,""))</f>
        <v>4.9152000000000005</v>
      </c>
      <c r="Z195" s="84">
        <f t="shared" si="23"/>
        <v>217.97</v>
      </c>
      <c r="AA195" s="84">
        <f t="shared" si="24"/>
        <v>26.667600000000004</v>
      </c>
      <c r="AB195" s="86">
        <f t="shared" si="25"/>
        <v>0.79748646602743467</v>
      </c>
      <c r="AC195" s="86">
        <f t="shared" si="26"/>
        <v>0.49819279566985158</v>
      </c>
      <c r="AD195" s="1" t="b">
        <f>AND(ISNUMBER(AB195),ISNUMBER(AC195),AB195&gt;=0,AC195&gt;=0,AB195&lt;=0.95,AC195&lt;=0.95,ISNUMBER(D195),D195&gt;0,'Steel Beam Design'!$A$18="",C195="UC")</f>
        <v>0</v>
      </c>
      <c r="AE195" s="84">
        <f>'Steel Beam Design'!O27</f>
        <v>278.12499999999994</v>
      </c>
    </row>
    <row r="196" spans="1:31">
      <c r="A196" s="1" t="s">
        <v>443</v>
      </c>
      <c r="B196" s="1" t="str">
        <f>'Section Data'!B92</f>
        <v>305x127x37</v>
      </c>
      <c r="C196" s="1" t="s">
        <v>368</v>
      </c>
      <c r="D196" s="84">
        <f>'Section Data'!C92</f>
        <v>37</v>
      </c>
      <c r="E196" s="84">
        <f>'Section Data'!Q92</f>
        <v>7171</v>
      </c>
      <c r="F196" s="84">
        <f>'Steel Beam Design'!D7043</f>
        <v>173.82812499999994</v>
      </c>
      <c r="G196" s="84">
        <f>'Steel Beam Design'!D7067</f>
        <v>4083.1881533101036</v>
      </c>
      <c r="H196" s="84" t="str">
        <f>IF(TRIM($B196)="","",IFERROR('Steel Beam Design'!$D$7006,""))</f>
        <v>S355</v>
      </c>
      <c r="I196" s="84">
        <f>IF(TRIM($B196)="","",IFERROR(MAX(VLOOKUP($B196,'Section Data'!$B$36:$AC$107,5,FALSE),VLOOKUP($B196,'Section Data'!$B$36:$AC$107,6,FALSE)),""))</f>
        <v>10.7</v>
      </c>
      <c r="J196" s="84">
        <f>IF(TRIM($B196)="","",IFERROR(IF(I196&gt;150,"",INDEX('Section Data'!$AH$5:$AK$10,IF(I196&lt;=16,1,IF(I196&lt;=40,2,IF(I196&lt;=63,3,IF(I196&lt;=80,4,IF(I196&lt;=100,5,6))))),MATCH(H196,'Section Data'!$AH$4:$AK$4,0))),""))</f>
        <v>355</v>
      </c>
      <c r="K196" s="84">
        <f t="shared" si="18"/>
        <v>0.88014083380101371</v>
      </c>
      <c r="L196" s="84">
        <f>IF(TRIM($B196)="","",IFERROR(VLOOKUP($B196,'Section Data'!$B$36:$AC$107,9,FALSE),""))</f>
        <v>5.77</v>
      </c>
      <c r="M196" s="84">
        <f>IF(TRIM($B196)="","",IFERROR(VLOOKUP($B196,'Section Data'!$B$36:$AC$107,10,FALSE),""))</f>
        <v>37.4</v>
      </c>
      <c r="N196" s="84">
        <f t="shared" si="19"/>
        <v>8</v>
      </c>
      <c r="O196" s="84">
        <f t="shared" si="20"/>
        <v>80</v>
      </c>
      <c r="P196" s="84">
        <f>IF(TRIM($B196)="","",IFERROR(VLOOKUP($B196,'Section Data'!$B$36:$AC$107,5,FALSE)*VLOOKUP($B196,'Section Data'!$B$36:$AC$107,3,FALSE),""))</f>
        <v>2161.2399999999998</v>
      </c>
      <c r="Q196" s="84">
        <f t="shared" si="21"/>
        <v>442.9663360031023</v>
      </c>
      <c r="R196" s="84">
        <f>'Steel Beam Design'!B4511</f>
        <v>55.624999999999993</v>
      </c>
      <c r="S196" s="84">
        <f t="shared" si="22"/>
        <v>0</v>
      </c>
      <c r="T196" s="84">
        <f>IF(TRIM($B196)="","",IFERROR(VLOOKUP($B196,'Section Data'!$B$36:$AC$107,20,FALSE),""))</f>
        <v>471</v>
      </c>
      <c r="U196" s="84">
        <f>IF(TRIM($B196)="","",IFERROR(VLOOKUP($B196,'Section Data'!$B$36:$AC$107,21,FALSE),""))</f>
        <v>54.5</v>
      </c>
      <c r="V196" s="84">
        <f>IF(TRIM($B196)="","",IFERROR(VLOOKUP($B196,'Section Data'!$B$36:$AC$107,22,FALSE),""))</f>
        <v>539</v>
      </c>
      <c r="W196" s="84">
        <f>IF(TRIM($B196)="","",IFERROR(VLOOKUP($B196,'Section Data'!$B$36:$AC$107,23,FALSE),""))</f>
        <v>85.4</v>
      </c>
      <c r="X196" s="84">
        <f>IF(TRIM($B196)="","",IFERROR((VLOOKUP($B196,'Section Data'!$B$36:$AC$107,5,FALSE)/10)*(VLOOKUP($B196,'Section Data'!$B$36:$AC$107,3,FALSE)/10)^2/4,""))</f>
        <v>164.47036399999996</v>
      </c>
      <c r="Y196" s="84">
        <f>IF(TRIM($B196)="","",IFERROR((VLOOKUP($B196,'Section Data'!$B$36:$AC$107,3,FALSE)/10)*(VLOOKUP($B196,'Section Data'!$B$36:$AC$107,5,FALSE)/10)^2/4,""))</f>
        <v>3.8362009999999995</v>
      </c>
      <c r="Z196" s="84">
        <f t="shared" si="23"/>
        <v>191.345</v>
      </c>
      <c r="AA196" s="84">
        <f t="shared" si="24"/>
        <v>23.216999999999995</v>
      </c>
      <c r="AB196" s="86">
        <f t="shared" si="25"/>
        <v>0.90845397057670674</v>
      </c>
      <c r="AC196" s="86">
        <f t="shared" si="26"/>
        <v>0.5694028940608149</v>
      </c>
      <c r="AD196" s="1" t="b">
        <f>AND(ISNUMBER(AB196),ISNUMBER(AC196),AB196&gt;=0,AC196&gt;=0,AB196&lt;=0.95,AC196&lt;=0.95,ISNUMBER(D196),D196&gt;0,'Steel Beam Design'!$A$18="",C196="UC")</f>
        <v>0</v>
      </c>
      <c r="AE196" s="84">
        <f>'Steel Beam Design'!O27</f>
        <v>278.12499999999994</v>
      </c>
    </row>
    <row r="197" spans="1:31">
      <c r="A197" s="1" t="s">
        <v>443</v>
      </c>
      <c r="B197" s="1" t="str">
        <f>'Section Data'!B93</f>
        <v>305x102x33</v>
      </c>
      <c r="C197" s="1" t="s">
        <v>368</v>
      </c>
      <c r="D197" s="84">
        <f>'Section Data'!C93</f>
        <v>32.799999999999997</v>
      </c>
      <c r="E197" s="84">
        <f>'Section Data'!Q93</f>
        <v>6501</v>
      </c>
      <c r="F197" s="84">
        <f>'Steel Beam Design'!D7043</f>
        <v>173.82812499999994</v>
      </c>
      <c r="G197" s="84">
        <f>'Steel Beam Design'!D7067</f>
        <v>4083.1881533101036</v>
      </c>
      <c r="H197" s="84" t="str">
        <f>IF(TRIM($B197)="","",IFERROR('Steel Beam Design'!$D$7006,""))</f>
        <v>S355</v>
      </c>
      <c r="I197" s="84">
        <f>IF(TRIM($B197)="","",IFERROR(MAX(VLOOKUP($B197,'Section Data'!$B$36:$AC$107,5,FALSE),VLOOKUP($B197,'Section Data'!$B$36:$AC$107,6,FALSE)),""))</f>
        <v>10.8</v>
      </c>
      <c r="J197" s="84">
        <f>IF(TRIM($B197)="","",IFERROR(IF(I197&gt;150,"",INDEX('Section Data'!$AH$5:$AK$10,IF(I197&lt;=16,1,IF(I197&lt;=40,2,IF(I197&lt;=63,3,IF(I197&lt;=80,4,IF(I197&lt;=100,5,6))))),MATCH(H197,'Section Data'!$AH$4:$AK$4,0))),""))</f>
        <v>355</v>
      </c>
      <c r="K197" s="84">
        <f t="shared" si="18"/>
        <v>0.88014083380101371</v>
      </c>
      <c r="L197" s="84">
        <f>IF(TRIM($B197)="","",IFERROR(VLOOKUP($B197,'Section Data'!$B$36:$AC$107,9,FALSE),""))</f>
        <v>4.74</v>
      </c>
      <c r="M197" s="84">
        <f>IF(TRIM($B197)="","",IFERROR(VLOOKUP($B197,'Section Data'!$B$36:$AC$107,10,FALSE),""))</f>
        <v>41.8</v>
      </c>
      <c r="N197" s="84">
        <f t="shared" si="19"/>
        <v>8</v>
      </c>
      <c r="O197" s="84">
        <f t="shared" si="20"/>
        <v>80</v>
      </c>
      <c r="P197" s="84">
        <f>IF(TRIM($B197)="","",IFERROR(VLOOKUP($B197,'Section Data'!$B$36:$AC$107,5,FALSE)*VLOOKUP($B197,'Section Data'!$B$36:$AC$107,3,FALSE),""))</f>
        <v>2063.8199999999997</v>
      </c>
      <c r="Q197" s="84">
        <f t="shared" si="21"/>
        <v>422.99919655842132</v>
      </c>
      <c r="R197" s="84">
        <f>'Steel Beam Design'!B4511</f>
        <v>55.624999999999993</v>
      </c>
      <c r="S197" s="84">
        <f t="shared" si="22"/>
        <v>0</v>
      </c>
      <c r="T197" s="84">
        <f>IF(TRIM($B197)="","",IFERROR(VLOOKUP($B197,'Section Data'!$B$36:$AC$107,20,FALSE),""))</f>
        <v>416</v>
      </c>
      <c r="U197" s="84">
        <f>IF(TRIM($B197)="","",IFERROR(VLOOKUP($B197,'Section Data'!$B$36:$AC$107,21,FALSE),""))</f>
        <v>37.9</v>
      </c>
      <c r="V197" s="84">
        <f>IF(TRIM($B197)="","",IFERROR(VLOOKUP($B197,'Section Data'!$B$36:$AC$107,22,FALSE),""))</f>
        <v>481</v>
      </c>
      <c r="W197" s="84">
        <f>IF(TRIM($B197)="","",IFERROR(VLOOKUP($B197,'Section Data'!$B$36:$AC$107,23,FALSE),""))</f>
        <v>60</v>
      </c>
      <c r="X197" s="84">
        <f>IF(TRIM($B197)="","",IFERROR((VLOOKUP($B197,'Section Data'!$B$36:$AC$107,5,FALSE)/10)*(VLOOKUP($B197,'Section Data'!$B$36:$AC$107,3,FALSE)/10)^2/4,""))</f>
        <v>161.33912849999999</v>
      </c>
      <c r="Y197" s="84">
        <f>IF(TRIM($B197)="","",IFERROR((VLOOKUP($B197,'Section Data'!$B$36:$AC$107,3,FALSE)/10)*(VLOOKUP($B197,'Section Data'!$B$36:$AC$107,5,FALSE)/10)^2/4,""))</f>
        <v>3.4053029999999991</v>
      </c>
      <c r="Z197" s="84">
        <f t="shared" si="23"/>
        <v>170.755</v>
      </c>
      <c r="AA197" s="84">
        <f t="shared" si="24"/>
        <v>16.145399999999999</v>
      </c>
      <c r="AB197" s="86">
        <f t="shared" si="25"/>
        <v>1.0179972768000933</v>
      </c>
      <c r="AC197" s="86">
        <f t="shared" si="26"/>
        <v>0.62808616417629648</v>
      </c>
      <c r="AD197" s="1" t="b">
        <f>AND(ISNUMBER(AB197),ISNUMBER(AC197),AB197&gt;=0,AC197&gt;=0,AB197&lt;=0.95,AC197&lt;=0.95,ISNUMBER(D197),D197&gt;0,'Steel Beam Design'!$A$18="",C197="UC")</f>
        <v>0</v>
      </c>
      <c r="AE197" s="84">
        <f>'Steel Beam Design'!O27</f>
        <v>278.12499999999994</v>
      </c>
    </row>
    <row r="198" spans="1:31">
      <c r="A198" s="1" t="s">
        <v>443</v>
      </c>
      <c r="B198" s="1" t="str">
        <f>'Section Data'!B94</f>
        <v>305x102x28</v>
      </c>
      <c r="C198" s="1" t="s">
        <v>368</v>
      </c>
      <c r="D198" s="84">
        <f>'Section Data'!C94</f>
        <v>28.2</v>
      </c>
      <c r="E198" s="84">
        <f>'Section Data'!Q94</f>
        <v>5366</v>
      </c>
      <c r="F198" s="84">
        <f>'Steel Beam Design'!D7043</f>
        <v>173.82812499999994</v>
      </c>
      <c r="G198" s="84">
        <f>'Steel Beam Design'!D7067</f>
        <v>4083.1881533101036</v>
      </c>
      <c r="H198" s="84" t="str">
        <f>IF(TRIM($B198)="","",IFERROR('Steel Beam Design'!$D$7006,""))</f>
        <v>S355</v>
      </c>
      <c r="I198" s="84">
        <f>IF(TRIM($B198)="","",IFERROR(MAX(VLOOKUP($B198,'Section Data'!$B$36:$AC$107,5,FALSE),VLOOKUP($B198,'Section Data'!$B$36:$AC$107,6,FALSE)),""))</f>
        <v>8.8000000000000007</v>
      </c>
      <c r="J198" s="84">
        <f>IF(TRIM($B198)="","",IFERROR(IF(I198&gt;150,"",INDEX('Section Data'!$AH$5:$AK$10,IF(I198&lt;=16,1,IF(I198&lt;=40,2,IF(I198&lt;=63,3,IF(I198&lt;=80,4,IF(I198&lt;=100,5,6))))),MATCH(H198,'Section Data'!$AH$4:$AK$4,0))),""))</f>
        <v>355</v>
      </c>
      <c r="K198" s="84">
        <f t="shared" ref="K198:K261" si="27">IF(ISNUMBER(J198),IF(J198&gt;0,SQRT(275/J198),""),"")</f>
        <v>0.88014083380101371</v>
      </c>
      <c r="L198" s="84">
        <f>IF(TRIM($B198)="","",IFERROR(VLOOKUP($B198,'Section Data'!$B$36:$AC$107,9,FALSE),""))</f>
        <v>5.78</v>
      </c>
      <c r="M198" s="84">
        <f>IF(TRIM($B198)="","",IFERROR(VLOOKUP($B198,'Section Data'!$B$36:$AC$107,10,FALSE),""))</f>
        <v>46</v>
      </c>
      <c r="N198" s="84">
        <f t="shared" ref="N198:N261" si="28">IF(COUNT(L198,K198)=2,IF(L198&lt;=8*K198,8,IF(L198&lt;=9*K198,9,13)),"")</f>
        <v>8</v>
      </c>
      <c r="O198" s="84">
        <f t="shared" ref="O198:O261" si="29">IF(COUNT(M198,K198)=2,IF(M198&lt;=80*K198,80,IF(M198&lt;=100*K198,100,120)),"")</f>
        <v>80</v>
      </c>
      <c r="P198" s="84">
        <f>IF(TRIM($B198)="","",IFERROR(VLOOKUP($B198,'Section Data'!$B$36:$AC$107,5,FALSE)*VLOOKUP($B198,'Section Data'!$B$36:$AC$107,3,FALSE),""))</f>
        <v>1852.1999999999998</v>
      </c>
      <c r="Q198" s="84">
        <f t="shared" ref="Q198:Q261" si="30">IF(TRIM($B198)="","",IFERROR(J198*P198/SQRT(3)/1000,""))</f>
        <v>379.6256998505238</v>
      </c>
      <c r="R198" s="84">
        <f>'Steel Beam Design'!B4511</f>
        <v>55.624999999999993</v>
      </c>
      <c r="S198" s="84">
        <f t="shared" ref="S198:S261" si="31">IF(AND(ISNUMBER(Q198),Q198&gt;0),IF(R198&lt;=0.6*Q198,0,(2*R198/Q198-1)^2),"")</f>
        <v>0</v>
      </c>
      <c r="T198" s="84">
        <f>IF(TRIM($B198)="","",IFERROR(VLOOKUP($B198,'Section Data'!$B$36:$AC$107,20,FALSE),""))</f>
        <v>348</v>
      </c>
      <c r="U198" s="84">
        <f>IF(TRIM($B198)="","",IFERROR(VLOOKUP($B198,'Section Data'!$B$36:$AC$107,21,FALSE),""))</f>
        <v>30.5</v>
      </c>
      <c r="V198" s="84">
        <f>IF(TRIM($B198)="","",IFERROR(VLOOKUP($B198,'Section Data'!$B$36:$AC$107,22,FALSE),""))</f>
        <v>403</v>
      </c>
      <c r="W198" s="84">
        <f>IF(TRIM($B198)="","",IFERROR(VLOOKUP($B198,'Section Data'!$B$36:$AC$107,23,FALSE),""))</f>
        <v>48.5</v>
      </c>
      <c r="X198" s="84">
        <f>IF(TRIM($B198)="","",IFERROR((VLOOKUP($B198,'Section Data'!$B$36:$AC$107,5,FALSE)/10)*(VLOOKUP($B198,'Section Data'!$B$36:$AC$107,3,FALSE)/10)^2/4,""))</f>
        <v>142.94353499999997</v>
      </c>
      <c r="Y198" s="84">
        <f>IF(TRIM($B198)="","",IFERROR((VLOOKUP($B198,'Section Data'!$B$36:$AC$107,3,FALSE)/10)*(VLOOKUP($B198,'Section Data'!$B$36:$AC$107,5,FALSE)/10)^2/4,""))</f>
        <v>2.7782999999999998</v>
      </c>
      <c r="Z198" s="84">
        <f t="shared" ref="Z198:Z261" si="32">IF(TRIM($B198)="","",IFERROR(IF(AND(J198&gt;0,R198&lt;=Q198,L198&lt;=13*K198,M198&lt;=120*K198),IF(R198&lt;=0.6*Q198,IF(OR(N198=13,O198=120),T198,MIN(V198,1.2*T198)),IF(OR(N198=13,O198=120),T198-S198*X198/1.5,MIN(V198-S198*X198,1.2*(T198-S198*X198/1.5))))*J198/1000,""),""))</f>
        <v>143.065</v>
      </c>
      <c r="AA198" s="84">
        <f t="shared" ref="AA198:AA261" si="33">IF(TRIM($B198)="","",IFERROR(IF(AND(J198&gt;0,R198&lt;=Q198,L198&lt;=13*K198,M198&lt;=120*K198),IF(R198&lt;=0.6*Q198,IF(OR(N198=13,O198=120),U198,MIN(W198,1.2*U198)),IF(OR(N198=13,O198=120),U198-S198*Y198/1.5,MIN(W198-S198*Y198,1.2*(U198-S198*Y198/1.5))))*J198/1000,""),""))</f>
        <v>12.993</v>
      </c>
      <c r="AB198" s="86">
        <f t="shared" ref="AB198:AB261" si="34">IF(AND(ISNUMBER(F198),ISNUMBER(Z198),Z198&gt;0),F198/Z198,"")</f>
        <v>1.2150290077936599</v>
      </c>
      <c r="AC198" s="86">
        <f t="shared" ref="AC198:AC261" si="35">IF(AND(ISNUMBER(G198),ISNUMBER(E198),E198&gt;0),G198/E198,"")</f>
        <v>0.76093703937944535</v>
      </c>
      <c r="AD198" s="1" t="b">
        <f>AND(ISNUMBER(AB198),ISNUMBER(AC198),AB198&gt;=0,AC198&gt;=0,AB198&lt;=0.95,AC198&lt;=0.95,ISNUMBER(D198),D198&gt;0,'Steel Beam Design'!$A$18="",C198="UC")</f>
        <v>0</v>
      </c>
      <c r="AE198" s="84">
        <f>'Steel Beam Design'!O27</f>
        <v>278.12499999999994</v>
      </c>
    </row>
    <row r="199" spans="1:31">
      <c r="A199" s="1" t="s">
        <v>443</v>
      </c>
      <c r="B199" s="1" t="str">
        <f>'Section Data'!B95</f>
        <v>305x102x25</v>
      </c>
      <c r="C199" s="1" t="s">
        <v>368</v>
      </c>
      <c r="D199" s="84">
        <f>'Section Data'!C95</f>
        <v>24.8</v>
      </c>
      <c r="E199" s="84">
        <f>'Section Data'!Q95</f>
        <v>4455</v>
      </c>
      <c r="F199" s="84">
        <f>'Steel Beam Design'!D7043</f>
        <v>173.82812499999994</v>
      </c>
      <c r="G199" s="84">
        <f>'Steel Beam Design'!D7067</f>
        <v>4083.1881533101036</v>
      </c>
      <c r="H199" s="84" t="str">
        <f>IF(TRIM($B199)="","",IFERROR('Steel Beam Design'!$D$7006,""))</f>
        <v>S355</v>
      </c>
      <c r="I199" s="84">
        <f>IF(TRIM($B199)="","",IFERROR(MAX(VLOOKUP($B199,'Section Data'!$B$36:$AC$107,5,FALSE),VLOOKUP($B199,'Section Data'!$B$36:$AC$107,6,FALSE)),""))</f>
        <v>7</v>
      </c>
      <c r="J199" s="84">
        <f>IF(TRIM($B199)="","",IFERROR(IF(I199&gt;150,"",INDEX('Section Data'!$AH$5:$AK$10,IF(I199&lt;=16,1,IF(I199&lt;=40,2,IF(I199&lt;=63,3,IF(I199&lt;=80,4,IF(I199&lt;=100,5,6))))),MATCH(H199,'Section Data'!$AH$4:$AK$4,0))),""))</f>
        <v>355</v>
      </c>
      <c r="K199" s="84">
        <f t="shared" si="27"/>
        <v>0.88014083380101371</v>
      </c>
      <c r="L199" s="84">
        <f>IF(TRIM($B199)="","",IFERROR(VLOOKUP($B199,'Section Data'!$B$36:$AC$107,9,FALSE),""))</f>
        <v>7.26</v>
      </c>
      <c r="M199" s="84">
        <f>IF(TRIM($B199)="","",IFERROR(VLOOKUP($B199,'Section Data'!$B$36:$AC$107,10,FALSE),""))</f>
        <v>47.6</v>
      </c>
      <c r="N199" s="84">
        <f t="shared" si="28"/>
        <v>9</v>
      </c>
      <c r="O199" s="84">
        <f t="shared" si="29"/>
        <v>80</v>
      </c>
      <c r="P199" s="84">
        <f>IF(TRIM($B199)="","",IFERROR(VLOOKUP($B199,'Section Data'!$B$36:$AC$107,5,FALSE)*VLOOKUP($B199,'Section Data'!$B$36:$AC$107,3,FALSE),""))</f>
        <v>1769.5800000000002</v>
      </c>
      <c r="Q199" s="84">
        <f t="shared" si="30"/>
        <v>362.69195872016519</v>
      </c>
      <c r="R199" s="84">
        <f>'Steel Beam Design'!B4511</f>
        <v>55.624999999999993</v>
      </c>
      <c r="S199" s="84">
        <f t="shared" si="31"/>
        <v>0</v>
      </c>
      <c r="T199" s="84">
        <f>IF(TRIM($B199)="","",IFERROR(VLOOKUP($B199,'Section Data'!$B$36:$AC$107,20,FALSE),""))</f>
        <v>292</v>
      </c>
      <c r="U199" s="84">
        <f>IF(TRIM($B199)="","",IFERROR(VLOOKUP($B199,'Section Data'!$B$36:$AC$107,21,FALSE),""))</f>
        <v>24.2</v>
      </c>
      <c r="V199" s="84">
        <f>IF(TRIM($B199)="","",IFERROR(VLOOKUP($B199,'Section Data'!$B$36:$AC$107,22,FALSE),""))</f>
        <v>342</v>
      </c>
      <c r="W199" s="84">
        <f>IF(TRIM($B199)="","",IFERROR(VLOOKUP($B199,'Section Data'!$B$36:$AC$107,23,FALSE),""))</f>
        <v>38.799999999999997</v>
      </c>
      <c r="X199" s="84">
        <f>IF(TRIM($B199)="","",IFERROR((VLOOKUP($B199,'Section Data'!$B$36:$AC$107,5,FALSE)/10)*(VLOOKUP($B199,'Section Data'!$B$36:$AC$107,3,FALSE)/10)^2/4,""))</f>
        <v>134.9747145</v>
      </c>
      <c r="Y199" s="84">
        <f>IF(TRIM($B199)="","",IFERROR((VLOOKUP($B199,'Section Data'!$B$36:$AC$107,3,FALSE)/10)*(VLOOKUP($B199,'Section Data'!$B$36:$AC$107,5,FALSE)/10)^2/4,""))</f>
        <v>2.5658910000000001</v>
      </c>
      <c r="Z199" s="84">
        <f t="shared" si="32"/>
        <v>121.41</v>
      </c>
      <c r="AA199" s="84">
        <f t="shared" si="33"/>
        <v>10.309199999999999</v>
      </c>
      <c r="AB199" s="86">
        <f t="shared" si="34"/>
        <v>1.4317447080141665</v>
      </c>
      <c r="AC199" s="86">
        <f t="shared" si="35"/>
        <v>0.916540550686892</v>
      </c>
      <c r="AD199" s="1" t="b">
        <f>AND(ISNUMBER(AB199),ISNUMBER(AC199),AB199&gt;=0,AC199&gt;=0,AB199&lt;=0.95,AC199&lt;=0.95,ISNUMBER(D199),D199&gt;0,'Steel Beam Design'!$A$18="",C199="UC")</f>
        <v>0</v>
      </c>
      <c r="AE199" s="84">
        <f>'Steel Beam Design'!O27</f>
        <v>278.12499999999994</v>
      </c>
    </row>
    <row r="200" spans="1:31">
      <c r="A200" s="1" t="s">
        <v>443</v>
      </c>
      <c r="B200" s="1" t="str">
        <f>'Section Data'!B96</f>
        <v>254x146x43</v>
      </c>
      <c r="C200" s="1" t="s">
        <v>368</v>
      </c>
      <c r="D200" s="84">
        <f>'Section Data'!C96</f>
        <v>43</v>
      </c>
      <c r="E200" s="84">
        <f>'Section Data'!Q96</f>
        <v>6544</v>
      </c>
      <c r="F200" s="84">
        <f>'Steel Beam Design'!D7043</f>
        <v>173.82812499999994</v>
      </c>
      <c r="G200" s="84">
        <f>'Steel Beam Design'!D7067</f>
        <v>4083.1881533101036</v>
      </c>
      <c r="H200" s="84" t="str">
        <f>IF(TRIM($B200)="","",IFERROR('Steel Beam Design'!$D$7006,""))</f>
        <v>S355</v>
      </c>
      <c r="I200" s="84">
        <f>IF(TRIM($B200)="","",IFERROR(MAX(VLOOKUP($B200,'Section Data'!$B$36:$AC$107,5,FALSE),VLOOKUP($B200,'Section Data'!$B$36:$AC$107,6,FALSE)),""))</f>
        <v>12.7</v>
      </c>
      <c r="J200" s="84">
        <f>IF(TRIM($B200)="","",IFERROR(IF(I200&gt;150,"",INDEX('Section Data'!$AH$5:$AK$10,IF(I200&lt;=16,1,IF(I200&lt;=40,2,IF(I200&lt;=63,3,IF(I200&lt;=80,4,IF(I200&lt;=100,5,6))))),MATCH(H200,'Section Data'!$AH$4:$AK$4,0))),""))</f>
        <v>355</v>
      </c>
      <c r="K200" s="84">
        <f t="shared" si="27"/>
        <v>0.88014083380101371</v>
      </c>
      <c r="L200" s="84">
        <f>IF(TRIM($B200)="","",IFERROR(VLOOKUP($B200,'Section Data'!$B$36:$AC$107,9,FALSE),""))</f>
        <v>5.8</v>
      </c>
      <c r="M200" s="84">
        <f>IF(TRIM($B200)="","",IFERROR(VLOOKUP($B200,'Section Data'!$B$36:$AC$107,10,FALSE),""))</f>
        <v>30.4</v>
      </c>
      <c r="N200" s="84">
        <f t="shared" si="28"/>
        <v>8</v>
      </c>
      <c r="O200" s="84">
        <f t="shared" si="29"/>
        <v>80</v>
      </c>
      <c r="P200" s="84">
        <f>IF(TRIM($B200)="","",IFERROR(VLOOKUP($B200,'Section Data'!$B$36:$AC$107,5,FALSE)*VLOOKUP($B200,'Section Data'!$B$36:$AC$107,3,FALSE),""))</f>
        <v>1869.1200000000001</v>
      </c>
      <c r="Q200" s="84">
        <f t="shared" si="30"/>
        <v>383.09361197743834</v>
      </c>
      <c r="R200" s="84">
        <f>'Steel Beam Design'!B4511</f>
        <v>55.624999999999993</v>
      </c>
      <c r="S200" s="84">
        <f t="shared" si="31"/>
        <v>0</v>
      </c>
      <c r="T200" s="84">
        <f>IF(TRIM($B200)="","",IFERROR(VLOOKUP($B200,'Section Data'!$B$36:$AC$107,20,FALSE),""))</f>
        <v>504</v>
      </c>
      <c r="U200" s="84">
        <f>IF(TRIM($B200)="","",IFERROR(VLOOKUP($B200,'Section Data'!$B$36:$AC$107,21,FALSE),""))</f>
        <v>92</v>
      </c>
      <c r="V200" s="84">
        <f>IF(TRIM($B200)="","",IFERROR(VLOOKUP($B200,'Section Data'!$B$36:$AC$107,22,FALSE),""))</f>
        <v>566</v>
      </c>
      <c r="W200" s="84">
        <f>IF(TRIM($B200)="","",IFERROR(VLOOKUP($B200,'Section Data'!$B$36:$AC$107,23,FALSE),""))</f>
        <v>141</v>
      </c>
      <c r="X200" s="84">
        <f>IF(TRIM($B200)="","",IFERROR((VLOOKUP($B200,'Section Data'!$B$36:$AC$107,5,FALSE)/10)*(VLOOKUP($B200,'Section Data'!$B$36:$AC$107,3,FALSE)/10)^2/4,""))</f>
        <v>121.305888</v>
      </c>
      <c r="Y200" s="84">
        <f>IF(TRIM($B200)="","",IFERROR((VLOOKUP($B200,'Section Data'!$B$36:$AC$107,3,FALSE)/10)*(VLOOKUP($B200,'Section Data'!$B$36:$AC$107,5,FALSE)/10)^2/4,""))</f>
        <v>3.3644159999999999</v>
      </c>
      <c r="Z200" s="84">
        <f t="shared" si="32"/>
        <v>200.93</v>
      </c>
      <c r="AA200" s="84">
        <f t="shared" si="33"/>
        <v>39.192</v>
      </c>
      <c r="AB200" s="86">
        <f t="shared" si="34"/>
        <v>0.86511782710396623</v>
      </c>
      <c r="AC200" s="86">
        <f t="shared" si="35"/>
        <v>0.62395906988235084</v>
      </c>
      <c r="AD200" s="1" t="b">
        <f>AND(ISNUMBER(AB200),ISNUMBER(AC200),AB200&gt;=0,AC200&gt;=0,AB200&lt;=0.95,AC200&lt;=0.95,ISNUMBER(D200),D200&gt;0,'Steel Beam Design'!$A$18="",C200="UC")</f>
        <v>0</v>
      </c>
      <c r="AE200" s="84">
        <f>'Steel Beam Design'!O27</f>
        <v>278.12499999999994</v>
      </c>
    </row>
    <row r="201" spans="1:31">
      <c r="A201" s="1" t="s">
        <v>443</v>
      </c>
      <c r="B201" s="1" t="str">
        <f>'Section Data'!B97</f>
        <v>254x146x37</v>
      </c>
      <c r="C201" s="1" t="s">
        <v>368</v>
      </c>
      <c r="D201" s="84">
        <f>'Section Data'!C97</f>
        <v>37</v>
      </c>
      <c r="E201" s="84">
        <f>'Section Data'!Q97</f>
        <v>5537</v>
      </c>
      <c r="F201" s="84">
        <f>'Steel Beam Design'!D7043</f>
        <v>173.82812499999994</v>
      </c>
      <c r="G201" s="84">
        <f>'Steel Beam Design'!D7067</f>
        <v>4083.1881533101036</v>
      </c>
      <c r="H201" s="84" t="str">
        <f>IF(TRIM($B201)="","",IFERROR('Steel Beam Design'!$D$7006,""))</f>
        <v>S355</v>
      </c>
      <c r="I201" s="84">
        <f>IF(TRIM($B201)="","",IFERROR(MAX(VLOOKUP($B201,'Section Data'!$B$36:$AC$107,5,FALSE),VLOOKUP($B201,'Section Data'!$B$36:$AC$107,6,FALSE)),""))</f>
        <v>10.9</v>
      </c>
      <c r="J201" s="84">
        <f>IF(TRIM($B201)="","",IFERROR(IF(I201&gt;150,"",INDEX('Section Data'!$AH$5:$AK$10,IF(I201&lt;=16,1,IF(I201&lt;=40,2,IF(I201&lt;=63,3,IF(I201&lt;=80,4,IF(I201&lt;=100,5,6))))),MATCH(H201,'Section Data'!$AH$4:$AK$4,0))),""))</f>
        <v>355</v>
      </c>
      <c r="K201" s="84">
        <f t="shared" si="27"/>
        <v>0.88014083380101371</v>
      </c>
      <c r="L201" s="84">
        <f>IF(TRIM($B201)="","",IFERROR(VLOOKUP($B201,'Section Data'!$B$36:$AC$107,9,FALSE),""))</f>
        <v>6.72</v>
      </c>
      <c r="M201" s="84">
        <f>IF(TRIM($B201)="","",IFERROR(VLOOKUP($B201,'Section Data'!$B$36:$AC$107,10,FALSE),""))</f>
        <v>34.799999999999997</v>
      </c>
      <c r="N201" s="84">
        <f t="shared" si="28"/>
        <v>8</v>
      </c>
      <c r="O201" s="84">
        <f t="shared" si="29"/>
        <v>80</v>
      </c>
      <c r="P201" s="84">
        <f>IF(TRIM($B201)="","",IFERROR(VLOOKUP($B201,'Section Data'!$B$36:$AC$107,5,FALSE)*VLOOKUP($B201,'Section Data'!$B$36:$AC$107,3,FALSE),""))</f>
        <v>1612.8</v>
      </c>
      <c r="Q201" s="84">
        <f t="shared" si="30"/>
        <v>330.55843252290509</v>
      </c>
      <c r="R201" s="84">
        <f>'Steel Beam Design'!B4511</f>
        <v>55.624999999999993</v>
      </c>
      <c r="S201" s="84">
        <f t="shared" si="31"/>
        <v>0</v>
      </c>
      <c r="T201" s="84">
        <f>IF(TRIM($B201)="","",IFERROR(VLOOKUP($B201,'Section Data'!$B$36:$AC$107,20,FALSE),""))</f>
        <v>433</v>
      </c>
      <c r="U201" s="84">
        <f>IF(TRIM($B201)="","",IFERROR(VLOOKUP($B201,'Section Data'!$B$36:$AC$107,21,FALSE),""))</f>
        <v>78</v>
      </c>
      <c r="V201" s="84">
        <f>IF(TRIM($B201)="","",IFERROR(VLOOKUP($B201,'Section Data'!$B$36:$AC$107,22,FALSE),""))</f>
        <v>483</v>
      </c>
      <c r="W201" s="84">
        <f>IF(TRIM($B201)="","",IFERROR(VLOOKUP($B201,'Section Data'!$B$36:$AC$107,23,FALSE),""))</f>
        <v>119</v>
      </c>
      <c r="X201" s="84">
        <f>IF(TRIM($B201)="","",IFERROR((VLOOKUP($B201,'Section Data'!$B$36:$AC$107,5,FALSE)/10)*(VLOOKUP($B201,'Section Data'!$B$36:$AC$107,3,FALSE)/10)^2/4,""))</f>
        <v>103.21920000000001</v>
      </c>
      <c r="Y201" s="84">
        <f>IF(TRIM($B201)="","",IFERROR((VLOOKUP($B201,'Section Data'!$B$36:$AC$107,3,FALSE)/10)*(VLOOKUP($B201,'Section Data'!$B$36:$AC$107,5,FALSE)/10)^2/4,""))</f>
        <v>2.5401600000000002</v>
      </c>
      <c r="Z201" s="84">
        <f t="shared" si="32"/>
        <v>171.465</v>
      </c>
      <c r="AA201" s="84">
        <f t="shared" si="33"/>
        <v>33.228000000000002</v>
      </c>
      <c r="AB201" s="86">
        <f t="shared" si="34"/>
        <v>1.0137819671653103</v>
      </c>
      <c r="AC201" s="86">
        <f t="shared" si="35"/>
        <v>0.73743690686474694</v>
      </c>
      <c r="AD201" s="1" t="b">
        <f>AND(ISNUMBER(AB201),ISNUMBER(AC201),AB201&gt;=0,AC201&gt;=0,AB201&lt;=0.95,AC201&lt;=0.95,ISNUMBER(D201),D201&gt;0,'Steel Beam Design'!$A$18="",C201="UC")</f>
        <v>0</v>
      </c>
      <c r="AE201" s="84">
        <f>'Steel Beam Design'!O27</f>
        <v>278.12499999999994</v>
      </c>
    </row>
    <row r="202" spans="1:31">
      <c r="A202" s="1" t="s">
        <v>443</v>
      </c>
      <c r="B202" s="1" t="str">
        <f>'Section Data'!B98</f>
        <v>254x146x31</v>
      </c>
      <c r="C202" s="1" t="s">
        <v>368</v>
      </c>
      <c r="D202" s="84">
        <f>'Section Data'!C98</f>
        <v>31.1</v>
      </c>
      <c r="E202" s="84">
        <f>'Section Data'!Q98</f>
        <v>4413</v>
      </c>
      <c r="F202" s="84">
        <f>'Steel Beam Design'!D7043</f>
        <v>173.82812499999994</v>
      </c>
      <c r="G202" s="84">
        <f>'Steel Beam Design'!D7067</f>
        <v>4083.1881533101036</v>
      </c>
      <c r="H202" s="84" t="str">
        <f>IF(TRIM($B202)="","",IFERROR('Steel Beam Design'!$D$7006,""))</f>
        <v>S355</v>
      </c>
      <c r="I202" s="84">
        <f>IF(TRIM($B202)="","",IFERROR(MAX(VLOOKUP($B202,'Section Data'!$B$36:$AC$107,5,FALSE),VLOOKUP($B202,'Section Data'!$B$36:$AC$107,6,FALSE)),""))</f>
        <v>8.6</v>
      </c>
      <c r="J202" s="84">
        <f>IF(TRIM($B202)="","",IFERROR(IF(I202&gt;150,"",INDEX('Section Data'!$AH$5:$AK$10,IF(I202&lt;=16,1,IF(I202&lt;=40,2,IF(I202&lt;=63,3,IF(I202&lt;=80,4,IF(I202&lt;=100,5,6))))),MATCH(H202,'Section Data'!$AH$4:$AK$4,0))),""))</f>
        <v>355</v>
      </c>
      <c r="K202" s="84">
        <f t="shared" si="27"/>
        <v>0.88014083380101371</v>
      </c>
      <c r="L202" s="84">
        <f>IF(TRIM($B202)="","",IFERROR(VLOOKUP($B202,'Section Data'!$B$36:$AC$107,9,FALSE),""))</f>
        <v>8.49</v>
      </c>
      <c r="M202" s="84">
        <f>IF(TRIM($B202)="","",IFERROR(VLOOKUP($B202,'Section Data'!$B$36:$AC$107,10,FALSE),""))</f>
        <v>36.5</v>
      </c>
      <c r="N202" s="84">
        <f t="shared" si="28"/>
        <v>13</v>
      </c>
      <c r="O202" s="84">
        <f t="shared" si="29"/>
        <v>80</v>
      </c>
      <c r="P202" s="84">
        <f>IF(TRIM($B202)="","",IFERROR(VLOOKUP($B202,'Section Data'!$B$36:$AC$107,5,FALSE)*VLOOKUP($B202,'Section Data'!$B$36:$AC$107,3,FALSE),""))</f>
        <v>1508.4</v>
      </c>
      <c r="Q202" s="84">
        <f t="shared" si="30"/>
        <v>309.16067684619918</v>
      </c>
      <c r="R202" s="84">
        <f>'Steel Beam Design'!B4511</f>
        <v>55.624999999999993</v>
      </c>
      <c r="S202" s="84">
        <f t="shared" si="31"/>
        <v>0</v>
      </c>
      <c r="T202" s="84">
        <f>IF(TRIM($B202)="","",IFERROR(VLOOKUP($B202,'Section Data'!$B$36:$AC$107,20,FALSE),""))</f>
        <v>351</v>
      </c>
      <c r="U202" s="84">
        <f>IF(TRIM($B202)="","",IFERROR(VLOOKUP($B202,'Section Data'!$B$36:$AC$107,21,FALSE),""))</f>
        <v>61.3</v>
      </c>
      <c r="V202" s="84">
        <f>IF(TRIM($B202)="","",IFERROR(VLOOKUP($B202,'Section Data'!$B$36:$AC$107,22,FALSE),""))</f>
        <v>393</v>
      </c>
      <c r="W202" s="84">
        <f>IF(TRIM($B202)="","",IFERROR(VLOOKUP($B202,'Section Data'!$B$36:$AC$107,23,FALSE),""))</f>
        <v>94.1</v>
      </c>
      <c r="X202" s="84">
        <f>IF(TRIM($B202)="","",IFERROR((VLOOKUP($B202,'Section Data'!$B$36:$AC$107,5,FALSE)/10)*(VLOOKUP($B202,'Section Data'!$B$36:$AC$107,3,FALSE)/10)^2/4,""))</f>
        <v>94.802940000000007</v>
      </c>
      <c r="Y202" s="84">
        <f>IF(TRIM($B202)="","",IFERROR((VLOOKUP($B202,'Section Data'!$B$36:$AC$107,3,FALSE)/10)*(VLOOKUP($B202,'Section Data'!$B$36:$AC$107,5,FALSE)/10)^2/4,""))</f>
        <v>2.2625999999999999</v>
      </c>
      <c r="Z202" s="84">
        <f t="shared" si="32"/>
        <v>124.605</v>
      </c>
      <c r="AA202" s="84">
        <f t="shared" si="33"/>
        <v>21.761500000000002</v>
      </c>
      <c r="AB202" s="86">
        <f t="shared" si="34"/>
        <v>1.3950333052445723</v>
      </c>
      <c r="AC202" s="86">
        <f t="shared" si="35"/>
        <v>0.92526357428282435</v>
      </c>
      <c r="AD202" s="1" t="b">
        <f>AND(ISNUMBER(AB202),ISNUMBER(AC202),AB202&gt;=0,AC202&gt;=0,AB202&lt;=0.95,AC202&lt;=0.95,ISNUMBER(D202),D202&gt;0,'Steel Beam Design'!$A$18="",C202="UC")</f>
        <v>0</v>
      </c>
      <c r="AE202" s="84">
        <f>'Steel Beam Design'!O27</f>
        <v>278.12499999999994</v>
      </c>
    </row>
    <row r="203" spans="1:31">
      <c r="A203" s="1" t="s">
        <v>443</v>
      </c>
      <c r="B203" s="1" t="str">
        <f>'Section Data'!B99</f>
        <v>254x102x28</v>
      </c>
      <c r="C203" s="1" t="s">
        <v>368</v>
      </c>
      <c r="D203" s="84">
        <f>'Section Data'!C99</f>
        <v>28.3</v>
      </c>
      <c r="E203" s="84">
        <f>'Section Data'!Q99</f>
        <v>4005</v>
      </c>
      <c r="F203" s="84">
        <f>'Steel Beam Design'!D7043</f>
        <v>173.82812499999994</v>
      </c>
      <c r="G203" s="84">
        <f>'Steel Beam Design'!D7067</f>
        <v>4083.1881533101036</v>
      </c>
      <c r="H203" s="84" t="str">
        <f>IF(TRIM($B203)="","",IFERROR('Steel Beam Design'!$D$7006,""))</f>
        <v>S355</v>
      </c>
      <c r="I203" s="84">
        <f>IF(TRIM($B203)="","",IFERROR(MAX(VLOOKUP($B203,'Section Data'!$B$36:$AC$107,5,FALSE),VLOOKUP($B203,'Section Data'!$B$36:$AC$107,6,FALSE)),""))</f>
        <v>10</v>
      </c>
      <c r="J203" s="84">
        <f>IF(TRIM($B203)="","",IFERROR(IF(I203&gt;150,"",INDEX('Section Data'!$AH$5:$AK$10,IF(I203&lt;=16,1,IF(I203&lt;=40,2,IF(I203&lt;=63,3,IF(I203&lt;=80,4,IF(I203&lt;=100,5,6))))),MATCH(H203,'Section Data'!$AH$4:$AK$4,0))),""))</f>
        <v>355</v>
      </c>
      <c r="K203" s="84">
        <f t="shared" si="27"/>
        <v>0.88014083380101371</v>
      </c>
      <c r="L203" s="84">
        <f>IF(TRIM($B203)="","",IFERROR(VLOOKUP($B203,'Section Data'!$B$36:$AC$107,9,FALSE),""))</f>
        <v>5.1100000000000003</v>
      </c>
      <c r="M203" s="84">
        <f>IF(TRIM($B203)="","",IFERROR(VLOOKUP($B203,'Section Data'!$B$36:$AC$107,10,FALSE),""))</f>
        <v>35.700000000000003</v>
      </c>
      <c r="N203" s="84">
        <f t="shared" si="28"/>
        <v>8</v>
      </c>
      <c r="O203" s="84">
        <f t="shared" si="29"/>
        <v>80</v>
      </c>
      <c r="P203" s="84">
        <f>IF(TRIM($B203)="","",IFERROR(VLOOKUP($B203,'Section Data'!$B$36:$AC$107,5,FALSE)*VLOOKUP($B203,'Section Data'!$B$36:$AC$107,3,FALSE),""))</f>
        <v>1640.5199999999998</v>
      </c>
      <c r="Q203" s="84">
        <f t="shared" si="30"/>
        <v>336.23990558189246</v>
      </c>
      <c r="R203" s="84">
        <f>'Steel Beam Design'!B4511</f>
        <v>55.624999999999993</v>
      </c>
      <c r="S203" s="84">
        <f t="shared" si="31"/>
        <v>0</v>
      </c>
      <c r="T203" s="84">
        <f>IF(TRIM($B203)="","",IFERROR(VLOOKUP($B203,'Section Data'!$B$36:$AC$107,20,FALSE),""))</f>
        <v>308</v>
      </c>
      <c r="U203" s="84">
        <f>IF(TRIM($B203)="","",IFERROR(VLOOKUP($B203,'Section Data'!$B$36:$AC$107,21,FALSE),""))</f>
        <v>34.9</v>
      </c>
      <c r="V203" s="84">
        <f>IF(TRIM($B203)="","",IFERROR(VLOOKUP($B203,'Section Data'!$B$36:$AC$107,22,FALSE),""))</f>
        <v>353</v>
      </c>
      <c r="W203" s="84">
        <f>IF(TRIM($B203)="","",IFERROR(VLOOKUP($B203,'Section Data'!$B$36:$AC$107,23,FALSE),""))</f>
        <v>54.8</v>
      </c>
      <c r="X203" s="84">
        <f>IF(TRIM($B203)="","",IFERROR((VLOOKUP($B203,'Section Data'!$B$36:$AC$107,5,FALSE)/10)*(VLOOKUP($B203,'Section Data'!$B$36:$AC$107,3,FALSE)/10)^2/4,""))</f>
        <v>106.79785199999999</v>
      </c>
      <c r="Y203" s="84">
        <f>IF(TRIM($B203)="","",IFERROR((VLOOKUP($B203,'Section Data'!$B$36:$AC$107,3,FALSE)/10)*(VLOOKUP($B203,'Section Data'!$B$36:$AC$107,5,FALSE)/10)^2/4,""))</f>
        <v>2.5838190000000001</v>
      </c>
      <c r="Z203" s="84">
        <f t="shared" si="32"/>
        <v>125.315</v>
      </c>
      <c r="AA203" s="84">
        <f t="shared" si="33"/>
        <v>14.867399999999998</v>
      </c>
      <c r="AB203" s="86">
        <f t="shared" si="34"/>
        <v>1.3871294338267561</v>
      </c>
      <c r="AC203" s="86">
        <f t="shared" si="35"/>
        <v>1.0195226350337336</v>
      </c>
      <c r="AD203" s="1" t="b">
        <f>AND(ISNUMBER(AB203),ISNUMBER(AC203),AB203&gt;=0,AC203&gt;=0,AB203&lt;=0.95,AC203&lt;=0.95,ISNUMBER(D203),D203&gt;0,'Steel Beam Design'!$A$18="",C203="UC")</f>
        <v>0</v>
      </c>
      <c r="AE203" s="84">
        <f>'Steel Beam Design'!O27</f>
        <v>278.12499999999994</v>
      </c>
    </row>
    <row r="204" spans="1:31">
      <c r="A204" s="1" t="s">
        <v>443</v>
      </c>
      <c r="B204" s="1" t="str">
        <f>'Section Data'!B100</f>
        <v>254x102x25</v>
      </c>
      <c r="C204" s="1" t="s">
        <v>368</v>
      </c>
      <c r="D204" s="84">
        <f>'Section Data'!C100</f>
        <v>25.2</v>
      </c>
      <c r="E204" s="84">
        <f>'Section Data'!Q100</f>
        <v>3415</v>
      </c>
      <c r="F204" s="84">
        <f>'Steel Beam Design'!D7043</f>
        <v>173.82812499999994</v>
      </c>
      <c r="G204" s="84">
        <f>'Steel Beam Design'!D7067</f>
        <v>4083.1881533101036</v>
      </c>
      <c r="H204" s="84" t="str">
        <f>IF(TRIM($B204)="","",IFERROR('Steel Beam Design'!$D$7006,""))</f>
        <v>S355</v>
      </c>
      <c r="I204" s="84">
        <f>IF(TRIM($B204)="","",IFERROR(MAX(VLOOKUP($B204,'Section Data'!$B$36:$AC$107,5,FALSE),VLOOKUP($B204,'Section Data'!$B$36:$AC$107,6,FALSE)),""))</f>
        <v>8.4</v>
      </c>
      <c r="J204" s="84">
        <f>IF(TRIM($B204)="","",IFERROR(IF(I204&gt;150,"",INDEX('Section Data'!$AH$5:$AK$10,IF(I204&lt;=16,1,IF(I204&lt;=40,2,IF(I204&lt;=63,3,IF(I204&lt;=80,4,IF(I204&lt;=100,5,6))))),MATCH(H204,'Section Data'!$AH$4:$AK$4,0))),""))</f>
        <v>355</v>
      </c>
      <c r="K204" s="84">
        <f t="shared" si="27"/>
        <v>0.88014083380101371</v>
      </c>
      <c r="L204" s="84">
        <f>IF(TRIM($B204)="","",IFERROR(VLOOKUP($B204,'Section Data'!$B$36:$AC$107,9,FALSE),""))</f>
        <v>6.07</v>
      </c>
      <c r="M204" s="84">
        <f>IF(TRIM($B204)="","",IFERROR(VLOOKUP($B204,'Section Data'!$B$36:$AC$107,10,FALSE),""))</f>
        <v>37.5</v>
      </c>
      <c r="N204" s="84">
        <f t="shared" si="28"/>
        <v>8</v>
      </c>
      <c r="O204" s="84">
        <f t="shared" si="29"/>
        <v>80</v>
      </c>
      <c r="P204" s="84">
        <f>IF(TRIM($B204)="","",IFERROR(VLOOKUP($B204,'Section Data'!$B$36:$AC$107,5,FALSE)*VLOOKUP($B204,'Section Data'!$B$36:$AC$107,3,FALSE),""))</f>
        <v>1543.1999999999998</v>
      </c>
      <c r="Q204" s="84">
        <f t="shared" si="30"/>
        <v>316.29326207176774</v>
      </c>
      <c r="R204" s="84">
        <f>'Steel Beam Design'!B4511</f>
        <v>55.624999999999993</v>
      </c>
      <c r="S204" s="84">
        <f t="shared" si="31"/>
        <v>0</v>
      </c>
      <c r="T204" s="84">
        <f>IF(TRIM($B204)="","",IFERROR(VLOOKUP($B204,'Section Data'!$B$36:$AC$107,20,FALSE),""))</f>
        <v>266</v>
      </c>
      <c r="U204" s="84">
        <f>IF(TRIM($B204)="","",IFERROR(VLOOKUP($B204,'Section Data'!$B$36:$AC$107,21,FALSE),""))</f>
        <v>29.2</v>
      </c>
      <c r="V204" s="84">
        <f>IF(TRIM($B204)="","",IFERROR(VLOOKUP($B204,'Section Data'!$B$36:$AC$107,22,FALSE),""))</f>
        <v>306</v>
      </c>
      <c r="W204" s="84">
        <f>IF(TRIM($B204)="","",IFERROR(VLOOKUP($B204,'Section Data'!$B$36:$AC$107,23,FALSE),""))</f>
        <v>46</v>
      </c>
      <c r="X204" s="84">
        <f>IF(TRIM($B204)="","",IFERROR((VLOOKUP($B204,'Section Data'!$B$36:$AC$107,5,FALSE)/10)*(VLOOKUP($B204,'Section Data'!$B$36:$AC$107,3,FALSE)/10)^2/4,""))</f>
        <v>99.227759999999989</v>
      </c>
      <c r="Y204" s="84">
        <f>IF(TRIM($B204)="","",IFERROR((VLOOKUP($B204,'Section Data'!$B$36:$AC$107,3,FALSE)/10)*(VLOOKUP($B204,'Section Data'!$B$36:$AC$107,5,FALSE)/10)^2/4,""))</f>
        <v>2.3148</v>
      </c>
      <c r="Z204" s="84">
        <f t="shared" si="32"/>
        <v>108.63</v>
      </c>
      <c r="AA204" s="84">
        <f t="shared" si="33"/>
        <v>12.4392</v>
      </c>
      <c r="AB204" s="86">
        <f t="shared" si="34"/>
        <v>1.600185261898186</v>
      </c>
      <c r="AC204" s="86">
        <f t="shared" si="35"/>
        <v>1.1956627096076438</v>
      </c>
      <c r="AD204" s="1" t="b">
        <f>AND(ISNUMBER(AB204),ISNUMBER(AC204),AB204&gt;=0,AC204&gt;=0,AB204&lt;=0.95,AC204&lt;=0.95,ISNUMBER(D204),D204&gt;0,'Steel Beam Design'!$A$18="",C204="UC")</f>
        <v>0</v>
      </c>
      <c r="AE204" s="84">
        <f>'Steel Beam Design'!O27</f>
        <v>278.12499999999994</v>
      </c>
    </row>
    <row r="205" spans="1:31">
      <c r="A205" s="1" t="s">
        <v>443</v>
      </c>
      <c r="B205" s="1" t="str">
        <f>'Section Data'!B101</f>
        <v>254x102x22</v>
      </c>
      <c r="C205" s="1" t="s">
        <v>368</v>
      </c>
      <c r="D205" s="84">
        <f>'Section Data'!C101</f>
        <v>22</v>
      </c>
      <c r="E205" s="84">
        <f>'Section Data'!Q101</f>
        <v>2841</v>
      </c>
      <c r="F205" s="84">
        <f>'Steel Beam Design'!D7043</f>
        <v>173.82812499999994</v>
      </c>
      <c r="G205" s="84">
        <f>'Steel Beam Design'!D7067</f>
        <v>4083.1881533101036</v>
      </c>
      <c r="H205" s="84" t="str">
        <f>IF(TRIM($B205)="","",IFERROR('Steel Beam Design'!$D$7006,""))</f>
        <v>S355</v>
      </c>
      <c r="I205" s="84">
        <f>IF(TRIM($B205)="","",IFERROR(MAX(VLOOKUP($B205,'Section Data'!$B$36:$AC$107,5,FALSE),VLOOKUP($B205,'Section Data'!$B$36:$AC$107,6,FALSE)),""))</f>
        <v>6.8</v>
      </c>
      <c r="J205" s="84">
        <f>IF(TRIM($B205)="","",IFERROR(IF(I205&gt;150,"",INDEX('Section Data'!$AH$5:$AK$10,IF(I205&lt;=16,1,IF(I205&lt;=40,2,IF(I205&lt;=63,3,IF(I205&lt;=80,4,IF(I205&lt;=100,5,6))))),MATCH(H205,'Section Data'!$AH$4:$AK$4,0))),""))</f>
        <v>355</v>
      </c>
      <c r="K205" s="84">
        <f t="shared" si="27"/>
        <v>0.88014083380101371</v>
      </c>
      <c r="L205" s="84">
        <f>IF(TRIM($B205)="","",IFERROR(VLOOKUP($B205,'Section Data'!$B$36:$AC$107,9,FALSE),""))</f>
        <v>7.47</v>
      </c>
      <c r="M205" s="84">
        <f>IF(TRIM($B205)="","",IFERROR(VLOOKUP($B205,'Section Data'!$B$36:$AC$107,10,FALSE),""))</f>
        <v>39.5</v>
      </c>
      <c r="N205" s="84">
        <f t="shared" si="28"/>
        <v>9</v>
      </c>
      <c r="O205" s="84">
        <f t="shared" si="29"/>
        <v>80</v>
      </c>
      <c r="P205" s="84">
        <f>IF(TRIM($B205)="","",IFERROR(VLOOKUP($B205,'Section Data'!$B$36:$AC$107,5,FALSE)*VLOOKUP($B205,'Section Data'!$B$36:$AC$107,3,FALSE),""))</f>
        <v>1447.8</v>
      </c>
      <c r="Q205" s="84">
        <f t="shared" si="30"/>
        <v>296.74014050512278</v>
      </c>
      <c r="R205" s="84">
        <f>'Steel Beam Design'!B4511</f>
        <v>55.624999999999993</v>
      </c>
      <c r="S205" s="84">
        <f t="shared" si="31"/>
        <v>0</v>
      </c>
      <c r="T205" s="84">
        <f>IF(TRIM($B205)="","",IFERROR(VLOOKUP($B205,'Section Data'!$B$36:$AC$107,20,FALSE),""))</f>
        <v>224</v>
      </c>
      <c r="U205" s="84">
        <f>IF(TRIM($B205)="","",IFERROR(VLOOKUP($B205,'Section Data'!$B$36:$AC$107,21,FALSE),""))</f>
        <v>23.5</v>
      </c>
      <c r="V205" s="84">
        <f>IF(TRIM($B205)="","",IFERROR(VLOOKUP($B205,'Section Data'!$B$36:$AC$107,22,FALSE),""))</f>
        <v>259</v>
      </c>
      <c r="W205" s="84">
        <f>IF(TRIM($B205)="","",IFERROR(VLOOKUP($B205,'Section Data'!$B$36:$AC$107,23,FALSE),""))</f>
        <v>37.299999999999997</v>
      </c>
      <c r="X205" s="84">
        <f>IF(TRIM($B205)="","",IFERROR((VLOOKUP($B205,'Section Data'!$B$36:$AC$107,5,FALSE)/10)*(VLOOKUP($B205,'Section Data'!$B$36:$AC$107,3,FALSE)/10)^2/4,""))</f>
        <v>91.935300000000012</v>
      </c>
      <c r="Y205" s="84">
        <f>IF(TRIM($B205)="","",IFERROR((VLOOKUP($B205,'Section Data'!$B$36:$AC$107,3,FALSE)/10)*(VLOOKUP($B205,'Section Data'!$B$36:$AC$107,5,FALSE)/10)^2/4,""))</f>
        <v>2.0631150000000003</v>
      </c>
      <c r="Z205" s="84">
        <f t="shared" si="32"/>
        <v>91.944999999999993</v>
      </c>
      <c r="AA205" s="84">
        <f t="shared" si="33"/>
        <v>10.010999999999999</v>
      </c>
      <c r="AB205" s="86">
        <f t="shared" si="34"/>
        <v>1.8905663712001735</v>
      </c>
      <c r="AC205" s="86">
        <f t="shared" si="35"/>
        <v>1.4372362384055275</v>
      </c>
      <c r="AD205" s="1" t="b">
        <f>AND(ISNUMBER(AB205),ISNUMBER(AC205),AB205&gt;=0,AC205&gt;=0,AB205&lt;=0.95,AC205&lt;=0.95,ISNUMBER(D205),D205&gt;0,'Steel Beam Design'!$A$18="",C205="UC")</f>
        <v>0</v>
      </c>
      <c r="AE205" s="84">
        <f>'Steel Beam Design'!O27</f>
        <v>278.12499999999994</v>
      </c>
    </row>
    <row r="206" spans="1:31">
      <c r="A206" s="1" t="s">
        <v>443</v>
      </c>
      <c r="B206" s="1" t="str">
        <f>'Section Data'!B102</f>
        <v>203x133x30</v>
      </c>
      <c r="C206" s="1" t="s">
        <v>368</v>
      </c>
      <c r="D206" s="84">
        <f>'Section Data'!C102</f>
        <v>30</v>
      </c>
      <c r="E206" s="84">
        <f>'Section Data'!Q102</f>
        <v>2896</v>
      </c>
      <c r="F206" s="84">
        <f>'Steel Beam Design'!D7043</f>
        <v>173.82812499999994</v>
      </c>
      <c r="G206" s="84">
        <f>'Steel Beam Design'!D7067</f>
        <v>4083.1881533101036</v>
      </c>
      <c r="H206" s="84" t="str">
        <f>IF(TRIM($B206)="","",IFERROR('Steel Beam Design'!$D$7006,""))</f>
        <v>S355</v>
      </c>
      <c r="I206" s="84">
        <f>IF(TRIM($B206)="","",IFERROR(MAX(VLOOKUP($B206,'Section Data'!$B$36:$AC$107,5,FALSE),VLOOKUP($B206,'Section Data'!$B$36:$AC$107,6,FALSE)),""))</f>
        <v>9.6</v>
      </c>
      <c r="J206" s="84">
        <f>IF(TRIM($B206)="","",IFERROR(IF(I206&gt;150,"",INDEX('Section Data'!$AH$5:$AK$10,IF(I206&lt;=16,1,IF(I206&lt;=40,2,IF(I206&lt;=63,3,IF(I206&lt;=80,4,IF(I206&lt;=100,5,6))))),MATCH(H206,'Section Data'!$AH$4:$AK$4,0))),""))</f>
        <v>355</v>
      </c>
      <c r="K206" s="84">
        <f t="shared" si="27"/>
        <v>0.88014083380101371</v>
      </c>
      <c r="L206" s="84">
        <f>IF(TRIM($B206)="","",IFERROR(VLOOKUP($B206,'Section Data'!$B$36:$AC$107,9,FALSE),""))</f>
        <v>6.97</v>
      </c>
      <c r="M206" s="84">
        <f>IF(TRIM($B206)="","",IFERROR(VLOOKUP($B206,'Section Data'!$B$36:$AC$107,10,FALSE),""))</f>
        <v>26.9</v>
      </c>
      <c r="N206" s="84">
        <f t="shared" si="28"/>
        <v>8</v>
      </c>
      <c r="O206" s="84">
        <f t="shared" si="29"/>
        <v>80</v>
      </c>
      <c r="P206" s="84">
        <f>IF(TRIM($B206)="","",IFERROR(VLOOKUP($B206,'Section Data'!$B$36:$AC$107,5,FALSE)*VLOOKUP($B206,'Section Data'!$B$36:$AC$107,3,FALSE),""))</f>
        <v>1323.5200000000002</v>
      </c>
      <c r="Q206" s="84">
        <f t="shared" si="30"/>
        <v>271.2677930386381</v>
      </c>
      <c r="R206" s="84">
        <f>'Steel Beam Design'!B4511</f>
        <v>55.624999999999993</v>
      </c>
      <c r="S206" s="84">
        <f t="shared" si="31"/>
        <v>0</v>
      </c>
      <c r="T206" s="84">
        <f>IF(TRIM($B206)="","",IFERROR(VLOOKUP($B206,'Section Data'!$B$36:$AC$107,20,FALSE),""))</f>
        <v>280</v>
      </c>
      <c r="U206" s="84">
        <f>IF(TRIM($B206)="","",IFERROR(VLOOKUP($B206,'Section Data'!$B$36:$AC$107,21,FALSE),""))</f>
        <v>57.5</v>
      </c>
      <c r="V206" s="84">
        <f>IF(TRIM($B206)="","",IFERROR(VLOOKUP($B206,'Section Data'!$B$36:$AC$107,22,FALSE),""))</f>
        <v>314</v>
      </c>
      <c r="W206" s="84">
        <f>IF(TRIM($B206)="","",IFERROR(VLOOKUP($B206,'Section Data'!$B$36:$AC$107,23,FALSE),""))</f>
        <v>88.2</v>
      </c>
      <c r="X206" s="84">
        <f>IF(TRIM($B206)="","",IFERROR((VLOOKUP($B206,'Section Data'!$B$36:$AC$107,5,FALSE)/10)*(VLOOKUP($B206,'Section Data'!$B$36:$AC$107,3,FALSE)/10)^2/4,""))</f>
        <v>68.425984</v>
      </c>
      <c r="Y206" s="84">
        <f>IF(TRIM($B206)="","",IFERROR((VLOOKUP($B206,'Section Data'!$B$36:$AC$107,3,FALSE)/10)*(VLOOKUP($B206,'Section Data'!$B$36:$AC$107,5,FALSE)/10)^2/4,""))</f>
        <v>2.117632</v>
      </c>
      <c r="Z206" s="84">
        <f t="shared" si="32"/>
        <v>111.47</v>
      </c>
      <c r="AA206" s="84">
        <f t="shared" si="33"/>
        <v>24.495000000000001</v>
      </c>
      <c r="AB206" s="86">
        <f t="shared" si="34"/>
        <v>1.5594162106396334</v>
      </c>
      <c r="AC206" s="86">
        <f t="shared" si="35"/>
        <v>1.4099406606733784</v>
      </c>
      <c r="AD206" s="1" t="b">
        <f>AND(ISNUMBER(AB206),ISNUMBER(AC206),AB206&gt;=0,AC206&gt;=0,AB206&lt;=0.95,AC206&lt;=0.95,ISNUMBER(D206),D206&gt;0,'Steel Beam Design'!$A$18="",C206="UC")</f>
        <v>0</v>
      </c>
      <c r="AE206" s="84">
        <f>'Steel Beam Design'!O27</f>
        <v>278.12499999999994</v>
      </c>
    </row>
    <row r="207" spans="1:31">
      <c r="A207" s="1" t="s">
        <v>443</v>
      </c>
      <c r="B207" s="1" t="str">
        <f>'Section Data'!B103</f>
        <v>203x133x25</v>
      </c>
      <c r="C207" s="1" t="s">
        <v>368</v>
      </c>
      <c r="D207" s="84">
        <f>'Section Data'!C103</f>
        <v>25.1</v>
      </c>
      <c r="E207" s="84">
        <f>'Section Data'!Q103</f>
        <v>2340</v>
      </c>
      <c r="F207" s="84">
        <f>'Steel Beam Design'!D7043</f>
        <v>173.82812499999994</v>
      </c>
      <c r="G207" s="84">
        <f>'Steel Beam Design'!D7067</f>
        <v>4083.1881533101036</v>
      </c>
      <c r="H207" s="84" t="str">
        <f>IF(TRIM($B207)="","",IFERROR('Steel Beam Design'!$D$7006,""))</f>
        <v>S355</v>
      </c>
      <c r="I207" s="84">
        <f>IF(TRIM($B207)="","",IFERROR(MAX(VLOOKUP($B207,'Section Data'!$B$36:$AC$107,5,FALSE),VLOOKUP($B207,'Section Data'!$B$36:$AC$107,6,FALSE)),""))</f>
        <v>7.8</v>
      </c>
      <c r="J207" s="84">
        <f>IF(TRIM($B207)="","",IFERROR(IF(I207&gt;150,"",INDEX('Section Data'!$AH$5:$AK$10,IF(I207&lt;=16,1,IF(I207&lt;=40,2,IF(I207&lt;=63,3,IF(I207&lt;=80,4,IF(I207&lt;=100,5,6))))),MATCH(H207,'Section Data'!$AH$4:$AK$4,0))),""))</f>
        <v>355</v>
      </c>
      <c r="K207" s="84">
        <f t="shared" si="27"/>
        <v>0.88014083380101371</v>
      </c>
      <c r="L207" s="84">
        <f>IF(TRIM($B207)="","",IFERROR(VLOOKUP($B207,'Section Data'!$B$36:$AC$107,9,FALSE),""))</f>
        <v>8.5399999999999991</v>
      </c>
      <c r="M207" s="84">
        <f>IF(TRIM($B207)="","",IFERROR(VLOOKUP($B207,'Section Data'!$B$36:$AC$107,10,FALSE),""))</f>
        <v>30.2</v>
      </c>
      <c r="N207" s="84">
        <f t="shared" si="28"/>
        <v>13</v>
      </c>
      <c r="O207" s="84">
        <f t="shared" si="29"/>
        <v>80</v>
      </c>
      <c r="P207" s="84">
        <f>IF(TRIM($B207)="","",IFERROR(VLOOKUP($B207,'Section Data'!$B$36:$AC$107,5,FALSE)*VLOOKUP($B207,'Section Data'!$B$36:$AC$107,3,FALSE),""))</f>
        <v>1158.24</v>
      </c>
      <c r="Q207" s="84">
        <f t="shared" si="30"/>
        <v>237.39211240409824</v>
      </c>
      <c r="R207" s="84">
        <f>'Steel Beam Design'!B4511</f>
        <v>55.624999999999993</v>
      </c>
      <c r="S207" s="84">
        <f t="shared" si="31"/>
        <v>0</v>
      </c>
      <c r="T207" s="84">
        <f>IF(TRIM($B207)="","",IFERROR(VLOOKUP($B207,'Section Data'!$B$36:$AC$107,20,FALSE),""))</f>
        <v>230</v>
      </c>
      <c r="U207" s="84">
        <f>IF(TRIM($B207)="","",IFERROR(VLOOKUP($B207,'Section Data'!$B$36:$AC$107,21,FALSE),""))</f>
        <v>46.2</v>
      </c>
      <c r="V207" s="84">
        <f>IF(TRIM($B207)="","",IFERROR(VLOOKUP($B207,'Section Data'!$B$36:$AC$107,22,FALSE),""))</f>
        <v>258</v>
      </c>
      <c r="W207" s="84">
        <f>IF(TRIM($B207)="","",IFERROR(VLOOKUP($B207,'Section Data'!$B$36:$AC$107,23,FALSE),""))</f>
        <v>70.900000000000006</v>
      </c>
      <c r="X207" s="84">
        <f>IF(TRIM($B207)="","",IFERROR((VLOOKUP($B207,'Section Data'!$B$36:$AC$107,5,FALSE)/10)*(VLOOKUP($B207,'Section Data'!$B$36:$AC$107,3,FALSE)/10)^2/4,""))</f>
        <v>58.838592000000006</v>
      </c>
      <c r="Y207" s="84">
        <f>IF(TRIM($B207)="","",IFERROR((VLOOKUP($B207,'Section Data'!$B$36:$AC$107,3,FALSE)/10)*(VLOOKUP($B207,'Section Data'!$B$36:$AC$107,5,FALSE)/10)^2/4,""))</f>
        <v>1.6504920000000005</v>
      </c>
      <c r="Z207" s="84">
        <f t="shared" si="32"/>
        <v>81.650000000000006</v>
      </c>
      <c r="AA207" s="84">
        <f t="shared" si="33"/>
        <v>16.401</v>
      </c>
      <c r="AB207" s="86">
        <f t="shared" si="34"/>
        <v>2.1289421310471517</v>
      </c>
      <c r="AC207" s="86">
        <f t="shared" si="35"/>
        <v>1.7449522022692752</v>
      </c>
      <c r="AD207" s="1" t="b">
        <f>AND(ISNUMBER(AB207),ISNUMBER(AC207),AB207&gt;=0,AC207&gt;=0,AB207&lt;=0.95,AC207&lt;=0.95,ISNUMBER(D207),D207&gt;0,'Steel Beam Design'!$A$18="",C207="UC")</f>
        <v>0</v>
      </c>
      <c r="AE207" s="84">
        <f>'Steel Beam Design'!O27</f>
        <v>278.12499999999994</v>
      </c>
    </row>
    <row r="208" spans="1:31">
      <c r="A208" s="1" t="s">
        <v>443</v>
      </c>
      <c r="B208" s="1" t="str">
        <f>'Section Data'!B104</f>
        <v>203x102x23</v>
      </c>
      <c r="C208" s="1" t="s">
        <v>368</v>
      </c>
      <c r="D208" s="84">
        <f>'Section Data'!C104</f>
        <v>23.1</v>
      </c>
      <c r="E208" s="84">
        <f>'Section Data'!Q104</f>
        <v>2105</v>
      </c>
      <c r="F208" s="84">
        <f>'Steel Beam Design'!D7043</f>
        <v>173.82812499999994</v>
      </c>
      <c r="G208" s="84">
        <f>'Steel Beam Design'!D7067</f>
        <v>4083.1881533101036</v>
      </c>
      <c r="H208" s="84" t="str">
        <f>IF(TRIM($B208)="","",IFERROR('Steel Beam Design'!$D$7006,""))</f>
        <v>S355</v>
      </c>
      <c r="I208" s="84">
        <f>IF(TRIM($B208)="","",IFERROR(MAX(VLOOKUP($B208,'Section Data'!$B$36:$AC$107,5,FALSE),VLOOKUP($B208,'Section Data'!$B$36:$AC$107,6,FALSE)),""))</f>
        <v>9.3000000000000007</v>
      </c>
      <c r="J208" s="84">
        <f>IF(TRIM($B208)="","",IFERROR(IF(I208&gt;150,"",INDEX('Section Data'!$AH$5:$AK$10,IF(I208&lt;=16,1,IF(I208&lt;=40,2,IF(I208&lt;=63,3,IF(I208&lt;=80,4,IF(I208&lt;=100,5,6))))),MATCH(H208,'Section Data'!$AH$4:$AK$4,0))),""))</f>
        <v>355</v>
      </c>
      <c r="K208" s="84">
        <f t="shared" si="27"/>
        <v>0.88014083380101371</v>
      </c>
      <c r="L208" s="84">
        <f>IF(TRIM($B208)="","",IFERROR(VLOOKUP($B208,'Section Data'!$B$36:$AC$107,9,FALSE),""))</f>
        <v>5.47</v>
      </c>
      <c r="M208" s="84">
        <f>IF(TRIM($B208)="","",IFERROR(VLOOKUP($B208,'Section Data'!$B$36:$AC$107,10,FALSE),""))</f>
        <v>31.4</v>
      </c>
      <c r="N208" s="84">
        <f t="shared" si="28"/>
        <v>8</v>
      </c>
      <c r="O208" s="84">
        <f t="shared" si="29"/>
        <v>80</v>
      </c>
      <c r="P208" s="84">
        <f>IF(TRIM($B208)="","",IFERROR(VLOOKUP($B208,'Section Data'!$B$36:$AC$107,5,FALSE)*VLOOKUP($B208,'Section Data'!$B$36:$AC$107,3,FALSE),""))</f>
        <v>1097.28</v>
      </c>
      <c r="Q208" s="84">
        <f t="shared" si="30"/>
        <v>224.89779069861936</v>
      </c>
      <c r="R208" s="84">
        <f>'Steel Beam Design'!B4511</f>
        <v>55.624999999999993</v>
      </c>
      <c r="S208" s="84">
        <f t="shared" si="31"/>
        <v>0</v>
      </c>
      <c r="T208" s="84">
        <f>IF(TRIM($B208)="","",IFERROR(VLOOKUP($B208,'Section Data'!$B$36:$AC$107,20,FALSE),""))</f>
        <v>207</v>
      </c>
      <c r="U208" s="84">
        <f>IF(TRIM($B208)="","",IFERROR(VLOOKUP($B208,'Section Data'!$B$36:$AC$107,21,FALSE),""))</f>
        <v>32.200000000000003</v>
      </c>
      <c r="V208" s="84">
        <f>IF(TRIM($B208)="","",IFERROR(VLOOKUP($B208,'Section Data'!$B$36:$AC$107,22,FALSE),""))</f>
        <v>234</v>
      </c>
      <c r="W208" s="84">
        <f>IF(TRIM($B208)="","",IFERROR(VLOOKUP($B208,'Section Data'!$B$36:$AC$107,23,FALSE),""))</f>
        <v>49.8</v>
      </c>
      <c r="X208" s="84">
        <f>IF(TRIM($B208)="","",IFERROR((VLOOKUP($B208,'Section Data'!$B$36:$AC$107,5,FALSE)/10)*(VLOOKUP($B208,'Section Data'!$B$36:$AC$107,3,FALSE)/10)^2/4,""))</f>
        <v>55.741824000000001</v>
      </c>
      <c r="Y208" s="84">
        <f>IF(TRIM($B208)="","",IFERROR((VLOOKUP($B208,'Section Data'!$B$36:$AC$107,3,FALSE)/10)*(VLOOKUP($B208,'Section Data'!$B$36:$AC$107,5,FALSE)/10)^2/4,""))</f>
        <v>1.4813280000000002</v>
      </c>
      <c r="Z208" s="84">
        <f t="shared" si="32"/>
        <v>83.07</v>
      </c>
      <c r="AA208" s="84">
        <f t="shared" si="33"/>
        <v>13.7172</v>
      </c>
      <c r="AB208" s="86">
        <f t="shared" si="34"/>
        <v>2.0925499578668587</v>
      </c>
      <c r="AC208" s="86">
        <f t="shared" si="35"/>
        <v>1.9397568424276026</v>
      </c>
      <c r="AD208" s="1" t="b">
        <f>AND(ISNUMBER(AB208),ISNUMBER(AC208),AB208&gt;=0,AC208&gt;=0,AB208&lt;=0.95,AC208&lt;=0.95,ISNUMBER(D208),D208&gt;0,'Steel Beam Design'!$A$18="",C208="UC")</f>
        <v>0</v>
      </c>
      <c r="AE208" s="84">
        <f>'Steel Beam Design'!O27</f>
        <v>278.12499999999994</v>
      </c>
    </row>
    <row r="209" spans="1:31">
      <c r="A209" s="1" t="s">
        <v>443</v>
      </c>
      <c r="B209" s="1" t="str">
        <f>'Section Data'!B105</f>
        <v>178x102x19</v>
      </c>
      <c r="C209" s="1" t="s">
        <v>368</v>
      </c>
      <c r="D209" s="84">
        <f>'Section Data'!C105</f>
        <v>19</v>
      </c>
      <c r="E209" s="84">
        <f>'Section Data'!Q105</f>
        <v>1356</v>
      </c>
      <c r="F209" s="84">
        <f>'Steel Beam Design'!D7043</f>
        <v>173.82812499999994</v>
      </c>
      <c r="G209" s="84">
        <f>'Steel Beam Design'!D7067</f>
        <v>4083.1881533101036</v>
      </c>
      <c r="H209" s="84" t="str">
        <f>IF(TRIM($B209)="","",IFERROR('Steel Beam Design'!$D$7006,""))</f>
        <v>S355</v>
      </c>
      <c r="I209" s="84">
        <f>IF(TRIM($B209)="","",IFERROR(MAX(VLOOKUP($B209,'Section Data'!$B$36:$AC$107,5,FALSE),VLOOKUP($B209,'Section Data'!$B$36:$AC$107,6,FALSE)),""))</f>
        <v>7.9</v>
      </c>
      <c r="J209" s="84">
        <f>IF(TRIM($B209)="","",IFERROR(IF(I209&gt;150,"",INDEX('Section Data'!$AH$5:$AK$10,IF(I209&lt;=16,1,IF(I209&lt;=40,2,IF(I209&lt;=63,3,IF(I209&lt;=80,4,IF(I209&lt;=100,5,6))))),MATCH(H209,'Section Data'!$AH$4:$AK$4,0))),""))</f>
        <v>355</v>
      </c>
      <c r="K209" s="84">
        <f t="shared" si="27"/>
        <v>0.88014083380101371</v>
      </c>
      <c r="L209" s="84">
        <f>IF(TRIM($B209)="","",IFERROR(VLOOKUP($B209,'Section Data'!$B$36:$AC$107,9,FALSE),""))</f>
        <v>6.41</v>
      </c>
      <c r="M209" s="84">
        <f>IF(TRIM($B209)="","",IFERROR(VLOOKUP($B209,'Section Data'!$B$36:$AC$107,10,FALSE),""))</f>
        <v>30.6</v>
      </c>
      <c r="N209" s="84">
        <f t="shared" si="28"/>
        <v>8</v>
      </c>
      <c r="O209" s="84">
        <f t="shared" si="29"/>
        <v>80</v>
      </c>
      <c r="P209" s="84">
        <f>IF(TRIM($B209)="","",IFERROR(VLOOKUP($B209,'Section Data'!$B$36:$AC$107,5,FALSE)*VLOOKUP($B209,'Section Data'!$B$36:$AC$107,3,FALSE),""))</f>
        <v>853.44</v>
      </c>
      <c r="Q209" s="84">
        <f t="shared" si="30"/>
        <v>174.92050387670398</v>
      </c>
      <c r="R209" s="84">
        <f>'Steel Beam Design'!B4511</f>
        <v>55.624999999999993</v>
      </c>
      <c r="S209" s="84">
        <f t="shared" si="31"/>
        <v>0</v>
      </c>
      <c r="T209" s="84">
        <f>IF(TRIM($B209)="","",IFERROR(VLOOKUP($B209,'Section Data'!$B$36:$AC$107,20,FALSE),""))</f>
        <v>153</v>
      </c>
      <c r="U209" s="84">
        <f>IF(TRIM($B209)="","",IFERROR(VLOOKUP($B209,'Section Data'!$B$36:$AC$107,21,FALSE),""))</f>
        <v>27</v>
      </c>
      <c r="V209" s="84">
        <f>IF(TRIM($B209)="","",IFERROR(VLOOKUP($B209,'Section Data'!$B$36:$AC$107,22,FALSE),""))</f>
        <v>171</v>
      </c>
      <c r="W209" s="84">
        <f>IF(TRIM($B209)="","",IFERROR(VLOOKUP($B209,'Section Data'!$B$36:$AC$107,23,FALSE),""))</f>
        <v>41.6</v>
      </c>
      <c r="X209" s="84">
        <f>IF(TRIM($B209)="","",IFERROR((VLOOKUP($B209,'Section Data'!$B$36:$AC$107,5,FALSE)/10)*(VLOOKUP($B209,'Section Data'!$B$36:$AC$107,3,FALSE)/10)^2/4,""))</f>
        <v>37.935408000000002</v>
      </c>
      <c r="Y209" s="84">
        <f>IF(TRIM($B209)="","",IFERROR((VLOOKUP($B209,'Section Data'!$B$36:$AC$107,3,FALSE)/10)*(VLOOKUP($B209,'Section Data'!$B$36:$AC$107,5,FALSE)/10)^2/4,""))</f>
        <v>1.0241279999999999</v>
      </c>
      <c r="Z209" s="84">
        <f t="shared" si="32"/>
        <v>60.704999999999998</v>
      </c>
      <c r="AA209" s="84">
        <f t="shared" si="33"/>
        <v>11.502000000000001</v>
      </c>
      <c r="AB209" s="86">
        <f t="shared" si="34"/>
        <v>2.8634894160283331</v>
      </c>
      <c r="AC209" s="86">
        <f t="shared" si="35"/>
        <v>3.0112007030310499</v>
      </c>
      <c r="AD209" s="1" t="b">
        <f>AND(ISNUMBER(AB209),ISNUMBER(AC209),AB209&gt;=0,AC209&gt;=0,AB209&lt;=0.95,AC209&lt;=0.95,ISNUMBER(D209),D209&gt;0,'Steel Beam Design'!$A$18="",C209="UC")</f>
        <v>0</v>
      </c>
      <c r="AE209" s="84">
        <f>'Steel Beam Design'!O27</f>
        <v>278.12499999999994</v>
      </c>
    </row>
    <row r="210" spans="1:31">
      <c r="A210" s="1" t="s">
        <v>443</v>
      </c>
      <c r="B210" s="1" t="str">
        <f>'Section Data'!B106</f>
        <v>152x89x16</v>
      </c>
      <c r="C210" s="1" t="s">
        <v>368</v>
      </c>
      <c r="D210" s="84">
        <f>'Section Data'!C106</f>
        <v>16</v>
      </c>
      <c r="E210" s="84">
        <f>'Section Data'!Q106</f>
        <v>834</v>
      </c>
      <c r="F210" s="84">
        <f>'Steel Beam Design'!D7043</f>
        <v>173.82812499999994</v>
      </c>
      <c r="G210" s="84">
        <f>'Steel Beam Design'!D7067</f>
        <v>4083.1881533101036</v>
      </c>
      <c r="H210" s="84" t="str">
        <f>IF(TRIM($B210)="","",IFERROR('Steel Beam Design'!$D$7006,""))</f>
        <v>S355</v>
      </c>
      <c r="I210" s="84">
        <f>IF(TRIM($B210)="","",IFERROR(MAX(VLOOKUP($B210,'Section Data'!$B$36:$AC$107,5,FALSE),VLOOKUP($B210,'Section Data'!$B$36:$AC$107,6,FALSE)),""))</f>
        <v>7.7</v>
      </c>
      <c r="J210" s="84">
        <f>IF(TRIM($B210)="","",IFERROR(IF(I210&gt;150,"",INDEX('Section Data'!$AH$5:$AK$10,IF(I210&lt;=16,1,IF(I210&lt;=40,2,IF(I210&lt;=63,3,IF(I210&lt;=80,4,IF(I210&lt;=100,5,6))))),MATCH(H210,'Section Data'!$AH$4:$AK$4,0))),""))</f>
        <v>355</v>
      </c>
      <c r="K210" s="84">
        <f t="shared" si="27"/>
        <v>0.88014083380101371</v>
      </c>
      <c r="L210" s="84">
        <f>IF(TRIM($B210)="","",IFERROR(VLOOKUP($B210,'Section Data'!$B$36:$AC$107,9,FALSE),""))</f>
        <v>5.76</v>
      </c>
      <c r="M210" s="84">
        <f>IF(TRIM($B210)="","",IFERROR(VLOOKUP($B210,'Section Data'!$B$36:$AC$107,10,FALSE),""))</f>
        <v>27.1</v>
      </c>
      <c r="N210" s="84">
        <f t="shared" si="28"/>
        <v>8</v>
      </c>
      <c r="O210" s="84">
        <f t="shared" si="29"/>
        <v>80</v>
      </c>
      <c r="P210" s="84">
        <f>IF(TRIM($B210)="","",IFERROR(VLOOKUP($B210,'Section Data'!$B$36:$AC$107,5,FALSE)*VLOOKUP($B210,'Section Data'!$B$36:$AC$107,3,FALSE),""))</f>
        <v>685.80000000000007</v>
      </c>
      <c r="Q210" s="84">
        <f t="shared" si="30"/>
        <v>140.56111918663714</v>
      </c>
      <c r="R210" s="84">
        <f>'Steel Beam Design'!B4511</f>
        <v>55.624999999999993</v>
      </c>
      <c r="S210" s="84">
        <f t="shared" si="31"/>
        <v>0</v>
      </c>
      <c r="T210" s="84">
        <f>IF(TRIM($B210)="","",IFERROR(VLOOKUP($B210,'Section Data'!$B$36:$AC$107,20,FALSE),""))</f>
        <v>109</v>
      </c>
      <c r="U210" s="84">
        <f>IF(TRIM($B210)="","",IFERROR(VLOOKUP($B210,'Section Data'!$B$36:$AC$107,21,FALSE),""))</f>
        <v>20.2</v>
      </c>
      <c r="V210" s="84">
        <f>IF(TRIM($B210)="","",IFERROR(VLOOKUP($B210,'Section Data'!$B$36:$AC$107,22,FALSE),""))</f>
        <v>123</v>
      </c>
      <c r="W210" s="84">
        <f>IF(TRIM($B210)="","",IFERROR(VLOOKUP($B210,'Section Data'!$B$36:$AC$107,23,FALSE),""))</f>
        <v>31.2</v>
      </c>
      <c r="X210" s="84">
        <f>IF(TRIM($B210)="","",IFERROR((VLOOKUP($B210,'Section Data'!$B$36:$AC$107,5,FALSE)/10)*(VLOOKUP($B210,'Section Data'!$B$36:$AC$107,3,FALSE)/10)^2/4,""))</f>
        <v>26.128979999999999</v>
      </c>
      <c r="Y210" s="84">
        <f>IF(TRIM($B210)="","",IFERROR((VLOOKUP($B210,'Section Data'!$B$36:$AC$107,3,FALSE)/10)*(VLOOKUP($B210,'Section Data'!$B$36:$AC$107,5,FALSE)/10)^2/4,""))</f>
        <v>0.77152500000000002</v>
      </c>
      <c r="Z210" s="84">
        <f t="shared" si="32"/>
        <v>43.664999999999999</v>
      </c>
      <c r="AA210" s="84">
        <f t="shared" si="33"/>
        <v>8.6051999999999982</v>
      </c>
      <c r="AB210" s="86">
        <f t="shared" si="34"/>
        <v>3.9809487003320725</v>
      </c>
      <c r="AC210" s="86">
        <f t="shared" si="35"/>
        <v>4.8959090567267429</v>
      </c>
      <c r="AD210" s="1" t="b">
        <f>AND(ISNUMBER(AB210),ISNUMBER(AC210),AB210&gt;=0,AC210&gt;=0,AB210&lt;=0.95,AC210&lt;=0.95,ISNUMBER(D210),D210&gt;0,'Steel Beam Design'!$A$18="",C210="UC")</f>
        <v>0</v>
      </c>
      <c r="AE210" s="84">
        <f>'Steel Beam Design'!O27</f>
        <v>278.12499999999994</v>
      </c>
    </row>
    <row r="211" spans="1:31">
      <c r="A211" s="1" t="s">
        <v>443</v>
      </c>
      <c r="B211" s="1" t="str">
        <f>'Section Data'!B107</f>
        <v>127x76x13</v>
      </c>
      <c r="C211" s="1" t="s">
        <v>368</v>
      </c>
      <c r="D211" s="84">
        <f>'Section Data'!C107</f>
        <v>13</v>
      </c>
      <c r="E211" s="84">
        <f>'Section Data'!Q107</f>
        <v>473</v>
      </c>
      <c r="F211" s="84">
        <f>'Steel Beam Design'!D7043</f>
        <v>173.82812499999994</v>
      </c>
      <c r="G211" s="84">
        <f>'Steel Beam Design'!D7067</f>
        <v>4083.1881533101036</v>
      </c>
      <c r="H211" s="84" t="str">
        <f>IF(TRIM($B211)="","",IFERROR('Steel Beam Design'!$D$7006,""))</f>
        <v>S355</v>
      </c>
      <c r="I211" s="84">
        <f>IF(TRIM($B211)="","",IFERROR(MAX(VLOOKUP($B211,'Section Data'!$B$36:$AC$107,5,FALSE),VLOOKUP($B211,'Section Data'!$B$36:$AC$107,6,FALSE)),""))</f>
        <v>7.6</v>
      </c>
      <c r="J211" s="84">
        <f>IF(TRIM($B211)="","",IFERROR(IF(I211&gt;150,"",INDEX('Section Data'!$AH$5:$AK$10,IF(I211&lt;=16,1,IF(I211&lt;=40,2,IF(I211&lt;=63,3,IF(I211&lt;=80,4,IF(I211&lt;=100,5,6))))),MATCH(H211,'Section Data'!$AH$4:$AK$4,0))),""))</f>
        <v>355</v>
      </c>
      <c r="K211" s="84">
        <f t="shared" si="27"/>
        <v>0.88014083380101371</v>
      </c>
      <c r="L211" s="84">
        <f>IF(TRIM($B211)="","",IFERROR(VLOOKUP($B211,'Section Data'!$B$36:$AC$107,9,FALSE),""))</f>
        <v>5</v>
      </c>
      <c r="M211" s="84">
        <f>IF(TRIM($B211)="","",IFERROR(VLOOKUP($B211,'Section Data'!$B$36:$AC$107,10,FALSE),""))</f>
        <v>24.2</v>
      </c>
      <c r="N211" s="84">
        <f t="shared" si="28"/>
        <v>8</v>
      </c>
      <c r="O211" s="84">
        <f t="shared" si="29"/>
        <v>80</v>
      </c>
      <c r="P211" s="84">
        <f>IF(TRIM($B211)="","",IFERROR(VLOOKUP($B211,'Section Data'!$B$36:$AC$107,5,FALSE)*VLOOKUP($B211,'Section Data'!$B$36:$AC$107,3,FALSE),""))</f>
        <v>508</v>
      </c>
      <c r="Q211" s="84">
        <f t="shared" si="30"/>
        <v>104.11934754565712</v>
      </c>
      <c r="R211" s="84">
        <f>'Steel Beam Design'!B4511</f>
        <v>55.624999999999993</v>
      </c>
      <c r="S211" s="84">
        <f t="shared" si="31"/>
        <v>0</v>
      </c>
      <c r="T211" s="84">
        <f>IF(TRIM($B211)="","",IFERROR(VLOOKUP($B211,'Section Data'!$B$36:$AC$107,20,FALSE),""))</f>
        <v>74.599999999999994</v>
      </c>
      <c r="U211" s="84">
        <f>IF(TRIM($B211)="","",IFERROR(VLOOKUP($B211,'Section Data'!$B$36:$AC$107,21,FALSE),""))</f>
        <v>14.7</v>
      </c>
      <c r="V211" s="84">
        <f>IF(TRIM($B211)="","",IFERROR(VLOOKUP($B211,'Section Data'!$B$36:$AC$107,22,FALSE),""))</f>
        <v>84.2</v>
      </c>
      <c r="W211" s="84">
        <f>IF(TRIM($B211)="","",IFERROR(VLOOKUP($B211,'Section Data'!$B$36:$AC$107,23,FALSE),""))</f>
        <v>22.6</v>
      </c>
      <c r="X211" s="84">
        <f>IF(TRIM($B211)="","",IFERROR((VLOOKUP($B211,'Section Data'!$B$36:$AC$107,5,FALSE)/10)*(VLOOKUP($B211,'Section Data'!$B$36:$AC$107,3,FALSE)/10)^2/4,""))</f>
        <v>16.129000000000001</v>
      </c>
      <c r="Y211" s="84">
        <f>IF(TRIM($B211)="","",IFERROR((VLOOKUP($B211,'Section Data'!$B$36:$AC$107,3,FALSE)/10)*(VLOOKUP($B211,'Section Data'!$B$36:$AC$107,5,FALSE)/10)^2/4,""))</f>
        <v>0.50800000000000012</v>
      </c>
      <c r="Z211" s="84">
        <f t="shared" si="32"/>
        <v>29.890999999999998</v>
      </c>
      <c r="AA211" s="84">
        <f t="shared" si="33"/>
        <v>6.2621999999999991</v>
      </c>
      <c r="AB211" s="86">
        <f t="shared" si="34"/>
        <v>5.8154001204375882</v>
      </c>
      <c r="AC211" s="86">
        <f t="shared" si="35"/>
        <v>8.632533093678866</v>
      </c>
      <c r="AD211" s="1" t="b">
        <f>AND(ISNUMBER(AB211),ISNUMBER(AC211),AB211&gt;=0,AC211&gt;=0,AB211&lt;=0.95,AC211&lt;=0.95,ISNUMBER(D211),D211&gt;0,'Steel Beam Design'!$A$18="",C211="UC")</f>
        <v>0</v>
      </c>
      <c r="AE211" s="84">
        <f>'Steel Beam Design'!O27</f>
        <v>278.12499999999994</v>
      </c>
    </row>
    <row r="212" spans="1:31">
      <c r="A212" s="1" t="s">
        <v>480</v>
      </c>
      <c r="B212" s="1" t="str">
        <f>'Section Data'!B5</f>
        <v>356x406x634</v>
      </c>
      <c r="C212" s="1" t="s">
        <v>367</v>
      </c>
      <c r="D212" s="84">
        <f>'Section Data'!C5</f>
        <v>633.9</v>
      </c>
      <c r="E212" s="84">
        <f>'Section Data'!Q5</f>
        <v>274800</v>
      </c>
      <c r="F212" s="84" t="str">
        <f>'Steel Beam Design'!O56</f>
        <v/>
      </c>
      <c r="G212" s="84" t="str">
        <f>'Steel Beam Design'!O80</f>
        <v/>
      </c>
      <c r="H212" s="84" t="str">
        <f>IF(TRIM($B212)="","",IFERROR('Steel Beam Design'!$D$7006,""))</f>
        <v>S355</v>
      </c>
      <c r="I212" s="84">
        <f>IF(TRIM($B212)="","",IFERROR(MAX(VLOOKUP($B212,'Section Data'!$B$5:$AC$35,5,FALSE),VLOOKUP($B212,'Section Data'!$B$5:$AC$35,6,FALSE)),""))</f>
        <v>77</v>
      </c>
      <c r="J212" s="84">
        <f>IF(TRIM($B212)="","",IFERROR(IF(I212&gt;150,"",INDEX('Section Data'!$AH$5:$AK$10,IF(I212&lt;=16,1,IF(I212&lt;=40,2,IF(I212&lt;=63,3,IF(I212&lt;=80,4,IF(I212&lt;=100,5,6))))),MATCH(H212,'Section Data'!$AH$4:$AK$4,0))),""))</f>
        <v>325</v>
      </c>
      <c r="K212" s="84">
        <f t="shared" si="27"/>
        <v>0.91986621100779986</v>
      </c>
      <c r="L212" s="84">
        <f>IF(TRIM($B212)="","",IFERROR(VLOOKUP($B212,'Section Data'!$B$5:$AC$35,9,FALSE),""))</f>
        <v>2.75</v>
      </c>
      <c r="M212" s="84">
        <f>IF(TRIM($B212)="","",IFERROR(VLOOKUP($B212,'Section Data'!$B$5:$AC$35,10,FALSE),""))</f>
        <v>6.1</v>
      </c>
      <c r="N212" s="84">
        <f t="shared" si="28"/>
        <v>8</v>
      </c>
      <c r="O212" s="84">
        <f t="shared" si="29"/>
        <v>80</v>
      </c>
      <c r="P212" s="84">
        <f>IF(TRIM($B212)="","",IFERROR(VLOOKUP($B212,'Section Data'!$B$5:$AC$35,5,FALSE)*VLOOKUP($B212,'Section Data'!$B$5:$AC$35,3,FALSE),""))</f>
        <v>22590.960000000003</v>
      </c>
      <c r="Q212" s="84">
        <f t="shared" si="30"/>
        <v>4238.9414721069234</v>
      </c>
      <c r="R212" s="84">
        <f>'Steel Beam Design'!H2064</f>
        <v>0</v>
      </c>
      <c r="S212" s="84">
        <f t="shared" si="31"/>
        <v>0</v>
      </c>
      <c r="T212" s="84">
        <f>IF(TRIM($B212)="","",IFERROR(VLOOKUP($B212,'Section Data'!$B$5:$AC$35,20,FALSE),""))</f>
        <v>11580</v>
      </c>
      <c r="U212" s="84">
        <f>IF(TRIM($B212)="","",IFERROR(VLOOKUP($B212,'Section Data'!$B$5:$AC$35,21,FALSE),""))</f>
        <v>4629</v>
      </c>
      <c r="V212" s="84">
        <f>IF(TRIM($B212)="","",IFERROR(VLOOKUP($B212,'Section Data'!$B$5:$AC$35,22,FALSE),""))</f>
        <v>14240</v>
      </c>
      <c r="W212" s="84">
        <f>IF(TRIM($B212)="","",IFERROR(VLOOKUP($B212,'Section Data'!$B$5:$AC$35,23,FALSE),""))</f>
        <v>7108</v>
      </c>
      <c r="X212" s="84">
        <f>IF(TRIM($B212)="","",IFERROR((VLOOKUP($B212,'Section Data'!$B$5:$AC$35,5,FALSE)/10)*(VLOOKUP($B212,'Section Data'!$B$5:$AC$35,3,FALSE)/10)^2/4,""))</f>
        <v>2680.4174039999998</v>
      </c>
      <c r="Y212" s="84">
        <f>IF(TRIM($B212)="","",IFERROR((VLOOKUP($B212,'Section Data'!$B$5:$AC$35,3,FALSE)/10)*(VLOOKUP($B212,'Section Data'!$B$5:$AC$35,5,FALSE)/10)^2/4,""))</f>
        <v>268.832424</v>
      </c>
      <c r="Z212" s="84">
        <f t="shared" si="32"/>
        <v>4516.2</v>
      </c>
      <c r="AA212" s="84">
        <f t="shared" si="33"/>
        <v>1805.31</v>
      </c>
      <c r="AB212" s="86" t="str">
        <f t="shared" si="34"/>
        <v/>
      </c>
      <c r="AC212" s="86" t="str">
        <f t="shared" si="35"/>
        <v/>
      </c>
      <c r="AD212" s="1" t="b">
        <f>AND(ISNUMBER(AB212),ISNUMBER(AC212),AB212&gt;=0,AC212&gt;=0,AB212&lt;=0.95,AC212&lt;=0.95,ISNUMBER(D212),D212&gt;0,'Steel Beam Design'!$A$18="",C212="UC",'Steel Beam Design'!$B$3="Cantilever Supported")</f>
        <v>0</v>
      </c>
      <c r="AE212" s="1" t="str">
        <f>'Steel Beam Design'!O28</f>
        <v/>
      </c>
    </row>
    <row r="213" spans="1:31">
      <c r="A213" s="1" t="s">
        <v>480</v>
      </c>
      <c r="B213" s="1" t="str">
        <f>'Section Data'!B6</f>
        <v>356x406x551</v>
      </c>
      <c r="C213" s="1" t="s">
        <v>367</v>
      </c>
      <c r="D213" s="84">
        <f>'Section Data'!C6</f>
        <v>551</v>
      </c>
      <c r="E213" s="84">
        <f>'Section Data'!Q6</f>
        <v>226900</v>
      </c>
      <c r="F213" s="84" t="str">
        <f>'Steel Beam Design'!O56</f>
        <v/>
      </c>
      <c r="G213" s="84" t="str">
        <f>'Steel Beam Design'!O80</f>
        <v/>
      </c>
      <c r="H213" s="84" t="str">
        <f>IF(TRIM($B213)="","",IFERROR('Steel Beam Design'!$D$7006,""))</f>
        <v>S355</v>
      </c>
      <c r="I213" s="84">
        <f>IF(TRIM($B213)="","",IFERROR(MAX(VLOOKUP($B213,'Section Data'!$B$5:$AC$35,5,FALSE),VLOOKUP($B213,'Section Data'!$B$5:$AC$35,6,FALSE)),""))</f>
        <v>67.5</v>
      </c>
      <c r="J213" s="84">
        <f>IF(TRIM($B213)="","",IFERROR(IF(I213&gt;150,"",INDEX('Section Data'!$AH$5:$AK$10,IF(I213&lt;=16,1,IF(I213&lt;=40,2,IF(I213&lt;=63,3,IF(I213&lt;=80,4,IF(I213&lt;=100,5,6))))),MATCH(H213,'Section Data'!$AH$4:$AK$4,0))),""))</f>
        <v>325</v>
      </c>
      <c r="K213" s="84">
        <f t="shared" si="27"/>
        <v>0.91986621100779986</v>
      </c>
      <c r="L213" s="84">
        <f>IF(TRIM($B213)="","",IFERROR(VLOOKUP($B213,'Section Data'!$B$5:$AC$35,9,FALSE),""))</f>
        <v>3.1</v>
      </c>
      <c r="M213" s="84">
        <f>IF(TRIM($B213)="","",IFERROR(VLOOKUP($B213,'Section Data'!$B$5:$AC$35,10,FALSE),""))</f>
        <v>6.89</v>
      </c>
      <c r="N213" s="84">
        <f t="shared" si="28"/>
        <v>8</v>
      </c>
      <c r="O213" s="84">
        <f t="shared" si="29"/>
        <v>80</v>
      </c>
      <c r="P213" s="84">
        <f>IF(TRIM($B213)="","",IFERROR(VLOOKUP($B213,'Section Data'!$B$5:$AC$35,5,FALSE)*VLOOKUP($B213,'Section Data'!$B$5:$AC$35,3,FALSE),""))</f>
        <v>19180.760000000002</v>
      </c>
      <c r="Q213" s="84">
        <f t="shared" si="30"/>
        <v>3599.0555085100227</v>
      </c>
      <c r="R213" s="84">
        <f>'Steel Beam Design'!H2064</f>
        <v>0</v>
      </c>
      <c r="S213" s="84">
        <f t="shared" si="31"/>
        <v>0</v>
      </c>
      <c r="T213" s="84">
        <f>IF(TRIM($B213)="","",IFERROR(VLOOKUP($B213,'Section Data'!$B$5:$AC$35,20,FALSE),""))</f>
        <v>9962</v>
      </c>
      <c r="U213" s="84">
        <f>IF(TRIM($B213)="","",IFERROR(VLOOKUP($B213,'Section Data'!$B$5:$AC$35,21,FALSE),""))</f>
        <v>3951</v>
      </c>
      <c r="V213" s="84">
        <f>IF(TRIM($B213)="","",IFERROR(VLOOKUP($B213,'Section Data'!$B$5:$AC$35,22,FALSE),""))</f>
        <v>12080</v>
      </c>
      <c r="W213" s="84">
        <f>IF(TRIM($B213)="","",IFERROR(VLOOKUP($B213,'Section Data'!$B$5:$AC$35,23,FALSE),""))</f>
        <v>6058</v>
      </c>
      <c r="X213" s="84">
        <f>IF(TRIM($B213)="","",IFERROR((VLOOKUP($B213,'Section Data'!$B$5:$AC$35,5,FALSE)/10)*(VLOOKUP($B213,'Section Data'!$B$5:$AC$35,3,FALSE)/10)^2/4,""))</f>
        <v>2184.688564</v>
      </c>
      <c r="Y213" s="84">
        <f>IF(TRIM($B213)="","",IFERROR((VLOOKUP($B213,'Section Data'!$B$5:$AC$35,3,FALSE)/10)*(VLOOKUP($B213,'Section Data'!$B$5:$AC$35,5,FALSE)/10)^2/4,""))</f>
        <v>201.877499</v>
      </c>
      <c r="Z213" s="84">
        <f t="shared" si="32"/>
        <v>3885.18</v>
      </c>
      <c r="AA213" s="84">
        <f t="shared" si="33"/>
        <v>1540.89</v>
      </c>
      <c r="AB213" s="86" t="str">
        <f t="shared" si="34"/>
        <v/>
      </c>
      <c r="AC213" s="86" t="str">
        <f t="shared" si="35"/>
        <v/>
      </c>
      <c r="AD213" s="1" t="b">
        <f>AND(ISNUMBER(AB213),ISNUMBER(AC213),AB213&gt;=0,AC213&gt;=0,AB213&lt;=0.95,AC213&lt;=0.95,ISNUMBER(D213),D213&gt;0,'Steel Beam Design'!$A$18="",C213="UC",'Steel Beam Design'!$B$3="Cantilever Supported")</f>
        <v>0</v>
      </c>
      <c r="AE213" s="1" t="str">
        <f>'Steel Beam Design'!O28</f>
        <v/>
      </c>
    </row>
    <row r="214" spans="1:31">
      <c r="A214" s="1" t="s">
        <v>480</v>
      </c>
      <c r="B214" s="1" t="str">
        <f>'Section Data'!B7</f>
        <v>356x406x467</v>
      </c>
      <c r="C214" s="1" t="s">
        <v>367</v>
      </c>
      <c r="D214" s="84">
        <f>'Section Data'!C7</f>
        <v>467</v>
      </c>
      <c r="E214" s="84">
        <f>'Section Data'!Q7</f>
        <v>183000</v>
      </c>
      <c r="F214" s="84" t="str">
        <f>'Steel Beam Design'!O56</f>
        <v/>
      </c>
      <c r="G214" s="84" t="str">
        <f>'Steel Beam Design'!O80</f>
        <v/>
      </c>
      <c r="H214" s="84" t="str">
        <f>IF(TRIM($B214)="","",IFERROR('Steel Beam Design'!$D$7006,""))</f>
        <v>S355</v>
      </c>
      <c r="I214" s="84">
        <f>IF(TRIM($B214)="","",IFERROR(MAX(VLOOKUP($B214,'Section Data'!$B$5:$AC$35,5,FALSE),VLOOKUP($B214,'Section Data'!$B$5:$AC$35,6,FALSE)),""))</f>
        <v>58</v>
      </c>
      <c r="J214" s="84">
        <f>IF(TRIM($B214)="","",IFERROR(IF(I214&gt;150,"",INDEX('Section Data'!$AH$5:$AK$10,IF(I214&lt;=16,1,IF(I214&lt;=40,2,IF(I214&lt;=63,3,IF(I214&lt;=80,4,IF(I214&lt;=100,5,6))))),MATCH(H214,'Section Data'!$AH$4:$AK$4,0))),""))</f>
        <v>335</v>
      </c>
      <c r="K214" s="84">
        <f t="shared" si="27"/>
        <v>0.90603284840454856</v>
      </c>
      <c r="L214" s="84">
        <f>IF(TRIM($B214)="","",IFERROR(VLOOKUP($B214,'Section Data'!$B$5:$AC$35,9,FALSE),""))</f>
        <v>3.55</v>
      </c>
      <c r="M214" s="84">
        <f>IF(TRIM($B214)="","",IFERROR(VLOOKUP($B214,'Section Data'!$B$5:$AC$35,10,FALSE),""))</f>
        <v>8.11</v>
      </c>
      <c r="N214" s="84">
        <f t="shared" si="28"/>
        <v>8</v>
      </c>
      <c r="O214" s="84">
        <f t="shared" si="29"/>
        <v>80</v>
      </c>
      <c r="P214" s="84">
        <f>IF(TRIM($B214)="","",IFERROR(VLOOKUP($B214,'Section Data'!$B$5:$AC$35,5,FALSE)*VLOOKUP($B214,'Section Data'!$B$5:$AC$35,3,FALSE),""))</f>
        <v>15630.279999999999</v>
      </c>
      <c r="Q214" s="84">
        <f t="shared" si="30"/>
        <v>3023.08903244559</v>
      </c>
      <c r="R214" s="84">
        <f>'Steel Beam Design'!H2064</f>
        <v>0</v>
      </c>
      <c r="S214" s="84">
        <f t="shared" si="31"/>
        <v>0</v>
      </c>
      <c r="T214" s="84">
        <f>IF(TRIM($B214)="","",IFERROR(VLOOKUP($B214,'Section Data'!$B$5:$AC$35,20,FALSE),""))</f>
        <v>8383</v>
      </c>
      <c r="U214" s="84">
        <f>IF(TRIM($B214)="","",IFERROR(VLOOKUP($B214,'Section Data'!$B$5:$AC$35,21,FALSE),""))</f>
        <v>3291</v>
      </c>
      <c r="V214" s="84">
        <f>IF(TRIM($B214)="","",IFERROR(VLOOKUP($B214,'Section Data'!$B$5:$AC$35,22,FALSE),""))</f>
        <v>10000</v>
      </c>
      <c r="W214" s="84">
        <f>IF(TRIM($B214)="","",IFERROR(VLOOKUP($B214,'Section Data'!$B$5:$AC$35,23,FALSE),""))</f>
        <v>5034</v>
      </c>
      <c r="X214" s="84">
        <f>IF(TRIM($B214)="","",IFERROR((VLOOKUP($B214,'Section Data'!$B$5:$AC$35,5,FALSE)/10)*(VLOOKUP($B214,'Section Data'!$B$5:$AC$35,3,FALSE)/10)^2/4,""))</f>
        <v>1706.0450620000001</v>
      </c>
      <c r="Y214" s="84">
        <f>IF(TRIM($B214)="","",IFERROR((VLOOKUP($B214,'Section Data'!$B$5:$AC$35,3,FALSE)/10)*(VLOOKUP($B214,'Section Data'!$B$5:$AC$35,5,FALSE)/10)^2/4,""))</f>
        <v>139.89100599999998</v>
      </c>
      <c r="Z214" s="84">
        <f t="shared" si="32"/>
        <v>3350</v>
      </c>
      <c r="AA214" s="84">
        <f t="shared" si="33"/>
        <v>1322.982</v>
      </c>
      <c r="AB214" s="86" t="str">
        <f t="shared" si="34"/>
        <v/>
      </c>
      <c r="AC214" s="86" t="str">
        <f t="shared" si="35"/>
        <v/>
      </c>
      <c r="AD214" s="1" t="b">
        <f>AND(ISNUMBER(AB214),ISNUMBER(AC214),AB214&gt;=0,AC214&gt;=0,AB214&lt;=0.95,AC214&lt;=0.95,ISNUMBER(D214),D214&gt;0,'Steel Beam Design'!$A$18="",C214="UC",'Steel Beam Design'!$B$3="Cantilever Supported")</f>
        <v>0</v>
      </c>
      <c r="AE214" s="1" t="str">
        <f>'Steel Beam Design'!O28</f>
        <v/>
      </c>
    </row>
    <row r="215" spans="1:31">
      <c r="A215" s="1" t="s">
        <v>480</v>
      </c>
      <c r="B215" s="1" t="str">
        <f>'Section Data'!B8</f>
        <v>356x406x393</v>
      </c>
      <c r="C215" s="1" t="s">
        <v>367</v>
      </c>
      <c r="D215" s="84">
        <f>'Section Data'!C8</f>
        <v>393</v>
      </c>
      <c r="E215" s="84">
        <f>'Section Data'!Q8</f>
        <v>146600</v>
      </c>
      <c r="F215" s="84" t="str">
        <f>'Steel Beam Design'!O56</f>
        <v/>
      </c>
      <c r="G215" s="84" t="str">
        <f>'Steel Beam Design'!O80</f>
        <v/>
      </c>
      <c r="H215" s="84" t="str">
        <f>IF(TRIM($B215)="","",IFERROR('Steel Beam Design'!$D$7006,""))</f>
        <v>S355</v>
      </c>
      <c r="I215" s="84">
        <f>IF(TRIM($B215)="","",IFERROR(MAX(VLOOKUP($B215,'Section Data'!$B$5:$AC$35,5,FALSE),VLOOKUP($B215,'Section Data'!$B$5:$AC$35,6,FALSE)),""))</f>
        <v>49.2</v>
      </c>
      <c r="J215" s="84">
        <f>IF(TRIM($B215)="","",IFERROR(IF(I215&gt;150,"",INDEX('Section Data'!$AH$5:$AK$10,IF(I215&lt;=16,1,IF(I215&lt;=40,2,IF(I215&lt;=63,3,IF(I215&lt;=80,4,IF(I215&lt;=100,5,6))))),MATCH(H215,'Section Data'!$AH$4:$AK$4,0))),""))</f>
        <v>335</v>
      </c>
      <c r="K215" s="84">
        <f t="shared" si="27"/>
        <v>0.90603284840454856</v>
      </c>
      <c r="L215" s="84">
        <f>IF(TRIM($B215)="","",IFERROR(VLOOKUP($B215,'Section Data'!$B$5:$AC$35,9,FALSE),""))</f>
        <v>4.1399999999999997</v>
      </c>
      <c r="M215" s="84">
        <f>IF(TRIM($B215)="","",IFERROR(VLOOKUP($B215,'Section Data'!$B$5:$AC$35,10,FALSE),""))</f>
        <v>9.48</v>
      </c>
      <c r="N215" s="84">
        <f t="shared" si="28"/>
        <v>8</v>
      </c>
      <c r="O215" s="84">
        <f t="shared" si="29"/>
        <v>80</v>
      </c>
      <c r="P215" s="84">
        <f>IF(TRIM($B215)="","",IFERROR(VLOOKUP($B215,'Section Data'!$B$5:$AC$35,5,FALSE)*VLOOKUP($B215,'Section Data'!$B$5:$AC$35,3,FALSE),""))</f>
        <v>12821.400000000001</v>
      </c>
      <c r="Q215" s="84">
        <f t="shared" si="30"/>
        <v>2479.8169783649364</v>
      </c>
      <c r="R215" s="84">
        <f>'Steel Beam Design'!H2064</f>
        <v>0</v>
      </c>
      <c r="S215" s="84">
        <f t="shared" si="31"/>
        <v>0</v>
      </c>
      <c r="T215" s="84">
        <f>IF(TRIM($B215)="","",IFERROR(VLOOKUP($B215,'Section Data'!$B$5:$AC$35,20,FALSE),""))</f>
        <v>6998</v>
      </c>
      <c r="U215" s="84">
        <f>IF(TRIM($B215)="","",IFERROR(VLOOKUP($B215,'Section Data'!$B$5:$AC$35,21,FALSE),""))</f>
        <v>2721</v>
      </c>
      <c r="V215" s="84">
        <f>IF(TRIM($B215)="","",IFERROR(VLOOKUP($B215,'Section Data'!$B$5:$AC$35,22,FALSE),""))</f>
        <v>8222</v>
      </c>
      <c r="W215" s="84">
        <f>IF(TRIM($B215)="","",IFERROR(VLOOKUP($B215,'Section Data'!$B$5:$AC$35,23,FALSE),""))</f>
        <v>4154</v>
      </c>
      <c r="X215" s="84">
        <f>IF(TRIM($B215)="","",IFERROR((VLOOKUP($B215,'Section Data'!$B$5:$AC$35,5,FALSE)/10)*(VLOOKUP($B215,'Section Data'!$B$5:$AC$35,3,FALSE)/10)^2/4,""))</f>
        <v>1343.0416499999999</v>
      </c>
      <c r="Y215" s="84">
        <f>IF(TRIM($B215)="","",IFERROR((VLOOKUP($B215,'Section Data'!$B$5:$AC$35,3,FALSE)/10)*(VLOOKUP($B215,'Section Data'!$B$5:$AC$35,5,FALSE)/10)^2/4,""))</f>
        <v>98.083709999999996</v>
      </c>
      <c r="Z215" s="84">
        <f t="shared" si="32"/>
        <v>2754.37</v>
      </c>
      <c r="AA215" s="84">
        <f t="shared" si="33"/>
        <v>1093.8420000000001</v>
      </c>
      <c r="AB215" s="86" t="str">
        <f t="shared" si="34"/>
        <v/>
      </c>
      <c r="AC215" s="86" t="str">
        <f t="shared" si="35"/>
        <v/>
      </c>
      <c r="AD215" s="1" t="b">
        <f>AND(ISNUMBER(AB215),ISNUMBER(AC215),AB215&gt;=0,AC215&gt;=0,AB215&lt;=0.95,AC215&lt;=0.95,ISNUMBER(D215),D215&gt;0,'Steel Beam Design'!$A$18="",C215="UC",'Steel Beam Design'!$B$3="Cantilever Supported")</f>
        <v>0</v>
      </c>
      <c r="AE215" s="1" t="str">
        <f>'Steel Beam Design'!O28</f>
        <v/>
      </c>
    </row>
    <row r="216" spans="1:31">
      <c r="A216" s="1" t="s">
        <v>480</v>
      </c>
      <c r="B216" s="1" t="str">
        <f>'Section Data'!B9</f>
        <v>356x406x340</v>
      </c>
      <c r="C216" s="1" t="s">
        <v>367</v>
      </c>
      <c r="D216" s="84">
        <f>'Section Data'!C9</f>
        <v>339.9</v>
      </c>
      <c r="E216" s="84">
        <f>'Section Data'!Q9</f>
        <v>122500</v>
      </c>
      <c r="F216" s="84" t="str">
        <f>'Steel Beam Design'!O56</f>
        <v/>
      </c>
      <c r="G216" s="84" t="str">
        <f>'Steel Beam Design'!O80</f>
        <v/>
      </c>
      <c r="H216" s="84" t="str">
        <f>IF(TRIM($B216)="","",IFERROR('Steel Beam Design'!$D$7006,""))</f>
        <v>S355</v>
      </c>
      <c r="I216" s="84">
        <f>IF(TRIM($B216)="","",IFERROR(MAX(VLOOKUP($B216,'Section Data'!$B$5:$AC$35,5,FALSE),VLOOKUP($B216,'Section Data'!$B$5:$AC$35,6,FALSE)),""))</f>
        <v>42.9</v>
      </c>
      <c r="J216" s="84">
        <f>IF(TRIM($B216)="","",IFERROR(IF(I216&gt;150,"",INDEX('Section Data'!$AH$5:$AK$10,IF(I216&lt;=16,1,IF(I216&lt;=40,2,IF(I216&lt;=63,3,IF(I216&lt;=80,4,IF(I216&lt;=100,5,6))))),MATCH(H216,'Section Data'!$AH$4:$AK$4,0))),""))</f>
        <v>335</v>
      </c>
      <c r="K216" s="84">
        <f t="shared" si="27"/>
        <v>0.90603284840454856</v>
      </c>
      <c r="L216" s="84">
        <f>IF(TRIM($B216)="","",IFERROR(VLOOKUP($B216,'Section Data'!$B$5:$AC$35,9,FALSE),""))</f>
        <v>4.7</v>
      </c>
      <c r="M216" s="84">
        <f>IF(TRIM($B216)="","",IFERROR(VLOOKUP($B216,'Section Data'!$B$5:$AC$35,10,FALSE),""))</f>
        <v>10.91</v>
      </c>
      <c r="N216" s="84">
        <f t="shared" si="28"/>
        <v>8</v>
      </c>
      <c r="O216" s="84">
        <f t="shared" si="29"/>
        <v>80</v>
      </c>
      <c r="P216" s="84">
        <f>IF(TRIM($B216)="","",IFERROR(VLOOKUP($B216,'Section Data'!$B$5:$AC$35,5,FALSE)*VLOOKUP($B216,'Section Data'!$B$5:$AC$35,3,FALSE),""))</f>
        <v>10810.24</v>
      </c>
      <c r="Q216" s="84">
        <f t="shared" si="30"/>
        <v>2090.8338162914943</v>
      </c>
      <c r="R216" s="84">
        <f>'Steel Beam Design'!H2064</f>
        <v>0</v>
      </c>
      <c r="S216" s="84">
        <f t="shared" si="31"/>
        <v>0</v>
      </c>
      <c r="T216" s="84">
        <f>IF(TRIM($B216)="","",IFERROR(VLOOKUP($B216,'Section Data'!$B$5:$AC$35,20,FALSE),""))</f>
        <v>6031</v>
      </c>
      <c r="U216" s="84">
        <f>IF(TRIM($B216)="","",IFERROR(VLOOKUP($B216,'Section Data'!$B$5:$AC$35,21,FALSE),""))</f>
        <v>2325</v>
      </c>
      <c r="V216" s="84">
        <f>IF(TRIM($B216)="","",IFERROR(VLOOKUP($B216,'Section Data'!$B$5:$AC$35,22,FALSE),""))</f>
        <v>6999</v>
      </c>
      <c r="W216" s="84">
        <f>IF(TRIM($B216)="","",IFERROR(VLOOKUP($B216,'Section Data'!$B$5:$AC$35,23,FALSE),""))</f>
        <v>3544</v>
      </c>
      <c r="X216" s="84">
        <f>IF(TRIM($B216)="","",IFERROR((VLOOKUP($B216,'Section Data'!$B$5:$AC$35,5,FALSE)/10)*(VLOOKUP($B216,'Section Data'!$B$5:$AC$35,3,FALSE)/10)^2/4,""))</f>
        <v>1098.3203840000001</v>
      </c>
      <c r="Y216" s="84">
        <f>IF(TRIM($B216)="","",IFERROR((VLOOKUP($B216,'Section Data'!$B$5:$AC$35,3,FALSE)/10)*(VLOOKUP($B216,'Section Data'!$B$5:$AC$35,5,FALSE)/10)^2/4,""))</f>
        <v>71.888096000000004</v>
      </c>
      <c r="Z216" s="84">
        <f t="shared" si="32"/>
        <v>2344.665</v>
      </c>
      <c r="AA216" s="84">
        <f t="shared" si="33"/>
        <v>934.65</v>
      </c>
      <c r="AB216" s="86" t="str">
        <f t="shared" si="34"/>
        <v/>
      </c>
      <c r="AC216" s="86" t="str">
        <f t="shared" si="35"/>
        <v/>
      </c>
      <c r="AD216" s="1" t="b">
        <f>AND(ISNUMBER(AB216),ISNUMBER(AC216),AB216&gt;=0,AC216&gt;=0,AB216&lt;=0.95,AC216&lt;=0.95,ISNUMBER(D216),D216&gt;0,'Steel Beam Design'!$A$18="",C216="UC",'Steel Beam Design'!$B$3="Cantilever Supported")</f>
        <v>0</v>
      </c>
      <c r="AE216" s="1" t="str">
        <f>'Steel Beam Design'!O28</f>
        <v/>
      </c>
    </row>
    <row r="217" spans="1:31">
      <c r="A217" s="1" t="s">
        <v>480</v>
      </c>
      <c r="B217" s="1" t="str">
        <f>'Section Data'!B10</f>
        <v>356x406x287</v>
      </c>
      <c r="C217" s="1" t="s">
        <v>367</v>
      </c>
      <c r="D217" s="84">
        <f>'Section Data'!C10</f>
        <v>287.10000000000002</v>
      </c>
      <c r="E217" s="84">
        <f>'Section Data'!Q10</f>
        <v>99880</v>
      </c>
      <c r="F217" s="84" t="str">
        <f>'Steel Beam Design'!O56</f>
        <v/>
      </c>
      <c r="G217" s="84" t="str">
        <f>'Steel Beam Design'!O80</f>
        <v/>
      </c>
      <c r="H217" s="84" t="str">
        <f>IF(TRIM($B217)="","",IFERROR('Steel Beam Design'!$D$7006,""))</f>
        <v>S355</v>
      </c>
      <c r="I217" s="84">
        <f>IF(TRIM($B217)="","",IFERROR(MAX(VLOOKUP($B217,'Section Data'!$B$5:$AC$35,5,FALSE),VLOOKUP($B217,'Section Data'!$B$5:$AC$35,6,FALSE)),""))</f>
        <v>36.5</v>
      </c>
      <c r="J217" s="84">
        <f>IF(TRIM($B217)="","",IFERROR(IF(I217&gt;150,"",INDEX('Section Data'!$AH$5:$AK$10,IF(I217&lt;=16,1,IF(I217&lt;=40,2,IF(I217&lt;=63,3,IF(I217&lt;=80,4,IF(I217&lt;=100,5,6))))),MATCH(H217,'Section Data'!$AH$4:$AK$4,0))),""))</f>
        <v>345</v>
      </c>
      <c r="K217" s="84">
        <f t="shared" si="27"/>
        <v>0.8928053815224023</v>
      </c>
      <c r="L217" s="84">
        <f>IF(TRIM($B217)="","",IFERROR(VLOOKUP($B217,'Section Data'!$B$5:$AC$35,9,FALSE),""))</f>
        <v>5.47</v>
      </c>
      <c r="M217" s="84">
        <f>IF(TRIM($B217)="","",IFERROR(VLOOKUP($B217,'Section Data'!$B$5:$AC$35,10,FALSE),""))</f>
        <v>12.84</v>
      </c>
      <c r="N217" s="84">
        <f t="shared" si="28"/>
        <v>8</v>
      </c>
      <c r="O217" s="84">
        <f t="shared" si="29"/>
        <v>80</v>
      </c>
      <c r="P217" s="84">
        <f>IF(TRIM($B217)="","",IFERROR(VLOOKUP($B217,'Section Data'!$B$5:$AC$35,5,FALSE)*VLOOKUP($B217,'Section Data'!$B$5:$AC$35,3,FALSE),""))</f>
        <v>8895.36</v>
      </c>
      <c r="Q217" s="84">
        <f t="shared" si="30"/>
        <v>1771.8297792358273</v>
      </c>
      <c r="R217" s="84">
        <f>'Steel Beam Design'!H2064</f>
        <v>0</v>
      </c>
      <c r="S217" s="84">
        <f t="shared" si="31"/>
        <v>0</v>
      </c>
      <c r="T217" s="84">
        <f>IF(TRIM($B217)="","",IFERROR(VLOOKUP($B217,'Section Data'!$B$5:$AC$35,20,FALSE),""))</f>
        <v>5075</v>
      </c>
      <c r="U217" s="84">
        <f>IF(TRIM($B217)="","",IFERROR(VLOOKUP($B217,'Section Data'!$B$5:$AC$35,21,FALSE),""))</f>
        <v>1939</v>
      </c>
      <c r="V217" s="84">
        <f>IF(TRIM($B217)="","",IFERROR(VLOOKUP($B217,'Section Data'!$B$5:$AC$35,22,FALSE),""))</f>
        <v>5812</v>
      </c>
      <c r="W217" s="84">
        <f>IF(TRIM($B217)="","",IFERROR(VLOOKUP($B217,'Section Data'!$B$5:$AC$35,23,FALSE),""))</f>
        <v>2949</v>
      </c>
      <c r="X217" s="84">
        <f>IF(TRIM($B217)="","",IFERROR((VLOOKUP($B217,'Section Data'!$B$5:$AC$35,5,FALSE)/10)*(VLOOKUP($B217,'Section Data'!$B$5:$AC$35,3,FALSE)/10)^2/4,""))</f>
        <v>875.30342400000006</v>
      </c>
      <c r="Y217" s="84">
        <f>IF(TRIM($B217)="","",IFERROR((VLOOKUP($B217,'Section Data'!$B$5:$AC$35,3,FALSE)/10)*(VLOOKUP($B217,'Section Data'!$B$5:$AC$35,5,FALSE)/10)^2/4,""))</f>
        <v>50.258784000000013</v>
      </c>
      <c r="Z217" s="84">
        <f t="shared" si="32"/>
        <v>2005.14</v>
      </c>
      <c r="AA217" s="84">
        <f t="shared" si="33"/>
        <v>802.74599999999987</v>
      </c>
      <c r="AB217" s="86" t="str">
        <f t="shared" si="34"/>
        <v/>
      </c>
      <c r="AC217" s="86" t="str">
        <f t="shared" si="35"/>
        <v/>
      </c>
      <c r="AD217" s="1" t="b">
        <f>AND(ISNUMBER(AB217),ISNUMBER(AC217),AB217&gt;=0,AC217&gt;=0,AB217&lt;=0.95,AC217&lt;=0.95,ISNUMBER(D217),D217&gt;0,'Steel Beam Design'!$A$18="",C217="UC",'Steel Beam Design'!$B$3="Cantilever Supported")</f>
        <v>0</v>
      </c>
      <c r="AE217" s="1" t="str">
        <f>'Steel Beam Design'!O28</f>
        <v/>
      </c>
    </row>
    <row r="218" spans="1:31">
      <c r="A218" s="1" t="s">
        <v>480</v>
      </c>
      <c r="B218" s="1" t="str">
        <f>'Section Data'!B11</f>
        <v>356x406x235</v>
      </c>
      <c r="C218" s="1" t="s">
        <v>367</v>
      </c>
      <c r="D218" s="84">
        <f>'Section Data'!C11</f>
        <v>235.1</v>
      </c>
      <c r="E218" s="84">
        <f>'Section Data'!Q11</f>
        <v>79080</v>
      </c>
      <c r="F218" s="84" t="str">
        <f>'Steel Beam Design'!O56</f>
        <v/>
      </c>
      <c r="G218" s="84" t="str">
        <f>'Steel Beam Design'!O80</f>
        <v/>
      </c>
      <c r="H218" s="84" t="str">
        <f>IF(TRIM($B218)="","",IFERROR('Steel Beam Design'!$D$7006,""))</f>
        <v>S355</v>
      </c>
      <c r="I218" s="84">
        <f>IF(TRIM($B218)="","",IFERROR(MAX(VLOOKUP($B218,'Section Data'!$B$5:$AC$35,5,FALSE),VLOOKUP($B218,'Section Data'!$B$5:$AC$35,6,FALSE)),""))</f>
        <v>30.2</v>
      </c>
      <c r="J218" s="84">
        <f>IF(TRIM($B218)="","",IFERROR(IF(I218&gt;150,"",INDEX('Section Data'!$AH$5:$AK$10,IF(I218&lt;=16,1,IF(I218&lt;=40,2,IF(I218&lt;=63,3,IF(I218&lt;=80,4,IF(I218&lt;=100,5,6))))),MATCH(H218,'Section Data'!$AH$4:$AK$4,0))),""))</f>
        <v>345</v>
      </c>
      <c r="K218" s="84">
        <f t="shared" si="27"/>
        <v>0.8928053815224023</v>
      </c>
      <c r="L218" s="84">
        <f>IF(TRIM($B218)="","",IFERROR(VLOOKUP($B218,'Section Data'!$B$5:$AC$35,9,FALSE),""))</f>
        <v>6.54</v>
      </c>
      <c r="M218" s="84">
        <f>IF(TRIM($B218)="","",IFERROR(VLOOKUP($B218,'Section Data'!$B$5:$AC$35,10,FALSE),""))</f>
        <v>15.77</v>
      </c>
      <c r="N218" s="84">
        <f t="shared" si="28"/>
        <v>8</v>
      </c>
      <c r="O218" s="84">
        <f t="shared" si="29"/>
        <v>80</v>
      </c>
      <c r="P218" s="84">
        <f>IF(TRIM($B218)="","",IFERROR(VLOOKUP($B218,'Section Data'!$B$5:$AC$35,5,FALSE)*VLOOKUP($B218,'Section Data'!$B$5:$AC$35,3,FALSE),""))</f>
        <v>7010.4</v>
      </c>
      <c r="Q218" s="84">
        <f t="shared" si="30"/>
        <v>1396.3724328587987</v>
      </c>
      <c r="R218" s="84">
        <f>'Steel Beam Design'!H2064</f>
        <v>0</v>
      </c>
      <c r="S218" s="84">
        <f t="shared" si="31"/>
        <v>0</v>
      </c>
      <c r="T218" s="84">
        <f>IF(TRIM($B218)="","",IFERROR(VLOOKUP($B218,'Section Data'!$B$5:$AC$35,20,FALSE),""))</f>
        <v>4151</v>
      </c>
      <c r="U218" s="84">
        <f>IF(TRIM($B218)="","",IFERROR(VLOOKUP($B218,'Section Data'!$B$5:$AC$35,21,FALSE),""))</f>
        <v>1570</v>
      </c>
      <c r="V218" s="84">
        <f>IF(TRIM($B218)="","",IFERROR(VLOOKUP($B218,'Section Data'!$B$5:$AC$35,22,FALSE),""))</f>
        <v>4687</v>
      </c>
      <c r="W218" s="84">
        <f>IF(TRIM($B218)="","",IFERROR(VLOOKUP($B218,'Section Data'!$B$5:$AC$35,23,FALSE),""))</f>
        <v>2383</v>
      </c>
      <c r="X218" s="84">
        <f>IF(TRIM($B218)="","",IFERROR((VLOOKUP($B218,'Section Data'!$B$5:$AC$35,5,FALSE)/10)*(VLOOKUP($B218,'Section Data'!$B$5:$AC$35,3,FALSE)/10)^2/4,""))</f>
        <v>667.74059999999997</v>
      </c>
      <c r="Y218" s="84">
        <f>IF(TRIM($B218)="","",IFERROR((VLOOKUP($B218,'Section Data'!$B$5:$AC$35,3,FALSE)/10)*(VLOOKUP($B218,'Section Data'!$B$5:$AC$35,5,FALSE)/10)^2/4,""))</f>
        <v>32.247839999999997</v>
      </c>
      <c r="Z218" s="84">
        <f t="shared" si="32"/>
        <v>1617.0150000000001</v>
      </c>
      <c r="AA218" s="84">
        <f t="shared" si="33"/>
        <v>649.98</v>
      </c>
      <c r="AB218" s="86" t="str">
        <f t="shared" si="34"/>
        <v/>
      </c>
      <c r="AC218" s="86" t="str">
        <f t="shared" si="35"/>
        <v/>
      </c>
      <c r="AD218" s="1" t="b">
        <f>AND(ISNUMBER(AB218),ISNUMBER(AC218),AB218&gt;=0,AC218&gt;=0,AB218&lt;=0.95,AC218&lt;=0.95,ISNUMBER(D218),D218&gt;0,'Steel Beam Design'!$A$18="",C218="UC",'Steel Beam Design'!$B$3="Cantilever Supported")</f>
        <v>0</v>
      </c>
      <c r="AE218" s="1" t="str">
        <f>'Steel Beam Design'!O28</f>
        <v/>
      </c>
    </row>
    <row r="219" spans="1:31">
      <c r="A219" s="1" t="s">
        <v>480</v>
      </c>
      <c r="B219" s="1" t="str">
        <f>'Section Data'!B12</f>
        <v>356x368x202</v>
      </c>
      <c r="C219" s="1" t="s">
        <v>367</v>
      </c>
      <c r="D219" s="84">
        <f>'Section Data'!C12</f>
        <v>201.9</v>
      </c>
      <c r="E219" s="84">
        <f>'Section Data'!Q12</f>
        <v>66250</v>
      </c>
      <c r="F219" s="84" t="str">
        <f>'Steel Beam Design'!O56</f>
        <v/>
      </c>
      <c r="G219" s="84" t="str">
        <f>'Steel Beam Design'!O80</f>
        <v/>
      </c>
      <c r="H219" s="84" t="str">
        <f>IF(TRIM($B219)="","",IFERROR('Steel Beam Design'!$D$7006,""))</f>
        <v>S355</v>
      </c>
      <c r="I219" s="84">
        <f>IF(TRIM($B219)="","",IFERROR(MAX(VLOOKUP($B219,'Section Data'!$B$5:$AC$35,5,FALSE),VLOOKUP($B219,'Section Data'!$B$5:$AC$35,6,FALSE)),""))</f>
        <v>27</v>
      </c>
      <c r="J219" s="84">
        <f>IF(TRIM($B219)="","",IFERROR(IF(I219&gt;150,"",INDEX('Section Data'!$AH$5:$AK$10,IF(I219&lt;=16,1,IF(I219&lt;=40,2,IF(I219&lt;=63,3,IF(I219&lt;=80,4,IF(I219&lt;=100,5,6))))),MATCH(H219,'Section Data'!$AH$4:$AK$4,0))),""))</f>
        <v>345</v>
      </c>
      <c r="K219" s="84">
        <f t="shared" si="27"/>
        <v>0.8928053815224023</v>
      </c>
      <c r="L219" s="84">
        <f>IF(TRIM($B219)="","",IFERROR(VLOOKUP($B219,'Section Data'!$B$5:$AC$35,9,FALSE),""))</f>
        <v>6.94</v>
      </c>
      <c r="M219" s="84">
        <f>IF(TRIM($B219)="","",IFERROR(VLOOKUP($B219,'Section Data'!$B$5:$AC$35,10,FALSE),""))</f>
        <v>17.59</v>
      </c>
      <c r="N219" s="84">
        <f t="shared" si="28"/>
        <v>8</v>
      </c>
      <c r="O219" s="84">
        <f t="shared" si="29"/>
        <v>80</v>
      </c>
      <c r="P219" s="84">
        <f>IF(TRIM($B219)="","",IFERROR(VLOOKUP($B219,'Section Data'!$B$5:$AC$35,5,FALSE)*VLOOKUP($B219,'Section Data'!$B$5:$AC$35,3,FALSE),""))</f>
        <v>6180.9000000000005</v>
      </c>
      <c r="Q219" s="84">
        <f t="shared" si="30"/>
        <v>1231.1477761977847</v>
      </c>
      <c r="R219" s="84">
        <f>'Steel Beam Design'!H2064</f>
        <v>0</v>
      </c>
      <c r="S219" s="84">
        <f t="shared" si="31"/>
        <v>0</v>
      </c>
      <c r="T219" s="84">
        <f>IF(TRIM($B219)="","",IFERROR(VLOOKUP($B219,'Section Data'!$B$5:$AC$35,20,FALSE),""))</f>
        <v>3538</v>
      </c>
      <c r="U219" s="84">
        <f>IF(TRIM($B219)="","",IFERROR(VLOOKUP($B219,'Section Data'!$B$5:$AC$35,21,FALSE),""))</f>
        <v>1264</v>
      </c>
      <c r="V219" s="84">
        <f>IF(TRIM($B219)="","",IFERROR(VLOOKUP($B219,'Section Data'!$B$5:$AC$35,22,FALSE),""))</f>
        <v>3972</v>
      </c>
      <c r="W219" s="84">
        <f>IF(TRIM($B219)="","",IFERROR(VLOOKUP($B219,'Section Data'!$B$5:$AC$35,23,FALSE),""))</f>
        <v>1920</v>
      </c>
      <c r="X219" s="84">
        <f>IF(TRIM($B219)="","",IFERROR((VLOOKUP($B219,'Section Data'!$B$5:$AC$35,5,FALSE)/10)*(VLOOKUP($B219,'Section Data'!$B$5:$AC$35,3,FALSE)/10)^2/4,""))</f>
        <v>578.84128499999997</v>
      </c>
      <c r="Y219" s="84">
        <f>IF(TRIM($B219)="","",IFERROR((VLOOKUP($B219,'Section Data'!$B$5:$AC$35,3,FALSE)/10)*(VLOOKUP($B219,'Section Data'!$B$5:$AC$35,5,FALSE)/10)^2/4,""))</f>
        <v>25.496212499999999</v>
      </c>
      <c r="Z219" s="84">
        <f t="shared" si="32"/>
        <v>1370.34</v>
      </c>
      <c r="AA219" s="84">
        <f t="shared" si="33"/>
        <v>523.29600000000005</v>
      </c>
      <c r="AB219" s="86" t="str">
        <f t="shared" si="34"/>
        <v/>
      </c>
      <c r="AC219" s="86" t="str">
        <f t="shared" si="35"/>
        <v/>
      </c>
      <c r="AD219" s="1" t="b">
        <f>AND(ISNUMBER(AB219),ISNUMBER(AC219),AB219&gt;=0,AC219&gt;=0,AB219&lt;=0.95,AC219&lt;=0.95,ISNUMBER(D219),D219&gt;0,'Steel Beam Design'!$A$18="",C219="UC",'Steel Beam Design'!$B$3="Cantilever Supported")</f>
        <v>0</v>
      </c>
      <c r="AE219" s="1" t="str">
        <f>'Steel Beam Design'!O28</f>
        <v/>
      </c>
    </row>
    <row r="220" spans="1:31">
      <c r="A220" s="1" t="s">
        <v>480</v>
      </c>
      <c r="B220" s="1" t="str">
        <f>'Section Data'!B13</f>
        <v>356x368x177</v>
      </c>
      <c r="C220" s="1" t="s">
        <v>367</v>
      </c>
      <c r="D220" s="84">
        <f>'Section Data'!C13</f>
        <v>177</v>
      </c>
      <c r="E220" s="84">
        <f>'Section Data'!Q13</f>
        <v>57120</v>
      </c>
      <c r="F220" s="84" t="str">
        <f>'Steel Beam Design'!O56</f>
        <v/>
      </c>
      <c r="G220" s="84" t="str">
        <f>'Steel Beam Design'!O80</f>
        <v/>
      </c>
      <c r="H220" s="84" t="str">
        <f>IF(TRIM($B220)="","",IFERROR('Steel Beam Design'!$D$7006,""))</f>
        <v>S355</v>
      </c>
      <c r="I220" s="84">
        <f>IF(TRIM($B220)="","",IFERROR(MAX(VLOOKUP($B220,'Section Data'!$B$5:$AC$35,5,FALSE),VLOOKUP($B220,'Section Data'!$B$5:$AC$35,6,FALSE)),""))</f>
        <v>23.8</v>
      </c>
      <c r="J220" s="84">
        <f>IF(TRIM($B220)="","",IFERROR(IF(I220&gt;150,"",INDEX('Section Data'!$AH$5:$AK$10,IF(I220&lt;=16,1,IF(I220&lt;=40,2,IF(I220&lt;=63,3,IF(I220&lt;=80,4,IF(I220&lt;=100,5,6))))),MATCH(H220,'Section Data'!$AH$4:$AK$4,0))),""))</f>
        <v>345</v>
      </c>
      <c r="K220" s="84">
        <f t="shared" si="27"/>
        <v>0.8928053815224023</v>
      </c>
      <c r="L220" s="84">
        <f>IF(TRIM($B220)="","",IFERROR(VLOOKUP($B220,'Section Data'!$B$5:$AC$35,9,FALSE),""))</f>
        <v>7.83</v>
      </c>
      <c r="M220" s="84">
        <f>IF(TRIM($B220)="","",IFERROR(VLOOKUP($B220,'Section Data'!$B$5:$AC$35,10,FALSE),""))</f>
        <v>20.149999999999999</v>
      </c>
      <c r="N220" s="84">
        <f t="shared" si="28"/>
        <v>9</v>
      </c>
      <c r="O220" s="84">
        <f t="shared" si="29"/>
        <v>80</v>
      </c>
      <c r="P220" s="84">
        <f>IF(TRIM($B220)="","",IFERROR(VLOOKUP($B220,'Section Data'!$B$5:$AC$35,5,FALSE)*VLOOKUP($B220,'Section Data'!$B$5:$AC$35,3,FALSE),""))</f>
        <v>5302.08</v>
      </c>
      <c r="Q220" s="84">
        <f t="shared" si="30"/>
        <v>1056.0992737664012</v>
      </c>
      <c r="R220" s="84">
        <f>'Steel Beam Design'!H2064</f>
        <v>0</v>
      </c>
      <c r="S220" s="84">
        <f t="shared" si="31"/>
        <v>0</v>
      </c>
      <c r="T220" s="84">
        <f>IF(TRIM($B220)="","",IFERROR(VLOOKUP($B220,'Section Data'!$B$5:$AC$35,20,FALSE),""))</f>
        <v>3103</v>
      </c>
      <c r="U220" s="84">
        <f>IF(TRIM($B220)="","",IFERROR(VLOOKUP($B220,'Section Data'!$B$5:$AC$35,21,FALSE),""))</f>
        <v>1102</v>
      </c>
      <c r="V220" s="84">
        <f>IF(TRIM($B220)="","",IFERROR(VLOOKUP($B220,'Section Data'!$B$5:$AC$35,22,FALSE),""))</f>
        <v>3455</v>
      </c>
      <c r="W220" s="84">
        <f>IF(TRIM($B220)="","",IFERROR(VLOOKUP($B220,'Section Data'!$B$5:$AC$35,23,FALSE),""))</f>
        <v>1671</v>
      </c>
      <c r="X220" s="84">
        <f>IF(TRIM($B220)="","",IFERROR((VLOOKUP($B220,'Section Data'!$B$5:$AC$35,5,FALSE)/10)*(VLOOKUP($B220,'Section Data'!$B$5:$AC$35,3,FALSE)/10)^2/4,""))</f>
        <v>488.05646400000001</v>
      </c>
      <c r="Y220" s="84">
        <f>IF(TRIM($B220)="","",IFERROR((VLOOKUP($B220,'Section Data'!$B$5:$AC$35,3,FALSE)/10)*(VLOOKUP($B220,'Section Data'!$B$5:$AC$35,5,FALSE)/10)^2/4,""))</f>
        <v>19.087488</v>
      </c>
      <c r="Z220" s="84">
        <f t="shared" si="32"/>
        <v>1191.9749999999999</v>
      </c>
      <c r="AA220" s="84">
        <f t="shared" si="33"/>
        <v>456.22799999999995</v>
      </c>
      <c r="AB220" s="86" t="str">
        <f t="shared" si="34"/>
        <v/>
      </c>
      <c r="AC220" s="86" t="str">
        <f t="shared" si="35"/>
        <v/>
      </c>
      <c r="AD220" s="1" t="b">
        <f>AND(ISNUMBER(AB220),ISNUMBER(AC220),AB220&gt;=0,AC220&gt;=0,AB220&lt;=0.95,AC220&lt;=0.95,ISNUMBER(D220),D220&gt;0,'Steel Beam Design'!$A$18="",C220="UC",'Steel Beam Design'!$B$3="Cantilever Supported")</f>
        <v>0</v>
      </c>
      <c r="AE220" s="1" t="str">
        <f>'Steel Beam Design'!O28</f>
        <v/>
      </c>
    </row>
    <row r="221" spans="1:31">
      <c r="A221" s="1" t="s">
        <v>480</v>
      </c>
      <c r="B221" s="1" t="str">
        <f>'Section Data'!B14</f>
        <v>356x368x153</v>
      </c>
      <c r="C221" s="1" t="s">
        <v>367</v>
      </c>
      <c r="D221" s="84">
        <f>'Section Data'!C14</f>
        <v>152.9</v>
      </c>
      <c r="E221" s="84">
        <f>'Section Data'!Q14</f>
        <v>48590</v>
      </c>
      <c r="F221" s="84" t="str">
        <f>'Steel Beam Design'!O56</f>
        <v/>
      </c>
      <c r="G221" s="84" t="str">
        <f>'Steel Beam Design'!O80</f>
        <v/>
      </c>
      <c r="H221" s="84" t="str">
        <f>IF(TRIM($B221)="","",IFERROR('Steel Beam Design'!$D$7006,""))</f>
        <v>S355</v>
      </c>
      <c r="I221" s="84">
        <f>IF(TRIM($B221)="","",IFERROR(MAX(VLOOKUP($B221,'Section Data'!$B$5:$AC$35,5,FALSE),VLOOKUP($B221,'Section Data'!$B$5:$AC$35,6,FALSE)),""))</f>
        <v>20.7</v>
      </c>
      <c r="J221" s="84">
        <f>IF(TRIM($B221)="","",IFERROR(IF(I221&gt;150,"",INDEX('Section Data'!$AH$5:$AK$10,IF(I221&lt;=16,1,IF(I221&lt;=40,2,IF(I221&lt;=63,3,IF(I221&lt;=80,4,IF(I221&lt;=100,5,6))))),MATCH(H221,'Section Data'!$AH$4:$AK$4,0))),""))</f>
        <v>345</v>
      </c>
      <c r="K221" s="84">
        <f t="shared" si="27"/>
        <v>0.8928053815224023</v>
      </c>
      <c r="L221" s="84">
        <f>IF(TRIM($B221)="","",IFERROR(VLOOKUP($B221,'Section Data'!$B$5:$AC$35,9,FALSE),""))</f>
        <v>8.9499999999999993</v>
      </c>
      <c r="M221" s="84">
        <f>IF(TRIM($B221)="","",IFERROR(VLOOKUP($B221,'Section Data'!$B$5:$AC$35,10,FALSE),""))</f>
        <v>23.59</v>
      </c>
      <c r="N221" s="84">
        <f t="shared" si="28"/>
        <v>13</v>
      </c>
      <c r="O221" s="84">
        <f t="shared" si="29"/>
        <v>80</v>
      </c>
      <c r="P221" s="84">
        <f>IF(TRIM($B221)="","",IFERROR(VLOOKUP($B221,'Section Data'!$B$5:$AC$35,5,FALSE)*VLOOKUP($B221,'Section Data'!$B$5:$AC$35,3,FALSE),""))</f>
        <v>4458.75</v>
      </c>
      <c r="Q221" s="84">
        <f t="shared" si="30"/>
        <v>888.11987689848922</v>
      </c>
      <c r="R221" s="84">
        <f>'Steel Beam Design'!H2064</f>
        <v>0</v>
      </c>
      <c r="S221" s="84">
        <f t="shared" si="31"/>
        <v>0</v>
      </c>
      <c r="T221" s="84">
        <f>IF(TRIM($B221)="","",IFERROR(VLOOKUP($B221,'Section Data'!$B$5:$AC$35,20,FALSE),""))</f>
        <v>2684</v>
      </c>
      <c r="U221" s="84">
        <f>IF(TRIM($B221)="","",IFERROR(VLOOKUP($B221,'Section Data'!$B$5:$AC$35,21,FALSE),""))</f>
        <v>948</v>
      </c>
      <c r="V221" s="84">
        <f>IF(TRIM($B221)="","",IFERROR(VLOOKUP($B221,'Section Data'!$B$5:$AC$35,22,FALSE),""))</f>
        <v>2968</v>
      </c>
      <c r="W221" s="84">
        <f>IF(TRIM($B221)="","",IFERROR(VLOOKUP($B221,'Section Data'!$B$5:$AC$35,23,FALSE),""))</f>
        <v>1435</v>
      </c>
      <c r="X221" s="84">
        <f>IF(TRIM($B221)="","",IFERROR((VLOOKUP($B221,'Section Data'!$B$5:$AC$35,5,FALSE)/10)*(VLOOKUP($B221,'Section Data'!$B$5:$AC$35,3,FALSE)/10)^2/4,""))</f>
        <v>404.07421875</v>
      </c>
      <c r="Y221" s="84">
        <f>IF(TRIM($B221)="","",IFERROR((VLOOKUP($B221,'Section Data'!$B$5:$AC$35,3,FALSE)/10)*(VLOOKUP($B221,'Section Data'!$B$5:$AC$35,5,FALSE)/10)^2/4,""))</f>
        <v>13.71065625</v>
      </c>
      <c r="Z221" s="84">
        <f t="shared" si="32"/>
        <v>925.98</v>
      </c>
      <c r="AA221" s="84">
        <f t="shared" si="33"/>
        <v>327.06</v>
      </c>
      <c r="AB221" s="86" t="str">
        <f t="shared" si="34"/>
        <v/>
      </c>
      <c r="AC221" s="86" t="str">
        <f t="shared" si="35"/>
        <v/>
      </c>
      <c r="AD221" s="1" t="b">
        <f>AND(ISNUMBER(AB221),ISNUMBER(AC221),AB221&gt;=0,AC221&gt;=0,AB221&lt;=0.95,AC221&lt;=0.95,ISNUMBER(D221),D221&gt;0,'Steel Beam Design'!$A$18="",C221="UC",'Steel Beam Design'!$B$3="Cantilever Supported")</f>
        <v>0</v>
      </c>
      <c r="AE221" s="1" t="str">
        <f>'Steel Beam Design'!O28</f>
        <v/>
      </c>
    </row>
    <row r="222" spans="1:31">
      <c r="A222" s="1" t="s">
        <v>480</v>
      </c>
      <c r="B222" s="1" t="str">
        <f>'Section Data'!B15</f>
        <v>356x369x129</v>
      </c>
      <c r="C222" s="1" t="s">
        <v>367</v>
      </c>
      <c r="D222" s="84">
        <f>'Section Data'!C15</f>
        <v>129</v>
      </c>
      <c r="E222" s="84">
        <f>'Section Data'!Q15</f>
        <v>40250</v>
      </c>
      <c r="F222" s="84" t="str">
        <f>'Steel Beam Design'!O56</f>
        <v/>
      </c>
      <c r="G222" s="84" t="str">
        <f>'Steel Beam Design'!O80</f>
        <v/>
      </c>
      <c r="H222" s="84" t="str">
        <f>IF(TRIM($B222)="","",IFERROR('Steel Beam Design'!$D$7006,""))</f>
        <v>S355</v>
      </c>
      <c r="I222" s="84">
        <f>IF(TRIM($B222)="","",IFERROR(MAX(VLOOKUP($B222,'Section Data'!$B$5:$AC$35,5,FALSE),VLOOKUP($B222,'Section Data'!$B$5:$AC$35,6,FALSE)),""))</f>
        <v>17.5</v>
      </c>
      <c r="J222" s="84">
        <f>IF(TRIM($B222)="","",IFERROR(IF(I222&gt;150,"",INDEX('Section Data'!$AH$5:$AK$10,IF(I222&lt;=16,1,IF(I222&lt;=40,2,IF(I222&lt;=63,3,IF(I222&lt;=80,4,IF(I222&lt;=100,5,6))))),MATCH(H222,'Section Data'!$AH$4:$AK$4,0))),""))</f>
        <v>345</v>
      </c>
      <c r="K222" s="84">
        <f t="shared" si="27"/>
        <v>0.8928053815224023</v>
      </c>
      <c r="L222" s="84">
        <f>IF(TRIM($B222)="","",IFERROR(VLOOKUP($B222,'Section Data'!$B$5:$AC$35,9,FALSE),""))</f>
        <v>10.53</v>
      </c>
      <c r="M222" s="84">
        <f>IF(TRIM($B222)="","",IFERROR(VLOOKUP($B222,'Section Data'!$B$5:$AC$35,10,FALSE),""))</f>
        <v>27.9</v>
      </c>
      <c r="N222" s="84">
        <f t="shared" si="28"/>
        <v>13</v>
      </c>
      <c r="O222" s="84">
        <f t="shared" si="29"/>
        <v>80</v>
      </c>
      <c r="P222" s="84">
        <f>IF(TRIM($B222)="","",IFERROR(VLOOKUP($B222,'Section Data'!$B$5:$AC$35,5,FALSE)*VLOOKUP($B222,'Section Data'!$B$5:$AC$35,3,FALSE),""))</f>
        <v>3698.2400000000002</v>
      </c>
      <c r="Q222" s="84">
        <f t="shared" si="30"/>
        <v>736.63705153710544</v>
      </c>
      <c r="R222" s="84">
        <f>'Steel Beam Design'!H2064</f>
        <v>0</v>
      </c>
      <c r="S222" s="84">
        <f t="shared" si="31"/>
        <v>0</v>
      </c>
      <c r="T222" s="84">
        <f>IF(TRIM($B222)="","",IFERROR(VLOOKUP($B222,'Section Data'!$B$5:$AC$35,20,FALSE),""))</f>
        <v>2264</v>
      </c>
      <c r="U222" s="84">
        <f>IF(TRIM($B222)="","",IFERROR(VLOOKUP($B222,'Section Data'!$B$5:$AC$35,21,FALSE),""))</f>
        <v>793</v>
      </c>
      <c r="V222" s="84">
        <f>IF(TRIM($B222)="","",IFERROR(VLOOKUP($B222,'Section Data'!$B$5:$AC$35,22,FALSE),""))</f>
        <v>2479</v>
      </c>
      <c r="W222" s="84">
        <f>IF(TRIM($B222)="","",IFERROR(VLOOKUP($B222,'Section Data'!$B$5:$AC$35,23,FALSE),""))</f>
        <v>1199</v>
      </c>
      <c r="X222" s="84">
        <f>IF(TRIM($B222)="","",IFERROR((VLOOKUP($B222,'Section Data'!$B$5:$AC$35,5,FALSE)/10)*(VLOOKUP($B222,'Section Data'!$B$5:$AC$35,3,FALSE)/10)^2/4,""))</f>
        <v>328.77353600000009</v>
      </c>
      <c r="Y222" s="84">
        <f>IF(TRIM($B222)="","",IFERROR((VLOOKUP($B222,'Section Data'!$B$5:$AC$35,3,FALSE)/10)*(VLOOKUP($B222,'Section Data'!$B$5:$AC$35,5,FALSE)/10)^2/4,""))</f>
        <v>9.6154240000000009</v>
      </c>
      <c r="Z222" s="84">
        <f t="shared" si="32"/>
        <v>781.08</v>
      </c>
      <c r="AA222" s="84">
        <f t="shared" si="33"/>
        <v>273.58499999999998</v>
      </c>
      <c r="AB222" s="86" t="str">
        <f t="shared" si="34"/>
        <v/>
      </c>
      <c r="AC222" s="86" t="str">
        <f t="shared" si="35"/>
        <v/>
      </c>
      <c r="AD222" s="1" t="b">
        <f>AND(ISNUMBER(AB222),ISNUMBER(AC222),AB222&gt;=0,AC222&gt;=0,AB222&lt;=0.95,AC222&lt;=0.95,ISNUMBER(D222),D222&gt;0,'Steel Beam Design'!$A$18="",C222="UC",'Steel Beam Design'!$B$3="Cantilever Supported")</f>
        <v>0</v>
      </c>
      <c r="AE222" s="1" t="str">
        <f>'Steel Beam Design'!O28</f>
        <v/>
      </c>
    </row>
    <row r="223" spans="1:31">
      <c r="A223" s="1" t="s">
        <v>480</v>
      </c>
      <c r="B223" s="1" t="str">
        <f>'Section Data'!B16</f>
        <v>305x305x283</v>
      </c>
      <c r="C223" s="1" t="s">
        <v>367</v>
      </c>
      <c r="D223" s="84">
        <f>'Section Data'!C16</f>
        <v>282.89999999999998</v>
      </c>
      <c r="E223" s="84">
        <f>'Section Data'!Q16</f>
        <v>78870</v>
      </c>
      <c r="F223" s="84" t="str">
        <f>'Steel Beam Design'!O56</f>
        <v/>
      </c>
      <c r="G223" s="84" t="str">
        <f>'Steel Beam Design'!O80</f>
        <v/>
      </c>
      <c r="H223" s="84" t="str">
        <f>IF(TRIM($B223)="","",IFERROR('Steel Beam Design'!$D$7006,""))</f>
        <v>S355</v>
      </c>
      <c r="I223" s="84">
        <f>IF(TRIM($B223)="","",IFERROR(MAX(VLOOKUP($B223,'Section Data'!$B$5:$AC$35,5,FALSE),VLOOKUP($B223,'Section Data'!$B$5:$AC$35,6,FALSE)),""))</f>
        <v>44.4</v>
      </c>
      <c r="J223" s="84">
        <f>IF(TRIM($B223)="","",IFERROR(IF(I223&gt;150,"",INDEX('Section Data'!$AH$5:$AK$10,IF(I223&lt;=16,1,IF(I223&lt;=40,2,IF(I223&lt;=63,3,IF(I223&lt;=80,4,IF(I223&lt;=100,5,6))))),MATCH(H223,'Section Data'!$AH$4:$AK$4,0))),""))</f>
        <v>335</v>
      </c>
      <c r="K223" s="84">
        <f t="shared" si="27"/>
        <v>0.90603284840454856</v>
      </c>
      <c r="L223" s="84">
        <f>IF(TRIM($B223)="","",IFERROR(VLOOKUP($B223,'Section Data'!$B$5:$AC$35,9,FALSE),""))</f>
        <v>3.63</v>
      </c>
      <c r="M223" s="84">
        <f>IF(TRIM($B223)="","",IFERROR(VLOOKUP($B223,'Section Data'!$B$5:$AC$35,10,FALSE),""))</f>
        <v>9.2100000000000009</v>
      </c>
      <c r="N223" s="84">
        <f t="shared" si="28"/>
        <v>8</v>
      </c>
      <c r="O223" s="84">
        <f t="shared" si="29"/>
        <v>80</v>
      </c>
      <c r="P223" s="84">
        <f>IF(TRIM($B223)="","",IFERROR(VLOOKUP($B223,'Section Data'!$B$5:$AC$35,5,FALSE)*VLOOKUP($B223,'Section Data'!$B$5:$AC$35,3,FALSE),""))</f>
        <v>9790.0400000000009</v>
      </c>
      <c r="Q223" s="84">
        <f t="shared" si="30"/>
        <v>1893.5145468413637</v>
      </c>
      <c r="R223" s="84">
        <f>'Steel Beam Design'!H2064</f>
        <v>0</v>
      </c>
      <c r="S223" s="84">
        <f t="shared" si="31"/>
        <v>0</v>
      </c>
      <c r="T223" s="84">
        <f>IF(TRIM($B223)="","",IFERROR(VLOOKUP($B223,'Section Data'!$B$5:$AC$35,20,FALSE),""))</f>
        <v>4318</v>
      </c>
      <c r="U223" s="84">
        <f>IF(TRIM($B223)="","",IFERROR(VLOOKUP($B223,'Section Data'!$B$5:$AC$35,21,FALSE),""))</f>
        <v>1529</v>
      </c>
      <c r="V223" s="84">
        <f>IF(TRIM($B223)="","",IFERROR(VLOOKUP($B223,'Section Data'!$B$5:$AC$35,22,FALSE),""))</f>
        <v>5105</v>
      </c>
      <c r="W223" s="84">
        <f>IF(TRIM($B223)="","",IFERROR(VLOOKUP($B223,'Section Data'!$B$5:$AC$35,23,FALSE),""))</f>
        <v>2342</v>
      </c>
      <c r="X223" s="84">
        <f>IF(TRIM($B223)="","",IFERROR((VLOOKUP($B223,'Section Data'!$B$5:$AC$35,5,FALSE)/10)*(VLOOKUP($B223,'Section Data'!$B$5:$AC$35,3,FALSE)/10)^2/4,""))</f>
        <v>894.07540300000005</v>
      </c>
      <c r="Y223" s="84">
        <f>IF(TRIM($B223)="","",IFERROR((VLOOKUP($B223,'Section Data'!$B$5:$AC$35,3,FALSE)/10)*(VLOOKUP($B223,'Section Data'!$B$5:$AC$35,5,FALSE)/10)^2/4,""))</f>
        <v>65.593268000000009</v>
      </c>
      <c r="Z223" s="84">
        <f t="shared" si="32"/>
        <v>1710.175</v>
      </c>
      <c r="AA223" s="84">
        <f t="shared" si="33"/>
        <v>614.65800000000002</v>
      </c>
      <c r="AB223" s="86" t="str">
        <f t="shared" si="34"/>
        <v/>
      </c>
      <c r="AC223" s="86" t="str">
        <f t="shared" si="35"/>
        <v/>
      </c>
      <c r="AD223" s="1" t="b">
        <f>AND(ISNUMBER(AB223),ISNUMBER(AC223),AB223&gt;=0,AC223&gt;=0,AB223&lt;=0.95,AC223&lt;=0.95,ISNUMBER(D223),D223&gt;0,'Steel Beam Design'!$A$18="",C223="UC",'Steel Beam Design'!$B$3="Cantilever Supported")</f>
        <v>0</v>
      </c>
      <c r="AE223" s="1" t="str">
        <f>'Steel Beam Design'!O28</f>
        <v/>
      </c>
    </row>
    <row r="224" spans="1:31">
      <c r="A224" s="1" t="s">
        <v>480</v>
      </c>
      <c r="B224" s="1" t="str">
        <f>'Section Data'!B17</f>
        <v>305x305x240</v>
      </c>
      <c r="C224" s="1" t="s">
        <v>367</v>
      </c>
      <c r="D224" s="84">
        <f>'Section Data'!C17</f>
        <v>240</v>
      </c>
      <c r="E224" s="84">
        <f>'Section Data'!Q17</f>
        <v>64200</v>
      </c>
      <c r="F224" s="84" t="str">
        <f>'Steel Beam Design'!O56</f>
        <v/>
      </c>
      <c r="G224" s="84" t="str">
        <f>'Steel Beam Design'!O80</f>
        <v/>
      </c>
      <c r="H224" s="84" t="str">
        <f>IF(TRIM($B224)="","",IFERROR('Steel Beam Design'!$D$7006,""))</f>
        <v>S355</v>
      </c>
      <c r="I224" s="84">
        <f>IF(TRIM($B224)="","",IFERROR(MAX(VLOOKUP($B224,'Section Data'!$B$5:$AC$35,5,FALSE),VLOOKUP($B224,'Section Data'!$B$5:$AC$35,6,FALSE)),""))</f>
        <v>37.700000000000003</v>
      </c>
      <c r="J224" s="84">
        <f>IF(TRIM($B224)="","",IFERROR(IF(I224&gt;150,"",INDEX('Section Data'!$AH$5:$AK$10,IF(I224&lt;=16,1,IF(I224&lt;=40,2,IF(I224&lt;=63,3,IF(I224&lt;=80,4,IF(I224&lt;=100,5,6))))),MATCH(H224,'Section Data'!$AH$4:$AK$4,0))),""))</f>
        <v>345</v>
      </c>
      <c r="K224" s="84">
        <f t="shared" si="27"/>
        <v>0.8928053815224023</v>
      </c>
      <c r="L224" s="84">
        <f>IF(TRIM($B224)="","",IFERROR(VLOOKUP($B224,'Section Data'!$B$5:$AC$35,9,FALSE),""))</f>
        <v>4.22</v>
      </c>
      <c r="M224" s="84">
        <f>IF(TRIM($B224)="","",IFERROR(VLOOKUP($B224,'Section Data'!$B$5:$AC$35,10,FALSE),""))</f>
        <v>10.73</v>
      </c>
      <c r="N224" s="84">
        <f t="shared" si="28"/>
        <v>8</v>
      </c>
      <c r="O224" s="84">
        <f t="shared" si="29"/>
        <v>80</v>
      </c>
      <c r="P224" s="84">
        <f>IF(TRIM($B224)="","",IFERROR(VLOOKUP($B224,'Section Data'!$B$5:$AC$35,5,FALSE)*VLOOKUP($B224,'Section Data'!$B$5:$AC$35,3,FALSE),""))</f>
        <v>8107.5</v>
      </c>
      <c r="Q224" s="84">
        <f t="shared" si="30"/>
        <v>1614.8992210719373</v>
      </c>
      <c r="R224" s="84">
        <f>'Steel Beam Design'!H2064</f>
        <v>0</v>
      </c>
      <c r="S224" s="84">
        <f t="shared" si="31"/>
        <v>0</v>
      </c>
      <c r="T224" s="84">
        <f>IF(TRIM($B224)="","",IFERROR(VLOOKUP($B224,'Section Data'!$B$5:$AC$35,20,FALSE),""))</f>
        <v>3643</v>
      </c>
      <c r="U224" s="84">
        <f>IF(TRIM($B224)="","",IFERROR(VLOOKUP($B224,'Section Data'!$B$5:$AC$35,21,FALSE),""))</f>
        <v>1276</v>
      </c>
      <c r="V224" s="84">
        <f>IF(TRIM($B224)="","",IFERROR(VLOOKUP($B224,'Section Data'!$B$5:$AC$35,22,FALSE),""))</f>
        <v>4247</v>
      </c>
      <c r="W224" s="84">
        <f>IF(TRIM($B224)="","",IFERROR(VLOOKUP($B224,'Section Data'!$B$5:$AC$35,23,FALSE),""))</f>
        <v>1951</v>
      </c>
      <c r="X224" s="84">
        <f>IF(TRIM($B224)="","",IFERROR((VLOOKUP($B224,'Section Data'!$B$5:$AC$35,5,FALSE)/10)*(VLOOKUP($B224,'Section Data'!$B$5:$AC$35,3,FALSE)/10)^2/4,""))</f>
        <v>714.47343749999993</v>
      </c>
      <c r="Y224" s="84">
        <f>IF(TRIM($B224)="","",IFERROR((VLOOKUP($B224,'Section Data'!$B$5:$AC$35,3,FALSE)/10)*(VLOOKUP($B224,'Section Data'!$B$5:$AC$35,5,FALSE)/10)^2/4,""))</f>
        <v>46.618124999999992</v>
      </c>
      <c r="Z224" s="84">
        <f t="shared" si="32"/>
        <v>1465.2149999999999</v>
      </c>
      <c r="AA224" s="84">
        <f t="shared" si="33"/>
        <v>528.26400000000001</v>
      </c>
      <c r="AB224" s="86" t="str">
        <f t="shared" si="34"/>
        <v/>
      </c>
      <c r="AC224" s="86" t="str">
        <f t="shared" si="35"/>
        <v/>
      </c>
      <c r="AD224" s="1" t="b">
        <f>AND(ISNUMBER(AB224),ISNUMBER(AC224),AB224&gt;=0,AC224&gt;=0,AB224&lt;=0.95,AC224&lt;=0.95,ISNUMBER(D224),D224&gt;0,'Steel Beam Design'!$A$18="",C224="UC",'Steel Beam Design'!$B$3="Cantilever Supported")</f>
        <v>0</v>
      </c>
      <c r="AE224" s="1" t="str">
        <f>'Steel Beam Design'!O28</f>
        <v/>
      </c>
    </row>
    <row r="225" spans="1:31">
      <c r="A225" s="1" t="s">
        <v>480</v>
      </c>
      <c r="B225" s="1" t="str">
        <f>'Section Data'!B18</f>
        <v>305x305x198</v>
      </c>
      <c r="C225" s="1" t="s">
        <v>367</v>
      </c>
      <c r="D225" s="84">
        <f>'Section Data'!C18</f>
        <v>198.1</v>
      </c>
      <c r="E225" s="84">
        <f>'Section Data'!Q18</f>
        <v>50900</v>
      </c>
      <c r="F225" s="84" t="str">
        <f>'Steel Beam Design'!O56</f>
        <v/>
      </c>
      <c r="G225" s="84" t="str">
        <f>'Steel Beam Design'!O80</f>
        <v/>
      </c>
      <c r="H225" s="84" t="str">
        <f>IF(TRIM($B225)="","",IFERROR('Steel Beam Design'!$D$7006,""))</f>
        <v>S355</v>
      </c>
      <c r="I225" s="84">
        <f>IF(TRIM($B225)="","",IFERROR(MAX(VLOOKUP($B225,'Section Data'!$B$5:$AC$35,5,FALSE),VLOOKUP($B225,'Section Data'!$B$5:$AC$35,6,FALSE)),""))</f>
        <v>31.4</v>
      </c>
      <c r="J225" s="84">
        <f>IF(TRIM($B225)="","",IFERROR(IF(I225&gt;150,"",INDEX('Section Data'!$AH$5:$AK$10,IF(I225&lt;=16,1,IF(I225&lt;=40,2,IF(I225&lt;=63,3,IF(I225&lt;=80,4,IF(I225&lt;=100,5,6))))),MATCH(H225,'Section Data'!$AH$4:$AK$4,0))),""))</f>
        <v>345</v>
      </c>
      <c r="K225" s="84">
        <f t="shared" si="27"/>
        <v>0.8928053815224023</v>
      </c>
      <c r="L225" s="84">
        <f>IF(TRIM($B225)="","",IFERROR(VLOOKUP($B225,'Section Data'!$B$5:$AC$35,9,FALSE),""))</f>
        <v>5.01</v>
      </c>
      <c r="M225" s="84">
        <f>IF(TRIM($B225)="","",IFERROR(VLOOKUP($B225,'Section Data'!$B$5:$AC$35,10,FALSE),""))</f>
        <v>12.92</v>
      </c>
      <c r="N225" s="84">
        <f t="shared" si="28"/>
        <v>8</v>
      </c>
      <c r="O225" s="84">
        <f t="shared" si="29"/>
        <v>80</v>
      </c>
      <c r="P225" s="84">
        <f>IF(TRIM($B225)="","",IFERROR(VLOOKUP($B225,'Section Data'!$B$5:$AC$35,5,FALSE)*VLOOKUP($B225,'Section Data'!$B$5:$AC$35,3,FALSE),""))</f>
        <v>6492.09</v>
      </c>
      <c r="Q225" s="84">
        <f t="shared" si="30"/>
        <v>1293.1324186406309</v>
      </c>
      <c r="R225" s="84">
        <f>'Steel Beam Design'!H2064</f>
        <v>0</v>
      </c>
      <c r="S225" s="84">
        <f t="shared" si="31"/>
        <v>0</v>
      </c>
      <c r="T225" s="84">
        <f>IF(TRIM($B225)="","",IFERROR(VLOOKUP($B225,'Section Data'!$B$5:$AC$35,20,FALSE),""))</f>
        <v>2995</v>
      </c>
      <c r="U225" s="84">
        <f>IF(TRIM($B225)="","",IFERROR(VLOOKUP($B225,'Section Data'!$B$5:$AC$35,21,FALSE),""))</f>
        <v>1037</v>
      </c>
      <c r="V225" s="84">
        <f>IF(TRIM($B225)="","",IFERROR(VLOOKUP($B225,'Section Data'!$B$5:$AC$35,22,FALSE),""))</f>
        <v>3440</v>
      </c>
      <c r="W225" s="84">
        <f>IF(TRIM($B225)="","",IFERROR(VLOOKUP($B225,'Section Data'!$B$5:$AC$35,23,FALSE),""))</f>
        <v>1581</v>
      </c>
      <c r="X225" s="84">
        <f>IF(TRIM($B225)="","",IFERROR((VLOOKUP($B225,'Section Data'!$B$5:$AC$35,5,FALSE)/10)*(VLOOKUP($B225,'Section Data'!$B$5:$AC$35,3,FALSE)/10)^2/4,""))</f>
        <v>551.66534774999991</v>
      </c>
      <c r="Y225" s="84">
        <f>IF(TRIM($B225)="","",IFERROR((VLOOKUP($B225,'Section Data'!$B$5:$AC$35,3,FALSE)/10)*(VLOOKUP($B225,'Section Data'!$B$5:$AC$35,5,FALSE)/10)^2/4,""))</f>
        <v>30.999729749999997</v>
      </c>
      <c r="Z225" s="84">
        <f t="shared" si="32"/>
        <v>1186.8</v>
      </c>
      <c r="AA225" s="84">
        <f t="shared" si="33"/>
        <v>429.31799999999993</v>
      </c>
      <c r="AB225" s="86" t="str">
        <f t="shared" si="34"/>
        <v/>
      </c>
      <c r="AC225" s="86" t="str">
        <f t="shared" si="35"/>
        <v/>
      </c>
      <c r="AD225" s="1" t="b">
        <f>AND(ISNUMBER(AB225),ISNUMBER(AC225),AB225&gt;=0,AC225&gt;=0,AB225&lt;=0.95,AC225&lt;=0.95,ISNUMBER(D225),D225&gt;0,'Steel Beam Design'!$A$18="",C225="UC",'Steel Beam Design'!$B$3="Cantilever Supported")</f>
        <v>0</v>
      </c>
      <c r="AE225" s="1" t="str">
        <f>'Steel Beam Design'!O28</f>
        <v/>
      </c>
    </row>
    <row r="226" spans="1:31">
      <c r="A226" s="1" t="s">
        <v>480</v>
      </c>
      <c r="B226" s="1" t="str">
        <f>'Section Data'!B19</f>
        <v>305x305x158</v>
      </c>
      <c r="C226" s="1" t="s">
        <v>367</v>
      </c>
      <c r="D226" s="84">
        <f>'Section Data'!C19</f>
        <v>158.1</v>
      </c>
      <c r="E226" s="84">
        <f>'Section Data'!Q19</f>
        <v>38750</v>
      </c>
      <c r="F226" s="84" t="str">
        <f>'Steel Beam Design'!O56</f>
        <v/>
      </c>
      <c r="G226" s="84" t="str">
        <f>'Steel Beam Design'!O80</f>
        <v/>
      </c>
      <c r="H226" s="84" t="str">
        <f>IF(TRIM($B226)="","",IFERROR('Steel Beam Design'!$D$7006,""))</f>
        <v>S355</v>
      </c>
      <c r="I226" s="84">
        <f>IF(TRIM($B226)="","",IFERROR(MAX(VLOOKUP($B226,'Section Data'!$B$5:$AC$35,5,FALSE),VLOOKUP($B226,'Section Data'!$B$5:$AC$35,6,FALSE)),""))</f>
        <v>25</v>
      </c>
      <c r="J226" s="84">
        <f>IF(TRIM($B226)="","",IFERROR(IF(I226&gt;150,"",INDEX('Section Data'!$AH$5:$AK$10,IF(I226&lt;=16,1,IF(I226&lt;=40,2,IF(I226&lt;=63,3,IF(I226&lt;=80,4,IF(I226&lt;=100,5,6))))),MATCH(H226,'Section Data'!$AH$4:$AK$4,0))),""))</f>
        <v>345</v>
      </c>
      <c r="K226" s="84">
        <f t="shared" si="27"/>
        <v>0.8928053815224023</v>
      </c>
      <c r="L226" s="84">
        <f>IF(TRIM($B226)="","",IFERROR(VLOOKUP($B226,'Section Data'!$B$5:$AC$35,9,FALSE),""))</f>
        <v>6.22</v>
      </c>
      <c r="M226" s="84">
        <f>IF(TRIM($B226)="","",IFERROR(VLOOKUP($B226,'Section Data'!$B$5:$AC$35,10,FALSE),""))</f>
        <v>15.61</v>
      </c>
      <c r="N226" s="84">
        <f t="shared" si="28"/>
        <v>8</v>
      </c>
      <c r="O226" s="84">
        <f t="shared" si="29"/>
        <v>80</v>
      </c>
      <c r="P226" s="84">
        <f>IF(TRIM($B226)="","",IFERROR(VLOOKUP($B226,'Section Data'!$B$5:$AC$35,5,FALSE)*VLOOKUP($B226,'Section Data'!$B$5:$AC$35,3,FALSE),""))</f>
        <v>5168.18</v>
      </c>
      <c r="Q226" s="84">
        <f t="shared" si="30"/>
        <v>1029.428289406052</v>
      </c>
      <c r="R226" s="84">
        <f>'Steel Beam Design'!H2064</f>
        <v>0</v>
      </c>
      <c r="S226" s="84">
        <f t="shared" si="31"/>
        <v>0</v>
      </c>
      <c r="T226" s="84">
        <f>IF(TRIM($B226)="","",IFERROR(VLOOKUP($B226,'Section Data'!$B$5:$AC$35,20,FALSE),""))</f>
        <v>2369</v>
      </c>
      <c r="U226" s="84">
        <f>IF(TRIM($B226)="","",IFERROR(VLOOKUP($B226,'Section Data'!$B$5:$AC$35,21,FALSE),""))</f>
        <v>808</v>
      </c>
      <c r="V226" s="84">
        <f>IF(TRIM($B226)="","",IFERROR(VLOOKUP($B226,'Section Data'!$B$5:$AC$35,22,FALSE),""))</f>
        <v>2680</v>
      </c>
      <c r="W226" s="84">
        <f>IF(TRIM($B226)="","",IFERROR(VLOOKUP($B226,'Section Data'!$B$5:$AC$35,23,FALSE),""))</f>
        <v>1230</v>
      </c>
      <c r="X226" s="84">
        <f>IF(TRIM($B226)="","",IFERROR((VLOOKUP($B226,'Section Data'!$B$5:$AC$35,5,FALSE)/10)*(VLOOKUP($B226,'Section Data'!$B$5:$AC$35,3,FALSE)/10)^2/4,""))</f>
        <v>422.62791950000008</v>
      </c>
      <c r="Y226" s="84">
        <f>IF(TRIM($B226)="","",IFERROR((VLOOKUP($B226,'Section Data'!$B$5:$AC$35,3,FALSE)/10)*(VLOOKUP($B226,'Section Data'!$B$5:$AC$35,5,FALSE)/10)^2/4,""))</f>
        <v>20.414311000000005</v>
      </c>
      <c r="Z226" s="84">
        <f t="shared" si="32"/>
        <v>924.6</v>
      </c>
      <c r="AA226" s="84">
        <f t="shared" si="33"/>
        <v>334.51199999999994</v>
      </c>
      <c r="AB226" s="86" t="str">
        <f t="shared" si="34"/>
        <v/>
      </c>
      <c r="AC226" s="86" t="str">
        <f t="shared" si="35"/>
        <v/>
      </c>
      <c r="AD226" s="1" t="b">
        <f>AND(ISNUMBER(AB226),ISNUMBER(AC226),AB226&gt;=0,AC226&gt;=0,AB226&lt;=0.95,AC226&lt;=0.95,ISNUMBER(D226),D226&gt;0,'Steel Beam Design'!$A$18="",C226="UC",'Steel Beam Design'!$B$3="Cantilever Supported")</f>
        <v>0</v>
      </c>
      <c r="AE226" s="1" t="str">
        <f>'Steel Beam Design'!O28</f>
        <v/>
      </c>
    </row>
    <row r="227" spans="1:31">
      <c r="A227" s="1" t="s">
        <v>480</v>
      </c>
      <c r="B227" s="1" t="str">
        <f>'Section Data'!B20</f>
        <v>305x305x137</v>
      </c>
      <c r="C227" s="1" t="s">
        <v>367</v>
      </c>
      <c r="D227" s="84">
        <f>'Section Data'!C20</f>
        <v>136.9</v>
      </c>
      <c r="E227" s="84">
        <f>'Section Data'!Q20</f>
        <v>32810</v>
      </c>
      <c r="F227" s="84" t="str">
        <f>'Steel Beam Design'!O56</f>
        <v/>
      </c>
      <c r="G227" s="84" t="str">
        <f>'Steel Beam Design'!O80</f>
        <v/>
      </c>
      <c r="H227" s="84" t="str">
        <f>IF(TRIM($B227)="","",IFERROR('Steel Beam Design'!$D$7006,""))</f>
        <v>S355</v>
      </c>
      <c r="I227" s="84">
        <f>IF(TRIM($B227)="","",IFERROR(MAX(VLOOKUP($B227,'Section Data'!$B$5:$AC$35,5,FALSE),VLOOKUP($B227,'Section Data'!$B$5:$AC$35,6,FALSE)),""))</f>
        <v>21.7</v>
      </c>
      <c r="J227" s="84">
        <f>IF(TRIM($B227)="","",IFERROR(IF(I227&gt;150,"",INDEX('Section Data'!$AH$5:$AK$10,IF(I227&lt;=16,1,IF(I227&lt;=40,2,IF(I227&lt;=63,3,IF(I227&lt;=80,4,IF(I227&lt;=100,5,6))))),MATCH(H227,'Section Data'!$AH$4:$AK$4,0))),""))</f>
        <v>345</v>
      </c>
      <c r="K227" s="84">
        <f t="shared" si="27"/>
        <v>0.8928053815224023</v>
      </c>
      <c r="L227" s="84">
        <f>IF(TRIM($B227)="","",IFERROR(VLOOKUP($B227,'Section Data'!$B$5:$AC$35,9,FALSE),""))</f>
        <v>7.12</v>
      </c>
      <c r="M227" s="84">
        <f>IF(TRIM($B227)="","",IFERROR(VLOOKUP($B227,'Section Data'!$B$5:$AC$35,10,FALSE),""))</f>
        <v>17.88</v>
      </c>
      <c r="N227" s="84">
        <f t="shared" si="28"/>
        <v>8</v>
      </c>
      <c r="O227" s="84">
        <f t="shared" si="29"/>
        <v>80</v>
      </c>
      <c r="P227" s="84">
        <f>IF(TRIM($B227)="","",IFERROR(VLOOKUP($B227,'Section Data'!$B$5:$AC$35,5,FALSE)*VLOOKUP($B227,'Section Data'!$B$5:$AC$35,3,FALSE),""))</f>
        <v>4422.9000000000005</v>
      </c>
      <c r="Q227" s="84">
        <f t="shared" si="30"/>
        <v>880.97906443158479</v>
      </c>
      <c r="R227" s="84">
        <f>'Steel Beam Design'!H2064</f>
        <v>0</v>
      </c>
      <c r="S227" s="84">
        <f t="shared" si="31"/>
        <v>0</v>
      </c>
      <c r="T227" s="84">
        <f>IF(TRIM($B227)="","",IFERROR(VLOOKUP($B227,'Section Data'!$B$5:$AC$35,20,FALSE),""))</f>
        <v>2048</v>
      </c>
      <c r="U227" s="84">
        <f>IF(TRIM($B227)="","",IFERROR(VLOOKUP($B227,'Section Data'!$B$5:$AC$35,21,FALSE),""))</f>
        <v>692</v>
      </c>
      <c r="V227" s="84">
        <f>IF(TRIM($B227)="","",IFERROR(VLOOKUP($B227,'Section Data'!$B$5:$AC$35,22,FALSE),""))</f>
        <v>2297</v>
      </c>
      <c r="W227" s="84">
        <f>IF(TRIM($B227)="","",IFERROR(VLOOKUP($B227,'Section Data'!$B$5:$AC$35,23,FALSE),""))</f>
        <v>1053</v>
      </c>
      <c r="X227" s="84">
        <f>IF(TRIM($B227)="","",IFERROR((VLOOKUP($B227,'Section Data'!$B$5:$AC$35,5,FALSE)/10)*(VLOOKUP($B227,'Section Data'!$B$5:$AC$35,3,FALSE)/10)^2/4,""))</f>
        <v>354.3848625</v>
      </c>
      <c r="Y227" s="84">
        <f>IF(TRIM($B227)="","",IFERROR((VLOOKUP($B227,'Section Data'!$B$5:$AC$35,3,FALSE)/10)*(VLOOKUP($B227,'Section Data'!$B$5:$AC$35,5,FALSE)/10)^2/4,""))</f>
        <v>15.259005000000002</v>
      </c>
      <c r="Z227" s="84">
        <f t="shared" si="32"/>
        <v>792.46500000000003</v>
      </c>
      <c r="AA227" s="84">
        <f t="shared" si="33"/>
        <v>286.488</v>
      </c>
      <c r="AB227" s="86" t="str">
        <f t="shared" si="34"/>
        <v/>
      </c>
      <c r="AC227" s="86" t="str">
        <f t="shared" si="35"/>
        <v/>
      </c>
      <c r="AD227" s="1" t="b">
        <f>AND(ISNUMBER(AB227),ISNUMBER(AC227),AB227&gt;=0,AC227&gt;=0,AB227&lt;=0.95,AC227&lt;=0.95,ISNUMBER(D227),D227&gt;0,'Steel Beam Design'!$A$18="",C227="UC",'Steel Beam Design'!$B$3="Cantilever Supported")</f>
        <v>0</v>
      </c>
      <c r="AE227" s="1" t="str">
        <f>'Steel Beam Design'!O28</f>
        <v/>
      </c>
    </row>
    <row r="228" spans="1:31">
      <c r="A228" s="1" t="s">
        <v>480</v>
      </c>
      <c r="B228" s="1" t="str">
        <f>'Section Data'!B21</f>
        <v>305x305x118</v>
      </c>
      <c r="C228" s="1" t="s">
        <v>367</v>
      </c>
      <c r="D228" s="84">
        <f>'Section Data'!C21</f>
        <v>117.9</v>
      </c>
      <c r="E228" s="84">
        <f>'Section Data'!Q21</f>
        <v>27670</v>
      </c>
      <c r="F228" s="84" t="str">
        <f>'Steel Beam Design'!O56</f>
        <v/>
      </c>
      <c r="G228" s="84" t="str">
        <f>'Steel Beam Design'!O80</f>
        <v/>
      </c>
      <c r="H228" s="84" t="str">
        <f>IF(TRIM($B228)="","",IFERROR('Steel Beam Design'!$D$7006,""))</f>
        <v>S355</v>
      </c>
      <c r="I228" s="84">
        <f>IF(TRIM($B228)="","",IFERROR(MAX(VLOOKUP($B228,'Section Data'!$B$5:$AC$35,5,FALSE),VLOOKUP($B228,'Section Data'!$B$5:$AC$35,6,FALSE)),""))</f>
        <v>18.7</v>
      </c>
      <c r="J228" s="84">
        <f>IF(TRIM($B228)="","",IFERROR(IF(I228&gt;150,"",INDEX('Section Data'!$AH$5:$AK$10,IF(I228&lt;=16,1,IF(I228&lt;=40,2,IF(I228&lt;=63,3,IF(I228&lt;=80,4,IF(I228&lt;=100,5,6))))),MATCH(H228,'Section Data'!$AH$4:$AK$4,0))),""))</f>
        <v>345</v>
      </c>
      <c r="K228" s="84">
        <f t="shared" si="27"/>
        <v>0.8928053815224023</v>
      </c>
      <c r="L228" s="84">
        <f>IF(TRIM($B228)="","",IFERROR(VLOOKUP($B228,'Section Data'!$B$5:$AC$35,9,FALSE),""))</f>
        <v>8.2200000000000006</v>
      </c>
      <c r="M228" s="84">
        <f>IF(TRIM($B228)="","",IFERROR(VLOOKUP($B228,'Section Data'!$B$5:$AC$35,10,FALSE),""))</f>
        <v>20.56</v>
      </c>
      <c r="N228" s="84">
        <f t="shared" si="28"/>
        <v>13</v>
      </c>
      <c r="O228" s="84">
        <f t="shared" si="29"/>
        <v>80</v>
      </c>
      <c r="P228" s="84">
        <f>IF(TRIM($B228)="","",IFERROR(VLOOKUP($B228,'Section Data'!$B$5:$AC$35,5,FALSE)*VLOOKUP($B228,'Section Data'!$B$5:$AC$35,3,FALSE),""))</f>
        <v>3774</v>
      </c>
      <c r="Q228" s="84">
        <f t="shared" si="30"/>
        <v>751.72737099296842</v>
      </c>
      <c r="R228" s="84">
        <f>'Steel Beam Design'!H2064</f>
        <v>0</v>
      </c>
      <c r="S228" s="84">
        <f t="shared" si="31"/>
        <v>0</v>
      </c>
      <c r="T228" s="84">
        <f>IF(TRIM($B228)="","",IFERROR(VLOOKUP($B228,'Section Data'!$B$5:$AC$35,20,FALSE),""))</f>
        <v>1760</v>
      </c>
      <c r="U228" s="84">
        <f>IF(TRIM($B228)="","",IFERROR(VLOOKUP($B228,'Section Data'!$B$5:$AC$35,21,FALSE),""))</f>
        <v>589</v>
      </c>
      <c r="V228" s="84">
        <f>IF(TRIM($B228)="","",IFERROR(VLOOKUP($B228,'Section Data'!$B$5:$AC$35,22,FALSE),""))</f>
        <v>1958</v>
      </c>
      <c r="W228" s="84">
        <f>IF(TRIM($B228)="","",IFERROR(VLOOKUP($B228,'Section Data'!$B$5:$AC$35,23,FALSE),""))</f>
        <v>895</v>
      </c>
      <c r="X228" s="84">
        <f>IF(TRIM($B228)="","",IFERROR((VLOOKUP($B228,'Section Data'!$B$5:$AC$35,5,FALSE)/10)*(VLOOKUP($B228,'Section Data'!$B$5:$AC$35,3,FALSE)/10)^2/4,""))</f>
        <v>296.73075</v>
      </c>
      <c r="Y228" s="84">
        <f>IF(TRIM($B228)="","",IFERROR((VLOOKUP($B228,'Section Data'!$B$5:$AC$35,3,FALSE)/10)*(VLOOKUP($B228,'Section Data'!$B$5:$AC$35,5,FALSE)/10)^2/4,""))</f>
        <v>11.321999999999999</v>
      </c>
      <c r="Z228" s="84">
        <f t="shared" si="32"/>
        <v>607.20000000000005</v>
      </c>
      <c r="AA228" s="84">
        <f t="shared" si="33"/>
        <v>203.20500000000001</v>
      </c>
      <c r="AB228" s="86" t="str">
        <f t="shared" si="34"/>
        <v/>
      </c>
      <c r="AC228" s="86" t="str">
        <f t="shared" si="35"/>
        <v/>
      </c>
      <c r="AD228" s="1" t="b">
        <f>AND(ISNUMBER(AB228),ISNUMBER(AC228),AB228&gt;=0,AC228&gt;=0,AB228&lt;=0.95,AC228&lt;=0.95,ISNUMBER(D228),D228&gt;0,'Steel Beam Design'!$A$18="",C228="UC",'Steel Beam Design'!$B$3="Cantilever Supported")</f>
        <v>0</v>
      </c>
      <c r="AE228" s="1" t="str">
        <f>'Steel Beam Design'!O28</f>
        <v/>
      </c>
    </row>
    <row r="229" spans="1:31">
      <c r="A229" s="1" t="s">
        <v>480</v>
      </c>
      <c r="B229" s="1" t="str">
        <f>'Section Data'!B22</f>
        <v>305x305x97</v>
      </c>
      <c r="C229" s="1" t="s">
        <v>367</v>
      </c>
      <c r="D229" s="84">
        <f>'Section Data'!C22</f>
        <v>96.9</v>
      </c>
      <c r="E229" s="84">
        <f>'Section Data'!Q22</f>
        <v>22250</v>
      </c>
      <c r="F229" s="84" t="str">
        <f>'Steel Beam Design'!O56</f>
        <v/>
      </c>
      <c r="G229" s="84" t="str">
        <f>'Steel Beam Design'!O80</f>
        <v/>
      </c>
      <c r="H229" s="84" t="str">
        <f>IF(TRIM($B229)="","",IFERROR('Steel Beam Design'!$D$7006,""))</f>
        <v>S355</v>
      </c>
      <c r="I229" s="84">
        <f>IF(TRIM($B229)="","",IFERROR(MAX(VLOOKUP($B229,'Section Data'!$B$5:$AC$35,5,FALSE),VLOOKUP($B229,'Section Data'!$B$5:$AC$35,6,FALSE)),""))</f>
        <v>15.4</v>
      </c>
      <c r="J229" s="84">
        <f>IF(TRIM($B229)="","",IFERROR(IF(I229&gt;150,"",INDEX('Section Data'!$AH$5:$AK$10,IF(I229&lt;=16,1,IF(I229&lt;=40,2,IF(I229&lt;=63,3,IF(I229&lt;=80,4,IF(I229&lt;=100,5,6))))),MATCH(H229,'Section Data'!$AH$4:$AK$4,0))),""))</f>
        <v>355</v>
      </c>
      <c r="K229" s="84">
        <f t="shared" si="27"/>
        <v>0.88014083380101371</v>
      </c>
      <c r="L229" s="84">
        <f>IF(TRIM($B229)="","",IFERROR(VLOOKUP($B229,'Section Data'!$B$5:$AC$35,9,FALSE),""))</f>
        <v>9.91</v>
      </c>
      <c r="M229" s="84">
        <f>IF(TRIM($B229)="","",IFERROR(VLOOKUP($B229,'Section Data'!$B$5:$AC$35,10,FALSE),""))</f>
        <v>24.92</v>
      </c>
      <c r="N229" s="84">
        <f t="shared" si="28"/>
        <v>13</v>
      </c>
      <c r="O229" s="84">
        <f t="shared" si="29"/>
        <v>80</v>
      </c>
      <c r="P229" s="84">
        <f>IF(TRIM($B229)="","",IFERROR(VLOOKUP($B229,'Section Data'!$B$5:$AC$35,5,FALSE)*VLOOKUP($B229,'Section Data'!$B$5:$AC$35,3,FALSE),""))</f>
        <v>3048.21</v>
      </c>
      <c r="Q229" s="84">
        <f t="shared" si="30"/>
        <v>624.75912673651078</v>
      </c>
      <c r="R229" s="84">
        <f>'Steel Beam Design'!H2064</f>
        <v>0</v>
      </c>
      <c r="S229" s="84">
        <f t="shared" si="31"/>
        <v>0</v>
      </c>
      <c r="T229" s="84">
        <f>IF(TRIM($B229)="","",IFERROR(VLOOKUP($B229,'Section Data'!$B$5:$AC$35,20,FALSE),""))</f>
        <v>1445</v>
      </c>
      <c r="U229" s="84">
        <f>IF(TRIM($B229)="","",IFERROR(VLOOKUP($B229,'Section Data'!$B$5:$AC$35,21,FALSE),""))</f>
        <v>479</v>
      </c>
      <c r="V229" s="84">
        <f>IF(TRIM($B229)="","",IFERROR(VLOOKUP($B229,'Section Data'!$B$5:$AC$35,22,FALSE),""))</f>
        <v>1592</v>
      </c>
      <c r="W229" s="84">
        <f>IF(TRIM($B229)="","",IFERROR(VLOOKUP($B229,'Section Data'!$B$5:$AC$35,23,FALSE),""))</f>
        <v>726</v>
      </c>
      <c r="X229" s="84">
        <f>IF(TRIM($B229)="","",IFERROR((VLOOKUP($B229,'Section Data'!$B$5:$AC$35,5,FALSE)/10)*(VLOOKUP($B229,'Section Data'!$B$5:$AC$35,3,FALSE)/10)^2/4,""))</f>
        <v>234.63596475</v>
      </c>
      <c r="Y229" s="84">
        <f>IF(TRIM($B229)="","",IFERROR((VLOOKUP($B229,'Section Data'!$B$5:$AC$35,3,FALSE)/10)*(VLOOKUP($B229,'Section Data'!$B$5:$AC$35,5,FALSE)/10)^2/4,""))</f>
        <v>7.5443197499999997</v>
      </c>
      <c r="Z229" s="84">
        <f t="shared" si="32"/>
        <v>512.97500000000002</v>
      </c>
      <c r="AA229" s="84">
        <f t="shared" si="33"/>
        <v>170.04499999999999</v>
      </c>
      <c r="AB229" s="86" t="str">
        <f t="shared" si="34"/>
        <v/>
      </c>
      <c r="AC229" s="86" t="str">
        <f t="shared" si="35"/>
        <v/>
      </c>
      <c r="AD229" s="1" t="b">
        <f>AND(ISNUMBER(AB229),ISNUMBER(AC229),AB229&gt;=0,AC229&gt;=0,AB229&lt;=0.95,AC229&lt;=0.95,ISNUMBER(D229),D229&gt;0,'Steel Beam Design'!$A$18="",C229="UC",'Steel Beam Design'!$B$3="Cantilever Supported")</f>
        <v>0</v>
      </c>
      <c r="AE229" s="1" t="str">
        <f>'Steel Beam Design'!O28</f>
        <v/>
      </c>
    </row>
    <row r="230" spans="1:31">
      <c r="A230" s="1" t="s">
        <v>480</v>
      </c>
      <c r="B230" s="1" t="str">
        <f>'Section Data'!B23</f>
        <v>254x254x167</v>
      </c>
      <c r="C230" s="1" t="s">
        <v>367</v>
      </c>
      <c r="D230" s="84">
        <f>'Section Data'!C23</f>
        <v>167.1</v>
      </c>
      <c r="E230" s="84">
        <f>'Section Data'!Q23</f>
        <v>30000</v>
      </c>
      <c r="F230" s="84" t="str">
        <f>'Steel Beam Design'!O56</f>
        <v/>
      </c>
      <c r="G230" s="84" t="str">
        <f>'Steel Beam Design'!O80</f>
        <v/>
      </c>
      <c r="H230" s="84" t="str">
        <f>IF(TRIM($B230)="","",IFERROR('Steel Beam Design'!$D$7006,""))</f>
        <v>S355</v>
      </c>
      <c r="I230" s="84">
        <f>IF(TRIM($B230)="","",IFERROR(MAX(VLOOKUP($B230,'Section Data'!$B$5:$AC$35,5,FALSE),VLOOKUP($B230,'Section Data'!$B$5:$AC$35,6,FALSE)),""))</f>
        <v>31.7</v>
      </c>
      <c r="J230" s="84">
        <f>IF(TRIM($B230)="","",IFERROR(IF(I230&gt;150,"",INDEX('Section Data'!$AH$5:$AK$10,IF(I230&lt;=16,1,IF(I230&lt;=40,2,IF(I230&lt;=63,3,IF(I230&lt;=80,4,IF(I230&lt;=100,5,6))))),MATCH(H230,'Section Data'!$AH$4:$AK$4,0))),""))</f>
        <v>345</v>
      </c>
      <c r="K230" s="84">
        <f t="shared" si="27"/>
        <v>0.8928053815224023</v>
      </c>
      <c r="L230" s="84">
        <f>IF(TRIM($B230)="","",IFERROR(VLOOKUP($B230,'Section Data'!$B$5:$AC$35,9,FALSE),""))</f>
        <v>4.18</v>
      </c>
      <c r="M230" s="84">
        <f>IF(TRIM($B230)="","",IFERROR(VLOOKUP($B230,'Section Data'!$B$5:$AC$35,10,FALSE),""))</f>
        <v>10.43</v>
      </c>
      <c r="N230" s="84">
        <f t="shared" si="28"/>
        <v>8</v>
      </c>
      <c r="O230" s="84">
        <f t="shared" si="29"/>
        <v>80</v>
      </c>
      <c r="P230" s="84">
        <f>IF(TRIM($B230)="","",IFERROR(VLOOKUP($B230,'Section Data'!$B$5:$AC$35,5,FALSE)*VLOOKUP($B230,'Section Data'!$B$5:$AC$35,3,FALSE),""))</f>
        <v>5550.72</v>
      </c>
      <c r="Q230" s="84">
        <f t="shared" si="30"/>
        <v>1105.6248417377028</v>
      </c>
      <c r="R230" s="84">
        <f>'Steel Beam Design'!H2064</f>
        <v>0</v>
      </c>
      <c r="S230" s="84">
        <f t="shared" si="31"/>
        <v>0</v>
      </c>
      <c r="T230" s="84">
        <f>IF(TRIM($B230)="","",IFERROR(VLOOKUP($B230,'Section Data'!$B$5:$AC$35,20,FALSE),""))</f>
        <v>2075</v>
      </c>
      <c r="U230" s="84">
        <f>IF(TRIM($B230)="","",IFERROR(VLOOKUP($B230,'Section Data'!$B$5:$AC$35,21,FALSE),""))</f>
        <v>744</v>
      </c>
      <c r="V230" s="84">
        <f>IF(TRIM($B230)="","",IFERROR(VLOOKUP($B230,'Section Data'!$B$5:$AC$35,22,FALSE),""))</f>
        <v>2424</v>
      </c>
      <c r="W230" s="84">
        <f>IF(TRIM($B230)="","",IFERROR(VLOOKUP($B230,'Section Data'!$B$5:$AC$35,23,FALSE),""))</f>
        <v>1137</v>
      </c>
      <c r="X230" s="84">
        <f>IF(TRIM($B230)="","",IFERROR((VLOOKUP($B230,'Section Data'!$B$5:$AC$35,5,FALSE)/10)*(VLOOKUP($B230,'Section Data'!$B$5:$AC$35,3,FALSE)/10)^2/4,""))</f>
        <v>401.17828800000007</v>
      </c>
      <c r="Y230" s="84">
        <f>IF(TRIM($B230)="","",IFERROR((VLOOKUP($B230,'Section Data'!$B$5:$AC$35,3,FALSE)/10)*(VLOOKUP($B230,'Section Data'!$B$5:$AC$35,5,FALSE)/10)^2/4,""))</f>
        <v>26.643456000000004</v>
      </c>
      <c r="Z230" s="84">
        <f t="shared" si="32"/>
        <v>836.28</v>
      </c>
      <c r="AA230" s="84">
        <f t="shared" si="33"/>
        <v>308.01600000000002</v>
      </c>
      <c r="AB230" s="86" t="str">
        <f t="shared" si="34"/>
        <v/>
      </c>
      <c r="AC230" s="86" t="str">
        <f t="shared" si="35"/>
        <v/>
      </c>
      <c r="AD230" s="1" t="b">
        <f>AND(ISNUMBER(AB230),ISNUMBER(AC230),AB230&gt;=0,AC230&gt;=0,AB230&lt;=0.95,AC230&lt;=0.95,ISNUMBER(D230),D230&gt;0,'Steel Beam Design'!$A$18="",C230="UC",'Steel Beam Design'!$B$3="Cantilever Supported")</f>
        <v>0</v>
      </c>
      <c r="AE230" s="1" t="str">
        <f>'Steel Beam Design'!O28</f>
        <v/>
      </c>
    </row>
    <row r="231" spans="1:31">
      <c r="A231" s="1" t="s">
        <v>480</v>
      </c>
      <c r="B231" s="1" t="str">
        <f>'Section Data'!B24</f>
        <v>254x254x132</v>
      </c>
      <c r="C231" s="1" t="s">
        <v>367</v>
      </c>
      <c r="D231" s="84">
        <f>'Section Data'!C24</f>
        <v>132</v>
      </c>
      <c r="E231" s="84">
        <f>'Section Data'!Q24</f>
        <v>22530</v>
      </c>
      <c r="F231" s="84" t="str">
        <f>'Steel Beam Design'!O56</f>
        <v/>
      </c>
      <c r="G231" s="84" t="str">
        <f>'Steel Beam Design'!O80</f>
        <v/>
      </c>
      <c r="H231" s="84" t="str">
        <f>IF(TRIM($B231)="","",IFERROR('Steel Beam Design'!$D$7006,""))</f>
        <v>S355</v>
      </c>
      <c r="I231" s="84">
        <f>IF(TRIM($B231)="","",IFERROR(MAX(VLOOKUP($B231,'Section Data'!$B$5:$AC$35,5,FALSE),VLOOKUP($B231,'Section Data'!$B$5:$AC$35,6,FALSE)),""))</f>
        <v>25.3</v>
      </c>
      <c r="J231" s="84">
        <f>IF(TRIM($B231)="","",IFERROR(IF(I231&gt;150,"",INDEX('Section Data'!$AH$5:$AK$10,IF(I231&lt;=16,1,IF(I231&lt;=40,2,IF(I231&lt;=63,3,IF(I231&lt;=80,4,IF(I231&lt;=100,5,6))))),MATCH(H231,'Section Data'!$AH$4:$AK$4,0))),""))</f>
        <v>345</v>
      </c>
      <c r="K231" s="84">
        <f t="shared" si="27"/>
        <v>0.8928053815224023</v>
      </c>
      <c r="L231" s="84">
        <f>IF(TRIM($B231)="","",IFERROR(VLOOKUP($B231,'Section Data'!$B$5:$AC$35,9,FALSE),""))</f>
        <v>5.16</v>
      </c>
      <c r="M231" s="84">
        <f>IF(TRIM($B231)="","",IFERROR(VLOOKUP($B231,'Section Data'!$B$5:$AC$35,10,FALSE),""))</f>
        <v>13.09</v>
      </c>
      <c r="N231" s="84">
        <f t="shared" si="28"/>
        <v>8</v>
      </c>
      <c r="O231" s="84">
        <f t="shared" si="29"/>
        <v>80</v>
      </c>
      <c r="P231" s="84">
        <f>IF(TRIM($B231)="","",IFERROR(VLOOKUP($B231,'Section Data'!$B$5:$AC$35,5,FALSE)*VLOOKUP($B231,'Section Data'!$B$5:$AC$35,3,FALSE),""))</f>
        <v>4227.3900000000003</v>
      </c>
      <c r="Q231" s="84">
        <f t="shared" si="30"/>
        <v>842.03624029198863</v>
      </c>
      <c r="R231" s="84">
        <f>'Steel Beam Design'!H2064</f>
        <v>0</v>
      </c>
      <c r="S231" s="84">
        <f t="shared" si="31"/>
        <v>0</v>
      </c>
      <c r="T231" s="84">
        <f>IF(TRIM($B231)="","",IFERROR(VLOOKUP($B231,'Section Data'!$B$5:$AC$35,20,FALSE),""))</f>
        <v>1631</v>
      </c>
      <c r="U231" s="84">
        <f>IF(TRIM($B231)="","",IFERROR(VLOOKUP($B231,'Section Data'!$B$5:$AC$35,21,FALSE),""))</f>
        <v>576</v>
      </c>
      <c r="V231" s="84">
        <f>IF(TRIM($B231)="","",IFERROR(VLOOKUP($B231,'Section Data'!$B$5:$AC$35,22,FALSE),""))</f>
        <v>1869</v>
      </c>
      <c r="W231" s="84">
        <f>IF(TRIM($B231)="","",IFERROR(VLOOKUP($B231,'Section Data'!$B$5:$AC$35,23,FALSE),""))</f>
        <v>878</v>
      </c>
      <c r="X231" s="84">
        <f>IF(TRIM($B231)="","",IFERROR((VLOOKUP($B231,'Section Data'!$B$5:$AC$35,5,FALSE)/10)*(VLOOKUP($B231,'Section Data'!$B$5:$AC$35,3,FALSE)/10)^2/4,""))</f>
        <v>292.00696425000007</v>
      </c>
      <c r="Y231" s="84">
        <f>IF(TRIM($B231)="","",IFERROR((VLOOKUP($B231,'Section Data'!$B$5:$AC$35,3,FALSE)/10)*(VLOOKUP($B231,'Section Data'!$B$5:$AC$35,5,FALSE)/10)^2/4,""))</f>
        <v>16.169766750000001</v>
      </c>
      <c r="Z231" s="84">
        <f t="shared" si="32"/>
        <v>644.80499999999995</v>
      </c>
      <c r="AA231" s="84">
        <f t="shared" si="33"/>
        <v>238.46399999999997</v>
      </c>
      <c r="AB231" s="86" t="str">
        <f t="shared" si="34"/>
        <v/>
      </c>
      <c r="AC231" s="86" t="str">
        <f t="shared" si="35"/>
        <v/>
      </c>
      <c r="AD231" s="1" t="b">
        <f>AND(ISNUMBER(AB231),ISNUMBER(AC231),AB231&gt;=0,AC231&gt;=0,AB231&lt;=0.95,AC231&lt;=0.95,ISNUMBER(D231),D231&gt;0,'Steel Beam Design'!$A$18="",C231="UC",'Steel Beam Design'!$B$3="Cantilever Supported")</f>
        <v>0</v>
      </c>
      <c r="AE231" s="1" t="str">
        <f>'Steel Beam Design'!O28</f>
        <v/>
      </c>
    </row>
    <row r="232" spans="1:31">
      <c r="A232" s="1" t="s">
        <v>480</v>
      </c>
      <c r="B232" s="1" t="str">
        <f>'Section Data'!B25</f>
        <v>254x254x107</v>
      </c>
      <c r="C232" s="1" t="s">
        <v>367</v>
      </c>
      <c r="D232" s="84">
        <f>'Section Data'!C25</f>
        <v>107.1</v>
      </c>
      <c r="E232" s="84">
        <f>'Section Data'!Q25</f>
        <v>17510</v>
      </c>
      <c r="F232" s="84" t="str">
        <f>'Steel Beam Design'!O56</f>
        <v/>
      </c>
      <c r="G232" s="84" t="str">
        <f>'Steel Beam Design'!O80</f>
        <v/>
      </c>
      <c r="H232" s="84" t="str">
        <f>IF(TRIM($B232)="","",IFERROR('Steel Beam Design'!$D$7006,""))</f>
        <v>S355</v>
      </c>
      <c r="I232" s="84">
        <f>IF(TRIM($B232)="","",IFERROR(MAX(VLOOKUP($B232,'Section Data'!$B$5:$AC$35,5,FALSE),VLOOKUP($B232,'Section Data'!$B$5:$AC$35,6,FALSE)),""))</f>
        <v>20.5</v>
      </c>
      <c r="J232" s="84">
        <f>IF(TRIM($B232)="","",IFERROR(IF(I232&gt;150,"",INDEX('Section Data'!$AH$5:$AK$10,IF(I232&lt;=16,1,IF(I232&lt;=40,2,IF(I232&lt;=63,3,IF(I232&lt;=80,4,IF(I232&lt;=100,5,6))))),MATCH(H232,'Section Data'!$AH$4:$AK$4,0))),""))</f>
        <v>345</v>
      </c>
      <c r="K232" s="84">
        <f t="shared" si="27"/>
        <v>0.8928053815224023</v>
      </c>
      <c r="L232" s="84">
        <f>IF(TRIM($B232)="","",IFERROR(VLOOKUP($B232,'Section Data'!$B$5:$AC$35,9,FALSE),""))</f>
        <v>6.31</v>
      </c>
      <c r="M232" s="84">
        <f>IF(TRIM($B232)="","",IFERROR(VLOOKUP($B232,'Section Data'!$B$5:$AC$35,10,FALSE),""))</f>
        <v>15.65</v>
      </c>
      <c r="N232" s="84">
        <f t="shared" si="28"/>
        <v>8</v>
      </c>
      <c r="O232" s="84">
        <f t="shared" si="29"/>
        <v>80</v>
      </c>
      <c r="P232" s="84">
        <f>IF(TRIM($B232)="","",IFERROR(VLOOKUP($B232,'Section Data'!$B$5:$AC$35,5,FALSE)*VLOOKUP($B232,'Section Data'!$B$5:$AC$35,3,FALSE),""))</f>
        <v>3413.76</v>
      </c>
      <c r="Q232" s="84">
        <f t="shared" si="30"/>
        <v>679.97266295732811</v>
      </c>
      <c r="R232" s="84">
        <f>'Steel Beam Design'!H2064</f>
        <v>0</v>
      </c>
      <c r="S232" s="84">
        <f t="shared" si="31"/>
        <v>0</v>
      </c>
      <c r="T232" s="84">
        <f>IF(TRIM($B232)="","",IFERROR(VLOOKUP($B232,'Section Data'!$B$5:$AC$35,20,FALSE),""))</f>
        <v>1313</v>
      </c>
      <c r="U232" s="84">
        <f>IF(TRIM($B232)="","",IFERROR(VLOOKUP($B232,'Section Data'!$B$5:$AC$35,21,FALSE),""))</f>
        <v>458</v>
      </c>
      <c r="V232" s="84">
        <f>IF(TRIM($B232)="","",IFERROR(VLOOKUP($B232,'Section Data'!$B$5:$AC$35,22,FALSE),""))</f>
        <v>1484</v>
      </c>
      <c r="W232" s="84">
        <f>IF(TRIM($B232)="","",IFERROR(VLOOKUP($B232,'Section Data'!$B$5:$AC$35,23,FALSE),""))</f>
        <v>697</v>
      </c>
      <c r="X232" s="84">
        <f>IF(TRIM($B232)="","",IFERROR((VLOOKUP($B232,'Section Data'!$B$5:$AC$35,5,FALSE)/10)*(VLOOKUP($B232,'Section Data'!$B$5:$AC$35,3,FALSE)/10)^2/4,""))</f>
        <v>227.61244799999997</v>
      </c>
      <c r="Y232" s="84">
        <f>IF(TRIM($B232)="","",IFERROR((VLOOKUP($B232,'Section Data'!$B$5:$AC$35,3,FALSE)/10)*(VLOOKUP($B232,'Section Data'!$B$5:$AC$35,5,FALSE)/10)^2/4,""))</f>
        <v>10.924032</v>
      </c>
      <c r="Z232" s="84">
        <f t="shared" si="32"/>
        <v>511.98</v>
      </c>
      <c r="AA232" s="84">
        <f t="shared" si="33"/>
        <v>189.61199999999999</v>
      </c>
      <c r="AB232" s="86" t="str">
        <f t="shared" si="34"/>
        <v/>
      </c>
      <c r="AC232" s="86" t="str">
        <f t="shared" si="35"/>
        <v/>
      </c>
      <c r="AD232" s="1" t="b">
        <f>AND(ISNUMBER(AB232),ISNUMBER(AC232),AB232&gt;=0,AC232&gt;=0,AB232&lt;=0.95,AC232&lt;=0.95,ISNUMBER(D232),D232&gt;0,'Steel Beam Design'!$A$18="",C232="UC",'Steel Beam Design'!$B$3="Cantilever Supported")</f>
        <v>0</v>
      </c>
      <c r="AE232" s="1" t="str">
        <f>'Steel Beam Design'!O28</f>
        <v/>
      </c>
    </row>
    <row r="233" spans="1:31">
      <c r="A233" s="1" t="s">
        <v>480</v>
      </c>
      <c r="B233" s="1" t="str">
        <f>'Section Data'!B26</f>
        <v>254x254x89</v>
      </c>
      <c r="C233" s="1" t="s">
        <v>367</v>
      </c>
      <c r="D233" s="84">
        <f>'Section Data'!C26</f>
        <v>88.9</v>
      </c>
      <c r="E233" s="84">
        <f>'Section Data'!Q26</f>
        <v>14270</v>
      </c>
      <c r="F233" s="84" t="str">
        <f>'Steel Beam Design'!O56</f>
        <v/>
      </c>
      <c r="G233" s="84" t="str">
        <f>'Steel Beam Design'!O80</f>
        <v/>
      </c>
      <c r="H233" s="84" t="str">
        <f>IF(TRIM($B233)="","",IFERROR('Steel Beam Design'!$D$7006,""))</f>
        <v>S355</v>
      </c>
      <c r="I233" s="84">
        <f>IF(TRIM($B233)="","",IFERROR(MAX(VLOOKUP($B233,'Section Data'!$B$5:$AC$35,5,FALSE),VLOOKUP($B233,'Section Data'!$B$5:$AC$35,6,FALSE)),""))</f>
        <v>17.3</v>
      </c>
      <c r="J233" s="84">
        <f>IF(TRIM($B233)="","",IFERROR(IF(I233&gt;150,"",INDEX('Section Data'!$AH$5:$AK$10,IF(I233&lt;=16,1,IF(I233&lt;=40,2,IF(I233&lt;=63,3,IF(I233&lt;=80,4,IF(I233&lt;=100,5,6))))),MATCH(H233,'Section Data'!$AH$4:$AK$4,0))),""))</f>
        <v>345</v>
      </c>
      <c r="K233" s="84">
        <f t="shared" si="27"/>
        <v>0.8928053815224023</v>
      </c>
      <c r="L233" s="84">
        <f>IF(TRIM($B233)="","",IFERROR(VLOOKUP($B233,'Section Data'!$B$5:$AC$35,9,FALSE),""))</f>
        <v>7.41</v>
      </c>
      <c r="M233" s="84">
        <f>IF(TRIM($B233)="","",IFERROR(VLOOKUP($B233,'Section Data'!$B$5:$AC$35,10,FALSE),""))</f>
        <v>19.45</v>
      </c>
      <c r="N233" s="84">
        <f t="shared" si="28"/>
        <v>9</v>
      </c>
      <c r="O233" s="84">
        <f t="shared" si="29"/>
        <v>80</v>
      </c>
      <c r="P233" s="84">
        <f>IF(TRIM($B233)="","",IFERROR(VLOOKUP($B233,'Section Data'!$B$5:$AC$35,5,FALSE)*VLOOKUP($B233,'Section Data'!$B$5:$AC$35,3,FALSE),""))</f>
        <v>2681.09</v>
      </c>
      <c r="Q233" s="84">
        <f t="shared" si="30"/>
        <v>534.0351714614568</v>
      </c>
      <c r="R233" s="84">
        <f>'Steel Beam Design'!H2064</f>
        <v>0</v>
      </c>
      <c r="S233" s="84">
        <f t="shared" si="31"/>
        <v>0</v>
      </c>
      <c r="T233" s="84">
        <f>IF(TRIM($B233)="","",IFERROR(VLOOKUP($B233,'Section Data'!$B$5:$AC$35,20,FALSE),""))</f>
        <v>1096</v>
      </c>
      <c r="U233" s="84">
        <f>IF(TRIM($B233)="","",IFERROR(VLOOKUP($B233,'Section Data'!$B$5:$AC$35,21,FALSE),""))</f>
        <v>379</v>
      </c>
      <c r="V233" s="84">
        <f>IF(TRIM($B233)="","",IFERROR(VLOOKUP($B233,'Section Data'!$B$5:$AC$35,22,FALSE),""))</f>
        <v>1224</v>
      </c>
      <c r="W233" s="84">
        <f>IF(TRIM($B233)="","",IFERROR(VLOOKUP($B233,'Section Data'!$B$5:$AC$35,23,FALSE),""))</f>
        <v>575</v>
      </c>
      <c r="X233" s="84">
        <f>IF(TRIM($B233)="","",IFERROR((VLOOKUP($B233,'Section Data'!$B$5:$AC$35,5,FALSE)/10)*(VLOOKUP($B233,'Section Data'!$B$5:$AC$35,3,FALSE)/10)^2/4,""))</f>
        <v>174.47193175000001</v>
      </c>
      <c r="Y233" s="84">
        <f>IF(TRIM($B233)="","",IFERROR((VLOOKUP($B233,'Section Data'!$B$5:$AC$35,3,FALSE)/10)*(VLOOKUP($B233,'Section Data'!$B$5:$AC$35,5,FALSE)/10)^2/4,""))</f>
        <v>6.9038067500000002</v>
      </c>
      <c r="Z233" s="84">
        <f t="shared" si="32"/>
        <v>422.28</v>
      </c>
      <c r="AA233" s="84">
        <f t="shared" si="33"/>
        <v>156.90600000000001</v>
      </c>
      <c r="AB233" s="86" t="str">
        <f t="shared" si="34"/>
        <v/>
      </c>
      <c r="AC233" s="86" t="str">
        <f t="shared" si="35"/>
        <v/>
      </c>
      <c r="AD233" s="1" t="b">
        <f>AND(ISNUMBER(AB233),ISNUMBER(AC233),AB233&gt;=0,AC233&gt;=0,AB233&lt;=0.95,AC233&lt;=0.95,ISNUMBER(D233),D233&gt;0,'Steel Beam Design'!$A$18="",C233="UC",'Steel Beam Design'!$B$3="Cantilever Supported")</f>
        <v>0</v>
      </c>
      <c r="AE233" s="1" t="str">
        <f>'Steel Beam Design'!O28</f>
        <v/>
      </c>
    </row>
    <row r="234" spans="1:31">
      <c r="A234" s="1" t="s">
        <v>480</v>
      </c>
      <c r="B234" s="1" t="str">
        <f>'Section Data'!B27</f>
        <v>254x254x73</v>
      </c>
      <c r="C234" s="1" t="s">
        <v>367</v>
      </c>
      <c r="D234" s="84">
        <f>'Section Data'!C27</f>
        <v>73.099999999999994</v>
      </c>
      <c r="E234" s="84">
        <f>'Section Data'!Q27</f>
        <v>11410</v>
      </c>
      <c r="F234" s="84" t="str">
        <f>'Steel Beam Design'!O56</f>
        <v/>
      </c>
      <c r="G234" s="84" t="str">
        <f>'Steel Beam Design'!O80</f>
        <v/>
      </c>
      <c r="H234" s="84" t="str">
        <f>IF(TRIM($B234)="","",IFERROR('Steel Beam Design'!$D$7006,""))</f>
        <v>S355</v>
      </c>
      <c r="I234" s="84">
        <f>IF(TRIM($B234)="","",IFERROR(MAX(VLOOKUP($B234,'Section Data'!$B$5:$AC$35,5,FALSE),VLOOKUP($B234,'Section Data'!$B$5:$AC$35,6,FALSE)),""))</f>
        <v>14.2</v>
      </c>
      <c r="J234" s="84">
        <f>IF(TRIM($B234)="","",IFERROR(IF(I234&gt;150,"",INDEX('Section Data'!$AH$5:$AK$10,IF(I234&lt;=16,1,IF(I234&lt;=40,2,IF(I234&lt;=63,3,IF(I234&lt;=80,4,IF(I234&lt;=100,5,6))))),MATCH(H234,'Section Data'!$AH$4:$AK$4,0))),""))</f>
        <v>355</v>
      </c>
      <c r="K234" s="84">
        <f t="shared" si="27"/>
        <v>0.88014083380101371</v>
      </c>
      <c r="L234" s="84">
        <f>IF(TRIM($B234)="","",IFERROR(VLOOKUP($B234,'Section Data'!$B$5:$AC$35,9,FALSE),""))</f>
        <v>8.9600000000000009</v>
      </c>
      <c r="M234" s="84">
        <f>IF(TRIM($B234)="","",IFERROR(VLOOKUP($B234,'Section Data'!$B$5:$AC$35,10,FALSE),""))</f>
        <v>23.29</v>
      </c>
      <c r="N234" s="84">
        <f t="shared" si="28"/>
        <v>13</v>
      </c>
      <c r="O234" s="84">
        <f t="shared" si="29"/>
        <v>80</v>
      </c>
      <c r="P234" s="84">
        <f>IF(TRIM($B234)="","",IFERROR(VLOOKUP($B234,'Section Data'!$B$5:$AC$35,5,FALSE)*VLOOKUP($B234,'Section Data'!$B$5:$AC$35,3,FALSE),""))</f>
        <v>2185.2599999999998</v>
      </c>
      <c r="Q234" s="84">
        <f t="shared" si="30"/>
        <v>447.88945948350914</v>
      </c>
      <c r="R234" s="84">
        <f>'Steel Beam Design'!H2064</f>
        <v>0</v>
      </c>
      <c r="S234" s="84">
        <f t="shared" si="31"/>
        <v>0</v>
      </c>
      <c r="T234" s="84">
        <f>IF(TRIM($B234)="","",IFERROR(VLOOKUP($B234,'Section Data'!$B$5:$AC$35,20,FALSE),""))</f>
        <v>898</v>
      </c>
      <c r="U234" s="84">
        <f>IF(TRIM($B234)="","",IFERROR(VLOOKUP($B234,'Section Data'!$B$5:$AC$35,21,FALSE),""))</f>
        <v>307</v>
      </c>
      <c r="V234" s="84">
        <f>IF(TRIM($B234)="","",IFERROR(VLOOKUP($B234,'Section Data'!$B$5:$AC$35,22,FALSE),""))</f>
        <v>992</v>
      </c>
      <c r="W234" s="84">
        <f>IF(TRIM($B234)="","",IFERROR(VLOOKUP($B234,'Section Data'!$B$5:$AC$35,23,FALSE),""))</f>
        <v>465</v>
      </c>
      <c r="X234" s="84">
        <f>IF(TRIM($B234)="","",IFERROR((VLOOKUP($B234,'Section Data'!$B$5:$AC$35,5,FALSE)/10)*(VLOOKUP($B234,'Section Data'!$B$5:$AC$35,3,FALSE)/10)^2/4,""))</f>
        <v>138.81864149999998</v>
      </c>
      <c r="Y234" s="84">
        <f>IF(TRIM($B234)="","",IFERROR((VLOOKUP($B234,'Section Data'!$B$5:$AC$35,3,FALSE)/10)*(VLOOKUP($B234,'Section Data'!$B$5:$AC$35,5,FALSE)/10)^2/4,""))</f>
        <v>4.6983089999999992</v>
      </c>
      <c r="Z234" s="84">
        <f t="shared" si="32"/>
        <v>318.79000000000002</v>
      </c>
      <c r="AA234" s="84">
        <f t="shared" si="33"/>
        <v>108.985</v>
      </c>
      <c r="AB234" s="86" t="str">
        <f t="shared" si="34"/>
        <v/>
      </c>
      <c r="AC234" s="86" t="str">
        <f t="shared" si="35"/>
        <v/>
      </c>
      <c r="AD234" s="1" t="b">
        <f>AND(ISNUMBER(AB234),ISNUMBER(AC234),AB234&gt;=0,AC234&gt;=0,AB234&lt;=0.95,AC234&lt;=0.95,ISNUMBER(D234),D234&gt;0,'Steel Beam Design'!$A$18="",C234="UC",'Steel Beam Design'!$B$3="Cantilever Supported")</f>
        <v>0</v>
      </c>
      <c r="AE234" s="1" t="str">
        <f>'Steel Beam Design'!O28</f>
        <v/>
      </c>
    </row>
    <row r="235" spans="1:31">
      <c r="A235" s="1" t="s">
        <v>480</v>
      </c>
      <c r="B235" s="1" t="str">
        <f>'Section Data'!B28</f>
        <v>203x203x86</v>
      </c>
      <c r="C235" s="1" t="s">
        <v>367</v>
      </c>
      <c r="D235" s="84">
        <f>'Section Data'!C28</f>
        <v>86.1</v>
      </c>
      <c r="E235" s="84">
        <f>'Section Data'!Q28</f>
        <v>9449</v>
      </c>
      <c r="F235" s="84" t="str">
        <f>'Steel Beam Design'!O56</f>
        <v/>
      </c>
      <c r="G235" s="84" t="str">
        <f>'Steel Beam Design'!O80</f>
        <v/>
      </c>
      <c r="H235" s="84" t="str">
        <f>IF(TRIM($B235)="","",IFERROR('Steel Beam Design'!$D$7006,""))</f>
        <v>S355</v>
      </c>
      <c r="I235" s="84">
        <f>IF(TRIM($B235)="","",IFERROR(MAX(VLOOKUP($B235,'Section Data'!$B$5:$AC$35,5,FALSE),VLOOKUP($B235,'Section Data'!$B$5:$AC$35,6,FALSE)),""))</f>
        <v>20.5</v>
      </c>
      <c r="J235" s="84">
        <f>IF(TRIM($B235)="","",IFERROR(IF(I235&gt;150,"",INDEX('Section Data'!$AH$5:$AK$10,IF(I235&lt;=16,1,IF(I235&lt;=40,2,IF(I235&lt;=63,3,IF(I235&lt;=80,4,IF(I235&lt;=100,5,6))))),MATCH(H235,'Section Data'!$AH$4:$AK$4,0))),""))</f>
        <v>345</v>
      </c>
      <c r="K235" s="84">
        <f t="shared" si="27"/>
        <v>0.8928053815224023</v>
      </c>
      <c r="L235" s="84">
        <f>IF(TRIM($B235)="","",IFERROR(VLOOKUP($B235,'Section Data'!$B$5:$AC$35,9,FALSE),""))</f>
        <v>5.0999999999999996</v>
      </c>
      <c r="M235" s="84">
        <f>IF(TRIM($B235)="","",IFERROR(VLOOKUP($B235,'Section Data'!$B$5:$AC$35,10,FALSE),""))</f>
        <v>12.66</v>
      </c>
      <c r="N235" s="84">
        <f t="shared" si="28"/>
        <v>8</v>
      </c>
      <c r="O235" s="84">
        <f t="shared" si="29"/>
        <v>80</v>
      </c>
      <c r="P235" s="84">
        <f>IF(TRIM($B235)="","",IFERROR(VLOOKUP($B235,'Section Data'!$B$5:$AC$35,5,FALSE)*VLOOKUP($B235,'Section Data'!$B$5:$AC$35,3,FALSE),""))</f>
        <v>2821.9399999999996</v>
      </c>
      <c r="Q235" s="84">
        <f t="shared" si="30"/>
        <v>562.09049742975537</v>
      </c>
      <c r="R235" s="84">
        <f>'Steel Beam Design'!H2064</f>
        <v>0</v>
      </c>
      <c r="S235" s="84">
        <f t="shared" si="31"/>
        <v>0</v>
      </c>
      <c r="T235" s="84">
        <f>IF(TRIM($B235)="","",IFERROR(VLOOKUP($B235,'Section Data'!$B$5:$AC$35,20,FALSE),""))</f>
        <v>850</v>
      </c>
      <c r="U235" s="84">
        <f>IF(TRIM($B235)="","",IFERROR(VLOOKUP($B235,'Section Data'!$B$5:$AC$35,21,FALSE),""))</f>
        <v>299</v>
      </c>
      <c r="V235" s="84">
        <f>IF(TRIM($B235)="","",IFERROR(VLOOKUP($B235,'Section Data'!$B$5:$AC$35,22,FALSE),""))</f>
        <v>977</v>
      </c>
      <c r="W235" s="84">
        <f>IF(TRIM($B235)="","",IFERROR(VLOOKUP($B235,'Section Data'!$B$5:$AC$35,23,FALSE),""))</f>
        <v>456</v>
      </c>
      <c r="X235" s="84">
        <f>IF(TRIM($B235)="","",IFERROR((VLOOKUP($B235,'Section Data'!$B$5:$AC$35,5,FALSE)/10)*(VLOOKUP($B235,'Section Data'!$B$5:$AC$35,3,FALSE)/10)^2/4,""))</f>
        <v>156.75876699999998</v>
      </c>
      <c r="Y235" s="84">
        <f>IF(TRIM($B235)="","",IFERROR((VLOOKUP($B235,'Section Data'!$B$5:$AC$35,3,FALSE)/10)*(VLOOKUP($B235,'Section Data'!$B$5:$AC$35,5,FALSE)/10)^2/4,""))</f>
        <v>8.959659499999999</v>
      </c>
      <c r="Z235" s="84">
        <f t="shared" si="32"/>
        <v>337.065</v>
      </c>
      <c r="AA235" s="84">
        <f t="shared" si="33"/>
        <v>123.786</v>
      </c>
      <c r="AB235" s="86" t="str">
        <f t="shared" si="34"/>
        <v/>
      </c>
      <c r="AC235" s="86" t="str">
        <f t="shared" si="35"/>
        <v/>
      </c>
      <c r="AD235" s="1" t="b">
        <f>AND(ISNUMBER(AB235),ISNUMBER(AC235),AB235&gt;=0,AC235&gt;=0,AB235&lt;=0.95,AC235&lt;=0.95,ISNUMBER(D235),D235&gt;0,'Steel Beam Design'!$A$18="",C235="UC",'Steel Beam Design'!$B$3="Cantilever Supported")</f>
        <v>0</v>
      </c>
      <c r="AE235" s="1" t="str">
        <f>'Steel Beam Design'!O28</f>
        <v/>
      </c>
    </row>
    <row r="236" spans="1:31">
      <c r="A236" s="1" t="s">
        <v>480</v>
      </c>
      <c r="B236" s="1" t="str">
        <f>'Section Data'!B29</f>
        <v>203x203x71</v>
      </c>
      <c r="C236" s="1" t="s">
        <v>367</v>
      </c>
      <c r="D236" s="84">
        <f>'Section Data'!C29</f>
        <v>71</v>
      </c>
      <c r="E236" s="84">
        <f>'Section Data'!Q29</f>
        <v>7618</v>
      </c>
      <c r="F236" s="84" t="str">
        <f>'Steel Beam Design'!O56</f>
        <v/>
      </c>
      <c r="G236" s="84" t="str">
        <f>'Steel Beam Design'!O80</f>
        <v/>
      </c>
      <c r="H236" s="84" t="str">
        <f>IF(TRIM($B236)="","",IFERROR('Steel Beam Design'!$D$7006,""))</f>
        <v>S355</v>
      </c>
      <c r="I236" s="84">
        <f>IF(TRIM($B236)="","",IFERROR(MAX(VLOOKUP($B236,'Section Data'!$B$5:$AC$35,5,FALSE),VLOOKUP($B236,'Section Data'!$B$5:$AC$35,6,FALSE)),""))</f>
        <v>17.3</v>
      </c>
      <c r="J236" s="84">
        <f>IF(TRIM($B236)="","",IFERROR(IF(I236&gt;150,"",INDEX('Section Data'!$AH$5:$AK$10,IF(I236&lt;=16,1,IF(I236&lt;=40,2,IF(I236&lt;=63,3,IF(I236&lt;=80,4,IF(I236&lt;=100,5,6))))),MATCH(H236,'Section Data'!$AH$4:$AK$4,0))),""))</f>
        <v>345</v>
      </c>
      <c r="K236" s="84">
        <f t="shared" si="27"/>
        <v>0.8928053815224023</v>
      </c>
      <c r="L236" s="84">
        <f>IF(TRIM($B236)="","",IFERROR(VLOOKUP($B236,'Section Data'!$B$5:$AC$35,9,FALSE),""))</f>
        <v>5.97</v>
      </c>
      <c r="M236" s="84">
        <f>IF(TRIM($B236)="","",IFERROR(VLOOKUP($B236,'Section Data'!$B$5:$AC$35,10,FALSE),""))</f>
        <v>16.079999999999998</v>
      </c>
      <c r="N236" s="84">
        <f t="shared" si="28"/>
        <v>8</v>
      </c>
      <c r="O236" s="84">
        <f t="shared" si="29"/>
        <v>80</v>
      </c>
      <c r="P236" s="84">
        <f>IF(TRIM($B236)="","",IFERROR(VLOOKUP($B236,'Section Data'!$B$5:$AC$35,5,FALSE)*VLOOKUP($B236,'Section Data'!$B$5:$AC$35,3,FALSE),""))</f>
        <v>2158</v>
      </c>
      <c r="Q236" s="84">
        <f t="shared" si="30"/>
        <v>429.8430489143683</v>
      </c>
      <c r="R236" s="84">
        <f>'Steel Beam Design'!H2064</f>
        <v>0</v>
      </c>
      <c r="S236" s="84">
        <f t="shared" si="31"/>
        <v>0</v>
      </c>
      <c r="T236" s="84">
        <f>IF(TRIM($B236)="","",IFERROR(VLOOKUP($B236,'Section Data'!$B$5:$AC$35,20,FALSE),""))</f>
        <v>706</v>
      </c>
      <c r="U236" s="84">
        <f>IF(TRIM($B236)="","",IFERROR(VLOOKUP($B236,'Section Data'!$B$5:$AC$35,21,FALSE),""))</f>
        <v>246</v>
      </c>
      <c r="V236" s="84">
        <f>IF(TRIM($B236)="","",IFERROR(VLOOKUP($B236,'Section Data'!$B$5:$AC$35,22,FALSE),""))</f>
        <v>799</v>
      </c>
      <c r="W236" s="84">
        <f>IF(TRIM($B236)="","",IFERROR(VLOOKUP($B236,'Section Data'!$B$5:$AC$35,23,FALSE),""))</f>
        <v>374</v>
      </c>
      <c r="X236" s="84">
        <f>IF(TRIM($B236)="","",IFERROR((VLOOKUP($B236,'Section Data'!$B$5:$AC$35,5,FALSE)/10)*(VLOOKUP($B236,'Section Data'!$B$5:$AC$35,3,FALSE)/10)^2/4,""))</f>
        <v>116.42410000000002</v>
      </c>
      <c r="Y236" s="84">
        <f>IF(TRIM($B236)="","",IFERROR((VLOOKUP($B236,'Section Data'!$B$5:$AC$35,3,FALSE)/10)*(VLOOKUP($B236,'Section Data'!$B$5:$AC$35,5,FALSE)/10)^2/4,""))</f>
        <v>5.3950000000000005</v>
      </c>
      <c r="Z236" s="84">
        <f t="shared" si="32"/>
        <v>275.65499999999997</v>
      </c>
      <c r="AA236" s="84">
        <f t="shared" si="33"/>
        <v>101.84399999999999</v>
      </c>
      <c r="AB236" s="86" t="str">
        <f t="shared" si="34"/>
        <v/>
      </c>
      <c r="AC236" s="86" t="str">
        <f t="shared" si="35"/>
        <v/>
      </c>
      <c r="AD236" s="1" t="b">
        <f>AND(ISNUMBER(AB236),ISNUMBER(AC236),AB236&gt;=0,AC236&gt;=0,AB236&lt;=0.95,AC236&lt;=0.95,ISNUMBER(D236),D236&gt;0,'Steel Beam Design'!$A$18="",C236="UC",'Steel Beam Design'!$B$3="Cantilever Supported")</f>
        <v>0</v>
      </c>
      <c r="AE236" s="1" t="str">
        <f>'Steel Beam Design'!O28</f>
        <v/>
      </c>
    </row>
    <row r="237" spans="1:31">
      <c r="A237" s="1" t="s">
        <v>480</v>
      </c>
      <c r="B237" s="1" t="str">
        <f>'Section Data'!B30</f>
        <v>203x203x60</v>
      </c>
      <c r="C237" s="1" t="s">
        <v>367</v>
      </c>
      <c r="D237" s="84">
        <f>'Section Data'!C30</f>
        <v>60</v>
      </c>
      <c r="E237" s="84">
        <f>'Section Data'!Q30</f>
        <v>6125</v>
      </c>
      <c r="F237" s="84" t="str">
        <f>'Steel Beam Design'!O56</f>
        <v/>
      </c>
      <c r="G237" s="84" t="str">
        <f>'Steel Beam Design'!O80</f>
        <v/>
      </c>
      <c r="H237" s="84" t="str">
        <f>IF(TRIM($B237)="","",IFERROR('Steel Beam Design'!$D$7006,""))</f>
        <v>S355</v>
      </c>
      <c r="I237" s="84">
        <f>IF(TRIM($B237)="","",IFERROR(MAX(VLOOKUP($B237,'Section Data'!$B$5:$AC$35,5,FALSE),VLOOKUP($B237,'Section Data'!$B$5:$AC$35,6,FALSE)),""))</f>
        <v>14.2</v>
      </c>
      <c r="J237" s="84">
        <f>IF(TRIM($B237)="","",IFERROR(IF(I237&gt;150,"",INDEX('Section Data'!$AH$5:$AK$10,IF(I237&lt;=16,1,IF(I237&lt;=40,2,IF(I237&lt;=63,3,IF(I237&lt;=80,4,IF(I237&lt;=100,5,6))))),MATCH(H237,'Section Data'!$AH$4:$AK$4,0))),""))</f>
        <v>355</v>
      </c>
      <c r="K237" s="84">
        <f t="shared" si="27"/>
        <v>0.88014083380101371</v>
      </c>
      <c r="L237" s="84">
        <f>IF(TRIM($B237)="","",IFERROR(VLOOKUP($B237,'Section Data'!$B$5:$AC$35,9,FALSE),""))</f>
        <v>7.25</v>
      </c>
      <c r="M237" s="84">
        <f>IF(TRIM($B237)="","",IFERROR(VLOOKUP($B237,'Section Data'!$B$5:$AC$35,10,FALSE),""))</f>
        <v>17.11</v>
      </c>
      <c r="N237" s="84">
        <f t="shared" si="28"/>
        <v>9</v>
      </c>
      <c r="O237" s="84">
        <f t="shared" si="29"/>
        <v>80</v>
      </c>
      <c r="P237" s="84">
        <f>IF(TRIM($B237)="","",IFERROR(VLOOKUP($B237,'Section Data'!$B$5:$AC$35,5,FALSE)*VLOOKUP($B237,'Section Data'!$B$5:$AC$35,3,FALSE),""))</f>
        <v>1970.24</v>
      </c>
      <c r="Q237" s="84">
        <f t="shared" si="30"/>
        <v>403.81910100069973</v>
      </c>
      <c r="R237" s="84">
        <f>'Steel Beam Design'!H2064</f>
        <v>0</v>
      </c>
      <c r="S237" s="84">
        <f t="shared" si="31"/>
        <v>0</v>
      </c>
      <c r="T237" s="84">
        <f>IF(TRIM($B237)="","",IFERROR(VLOOKUP($B237,'Section Data'!$B$5:$AC$35,20,FALSE),""))</f>
        <v>584</v>
      </c>
      <c r="U237" s="84">
        <f>IF(TRIM($B237)="","",IFERROR(VLOOKUP($B237,'Section Data'!$B$5:$AC$35,21,FALSE),""))</f>
        <v>201</v>
      </c>
      <c r="V237" s="84">
        <f>IF(TRIM($B237)="","",IFERROR(VLOOKUP($B237,'Section Data'!$B$5:$AC$35,22,FALSE),""))</f>
        <v>656</v>
      </c>
      <c r="W237" s="84">
        <f>IF(TRIM($B237)="","",IFERROR(VLOOKUP($B237,'Section Data'!$B$5:$AC$35,23,FALSE),""))</f>
        <v>305</v>
      </c>
      <c r="X237" s="84">
        <f>IF(TRIM($B237)="","",IFERROR((VLOOKUP($B237,'Section Data'!$B$5:$AC$35,5,FALSE)/10)*(VLOOKUP($B237,'Section Data'!$B$5:$AC$35,3,FALSE)/10)^2/4,""))</f>
        <v>103.24057600000002</v>
      </c>
      <c r="Y237" s="84">
        <f>IF(TRIM($B237)="","",IFERROR((VLOOKUP($B237,'Section Data'!$B$5:$AC$35,3,FALSE)/10)*(VLOOKUP($B237,'Section Data'!$B$5:$AC$35,5,FALSE)/10)^2/4,""))</f>
        <v>4.6300640000000008</v>
      </c>
      <c r="Z237" s="84">
        <f t="shared" si="32"/>
        <v>232.88</v>
      </c>
      <c r="AA237" s="84">
        <f t="shared" si="33"/>
        <v>85.626000000000005</v>
      </c>
      <c r="AB237" s="86" t="str">
        <f t="shared" si="34"/>
        <v/>
      </c>
      <c r="AC237" s="86" t="str">
        <f t="shared" si="35"/>
        <v/>
      </c>
      <c r="AD237" s="1" t="b">
        <f>AND(ISNUMBER(AB237),ISNUMBER(AC237),AB237&gt;=0,AC237&gt;=0,AB237&lt;=0.95,AC237&lt;=0.95,ISNUMBER(D237),D237&gt;0,'Steel Beam Design'!$A$18="",C237="UC",'Steel Beam Design'!$B$3="Cantilever Supported")</f>
        <v>0</v>
      </c>
      <c r="AE237" s="1" t="str">
        <f>'Steel Beam Design'!O28</f>
        <v/>
      </c>
    </row>
    <row r="238" spans="1:31">
      <c r="A238" s="1" t="s">
        <v>480</v>
      </c>
      <c r="B238" s="1" t="str">
        <f>'Section Data'!B31</f>
        <v>203x203x52</v>
      </c>
      <c r="C238" s="1" t="s">
        <v>367</v>
      </c>
      <c r="D238" s="84">
        <f>'Section Data'!C31</f>
        <v>52</v>
      </c>
      <c r="E238" s="84">
        <f>'Section Data'!Q31</f>
        <v>5259</v>
      </c>
      <c r="F238" s="84" t="str">
        <f>'Steel Beam Design'!O56</f>
        <v/>
      </c>
      <c r="G238" s="84" t="str">
        <f>'Steel Beam Design'!O80</f>
        <v/>
      </c>
      <c r="H238" s="84" t="str">
        <f>IF(TRIM($B238)="","",IFERROR('Steel Beam Design'!$D$7006,""))</f>
        <v>S355</v>
      </c>
      <c r="I238" s="84">
        <f>IF(TRIM($B238)="","",IFERROR(MAX(VLOOKUP($B238,'Section Data'!$B$5:$AC$35,5,FALSE),VLOOKUP($B238,'Section Data'!$B$5:$AC$35,6,FALSE)),""))</f>
        <v>12.5</v>
      </c>
      <c r="J238" s="84">
        <f>IF(TRIM($B238)="","",IFERROR(IF(I238&gt;150,"",INDEX('Section Data'!$AH$5:$AK$10,IF(I238&lt;=16,1,IF(I238&lt;=40,2,IF(I238&lt;=63,3,IF(I238&lt;=80,4,IF(I238&lt;=100,5,6))))),MATCH(H238,'Section Data'!$AH$4:$AK$4,0))),""))</f>
        <v>355</v>
      </c>
      <c r="K238" s="84">
        <f t="shared" si="27"/>
        <v>0.88014083380101371</v>
      </c>
      <c r="L238" s="84">
        <f>IF(TRIM($B238)="","",IFERROR(VLOOKUP($B238,'Section Data'!$B$5:$AC$35,9,FALSE),""))</f>
        <v>8.17</v>
      </c>
      <c r="M238" s="84">
        <f>IF(TRIM($B238)="","",IFERROR(VLOOKUP($B238,'Section Data'!$B$5:$AC$35,10,FALSE),""))</f>
        <v>20.350000000000001</v>
      </c>
      <c r="N238" s="84">
        <f t="shared" si="28"/>
        <v>13</v>
      </c>
      <c r="O238" s="84">
        <f t="shared" si="29"/>
        <v>80</v>
      </c>
      <c r="P238" s="84">
        <f>IF(TRIM($B238)="","",IFERROR(VLOOKUP($B238,'Section Data'!$B$5:$AC$35,5,FALSE)*VLOOKUP($B238,'Section Data'!$B$5:$AC$35,3,FALSE),""))</f>
        <v>1628.98</v>
      </c>
      <c r="Q238" s="84">
        <f t="shared" si="30"/>
        <v>333.87467473410345</v>
      </c>
      <c r="R238" s="84">
        <f>'Steel Beam Design'!H2064</f>
        <v>0</v>
      </c>
      <c r="S238" s="84">
        <f t="shared" si="31"/>
        <v>0</v>
      </c>
      <c r="T238" s="84">
        <f>IF(TRIM($B238)="","",IFERROR(VLOOKUP($B238,'Section Data'!$B$5:$AC$35,20,FALSE),""))</f>
        <v>510</v>
      </c>
      <c r="U238" s="84">
        <f>IF(TRIM($B238)="","",IFERROR(VLOOKUP($B238,'Section Data'!$B$5:$AC$35,21,FALSE),""))</f>
        <v>174</v>
      </c>
      <c r="V238" s="84">
        <f>IF(TRIM($B238)="","",IFERROR(VLOOKUP($B238,'Section Data'!$B$5:$AC$35,22,FALSE),""))</f>
        <v>567</v>
      </c>
      <c r="W238" s="84">
        <f>IF(TRIM($B238)="","",IFERROR(VLOOKUP($B238,'Section Data'!$B$5:$AC$35,23,FALSE),""))</f>
        <v>264</v>
      </c>
      <c r="X238" s="84">
        <f>IF(TRIM($B238)="","",IFERROR((VLOOKUP($B238,'Section Data'!$B$5:$AC$35,5,FALSE)/10)*(VLOOKUP($B238,'Section Data'!$B$5:$AC$35,3,FALSE)/10)^2/4,""))</f>
        <v>83.973918999999981</v>
      </c>
      <c r="Y238" s="84">
        <f>IF(TRIM($B238)="","",IFERROR((VLOOKUP($B238,'Section Data'!$B$5:$AC$35,3,FALSE)/10)*(VLOOKUP($B238,'Section Data'!$B$5:$AC$35,5,FALSE)/10)^2/4,""))</f>
        <v>3.2172355000000001</v>
      </c>
      <c r="Z238" s="84">
        <f t="shared" si="32"/>
        <v>181.05</v>
      </c>
      <c r="AA238" s="84">
        <f t="shared" si="33"/>
        <v>61.77</v>
      </c>
      <c r="AB238" s="86" t="str">
        <f t="shared" si="34"/>
        <v/>
      </c>
      <c r="AC238" s="86" t="str">
        <f t="shared" si="35"/>
        <v/>
      </c>
      <c r="AD238" s="1" t="b">
        <f>AND(ISNUMBER(AB238),ISNUMBER(AC238),AB238&gt;=0,AC238&gt;=0,AB238&lt;=0.95,AC238&lt;=0.95,ISNUMBER(D238),D238&gt;0,'Steel Beam Design'!$A$18="",C238="UC",'Steel Beam Design'!$B$3="Cantilever Supported")</f>
        <v>0</v>
      </c>
      <c r="AE238" s="1" t="str">
        <f>'Steel Beam Design'!O28</f>
        <v/>
      </c>
    </row>
    <row r="239" spans="1:31">
      <c r="A239" s="1" t="s">
        <v>480</v>
      </c>
      <c r="B239" s="1" t="str">
        <f>'Section Data'!B32</f>
        <v>203x203x46</v>
      </c>
      <c r="C239" s="1" t="s">
        <v>367</v>
      </c>
      <c r="D239" s="84">
        <f>'Section Data'!C32</f>
        <v>46.1</v>
      </c>
      <c r="E239" s="84">
        <f>'Section Data'!Q32</f>
        <v>4568</v>
      </c>
      <c r="F239" s="84" t="str">
        <f>'Steel Beam Design'!O56</f>
        <v/>
      </c>
      <c r="G239" s="84" t="str">
        <f>'Steel Beam Design'!O80</f>
        <v/>
      </c>
      <c r="H239" s="84" t="str">
        <f>IF(TRIM($B239)="","",IFERROR('Steel Beam Design'!$D$7006,""))</f>
        <v>S355</v>
      </c>
      <c r="I239" s="84">
        <f>IF(TRIM($B239)="","",IFERROR(MAX(VLOOKUP($B239,'Section Data'!$B$5:$AC$35,5,FALSE),VLOOKUP($B239,'Section Data'!$B$5:$AC$35,6,FALSE)),""))</f>
        <v>11</v>
      </c>
      <c r="J239" s="84">
        <f>IF(TRIM($B239)="","",IFERROR(IF(I239&gt;150,"",INDEX('Section Data'!$AH$5:$AK$10,IF(I239&lt;=16,1,IF(I239&lt;=40,2,IF(I239&lt;=63,3,IF(I239&lt;=80,4,IF(I239&lt;=100,5,6))))),MATCH(H239,'Section Data'!$AH$4:$AK$4,0))),""))</f>
        <v>355</v>
      </c>
      <c r="K239" s="84">
        <f t="shared" si="27"/>
        <v>0.88014083380101371</v>
      </c>
      <c r="L239" s="84">
        <f>IF(TRIM($B239)="","",IFERROR(VLOOKUP($B239,'Section Data'!$B$5:$AC$35,9,FALSE),""))</f>
        <v>9.25</v>
      </c>
      <c r="M239" s="84">
        <f>IF(TRIM($B239)="","",IFERROR(VLOOKUP($B239,'Section Data'!$B$5:$AC$35,10,FALSE),""))</f>
        <v>22.33</v>
      </c>
      <c r="N239" s="84">
        <f t="shared" si="28"/>
        <v>13</v>
      </c>
      <c r="O239" s="84">
        <f t="shared" si="29"/>
        <v>80</v>
      </c>
      <c r="P239" s="84">
        <f>IF(TRIM($B239)="","",IFERROR(VLOOKUP($B239,'Section Data'!$B$5:$AC$35,5,FALSE)*VLOOKUP($B239,'Section Data'!$B$5:$AC$35,3,FALSE),""))</f>
        <v>1463.04</v>
      </c>
      <c r="Q239" s="84">
        <f t="shared" si="30"/>
        <v>299.86372093149254</v>
      </c>
      <c r="R239" s="84">
        <f>'Steel Beam Design'!H2064</f>
        <v>0</v>
      </c>
      <c r="S239" s="84">
        <f t="shared" si="31"/>
        <v>0</v>
      </c>
      <c r="T239" s="84">
        <f>IF(TRIM($B239)="","",IFERROR(VLOOKUP($B239,'Section Data'!$B$5:$AC$35,20,FALSE),""))</f>
        <v>450</v>
      </c>
      <c r="U239" s="84">
        <f>IF(TRIM($B239)="","",IFERROR(VLOOKUP($B239,'Section Data'!$B$5:$AC$35,21,FALSE),""))</f>
        <v>152</v>
      </c>
      <c r="V239" s="84">
        <f>IF(TRIM($B239)="","",IFERROR(VLOOKUP($B239,'Section Data'!$B$5:$AC$35,22,FALSE),""))</f>
        <v>497</v>
      </c>
      <c r="W239" s="84">
        <f>IF(TRIM($B239)="","",IFERROR(VLOOKUP($B239,'Section Data'!$B$5:$AC$35,23,FALSE),""))</f>
        <v>231</v>
      </c>
      <c r="X239" s="84">
        <f>IF(TRIM($B239)="","",IFERROR((VLOOKUP($B239,'Section Data'!$B$5:$AC$35,5,FALSE)/10)*(VLOOKUP($B239,'Section Data'!$B$5:$AC$35,3,FALSE)/10)^2/4,""))</f>
        <v>74.322431999999992</v>
      </c>
      <c r="Y239" s="84">
        <f>IF(TRIM($B239)="","",IFERROR((VLOOKUP($B239,'Section Data'!$B$5:$AC$35,3,FALSE)/10)*(VLOOKUP($B239,'Section Data'!$B$5:$AC$35,5,FALSE)/10)^2/4,""))</f>
        <v>2.6334719999999998</v>
      </c>
      <c r="Z239" s="84">
        <f t="shared" si="32"/>
        <v>159.75</v>
      </c>
      <c r="AA239" s="84">
        <f t="shared" si="33"/>
        <v>53.96</v>
      </c>
      <c r="AB239" s="86" t="str">
        <f t="shared" si="34"/>
        <v/>
      </c>
      <c r="AC239" s="86" t="str">
        <f t="shared" si="35"/>
        <v/>
      </c>
      <c r="AD239" s="1" t="b">
        <f>AND(ISNUMBER(AB239),ISNUMBER(AC239),AB239&gt;=0,AC239&gt;=0,AB239&lt;=0.95,AC239&lt;=0.95,ISNUMBER(D239),D239&gt;0,'Steel Beam Design'!$A$18="",C239="UC",'Steel Beam Design'!$B$3="Cantilever Supported")</f>
        <v>0</v>
      </c>
      <c r="AE239" s="1" t="str">
        <f>'Steel Beam Design'!O28</f>
        <v/>
      </c>
    </row>
    <row r="240" spans="1:31">
      <c r="A240" s="1" t="s">
        <v>480</v>
      </c>
      <c r="B240" s="1" t="str">
        <f>'Section Data'!B33</f>
        <v>152x152x37</v>
      </c>
      <c r="C240" s="1" t="s">
        <v>367</v>
      </c>
      <c r="D240" s="84">
        <f>'Section Data'!C33</f>
        <v>37</v>
      </c>
      <c r="E240" s="84">
        <f>'Section Data'!Q33</f>
        <v>2210</v>
      </c>
      <c r="F240" s="84" t="str">
        <f>'Steel Beam Design'!O56</f>
        <v/>
      </c>
      <c r="G240" s="84" t="str">
        <f>'Steel Beam Design'!O80</f>
        <v/>
      </c>
      <c r="H240" s="84" t="str">
        <f>IF(TRIM($B240)="","",IFERROR('Steel Beam Design'!$D$7006,""))</f>
        <v>S355</v>
      </c>
      <c r="I240" s="84">
        <f>IF(TRIM($B240)="","",IFERROR(MAX(VLOOKUP($B240,'Section Data'!$B$5:$AC$35,5,FALSE),VLOOKUP($B240,'Section Data'!$B$5:$AC$35,6,FALSE)),""))</f>
        <v>11.5</v>
      </c>
      <c r="J240" s="84">
        <f>IF(TRIM($B240)="","",IFERROR(IF(I240&gt;150,"",INDEX('Section Data'!$AH$5:$AK$10,IF(I240&lt;=16,1,IF(I240&lt;=40,2,IF(I240&lt;=63,3,IF(I240&lt;=80,4,IF(I240&lt;=100,5,6))))),MATCH(H240,'Section Data'!$AH$4:$AK$4,0))),""))</f>
        <v>355</v>
      </c>
      <c r="K240" s="84">
        <f t="shared" si="27"/>
        <v>0.88014083380101371</v>
      </c>
      <c r="L240" s="84">
        <f>IF(TRIM($B240)="","",IFERROR(VLOOKUP($B240,'Section Data'!$B$5:$AC$35,9,FALSE),""))</f>
        <v>6.71</v>
      </c>
      <c r="M240" s="84">
        <f>IF(TRIM($B240)="","",IFERROR(VLOOKUP($B240,'Section Data'!$B$5:$AC$35,10,FALSE),""))</f>
        <v>15.45</v>
      </c>
      <c r="N240" s="84">
        <f t="shared" si="28"/>
        <v>8</v>
      </c>
      <c r="O240" s="84">
        <f t="shared" si="29"/>
        <v>80</v>
      </c>
      <c r="P240" s="84">
        <f>IF(TRIM($B240)="","",IFERROR(VLOOKUP($B240,'Section Data'!$B$5:$AC$35,5,FALSE)*VLOOKUP($B240,'Section Data'!$B$5:$AC$35,3,FALSE),""))</f>
        <v>1294.4000000000001</v>
      </c>
      <c r="Q240" s="84">
        <f t="shared" si="30"/>
        <v>265.29937689586336</v>
      </c>
      <c r="R240" s="84">
        <f>'Steel Beam Design'!H2064</f>
        <v>0</v>
      </c>
      <c r="S240" s="84">
        <f t="shared" si="31"/>
        <v>0</v>
      </c>
      <c r="T240" s="84">
        <f>IF(TRIM($B240)="","",IFERROR(VLOOKUP($B240,'Section Data'!$B$5:$AC$35,20,FALSE),""))</f>
        <v>273</v>
      </c>
      <c r="U240" s="84">
        <f>IF(TRIM($B240)="","",IFERROR(VLOOKUP($B240,'Section Data'!$B$5:$AC$35,21,FALSE),""))</f>
        <v>91.5</v>
      </c>
      <c r="V240" s="84">
        <f>IF(TRIM($B240)="","",IFERROR(VLOOKUP($B240,'Section Data'!$B$5:$AC$35,22,FALSE),""))</f>
        <v>309</v>
      </c>
      <c r="W240" s="84">
        <f>IF(TRIM($B240)="","",IFERROR(VLOOKUP($B240,'Section Data'!$B$5:$AC$35,23,FALSE),""))</f>
        <v>140</v>
      </c>
      <c r="X240" s="84">
        <f>IF(TRIM($B240)="","",IFERROR((VLOOKUP($B240,'Section Data'!$B$5:$AC$35,5,FALSE)/10)*(VLOOKUP($B240,'Section Data'!$B$5:$AC$35,3,FALSE)/10)^2/4,""))</f>
        <v>52.35848</v>
      </c>
      <c r="Y240" s="84">
        <f>IF(TRIM($B240)="","",IFERROR((VLOOKUP($B240,'Section Data'!$B$5:$AC$35,3,FALSE)/10)*(VLOOKUP($B240,'Section Data'!$B$5:$AC$35,5,FALSE)/10)^2/4,""))</f>
        <v>2.5888000000000004</v>
      </c>
      <c r="Z240" s="84">
        <f t="shared" si="32"/>
        <v>109.69499999999999</v>
      </c>
      <c r="AA240" s="84">
        <f t="shared" si="33"/>
        <v>38.978999999999999</v>
      </c>
      <c r="AB240" s="86" t="str">
        <f t="shared" si="34"/>
        <v/>
      </c>
      <c r="AC240" s="86" t="str">
        <f t="shared" si="35"/>
        <v/>
      </c>
      <c r="AD240" s="1" t="b">
        <f>AND(ISNUMBER(AB240),ISNUMBER(AC240),AB240&gt;=0,AC240&gt;=0,AB240&lt;=0.95,AC240&lt;=0.95,ISNUMBER(D240),D240&gt;0,'Steel Beam Design'!$A$18="",C240="UC",'Steel Beam Design'!$B$3="Cantilever Supported")</f>
        <v>0</v>
      </c>
      <c r="AE240" s="1" t="str">
        <f>'Steel Beam Design'!O28</f>
        <v/>
      </c>
    </row>
    <row r="241" spans="1:31">
      <c r="A241" s="1" t="s">
        <v>480</v>
      </c>
      <c r="B241" s="1" t="str">
        <f>'Section Data'!B34</f>
        <v>152x152x30</v>
      </c>
      <c r="C241" s="1" t="s">
        <v>367</v>
      </c>
      <c r="D241" s="84">
        <f>'Section Data'!C34</f>
        <v>30</v>
      </c>
      <c r="E241" s="84">
        <f>'Section Data'!Q34</f>
        <v>1748</v>
      </c>
      <c r="F241" s="84" t="str">
        <f>'Steel Beam Design'!O56</f>
        <v/>
      </c>
      <c r="G241" s="84" t="str">
        <f>'Steel Beam Design'!O80</f>
        <v/>
      </c>
      <c r="H241" s="84" t="str">
        <f>IF(TRIM($B241)="","",IFERROR('Steel Beam Design'!$D$7006,""))</f>
        <v>S355</v>
      </c>
      <c r="I241" s="84">
        <f>IF(TRIM($B241)="","",IFERROR(MAX(VLOOKUP($B241,'Section Data'!$B$5:$AC$35,5,FALSE),VLOOKUP($B241,'Section Data'!$B$5:$AC$35,6,FALSE)),""))</f>
        <v>9.4</v>
      </c>
      <c r="J241" s="84">
        <f>IF(TRIM($B241)="","",IFERROR(IF(I241&gt;150,"",INDEX('Section Data'!$AH$5:$AK$10,IF(I241&lt;=16,1,IF(I241&lt;=40,2,IF(I241&lt;=63,3,IF(I241&lt;=80,4,IF(I241&lt;=100,5,6))))),MATCH(H241,'Section Data'!$AH$4:$AK$4,0))),""))</f>
        <v>355</v>
      </c>
      <c r="K241" s="84">
        <f t="shared" si="27"/>
        <v>0.88014083380101371</v>
      </c>
      <c r="L241" s="84">
        <f>IF(TRIM($B241)="","",IFERROR(VLOOKUP($B241,'Section Data'!$B$5:$AC$35,9,FALSE),""))</f>
        <v>8.1300000000000008</v>
      </c>
      <c r="M241" s="84">
        <f>IF(TRIM($B241)="","",IFERROR(VLOOKUP($B241,'Section Data'!$B$5:$AC$35,10,FALSE),""))</f>
        <v>19.02</v>
      </c>
      <c r="N241" s="84">
        <f t="shared" si="28"/>
        <v>13</v>
      </c>
      <c r="O241" s="84">
        <f t="shared" si="29"/>
        <v>80</v>
      </c>
      <c r="P241" s="84">
        <f>IF(TRIM($B241)="","",IFERROR(VLOOKUP($B241,'Section Data'!$B$5:$AC$35,5,FALSE)*VLOOKUP($B241,'Section Data'!$B$5:$AC$35,3,FALSE),""))</f>
        <v>1024.3999999999999</v>
      </c>
      <c r="Q241" s="84">
        <f t="shared" si="30"/>
        <v>209.96035359403768</v>
      </c>
      <c r="R241" s="84">
        <f>'Steel Beam Design'!H2064</f>
        <v>0</v>
      </c>
      <c r="S241" s="84">
        <f t="shared" si="31"/>
        <v>0</v>
      </c>
      <c r="T241" s="84">
        <f>IF(TRIM($B241)="","",IFERROR(VLOOKUP($B241,'Section Data'!$B$5:$AC$35,20,FALSE),""))</f>
        <v>222</v>
      </c>
      <c r="U241" s="84">
        <f>IF(TRIM($B241)="","",IFERROR(VLOOKUP($B241,'Section Data'!$B$5:$AC$35,21,FALSE),""))</f>
        <v>73.3</v>
      </c>
      <c r="V241" s="84">
        <f>IF(TRIM($B241)="","",IFERROR(VLOOKUP($B241,'Section Data'!$B$5:$AC$35,22,FALSE),""))</f>
        <v>248</v>
      </c>
      <c r="W241" s="84">
        <f>IF(TRIM($B241)="","",IFERROR(VLOOKUP($B241,'Section Data'!$B$5:$AC$35,23,FALSE),""))</f>
        <v>112</v>
      </c>
      <c r="X241" s="84">
        <f>IF(TRIM($B241)="","",IFERROR((VLOOKUP($B241,'Section Data'!$B$5:$AC$35,5,FALSE)/10)*(VLOOKUP($B241,'Section Data'!$B$5:$AC$35,3,FALSE)/10)^2/4,""))</f>
        <v>40.361360000000005</v>
      </c>
      <c r="Y241" s="84">
        <f>IF(TRIM($B241)="","",IFERROR((VLOOKUP($B241,'Section Data'!$B$5:$AC$35,3,FALSE)/10)*(VLOOKUP($B241,'Section Data'!$B$5:$AC$35,5,FALSE)/10)^2/4,""))</f>
        <v>1.6646500000000002</v>
      </c>
      <c r="Z241" s="84">
        <f t="shared" si="32"/>
        <v>78.81</v>
      </c>
      <c r="AA241" s="84">
        <f t="shared" si="33"/>
        <v>26.0215</v>
      </c>
      <c r="AB241" s="86" t="str">
        <f t="shared" si="34"/>
        <v/>
      </c>
      <c r="AC241" s="86" t="str">
        <f t="shared" si="35"/>
        <v/>
      </c>
      <c r="AD241" s="1" t="b">
        <f>AND(ISNUMBER(AB241),ISNUMBER(AC241),AB241&gt;=0,AC241&gt;=0,AB241&lt;=0.95,AC241&lt;=0.95,ISNUMBER(D241),D241&gt;0,'Steel Beam Design'!$A$18="",C241="UC",'Steel Beam Design'!$B$3="Cantilever Supported")</f>
        <v>0</v>
      </c>
      <c r="AE241" s="1" t="str">
        <f>'Steel Beam Design'!O28</f>
        <v/>
      </c>
    </row>
    <row r="242" spans="1:31">
      <c r="A242" s="1" t="s">
        <v>480</v>
      </c>
      <c r="B242" s="1" t="str">
        <f>'Section Data'!B35</f>
        <v>152x152x23</v>
      </c>
      <c r="C242" s="1" t="s">
        <v>367</v>
      </c>
      <c r="D242" s="84">
        <f>'Section Data'!C35</f>
        <v>23</v>
      </c>
      <c r="E242" s="84">
        <f>'Section Data'!Q35</f>
        <v>1250</v>
      </c>
      <c r="F242" s="84" t="str">
        <f>'Steel Beam Design'!O56</f>
        <v/>
      </c>
      <c r="G242" s="84" t="str">
        <f>'Steel Beam Design'!O80</f>
        <v/>
      </c>
      <c r="H242" s="84" t="str">
        <f>IF(TRIM($B242)="","",IFERROR('Steel Beam Design'!$D$7006,""))</f>
        <v>S355</v>
      </c>
      <c r="I242" s="84">
        <f>IF(TRIM($B242)="","",IFERROR(MAX(VLOOKUP($B242,'Section Data'!$B$5:$AC$35,5,FALSE),VLOOKUP($B242,'Section Data'!$B$5:$AC$35,6,FALSE)),""))</f>
        <v>6.8</v>
      </c>
      <c r="J242" s="84">
        <f>IF(TRIM($B242)="","",IFERROR(IF(I242&gt;150,"",INDEX('Section Data'!$AH$5:$AK$10,IF(I242&lt;=16,1,IF(I242&lt;=40,2,IF(I242&lt;=63,3,IF(I242&lt;=80,4,IF(I242&lt;=100,5,6))))),MATCH(H242,'Section Data'!$AH$4:$AK$4,0))),""))</f>
        <v>355</v>
      </c>
      <c r="K242" s="84">
        <f t="shared" si="27"/>
        <v>0.88014083380101371</v>
      </c>
      <c r="L242" s="84">
        <f>IF(TRIM($B242)="","",IFERROR(VLOOKUP($B242,'Section Data'!$B$5:$AC$35,9,FALSE),""))</f>
        <v>11.19</v>
      </c>
      <c r="M242" s="84">
        <f>IF(TRIM($B242)="","",IFERROR(VLOOKUP($B242,'Section Data'!$B$5:$AC$35,10,FALSE),""))</f>
        <v>21.31</v>
      </c>
      <c r="N242" s="84">
        <f t="shared" si="28"/>
        <v>13</v>
      </c>
      <c r="O242" s="84">
        <f t="shared" si="29"/>
        <v>80</v>
      </c>
      <c r="P242" s="84">
        <f>IF(TRIM($B242)="","",IFERROR(VLOOKUP($B242,'Section Data'!$B$5:$AC$35,5,FALSE)*VLOOKUP($B242,'Section Data'!$B$5:$AC$35,3,FALSE),""))</f>
        <v>883.92</v>
      </c>
      <c r="Q242" s="84">
        <f t="shared" si="30"/>
        <v>181.16766472944337</v>
      </c>
      <c r="R242" s="84">
        <f>'Steel Beam Design'!H2064</f>
        <v>0</v>
      </c>
      <c r="S242" s="84">
        <f t="shared" si="31"/>
        <v>0</v>
      </c>
      <c r="T242" s="84">
        <f>IF(TRIM($B242)="","",IFERROR(VLOOKUP($B242,'Section Data'!$B$5:$AC$35,20,FALSE),""))</f>
        <v>164</v>
      </c>
      <c r="U242" s="84">
        <f>IF(TRIM($B242)="","",IFERROR(VLOOKUP($B242,'Section Data'!$B$5:$AC$35,21,FALSE),""))</f>
        <v>52.6</v>
      </c>
      <c r="V242" s="84">
        <f>IF(TRIM($B242)="","",IFERROR(VLOOKUP($B242,'Section Data'!$B$5:$AC$35,22,FALSE),""))</f>
        <v>182</v>
      </c>
      <c r="W242" s="84">
        <f>IF(TRIM($B242)="","",IFERROR(VLOOKUP($B242,'Section Data'!$B$5:$AC$35,23,FALSE),""))</f>
        <v>80.2</v>
      </c>
      <c r="X242" s="84">
        <f>IF(TRIM($B242)="","",IFERROR((VLOOKUP($B242,'Section Data'!$B$5:$AC$35,5,FALSE)/10)*(VLOOKUP($B242,'Section Data'!$B$5:$AC$35,3,FALSE)/10)^2/4,""))</f>
        <v>33.677351999999999</v>
      </c>
      <c r="Y242" s="84">
        <f>IF(TRIM($B242)="","",IFERROR((VLOOKUP($B242,'Section Data'!$B$5:$AC$35,3,FALSE)/10)*(VLOOKUP($B242,'Section Data'!$B$5:$AC$35,5,FALSE)/10)^2/4,""))</f>
        <v>1.2816839999999998</v>
      </c>
      <c r="Z242" s="84">
        <f t="shared" si="32"/>
        <v>58.22</v>
      </c>
      <c r="AA242" s="84">
        <f t="shared" si="33"/>
        <v>18.672999999999998</v>
      </c>
      <c r="AB242" s="86" t="str">
        <f t="shared" si="34"/>
        <v/>
      </c>
      <c r="AC242" s="86" t="str">
        <f t="shared" si="35"/>
        <v/>
      </c>
      <c r="AD242" s="1" t="b">
        <f>AND(ISNUMBER(AB242),ISNUMBER(AC242),AB242&gt;=0,AC242&gt;=0,AB242&lt;=0.95,AC242&lt;=0.95,ISNUMBER(D242),D242&gt;0,'Steel Beam Design'!$A$18="",C242="UC",'Steel Beam Design'!$B$3="Cantilever Supported")</f>
        <v>0</v>
      </c>
      <c r="AE242" s="1" t="str">
        <f>'Steel Beam Design'!O28</f>
        <v/>
      </c>
    </row>
    <row r="243" spans="1:31">
      <c r="A243" s="1" t="s">
        <v>480</v>
      </c>
      <c r="B243" s="1" t="str">
        <f>'Section Data'!B36</f>
        <v>914x419x388</v>
      </c>
      <c r="C243" s="1" t="s">
        <v>368</v>
      </c>
      <c r="D243" s="84">
        <f>'Section Data'!C36</f>
        <v>338</v>
      </c>
      <c r="E243" s="84">
        <f>'Section Data'!Q36</f>
        <v>719600</v>
      </c>
      <c r="F243" s="84" t="str">
        <f>'Steel Beam Design'!O56</f>
        <v/>
      </c>
      <c r="G243" s="84" t="str">
        <f>'Steel Beam Design'!O80</f>
        <v/>
      </c>
      <c r="H243" s="84" t="str">
        <f>IF(TRIM($B243)="","",IFERROR('Steel Beam Design'!$D$7006,""))</f>
        <v>S355</v>
      </c>
      <c r="I243" s="84">
        <f>IF(TRIM($B243)="","",IFERROR(MAX(VLOOKUP($B243,'Section Data'!$B$36:$AC$107,5,FALSE),VLOOKUP($B243,'Section Data'!$B$36:$AC$107,6,FALSE)),""))</f>
        <v>36.6</v>
      </c>
      <c r="J243" s="84">
        <f>IF(TRIM($B243)="","",IFERROR(IF(I243&gt;150,"",INDEX('Section Data'!$AH$5:$AK$10,IF(I243&lt;=16,1,IF(I243&lt;=40,2,IF(I243&lt;=63,3,IF(I243&lt;=80,4,IF(I243&lt;=100,5,6))))),MATCH(H243,'Section Data'!$AH$4:$AK$4,0))),""))</f>
        <v>345</v>
      </c>
      <c r="K243" s="84">
        <f t="shared" si="27"/>
        <v>0.8928053815224023</v>
      </c>
      <c r="L243" s="84">
        <f>IF(TRIM($B243)="","",IFERROR(VLOOKUP($B243,'Section Data'!$B$36:$AC$107,9,FALSE),""))</f>
        <v>5.74</v>
      </c>
      <c r="M243" s="84">
        <f>IF(TRIM($B243)="","",IFERROR(VLOOKUP($B243,'Section Data'!$B$36:$AC$107,10,FALSE),""))</f>
        <v>37.4</v>
      </c>
      <c r="N243" s="84">
        <f t="shared" si="28"/>
        <v>8</v>
      </c>
      <c r="O243" s="84">
        <f t="shared" si="29"/>
        <v>80</v>
      </c>
      <c r="P243" s="84">
        <f>IF(TRIM($B243)="","",IFERROR(VLOOKUP($B243,'Section Data'!$B$36:$AC$107,5,FALSE)*VLOOKUP($B243,'Section Data'!$B$36:$AC$107,3,FALSE),""))</f>
        <v>19709.399999999998</v>
      </c>
      <c r="Q243" s="84">
        <f t="shared" si="30"/>
        <v>3925.8334514702733</v>
      </c>
      <c r="R243" s="84">
        <f>'Steel Beam Design'!H2064</f>
        <v>0</v>
      </c>
      <c r="S243" s="84">
        <f t="shared" si="31"/>
        <v>0</v>
      </c>
      <c r="T243" s="84">
        <f>IF(TRIM($B243)="","",IFERROR(VLOOKUP($B243,'Section Data'!$B$36:$AC$107,20,FALSE),""))</f>
        <v>15630</v>
      </c>
      <c r="U243" s="84">
        <f>IF(TRIM($B243)="","",IFERROR(VLOOKUP($B243,'Section Data'!$B$36:$AC$107,21,FALSE),""))</f>
        <v>2161</v>
      </c>
      <c r="V243" s="84">
        <f>IF(TRIM($B243)="","",IFERROR(VLOOKUP($B243,'Section Data'!$B$36:$AC$107,22,FALSE),""))</f>
        <v>17670</v>
      </c>
      <c r="W243" s="84">
        <f>IF(TRIM($B243)="","",IFERROR(VLOOKUP($B243,'Section Data'!$B$36:$AC$107,23,FALSE),""))</f>
        <v>3341</v>
      </c>
      <c r="X243" s="84">
        <f>IF(TRIM($B243)="","",IFERROR((VLOOKUP($B243,'Section Data'!$B$36:$AC$107,5,FALSE)/10)*(VLOOKUP($B243,'Section Data'!$B$36:$AC$107,3,FALSE)/10)^2/4,""))</f>
        <v>4538.0893499999993</v>
      </c>
      <c r="Y243" s="84">
        <f>IF(TRIM($B243)="","",IFERROR((VLOOKUP($B243,'Section Data'!$B$36:$AC$107,3,FALSE)/10)*(VLOOKUP($B243,'Section Data'!$B$36:$AC$107,5,FALSE)/10)^2/4,""))</f>
        <v>105.44528999999996</v>
      </c>
      <c r="Z243" s="84">
        <f t="shared" si="32"/>
        <v>6096.15</v>
      </c>
      <c r="AA243" s="84">
        <f t="shared" si="33"/>
        <v>894.65399999999988</v>
      </c>
      <c r="AB243" s="86" t="str">
        <f t="shared" si="34"/>
        <v/>
      </c>
      <c r="AC243" s="86" t="str">
        <f t="shared" si="35"/>
        <v/>
      </c>
      <c r="AD243" s="1" t="b">
        <f>AND(ISNUMBER(AB243),ISNUMBER(AC243),AB243&gt;=0,AC243&gt;=0,AB243&lt;=0.95,AC243&lt;=0.95,ISNUMBER(D243),D243&gt;0,'Steel Beam Design'!$A$18="",C243="UC",'Steel Beam Design'!$B$3="Cantilever Supported")</f>
        <v>0</v>
      </c>
      <c r="AE243" s="1" t="str">
        <f>'Steel Beam Design'!O28</f>
        <v/>
      </c>
    </row>
    <row r="244" spans="1:31">
      <c r="A244" s="1" t="s">
        <v>480</v>
      </c>
      <c r="B244" s="1" t="str">
        <f>'Section Data'!B37</f>
        <v>914x419x343</v>
      </c>
      <c r="C244" s="1" t="s">
        <v>368</v>
      </c>
      <c r="D244" s="84">
        <f>'Section Data'!C37</f>
        <v>343.3</v>
      </c>
      <c r="E244" s="84">
        <f>'Section Data'!Q37</f>
        <v>625800</v>
      </c>
      <c r="F244" s="84" t="str">
        <f>'Steel Beam Design'!O56</f>
        <v/>
      </c>
      <c r="G244" s="84" t="str">
        <f>'Steel Beam Design'!O80</f>
        <v/>
      </c>
      <c r="H244" s="84" t="str">
        <f>IF(TRIM($B244)="","",IFERROR('Steel Beam Design'!$D$7006,""))</f>
        <v>S355</v>
      </c>
      <c r="I244" s="84">
        <f>IF(TRIM($B244)="","",IFERROR(MAX(VLOOKUP($B244,'Section Data'!$B$36:$AC$107,5,FALSE),VLOOKUP($B244,'Section Data'!$B$36:$AC$107,6,FALSE)),""))</f>
        <v>32</v>
      </c>
      <c r="J244" s="84">
        <f>IF(TRIM($B244)="","",IFERROR(IF(I244&gt;150,"",INDEX('Section Data'!$AH$5:$AK$10,IF(I244&lt;=16,1,IF(I244&lt;=40,2,IF(I244&lt;=63,3,IF(I244&lt;=80,4,IF(I244&lt;=100,5,6))))),MATCH(H244,'Section Data'!$AH$4:$AK$4,0))),""))</f>
        <v>345</v>
      </c>
      <c r="K244" s="84">
        <f t="shared" si="27"/>
        <v>0.8928053815224023</v>
      </c>
      <c r="L244" s="84">
        <f>IF(TRIM($B244)="","",IFERROR(VLOOKUP($B244,'Section Data'!$B$36:$AC$107,9,FALSE),""))</f>
        <v>6.54</v>
      </c>
      <c r="M244" s="84">
        <f>IF(TRIM($B244)="","",IFERROR(VLOOKUP($B244,'Section Data'!$B$36:$AC$107,10,FALSE),""))</f>
        <v>41.2</v>
      </c>
      <c r="N244" s="84">
        <f t="shared" si="28"/>
        <v>8</v>
      </c>
      <c r="O244" s="84">
        <f t="shared" si="29"/>
        <v>80</v>
      </c>
      <c r="P244" s="84">
        <f>IF(TRIM($B244)="","",IFERROR(VLOOKUP($B244,'Section Data'!$B$36:$AC$107,5,FALSE)*VLOOKUP($B244,'Section Data'!$B$36:$AC$107,3,FALSE),""))</f>
        <v>17688.919999999998</v>
      </c>
      <c r="Q244" s="84">
        <f t="shared" si="30"/>
        <v>3523.3824396674449</v>
      </c>
      <c r="R244" s="84">
        <f>'Steel Beam Design'!H2064</f>
        <v>0</v>
      </c>
      <c r="S244" s="84">
        <f t="shared" si="31"/>
        <v>0</v>
      </c>
      <c r="T244" s="84">
        <f>IF(TRIM($B244)="","",IFERROR(VLOOKUP($B244,'Section Data'!$B$36:$AC$107,20,FALSE),""))</f>
        <v>13730</v>
      </c>
      <c r="U244" s="84">
        <f>IF(TRIM($B244)="","",IFERROR(VLOOKUP($B244,'Section Data'!$B$36:$AC$107,21,FALSE),""))</f>
        <v>1871</v>
      </c>
      <c r="V244" s="84">
        <f>IF(TRIM($B244)="","",IFERROR(VLOOKUP($B244,'Section Data'!$B$36:$AC$107,22,FALSE),""))</f>
        <v>15480</v>
      </c>
      <c r="W244" s="84">
        <f>IF(TRIM($B244)="","",IFERROR(VLOOKUP($B244,'Section Data'!$B$36:$AC$107,23,FALSE),""))</f>
        <v>2890</v>
      </c>
      <c r="X244" s="84">
        <f>IF(TRIM($B244)="","",IFERROR((VLOOKUP($B244,'Section Data'!$B$36:$AC$107,5,FALSE)/10)*(VLOOKUP($B244,'Section Data'!$B$36:$AC$107,3,FALSE)/10)^2/4,""))</f>
        <v>4032.1893139999993</v>
      </c>
      <c r="Y244" s="84">
        <f>IF(TRIM($B244)="","",IFERROR((VLOOKUP($B244,'Section Data'!$B$36:$AC$107,3,FALSE)/10)*(VLOOKUP($B244,'Section Data'!$B$36:$AC$107,5,FALSE)/10)^2/4,""))</f>
        <v>85.791261999999989</v>
      </c>
      <c r="Z244" s="84">
        <f t="shared" si="32"/>
        <v>5340.6</v>
      </c>
      <c r="AA244" s="84">
        <f t="shared" si="33"/>
        <v>774.59399999999994</v>
      </c>
      <c r="AB244" s="86" t="str">
        <f t="shared" si="34"/>
        <v/>
      </c>
      <c r="AC244" s="86" t="str">
        <f t="shared" si="35"/>
        <v/>
      </c>
      <c r="AD244" s="1" t="b">
        <f>AND(ISNUMBER(AB244),ISNUMBER(AC244),AB244&gt;=0,AC244&gt;=0,AB244&lt;=0.95,AC244&lt;=0.95,ISNUMBER(D244),D244&gt;0,'Steel Beam Design'!$A$18="",C244="UC",'Steel Beam Design'!$B$3="Cantilever Supported")</f>
        <v>0</v>
      </c>
      <c r="AE244" s="1" t="str">
        <f>'Steel Beam Design'!O28</f>
        <v/>
      </c>
    </row>
    <row r="245" spans="1:31">
      <c r="A245" s="1" t="s">
        <v>480</v>
      </c>
      <c r="B245" s="1" t="str">
        <f>'Section Data'!B38</f>
        <v>914x305x289</v>
      </c>
      <c r="C245" s="1" t="s">
        <v>368</v>
      </c>
      <c r="D245" s="84">
        <f>'Section Data'!C38</f>
        <v>289.10000000000002</v>
      </c>
      <c r="E245" s="84">
        <f>'Section Data'!Q38</f>
        <v>504200</v>
      </c>
      <c r="F245" s="84" t="str">
        <f>'Steel Beam Design'!O56</f>
        <v/>
      </c>
      <c r="G245" s="84" t="str">
        <f>'Steel Beam Design'!O80</f>
        <v/>
      </c>
      <c r="H245" s="84" t="str">
        <f>IF(TRIM($B245)="","",IFERROR('Steel Beam Design'!$D$7006,""))</f>
        <v>S355</v>
      </c>
      <c r="I245" s="84">
        <f>IF(TRIM($B245)="","",IFERROR(MAX(VLOOKUP($B245,'Section Data'!$B$36:$AC$107,5,FALSE),VLOOKUP($B245,'Section Data'!$B$36:$AC$107,6,FALSE)),""))</f>
        <v>32</v>
      </c>
      <c r="J245" s="84">
        <f>IF(TRIM($B245)="","",IFERROR(IF(I245&gt;150,"",INDEX('Section Data'!$AH$5:$AK$10,IF(I245&lt;=16,1,IF(I245&lt;=40,2,IF(I245&lt;=63,3,IF(I245&lt;=80,4,IF(I245&lt;=100,5,6))))),MATCH(H245,'Section Data'!$AH$4:$AK$4,0))),""))</f>
        <v>345</v>
      </c>
      <c r="K245" s="84">
        <f t="shared" si="27"/>
        <v>0.8928053815224023</v>
      </c>
      <c r="L245" s="84">
        <f>IF(TRIM($B245)="","",IFERROR(VLOOKUP($B245,'Section Data'!$B$36:$AC$107,9,FALSE),""))</f>
        <v>4.8099999999999996</v>
      </c>
      <c r="M245" s="84">
        <f>IF(TRIM($B245)="","",IFERROR(VLOOKUP($B245,'Section Data'!$B$36:$AC$107,10,FALSE),""))</f>
        <v>42.3</v>
      </c>
      <c r="N245" s="84">
        <f t="shared" si="28"/>
        <v>8</v>
      </c>
      <c r="O245" s="84">
        <f t="shared" si="29"/>
        <v>80</v>
      </c>
      <c r="P245" s="84">
        <f>IF(TRIM($B245)="","",IFERROR(VLOOKUP($B245,'Section Data'!$B$36:$AC$107,5,FALSE)*VLOOKUP($B245,'Section Data'!$B$36:$AC$107,3,FALSE),""))</f>
        <v>18068.7</v>
      </c>
      <c r="Q245" s="84">
        <f t="shared" si="30"/>
        <v>3599.0292390727741</v>
      </c>
      <c r="R245" s="84">
        <f>'Steel Beam Design'!H2064</f>
        <v>0</v>
      </c>
      <c r="S245" s="84">
        <f t="shared" si="31"/>
        <v>0</v>
      </c>
      <c r="T245" s="84">
        <f>IF(TRIM($B245)="","",IFERROR(VLOOKUP($B245,'Section Data'!$B$36:$AC$107,20,FALSE),""))</f>
        <v>10880</v>
      </c>
      <c r="U245" s="84">
        <f>IF(TRIM($B245)="","",IFERROR(VLOOKUP($B245,'Section Data'!$B$36:$AC$107,21,FALSE),""))</f>
        <v>1014</v>
      </c>
      <c r="V245" s="84">
        <f>IF(TRIM($B245)="","",IFERROR(VLOOKUP($B245,'Section Data'!$B$36:$AC$107,22,FALSE),""))</f>
        <v>12570</v>
      </c>
      <c r="W245" s="84">
        <f>IF(TRIM($B245)="","",IFERROR(VLOOKUP($B245,'Section Data'!$B$36:$AC$107,23,FALSE),""))</f>
        <v>1601</v>
      </c>
      <c r="X245" s="84">
        <f>IF(TRIM($B245)="","",IFERROR((VLOOKUP($B245,'Section Data'!$B$36:$AC$107,5,FALSE)/10)*(VLOOKUP($B245,'Section Data'!$B$36:$AC$107,3,FALSE)/10)^2/4,""))</f>
        <v>4185.6143549999997</v>
      </c>
      <c r="Y245" s="84">
        <f>IF(TRIM($B245)="","",IFERROR((VLOOKUP($B245,'Section Data'!$B$36:$AC$107,3,FALSE)/10)*(VLOOKUP($B245,'Section Data'!$B$36:$AC$107,5,FALSE)/10)^2/4,""))</f>
        <v>88.084912499999987</v>
      </c>
      <c r="Z245" s="84">
        <f t="shared" si="32"/>
        <v>4336.6499999999996</v>
      </c>
      <c r="AA245" s="84">
        <f t="shared" si="33"/>
        <v>419.79599999999999</v>
      </c>
      <c r="AB245" s="86" t="str">
        <f t="shared" si="34"/>
        <v/>
      </c>
      <c r="AC245" s="86" t="str">
        <f t="shared" si="35"/>
        <v/>
      </c>
      <c r="AD245" s="1" t="b">
        <f>AND(ISNUMBER(AB245),ISNUMBER(AC245),AB245&gt;=0,AC245&gt;=0,AB245&lt;=0.95,AC245&lt;=0.95,ISNUMBER(D245),D245&gt;0,'Steel Beam Design'!$A$18="",C245="UC",'Steel Beam Design'!$B$3="Cantilever Supported")</f>
        <v>0</v>
      </c>
      <c r="AE245" s="1" t="str">
        <f>'Steel Beam Design'!O28</f>
        <v/>
      </c>
    </row>
    <row r="246" spans="1:31">
      <c r="A246" s="1" t="s">
        <v>480</v>
      </c>
      <c r="B246" s="1" t="str">
        <f>'Section Data'!B39</f>
        <v>914x305x253</v>
      </c>
      <c r="C246" s="1" t="s">
        <v>368</v>
      </c>
      <c r="D246" s="84">
        <f>'Section Data'!C39</f>
        <v>253.4</v>
      </c>
      <c r="E246" s="84">
        <f>'Section Data'!Q39</f>
        <v>436300</v>
      </c>
      <c r="F246" s="84" t="str">
        <f>'Steel Beam Design'!O56</f>
        <v/>
      </c>
      <c r="G246" s="84" t="str">
        <f>'Steel Beam Design'!O80</f>
        <v/>
      </c>
      <c r="H246" s="84" t="str">
        <f>IF(TRIM($B246)="","",IFERROR('Steel Beam Design'!$D$7006,""))</f>
        <v>S355</v>
      </c>
      <c r="I246" s="84">
        <f>IF(TRIM($B246)="","",IFERROR(MAX(VLOOKUP($B246,'Section Data'!$B$36:$AC$107,5,FALSE),VLOOKUP($B246,'Section Data'!$B$36:$AC$107,6,FALSE)),""))</f>
        <v>27.9</v>
      </c>
      <c r="J246" s="84">
        <f>IF(TRIM($B246)="","",IFERROR(IF(I246&gt;150,"",INDEX('Section Data'!$AH$5:$AK$10,IF(I246&lt;=16,1,IF(I246&lt;=40,2,IF(I246&lt;=63,3,IF(I246&lt;=80,4,IF(I246&lt;=100,5,6))))),MATCH(H246,'Section Data'!$AH$4:$AK$4,0))),""))</f>
        <v>345</v>
      </c>
      <c r="K246" s="84">
        <f t="shared" si="27"/>
        <v>0.8928053815224023</v>
      </c>
      <c r="L246" s="84">
        <f>IF(TRIM($B246)="","",IFERROR(VLOOKUP($B246,'Section Data'!$B$36:$AC$107,9,FALSE),""))</f>
        <v>5.47</v>
      </c>
      <c r="M246" s="84">
        <f>IF(TRIM($B246)="","",IFERROR(VLOOKUP($B246,'Section Data'!$B$36:$AC$107,10,FALSE),""))</f>
        <v>47.7</v>
      </c>
      <c r="N246" s="84">
        <f t="shared" si="28"/>
        <v>8</v>
      </c>
      <c r="O246" s="84">
        <f t="shared" si="29"/>
        <v>80</v>
      </c>
      <c r="P246" s="84">
        <f>IF(TRIM($B246)="","",IFERROR(VLOOKUP($B246,'Section Data'!$B$36:$AC$107,5,FALSE)*VLOOKUP($B246,'Section Data'!$B$36:$AC$107,3,FALSE),""))</f>
        <v>15888.32</v>
      </c>
      <c r="Q246" s="84">
        <f t="shared" si="30"/>
        <v>3164.7284109949655</v>
      </c>
      <c r="R246" s="84">
        <f>'Steel Beam Design'!H2064</f>
        <v>0</v>
      </c>
      <c r="S246" s="84">
        <f t="shared" si="31"/>
        <v>0</v>
      </c>
      <c r="T246" s="84">
        <f>IF(TRIM($B246)="","",IFERROR(VLOOKUP($B246,'Section Data'!$B$36:$AC$107,20,FALSE),""))</f>
        <v>9501</v>
      </c>
      <c r="U246" s="84">
        <f>IF(TRIM($B246)="","",IFERROR(VLOOKUP($B246,'Section Data'!$B$36:$AC$107,21,FALSE),""))</f>
        <v>871</v>
      </c>
      <c r="V246" s="84">
        <f>IF(TRIM($B246)="","",IFERROR(VLOOKUP($B246,'Section Data'!$B$36:$AC$107,22,FALSE),""))</f>
        <v>10940</v>
      </c>
      <c r="W246" s="84">
        <f>IF(TRIM($B246)="","",IFERROR(VLOOKUP($B246,'Section Data'!$B$36:$AC$107,23,FALSE),""))</f>
        <v>1371</v>
      </c>
      <c r="X246" s="84">
        <f>IF(TRIM($B246)="","",IFERROR((VLOOKUP($B246,'Section Data'!$B$36:$AC$107,5,FALSE)/10)*(VLOOKUP($B246,'Section Data'!$B$36:$AC$107,3,FALSE)/10)^2/4,""))</f>
        <v>3647.9582720000003</v>
      </c>
      <c r="Y246" s="84">
        <f>IF(TRIM($B246)="","",IFERROR((VLOOKUP($B246,'Section Data'!$B$36:$AC$107,3,FALSE)/10)*(VLOOKUP($B246,'Section Data'!$B$36:$AC$107,5,FALSE)/10)^2/4,""))</f>
        <v>68.716984000000011</v>
      </c>
      <c r="Z246" s="84">
        <f t="shared" si="32"/>
        <v>3774.3</v>
      </c>
      <c r="AA246" s="84">
        <f t="shared" si="33"/>
        <v>360.59399999999999</v>
      </c>
      <c r="AB246" s="86" t="str">
        <f t="shared" si="34"/>
        <v/>
      </c>
      <c r="AC246" s="86" t="str">
        <f t="shared" si="35"/>
        <v/>
      </c>
      <c r="AD246" s="1" t="b">
        <f>AND(ISNUMBER(AB246),ISNUMBER(AC246),AB246&gt;=0,AC246&gt;=0,AB246&lt;=0.95,AC246&lt;=0.95,ISNUMBER(D246),D246&gt;0,'Steel Beam Design'!$A$18="",C246="UC",'Steel Beam Design'!$B$3="Cantilever Supported")</f>
        <v>0</v>
      </c>
      <c r="AE246" s="1" t="str">
        <f>'Steel Beam Design'!O28</f>
        <v/>
      </c>
    </row>
    <row r="247" spans="1:31">
      <c r="A247" s="1" t="s">
        <v>480</v>
      </c>
      <c r="B247" s="1" t="str">
        <f>'Section Data'!B40</f>
        <v>914x305x224</v>
      </c>
      <c r="C247" s="1" t="s">
        <v>368</v>
      </c>
      <c r="D247" s="84">
        <f>'Section Data'!C40</f>
        <v>224.2</v>
      </c>
      <c r="E247" s="84">
        <f>'Section Data'!Q40</f>
        <v>376400</v>
      </c>
      <c r="F247" s="84" t="str">
        <f>'Steel Beam Design'!O56</f>
        <v/>
      </c>
      <c r="G247" s="84" t="str">
        <f>'Steel Beam Design'!O80</f>
        <v/>
      </c>
      <c r="H247" s="84" t="str">
        <f>IF(TRIM($B247)="","",IFERROR('Steel Beam Design'!$D$7006,""))</f>
        <v>S355</v>
      </c>
      <c r="I247" s="84">
        <f>IF(TRIM($B247)="","",IFERROR(MAX(VLOOKUP($B247,'Section Data'!$B$36:$AC$107,5,FALSE),VLOOKUP($B247,'Section Data'!$B$36:$AC$107,6,FALSE)),""))</f>
        <v>23.9</v>
      </c>
      <c r="J247" s="84">
        <f>IF(TRIM($B247)="","",IFERROR(IF(I247&gt;150,"",INDEX('Section Data'!$AH$5:$AK$10,IF(I247&lt;=16,1,IF(I247&lt;=40,2,IF(I247&lt;=63,3,IF(I247&lt;=80,4,IF(I247&lt;=100,5,6))))),MATCH(H247,'Section Data'!$AH$4:$AK$4,0))),""))</f>
        <v>345</v>
      </c>
      <c r="K247" s="84">
        <f t="shared" si="27"/>
        <v>0.8928053815224023</v>
      </c>
      <c r="L247" s="84">
        <f>IF(TRIM($B247)="","",IFERROR(VLOOKUP($B247,'Section Data'!$B$36:$AC$107,9,FALSE),""))</f>
        <v>6.36</v>
      </c>
      <c r="M247" s="84">
        <f>IF(TRIM($B247)="","",IFERROR(VLOOKUP($B247,'Section Data'!$B$36:$AC$107,10,FALSE),""))</f>
        <v>51.8</v>
      </c>
      <c r="N247" s="84">
        <f t="shared" si="28"/>
        <v>8</v>
      </c>
      <c r="O247" s="84">
        <f t="shared" si="29"/>
        <v>80</v>
      </c>
      <c r="P247" s="84">
        <f>IF(TRIM($B247)="","",IFERROR(VLOOKUP($B247,'Section Data'!$B$36:$AC$107,5,FALSE)*VLOOKUP($B247,'Section Data'!$B$36:$AC$107,3,FALSE),""))</f>
        <v>14475.36</v>
      </c>
      <c r="Q247" s="84">
        <f t="shared" si="30"/>
        <v>2883.2867824527762</v>
      </c>
      <c r="R247" s="84">
        <f>'Steel Beam Design'!H2064</f>
        <v>0</v>
      </c>
      <c r="S247" s="84">
        <f t="shared" si="31"/>
        <v>0</v>
      </c>
      <c r="T247" s="84">
        <f>IF(TRIM($B247)="","",IFERROR(VLOOKUP($B247,'Section Data'!$B$36:$AC$107,20,FALSE),""))</f>
        <v>8269</v>
      </c>
      <c r="U247" s="84">
        <f>IF(TRIM($B247)="","",IFERROR(VLOOKUP($B247,'Section Data'!$B$36:$AC$107,21,FALSE),""))</f>
        <v>739</v>
      </c>
      <c r="V247" s="84">
        <f>IF(TRIM($B247)="","",IFERROR(VLOOKUP($B247,'Section Data'!$B$36:$AC$107,22,FALSE),""))</f>
        <v>9535</v>
      </c>
      <c r="W247" s="84">
        <f>IF(TRIM($B247)="","",IFERROR(VLOOKUP($B247,'Section Data'!$B$36:$AC$107,23,FALSE),""))</f>
        <v>1163</v>
      </c>
      <c r="X247" s="84">
        <f>IF(TRIM($B247)="","",IFERROR((VLOOKUP($B247,'Section Data'!$B$36:$AC$107,5,FALSE)/10)*(VLOOKUP($B247,'Section Data'!$B$36:$AC$107,3,FALSE)/10)^2/4,""))</f>
        <v>3294.5919359999994</v>
      </c>
      <c r="Y247" s="84">
        <f>IF(TRIM($B247)="","",IFERROR((VLOOKUP($B247,'Section Data'!$B$36:$AC$107,3,FALSE)/10)*(VLOOKUP($B247,'Section Data'!$B$36:$AC$107,5,FALSE)/10)^2/4,""))</f>
        <v>57.539555999999997</v>
      </c>
      <c r="Z247" s="84">
        <f t="shared" si="32"/>
        <v>3289.5749999999998</v>
      </c>
      <c r="AA247" s="84">
        <f t="shared" si="33"/>
        <v>305.94600000000003</v>
      </c>
      <c r="AB247" s="86" t="str">
        <f t="shared" si="34"/>
        <v/>
      </c>
      <c r="AC247" s="86" t="str">
        <f t="shared" si="35"/>
        <v/>
      </c>
      <c r="AD247" s="1" t="b">
        <f>AND(ISNUMBER(AB247),ISNUMBER(AC247),AB247&gt;=0,AC247&gt;=0,AB247&lt;=0.95,AC247&lt;=0.95,ISNUMBER(D247),D247&gt;0,'Steel Beam Design'!$A$18="",C247="UC",'Steel Beam Design'!$B$3="Cantilever Supported")</f>
        <v>0</v>
      </c>
      <c r="AE247" s="1" t="str">
        <f>'Steel Beam Design'!O28</f>
        <v/>
      </c>
    </row>
    <row r="248" spans="1:31">
      <c r="A248" s="1" t="s">
        <v>480</v>
      </c>
      <c r="B248" s="1" t="str">
        <f>'Section Data'!B41</f>
        <v>914x305x201</v>
      </c>
      <c r="C248" s="1" t="s">
        <v>368</v>
      </c>
      <c r="D248" s="84">
        <f>'Section Data'!C41</f>
        <v>200.9</v>
      </c>
      <c r="E248" s="84">
        <f>'Section Data'!Q41</f>
        <v>325300</v>
      </c>
      <c r="F248" s="84" t="str">
        <f>'Steel Beam Design'!O56</f>
        <v/>
      </c>
      <c r="G248" s="84" t="str">
        <f>'Steel Beam Design'!O80</f>
        <v/>
      </c>
      <c r="H248" s="84" t="str">
        <f>IF(TRIM($B248)="","",IFERROR('Steel Beam Design'!$D$7006,""))</f>
        <v>S355</v>
      </c>
      <c r="I248" s="84">
        <f>IF(TRIM($B248)="","",IFERROR(MAX(VLOOKUP($B248,'Section Data'!$B$36:$AC$107,5,FALSE),VLOOKUP($B248,'Section Data'!$B$36:$AC$107,6,FALSE)),""))</f>
        <v>20.2</v>
      </c>
      <c r="J248" s="84">
        <f>IF(TRIM($B248)="","",IFERROR(IF(I248&gt;150,"",INDEX('Section Data'!$AH$5:$AK$10,IF(I248&lt;=16,1,IF(I248&lt;=40,2,IF(I248&lt;=63,3,IF(I248&lt;=80,4,IF(I248&lt;=100,5,6))))),MATCH(H248,'Section Data'!$AH$4:$AK$4,0))),""))</f>
        <v>345</v>
      </c>
      <c r="K248" s="84">
        <f t="shared" si="27"/>
        <v>0.8928053815224023</v>
      </c>
      <c r="L248" s="84">
        <f>IF(TRIM($B248)="","",IFERROR(VLOOKUP($B248,'Section Data'!$B$36:$AC$107,9,FALSE),""))</f>
        <v>7.51</v>
      </c>
      <c r="M248" s="84">
        <f>IF(TRIM($B248)="","",IFERROR(VLOOKUP($B248,'Section Data'!$B$36:$AC$107,10,FALSE),""))</f>
        <v>54.6</v>
      </c>
      <c r="N248" s="84">
        <f t="shared" si="28"/>
        <v>9</v>
      </c>
      <c r="O248" s="84">
        <f t="shared" si="29"/>
        <v>80</v>
      </c>
      <c r="P248" s="84">
        <f>IF(TRIM($B248)="","",IFERROR(VLOOKUP($B248,'Section Data'!$B$36:$AC$107,5,FALSE)*VLOOKUP($B248,'Section Data'!$B$36:$AC$107,3,FALSE),""))</f>
        <v>13635.3</v>
      </c>
      <c r="Q248" s="84">
        <f t="shared" si="30"/>
        <v>2715.9587232910503</v>
      </c>
      <c r="R248" s="84">
        <f>'Steel Beam Design'!H2064</f>
        <v>0</v>
      </c>
      <c r="S248" s="84">
        <f t="shared" si="31"/>
        <v>0</v>
      </c>
      <c r="T248" s="84">
        <f>IF(TRIM($B248)="","",IFERROR(VLOOKUP($B248,'Section Data'!$B$36:$AC$107,20,FALSE),""))</f>
        <v>7204</v>
      </c>
      <c r="U248" s="84">
        <f>IF(TRIM($B248)="","",IFERROR(VLOOKUP($B248,'Section Data'!$B$36:$AC$107,21,FALSE),""))</f>
        <v>621</v>
      </c>
      <c r="V248" s="84">
        <f>IF(TRIM($B248)="","",IFERROR(VLOOKUP($B248,'Section Data'!$B$36:$AC$107,22,FALSE),""))</f>
        <v>8351</v>
      </c>
      <c r="W248" s="84">
        <f>IF(TRIM($B248)="","",IFERROR(VLOOKUP($B248,'Section Data'!$B$36:$AC$107,23,FALSE),""))</f>
        <v>982</v>
      </c>
      <c r="X248" s="84">
        <f>IF(TRIM($B248)="","",IFERROR((VLOOKUP($B248,'Section Data'!$B$36:$AC$107,5,FALSE)/10)*(VLOOKUP($B248,'Section Data'!$B$36:$AC$107,3,FALSE)/10)^2/4,""))</f>
        <v>3078.1689749999996</v>
      </c>
      <c r="Y248" s="84">
        <f>IF(TRIM($B248)="","",IFERROR((VLOOKUP($B248,'Section Data'!$B$36:$AC$107,3,FALSE)/10)*(VLOOKUP($B248,'Section Data'!$B$36:$AC$107,5,FALSE)/10)^2/4,""))</f>
        <v>51.473257499999995</v>
      </c>
      <c r="Z248" s="84">
        <f t="shared" si="32"/>
        <v>2881.0949999999998</v>
      </c>
      <c r="AA248" s="84">
        <f t="shared" si="33"/>
        <v>257.09399999999999</v>
      </c>
      <c r="AB248" s="86" t="str">
        <f t="shared" si="34"/>
        <v/>
      </c>
      <c r="AC248" s="86" t="str">
        <f t="shared" si="35"/>
        <v/>
      </c>
      <c r="AD248" s="1" t="b">
        <f>AND(ISNUMBER(AB248),ISNUMBER(AC248),AB248&gt;=0,AC248&gt;=0,AB248&lt;=0.95,AC248&lt;=0.95,ISNUMBER(D248),D248&gt;0,'Steel Beam Design'!$A$18="",C248="UC",'Steel Beam Design'!$B$3="Cantilever Supported")</f>
        <v>0</v>
      </c>
      <c r="AE248" s="1" t="str">
        <f>'Steel Beam Design'!O28</f>
        <v/>
      </c>
    </row>
    <row r="249" spans="1:31">
      <c r="A249" s="1" t="s">
        <v>480</v>
      </c>
      <c r="B249" s="1" t="str">
        <f>'Section Data'!B42</f>
        <v>838x292x226</v>
      </c>
      <c r="C249" s="1" t="s">
        <v>368</v>
      </c>
      <c r="D249" s="84">
        <f>'Section Data'!C42</f>
        <v>226.5</v>
      </c>
      <c r="E249" s="84">
        <f>'Section Data'!Q42</f>
        <v>339700</v>
      </c>
      <c r="F249" s="84" t="str">
        <f>'Steel Beam Design'!O56</f>
        <v/>
      </c>
      <c r="G249" s="84" t="str">
        <f>'Steel Beam Design'!O80</f>
        <v/>
      </c>
      <c r="H249" s="84" t="str">
        <f>IF(TRIM($B249)="","",IFERROR('Steel Beam Design'!$D$7006,""))</f>
        <v>S355</v>
      </c>
      <c r="I249" s="84">
        <f>IF(TRIM($B249)="","",IFERROR(MAX(VLOOKUP($B249,'Section Data'!$B$36:$AC$107,5,FALSE),VLOOKUP($B249,'Section Data'!$B$36:$AC$107,6,FALSE)),""))</f>
        <v>26.8</v>
      </c>
      <c r="J249" s="84">
        <f>IF(TRIM($B249)="","",IFERROR(IF(I249&gt;150,"",INDEX('Section Data'!$AH$5:$AK$10,IF(I249&lt;=16,1,IF(I249&lt;=40,2,IF(I249&lt;=63,3,IF(I249&lt;=80,4,IF(I249&lt;=100,5,6))))),MATCH(H249,'Section Data'!$AH$4:$AK$4,0))),""))</f>
        <v>345</v>
      </c>
      <c r="K249" s="84">
        <f t="shared" si="27"/>
        <v>0.8928053815224023</v>
      </c>
      <c r="L249" s="84">
        <f>IF(TRIM($B249)="","",IFERROR(VLOOKUP($B249,'Section Data'!$B$36:$AC$107,9,FALSE),""))</f>
        <v>5.48</v>
      </c>
      <c r="M249" s="84">
        <f>IF(TRIM($B249)="","",IFERROR(VLOOKUP($B249,'Section Data'!$B$36:$AC$107,10,FALSE),""))</f>
        <v>47.3</v>
      </c>
      <c r="N249" s="84">
        <f t="shared" si="28"/>
        <v>8</v>
      </c>
      <c r="O249" s="84">
        <f t="shared" si="29"/>
        <v>80</v>
      </c>
      <c r="P249" s="84">
        <f>IF(TRIM($B249)="","",IFERROR(VLOOKUP($B249,'Section Data'!$B$36:$AC$107,5,FALSE)*VLOOKUP($B249,'Section Data'!$B$36:$AC$107,3,FALSE),""))</f>
        <v>13699.490000000002</v>
      </c>
      <c r="Q249" s="84">
        <f t="shared" si="30"/>
        <v>2728.7444625449025</v>
      </c>
      <c r="R249" s="84">
        <f>'Steel Beam Design'!H2064</f>
        <v>0</v>
      </c>
      <c r="S249" s="84">
        <f t="shared" si="31"/>
        <v>0</v>
      </c>
      <c r="T249" s="84">
        <f>IF(TRIM($B249)="","",IFERROR(VLOOKUP($B249,'Section Data'!$B$36:$AC$107,20,FALSE),""))</f>
        <v>7985</v>
      </c>
      <c r="U249" s="84">
        <f>IF(TRIM($B249)="","",IFERROR(VLOOKUP($B249,'Section Data'!$B$36:$AC$107,21,FALSE),""))</f>
        <v>773</v>
      </c>
      <c r="V249" s="84">
        <f>IF(TRIM($B249)="","",IFERROR(VLOOKUP($B249,'Section Data'!$B$36:$AC$107,22,FALSE),""))</f>
        <v>9155</v>
      </c>
      <c r="W249" s="84">
        <f>IF(TRIM($B249)="","",IFERROR(VLOOKUP($B249,'Section Data'!$B$36:$AC$107,23,FALSE),""))</f>
        <v>1212</v>
      </c>
      <c r="X249" s="84">
        <f>IF(TRIM($B249)="","",IFERROR((VLOOKUP($B249,'Section Data'!$B$36:$AC$107,5,FALSE)/10)*(VLOOKUP($B249,'Section Data'!$B$36:$AC$107,3,FALSE)/10)^2/4,""))</f>
        <v>2914.2240102500004</v>
      </c>
      <c r="Y249" s="84">
        <f>IF(TRIM($B249)="","",IFERROR((VLOOKUP($B249,'Section Data'!$B$36:$AC$107,3,FALSE)/10)*(VLOOKUP($B249,'Section Data'!$B$36:$AC$107,5,FALSE)/10)^2/4,""))</f>
        <v>55.140447250000008</v>
      </c>
      <c r="Z249" s="84">
        <f t="shared" si="32"/>
        <v>3158.4749999999999</v>
      </c>
      <c r="AA249" s="84">
        <f t="shared" si="33"/>
        <v>320.02199999999993</v>
      </c>
      <c r="AB249" s="86" t="str">
        <f t="shared" si="34"/>
        <v/>
      </c>
      <c r="AC249" s="86" t="str">
        <f t="shared" si="35"/>
        <v/>
      </c>
      <c r="AD249" s="1" t="b">
        <f>AND(ISNUMBER(AB249),ISNUMBER(AC249),AB249&gt;=0,AC249&gt;=0,AB249&lt;=0.95,AC249&lt;=0.95,ISNUMBER(D249),D249&gt;0,'Steel Beam Design'!$A$18="",C249="UC",'Steel Beam Design'!$B$3="Cantilever Supported")</f>
        <v>0</v>
      </c>
      <c r="AE249" s="1" t="str">
        <f>'Steel Beam Design'!O28</f>
        <v/>
      </c>
    </row>
    <row r="250" spans="1:31">
      <c r="A250" s="1" t="s">
        <v>480</v>
      </c>
      <c r="B250" s="1" t="str">
        <f>'Section Data'!B43</f>
        <v>838x292x194</v>
      </c>
      <c r="C250" s="1" t="s">
        <v>368</v>
      </c>
      <c r="D250" s="84">
        <f>'Section Data'!C43</f>
        <v>193.8</v>
      </c>
      <c r="E250" s="84">
        <f>'Section Data'!Q43</f>
        <v>279200</v>
      </c>
      <c r="F250" s="84" t="str">
        <f>'Steel Beam Design'!O56</f>
        <v/>
      </c>
      <c r="G250" s="84" t="str">
        <f>'Steel Beam Design'!O80</f>
        <v/>
      </c>
      <c r="H250" s="84" t="str">
        <f>IF(TRIM($B250)="","",IFERROR('Steel Beam Design'!$D$7006,""))</f>
        <v>S355</v>
      </c>
      <c r="I250" s="84">
        <f>IF(TRIM($B250)="","",IFERROR(MAX(VLOOKUP($B250,'Section Data'!$B$36:$AC$107,5,FALSE),VLOOKUP($B250,'Section Data'!$B$36:$AC$107,6,FALSE)),""))</f>
        <v>21.7</v>
      </c>
      <c r="J250" s="84">
        <f>IF(TRIM($B250)="","",IFERROR(IF(I250&gt;150,"",INDEX('Section Data'!$AH$5:$AK$10,IF(I250&lt;=16,1,IF(I250&lt;=40,2,IF(I250&lt;=63,3,IF(I250&lt;=80,4,IF(I250&lt;=100,5,6))))),MATCH(H250,'Section Data'!$AH$4:$AK$4,0))),""))</f>
        <v>345</v>
      </c>
      <c r="K250" s="84">
        <f t="shared" si="27"/>
        <v>0.8928053815224023</v>
      </c>
      <c r="L250" s="84">
        <f>IF(TRIM($B250)="","",IFERROR(VLOOKUP($B250,'Section Data'!$B$36:$AC$107,9,FALSE),""))</f>
        <v>6.74</v>
      </c>
      <c r="M250" s="84">
        <f>IF(TRIM($B250)="","",IFERROR(VLOOKUP($B250,'Section Data'!$B$36:$AC$107,10,FALSE),""))</f>
        <v>51.8</v>
      </c>
      <c r="N250" s="84">
        <f t="shared" si="28"/>
        <v>8</v>
      </c>
      <c r="O250" s="84">
        <f t="shared" si="29"/>
        <v>80</v>
      </c>
      <c r="P250" s="84">
        <f>IF(TRIM($B250)="","",IFERROR(VLOOKUP($B250,'Section Data'!$B$36:$AC$107,5,FALSE)*VLOOKUP($B250,'Section Data'!$B$36:$AC$107,3,FALSE),""))</f>
        <v>12358.29</v>
      </c>
      <c r="Q250" s="84">
        <f t="shared" si="30"/>
        <v>2461.5964100870942</v>
      </c>
      <c r="R250" s="84">
        <f>'Steel Beam Design'!H2064</f>
        <v>0</v>
      </c>
      <c r="S250" s="84">
        <f t="shared" si="31"/>
        <v>0</v>
      </c>
      <c r="T250" s="84">
        <f>IF(TRIM($B250)="","",IFERROR(VLOOKUP($B250,'Section Data'!$B$36:$AC$107,20,FALSE),""))</f>
        <v>6641</v>
      </c>
      <c r="U250" s="84">
        <f>IF(TRIM($B250)="","",IFERROR(VLOOKUP($B250,'Section Data'!$B$36:$AC$107,21,FALSE),""))</f>
        <v>620</v>
      </c>
      <c r="V250" s="84">
        <f>IF(TRIM($B250)="","",IFERROR(VLOOKUP($B250,'Section Data'!$B$36:$AC$107,22,FALSE),""))</f>
        <v>7640</v>
      </c>
      <c r="W250" s="84">
        <f>IF(TRIM($B250)="","",IFERROR(VLOOKUP($B250,'Section Data'!$B$36:$AC$107,23,FALSE),""))</f>
        <v>974</v>
      </c>
      <c r="X250" s="84">
        <f>IF(TRIM($B250)="","",IFERROR((VLOOKUP($B250,'Section Data'!$B$36:$AC$107,5,FALSE)/10)*(VLOOKUP($B250,'Section Data'!$B$36:$AC$107,3,FALSE)/10)^2/4,""))</f>
        <v>2597.4036007500004</v>
      </c>
      <c r="Y250" s="84">
        <f>IF(TRIM($B250)="","",IFERROR((VLOOKUP($B250,'Section Data'!$B$36:$AC$107,3,FALSE)/10)*(VLOOKUP($B250,'Section Data'!$B$36:$AC$107,5,FALSE)/10)^2/4,""))</f>
        <v>45.416715750000002</v>
      </c>
      <c r="Z250" s="84">
        <f t="shared" si="32"/>
        <v>2635.8</v>
      </c>
      <c r="AA250" s="84">
        <f t="shared" si="33"/>
        <v>256.68</v>
      </c>
      <c r="AB250" s="86" t="str">
        <f t="shared" si="34"/>
        <v/>
      </c>
      <c r="AC250" s="86" t="str">
        <f t="shared" si="35"/>
        <v/>
      </c>
      <c r="AD250" s="1" t="b">
        <f>AND(ISNUMBER(AB250),ISNUMBER(AC250),AB250&gt;=0,AC250&gt;=0,AB250&lt;=0.95,AC250&lt;=0.95,ISNUMBER(D250),D250&gt;0,'Steel Beam Design'!$A$18="",C250="UC",'Steel Beam Design'!$B$3="Cantilever Supported")</f>
        <v>0</v>
      </c>
      <c r="AE250" s="1" t="str">
        <f>'Steel Beam Design'!O28</f>
        <v/>
      </c>
    </row>
    <row r="251" spans="1:31">
      <c r="A251" s="1" t="s">
        <v>480</v>
      </c>
      <c r="B251" s="1" t="str">
        <f>'Section Data'!B44</f>
        <v>838x292x176</v>
      </c>
      <c r="C251" s="1" t="s">
        <v>368</v>
      </c>
      <c r="D251" s="84">
        <f>'Section Data'!C44</f>
        <v>175.9</v>
      </c>
      <c r="E251" s="84">
        <f>'Section Data'!Q44</f>
        <v>246000</v>
      </c>
      <c r="F251" s="84" t="str">
        <f>'Steel Beam Design'!O56</f>
        <v/>
      </c>
      <c r="G251" s="84" t="str">
        <f>'Steel Beam Design'!O80</f>
        <v/>
      </c>
      <c r="H251" s="84" t="str">
        <f>IF(TRIM($B251)="","",IFERROR('Steel Beam Design'!$D$7006,""))</f>
        <v>S355</v>
      </c>
      <c r="I251" s="84">
        <f>IF(TRIM($B251)="","",IFERROR(MAX(VLOOKUP($B251,'Section Data'!$B$36:$AC$107,5,FALSE),VLOOKUP($B251,'Section Data'!$B$36:$AC$107,6,FALSE)),""))</f>
        <v>18.8</v>
      </c>
      <c r="J251" s="84">
        <f>IF(TRIM($B251)="","",IFERROR(IF(I251&gt;150,"",INDEX('Section Data'!$AH$5:$AK$10,IF(I251&lt;=16,1,IF(I251&lt;=40,2,IF(I251&lt;=63,3,IF(I251&lt;=80,4,IF(I251&lt;=100,5,6))))),MATCH(H251,'Section Data'!$AH$4:$AK$4,0))),""))</f>
        <v>345</v>
      </c>
      <c r="K251" s="84">
        <f t="shared" si="27"/>
        <v>0.8928053815224023</v>
      </c>
      <c r="L251" s="84">
        <f>IF(TRIM($B251)="","",IFERROR(VLOOKUP($B251,'Section Data'!$B$36:$AC$107,9,FALSE),""))</f>
        <v>7.76</v>
      </c>
      <c r="M251" s="84">
        <f>IF(TRIM($B251)="","",IFERROR(VLOOKUP($B251,'Section Data'!$B$36:$AC$107,10,FALSE),""))</f>
        <v>54.4</v>
      </c>
      <c r="N251" s="84">
        <f t="shared" si="28"/>
        <v>9</v>
      </c>
      <c r="O251" s="84">
        <f t="shared" si="29"/>
        <v>80</v>
      </c>
      <c r="P251" s="84">
        <f>IF(TRIM($B251)="","",IFERROR(VLOOKUP($B251,'Section Data'!$B$36:$AC$107,5,FALSE)*VLOOKUP($B251,'Section Data'!$B$36:$AC$107,3,FALSE),""))</f>
        <v>11688.6</v>
      </c>
      <c r="Q251" s="84">
        <f t="shared" si="30"/>
        <v>2328.203642975202</v>
      </c>
      <c r="R251" s="84">
        <f>'Steel Beam Design'!H2064</f>
        <v>0</v>
      </c>
      <c r="S251" s="84">
        <f t="shared" si="31"/>
        <v>0</v>
      </c>
      <c r="T251" s="84">
        <f>IF(TRIM($B251)="","",IFERROR(VLOOKUP($B251,'Section Data'!$B$36:$AC$107,20,FALSE),""))</f>
        <v>5893</v>
      </c>
      <c r="U251" s="84">
        <f>IF(TRIM($B251)="","",IFERROR(VLOOKUP($B251,'Section Data'!$B$36:$AC$107,21,FALSE),""))</f>
        <v>535</v>
      </c>
      <c r="V251" s="84">
        <f>IF(TRIM($B251)="","",IFERROR(VLOOKUP($B251,'Section Data'!$B$36:$AC$107,22,FALSE),""))</f>
        <v>6808</v>
      </c>
      <c r="W251" s="84">
        <f>IF(TRIM($B251)="","",IFERROR(VLOOKUP($B251,'Section Data'!$B$36:$AC$107,23,FALSE),""))</f>
        <v>842</v>
      </c>
      <c r="X251" s="84">
        <f>IF(TRIM($B251)="","",IFERROR((VLOOKUP($B251,'Section Data'!$B$36:$AC$107,5,FALSE)/10)*(VLOOKUP($B251,'Section Data'!$B$36:$AC$107,3,FALSE)/10)^2/4,""))</f>
        <v>2439.7030349999995</v>
      </c>
      <c r="Y251" s="84">
        <f>IF(TRIM($B251)="","",IFERROR((VLOOKUP($B251,'Section Data'!$B$36:$AC$107,3,FALSE)/10)*(VLOOKUP($B251,'Section Data'!$B$36:$AC$107,5,FALSE)/10)^2/4,""))</f>
        <v>40.910099999999993</v>
      </c>
      <c r="Z251" s="84">
        <f t="shared" si="32"/>
        <v>2348.7600000000002</v>
      </c>
      <c r="AA251" s="84">
        <f t="shared" si="33"/>
        <v>221.49</v>
      </c>
      <c r="AB251" s="86" t="str">
        <f t="shared" si="34"/>
        <v/>
      </c>
      <c r="AC251" s="86" t="str">
        <f t="shared" si="35"/>
        <v/>
      </c>
      <c r="AD251" s="1" t="b">
        <f>AND(ISNUMBER(AB251),ISNUMBER(AC251),AB251&gt;=0,AC251&gt;=0,AB251&lt;=0.95,AC251&lt;=0.95,ISNUMBER(D251),D251&gt;0,'Steel Beam Design'!$A$18="",C251="UC",'Steel Beam Design'!$B$3="Cantilever Supported")</f>
        <v>0</v>
      </c>
      <c r="AE251" s="1" t="str">
        <f>'Steel Beam Design'!O28</f>
        <v/>
      </c>
    </row>
    <row r="252" spans="1:31">
      <c r="A252" s="1" t="s">
        <v>480</v>
      </c>
      <c r="B252" s="1" t="str">
        <f>'Section Data'!B45</f>
        <v>762x267x197</v>
      </c>
      <c r="C252" s="1" t="s">
        <v>368</v>
      </c>
      <c r="D252" s="84">
        <f>'Section Data'!C45</f>
        <v>196.8</v>
      </c>
      <c r="E252" s="84">
        <f>'Section Data'!Q45</f>
        <v>240000</v>
      </c>
      <c r="F252" s="84" t="str">
        <f>'Steel Beam Design'!O56</f>
        <v/>
      </c>
      <c r="G252" s="84" t="str">
        <f>'Steel Beam Design'!O80</f>
        <v/>
      </c>
      <c r="H252" s="84" t="str">
        <f>IF(TRIM($B252)="","",IFERROR('Steel Beam Design'!$D$7006,""))</f>
        <v>S355</v>
      </c>
      <c r="I252" s="84">
        <f>IF(TRIM($B252)="","",IFERROR(MAX(VLOOKUP($B252,'Section Data'!$B$36:$AC$107,5,FALSE),VLOOKUP($B252,'Section Data'!$B$36:$AC$107,6,FALSE)),""))</f>
        <v>25.4</v>
      </c>
      <c r="J252" s="84">
        <f>IF(TRIM($B252)="","",IFERROR(IF(I252&gt;150,"",INDEX('Section Data'!$AH$5:$AK$10,IF(I252&lt;=16,1,IF(I252&lt;=40,2,IF(I252&lt;=63,3,IF(I252&lt;=80,4,IF(I252&lt;=100,5,6))))),MATCH(H252,'Section Data'!$AH$4:$AK$4,0))),""))</f>
        <v>345</v>
      </c>
      <c r="K252" s="84">
        <f t="shared" si="27"/>
        <v>0.8928053815224023</v>
      </c>
      <c r="L252" s="84">
        <f>IF(TRIM($B252)="","",IFERROR(VLOOKUP($B252,'Section Data'!$B$36:$AC$107,9,FALSE),""))</f>
        <v>5.28</v>
      </c>
      <c r="M252" s="84">
        <f>IF(TRIM($B252)="","",IFERROR(VLOOKUP($B252,'Section Data'!$B$36:$AC$107,10,FALSE),""))</f>
        <v>44</v>
      </c>
      <c r="N252" s="84">
        <f t="shared" si="28"/>
        <v>8</v>
      </c>
      <c r="O252" s="84">
        <f t="shared" si="29"/>
        <v>80</v>
      </c>
      <c r="P252" s="84">
        <f>IF(TRIM($B252)="","",IFERROR(VLOOKUP($B252,'Section Data'!$B$36:$AC$107,5,FALSE)*VLOOKUP($B252,'Section Data'!$B$36:$AC$107,3,FALSE),""))</f>
        <v>12008.88</v>
      </c>
      <c r="Q252" s="84">
        <f t="shared" si="30"/>
        <v>2391.9988847297395</v>
      </c>
      <c r="R252" s="84">
        <f>'Steel Beam Design'!H2064</f>
        <v>0</v>
      </c>
      <c r="S252" s="84">
        <f t="shared" si="31"/>
        <v>0</v>
      </c>
      <c r="T252" s="84">
        <f>IF(TRIM($B252)="","",IFERROR(VLOOKUP($B252,'Section Data'!$B$36:$AC$107,20,FALSE),""))</f>
        <v>6234</v>
      </c>
      <c r="U252" s="84">
        <f>IF(TRIM($B252)="","",IFERROR(VLOOKUP($B252,'Section Data'!$B$36:$AC$107,21,FALSE),""))</f>
        <v>610</v>
      </c>
      <c r="V252" s="84">
        <f>IF(TRIM($B252)="","",IFERROR(VLOOKUP($B252,'Section Data'!$B$36:$AC$107,22,FALSE),""))</f>
        <v>7167</v>
      </c>
      <c r="W252" s="84">
        <f>IF(TRIM($B252)="","",IFERROR(VLOOKUP($B252,'Section Data'!$B$36:$AC$107,23,FALSE),""))</f>
        <v>959</v>
      </c>
      <c r="X252" s="84">
        <f>IF(TRIM($B252)="","",IFERROR((VLOOKUP($B252,'Section Data'!$B$36:$AC$107,5,FALSE)/10)*(VLOOKUP($B252,'Section Data'!$B$36:$AC$107,3,FALSE)/10)^2/4,""))</f>
        <v>2311.1089559999996</v>
      </c>
      <c r="Y252" s="84">
        <f>IF(TRIM($B252)="","",IFERROR((VLOOKUP($B252,'Section Data'!$B$36:$AC$107,3,FALSE)/10)*(VLOOKUP($B252,'Section Data'!$B$36:$AC$107,5,FALSE)/10)^2/4,""))</f>
        <v>46.834631999999999</v>
      </c>
      <c r="Z252" s="84">
        <f t="shared" si="32"/>
        <v>2472.6149999999998</v>
      </c>
      <c r="AA252" s="84">
        <f t="shared" si="33"/>
        <v>252.54</v>
      </c>
      <c r="AB252" s="86" t="str">
        <f t="shared" si="34"/>
        <v/>
      </c>
      <c r="AC252" s="86" t="str">
        <f t="shared" si="35"/>
        <v/>
      </c>
      <c r="AD252" s="1" t="b">
        <f>AND(ISNUMBER(AB252),ISNUMBER(AC252),AB252&gt;=0,AC252&gt;=0,AB252&lt;=0.95,AC252&lt;=0.95,ISNUMBER(D252),D252&gt;0,'Steel Beam Design'!$A$18="",C252="UC",'Steel Beam Design'!$B$3="Cantilever Supported")</f>
        <v>0</v>
      </c>
      <c r="AE252" s="1" t="str">
        <f>'Steel Beam Design'!O28</f>
        <v/>
      </c>
    </row>
    <row r="253" spans="1:31">
      <c r="A253" s="1" t="s">
        <v>480</v>
      </c>
      <c r="B253" s="1" t="str">
        <f>'Section Data'!B46</f>
        <v>762x267x173</v>
      </c>
      <c r="C253" s="1" t="s">
        <v>368</v>
      </c>
      <c r="D253" s="84">
        <f>'Section Data'!C46</f>
        <v>173</v>
      </c>
      <c r="E253" s="84">
        <f>'Section Data'!Q46</f>
        <v>205300</v>
      </c>
      <c r="F253" s="84" t="str">
        <f>'Steel Beam Design'!O56</f>
        <v/>
      </c>
      <c r="G253" s="84" t="str">
        <f>'Steel Beam Design'!O80</f>
        <v/>
      </c>
      <c r="H253" s="84" t="str">
        <f>IF(TRIM($B253)="","",IFERROR('Steel Beam Design'!$D$7006,""))</f>
        <v>S355</v>
      </c>
      <c r="I253" s="84">
        <f>IF(TRIM($B253)="","",IFERROR(MAX(VLOOKUP($B253,'Section Data'!$B$36:$AC$107,5,FALSE),VLOOKUP($B253,'Section Data'!$B$36:$AC$107,6,FALSE)),""))</f>
        <v>21.6</v>
      </c>
      <c r="J253" s="84">
        <f>IF(TRIM($B253)="","",IFERROR(IF(I253&gt;150,"",INDEX('Section Data'!$AH$5:$AK$10,IF(I253&lt;=16,1,IF(I253&lt;=40,2,IF(I253&lt;=63,3,IF(I253&lt;=80,4,IF(I253&lt;=100,5,6))))),MATCH(H253,'Section Data'!$AH$4:$AK$4,0))),""))</f>
        <v>345</v>
      </c>
      <c r="K253" s="84">
        <f t="shared" si="27"/>
        <v>0.8928053815224023</v>
      </c>
      <c r="L253" s="84">
        <f>IF(TRIM($B253)="","",IFERROR(VLOOKUP($B253,'Section Data'!$B$36:$AC$107,9,FALSE),""))</f>
        <v>6.17</v>
      </c>
      <c r="M253" s="84">
        <f>IF(TRIM($B253)="","",IFERROR(VLOOKUP($B253,'Section Data'!$B$36:$AC$107,10,FALSE),""))</f>
        <v>48</v>
      </c>
      <c r="N253" s="84">
        <f t="shared" si="28"/>
        <v>8</v>
      </c>
      <c r="O253" s="84">
        <f t="shared" si="29"/>
        <v>80</v>
      </c>
      <c r="P253" s="84">
        <f>IF(TRIM($B253)="","",IFERROR(VLOOKUP($B253,'Section Data'!$B$36:$AC$107,5,FALSE)*VLOOKUP($B253,'Section Data'!$B$36:$AC$107,3,FALSE),""))</f>
        <v>10899.460000000001</v>
      </c>
      <c r="Q253" s="84">
        <f t="shared" si="30"/>
        <v>2171.018126932438</v>
      </c>
      <c r="R253" s="84">
        <f>'Steel Beam Design'!H2064</f>
        <v>0</v>
      </c>
      <c r="S253" s="84">
        <f t="shared" si="31"/>
        <v>0</v>
      </c>
      <c r="T253" s="84">
        <f>IF(TRIM($B253)="","",IFERROR(VLOOKUP($B253,'Section Data'!$B$36:$AC$107,20,FALSE),""))</f>
        <v>5387</v>
      </c>
      <c r="U253" s="84">
        <f>IF(TRIM($B253)="","",IFERROR(VLOOKUP($B253,'Section Data'!$B$36:$AC$107,21,FALSE),""))</f>
        <v>514</v>
      </c>
      <c r="V253" s="84">
        <f>IF(TRIM($B253)="","",IFERROR(VLOOKUP($B253,'Section Data'!$B$36:$AC$107,22,FALSE),""))</f>
        <v>6198</v>
      </c>
      <c r="W253" s="84">
        <f>IF(TRIM($B253)="","",IFERROR(VLOOKUP($B253,'Section Data'!$B$36:$AC$107,23,FALSE),""))</f>
        <v>807</v>
      </c>
      <c r="X253" s="84">
        <f>IF(TRIM($B253)="","",IFERROR((VLOOKUP($B253,'Section Data'!$B$36:$AC$107,5,FALSE)/10)*(VLOOKUP($B253,'Section Data'!$B$36:$AC$107,3,FALSE)/10)^2/4,""))</f>
        <v>2076.8921030000001</v>
      </c>
      <c r="Y253" s="84">
        <f>IF(TRIM($B253)="","",IFERROR((VLOOKUP($B253,'Section Data'!$B$36:$AC$107,3,FALSE)/10)*(VLOOKUP($B253,'Section Data'!$B$36:$AC$107,5,FALSE)/10)^2/4,""))</f>
        <v>38.965569500000008</v>
      </c>
      <c r="Z253" s="84">
        <f t="shared" si="32"/>
        <v>2138.31</v>
      </c>
      <c r="AA253" s="84">
        <f t="shared" si="33"/>
        <v>212.79599999999996</v>
      </c>
      <c r="AB253" s="86" t="str">
        <f t="shared" si="34"/>
        <v/>
      </c>
      <c r="AC253" s="86" t="str">
        <f t="shared" si="35"/>
        <v/>
      </c>
      <c r="AD253" s="1" t="b">
        <f>AND(ISNUMBER(AB253),ISNUMBER(AC253),AB253&gt;=0,AC253&gt;=0,AB253&lt;=0.95,AC253&lt;=0.95,ISNUMBER(D253),D253&gt;0,'Steel Beam Design'!$A$18="",C253="UC",'Steel Beam Design'!$B$3="Cantilever Supported")</f>
        <v>0</v>
      </c>
      <c r="AE253" s="1" t="str">
        <f>'Steel Beam Design'!O28</f>
        <v/>
      </c>
    </row>
    <row r="254" spans="1:31">
      <c r="A254" s="1" t="s">
        <v>480</v>
      </c>
      <c r="B254" s="1" t="str">
        <f>'Section Data'!B47</f>
        <v>762x267x147</v>
      </c>
      <c r="C254" s="1" t="s">
        <v>368</v>
      </c>
      <c r="D254" s="84">
        <f>'Section Data'!C47</f>
        <v>146.9</v>
      </c>
      <c r="E254" s="84">
        <f>'Section Data'!Q47</f>
        <v>168500</v>
      </c>
      <c r="F254" s="84" t="str">
        <f>'Steel Beam Design'!O56</f>
        <v/>
      </c>
      <c r="G254" s="84" t="str">
        <f>'Steel Beam Design'!O80</f>
        <v/>
      </c>
      <c r="H254" s="84" t="str">
        <f>IF(TRIM($B254)="","",IFERROR('Steel Beam Design'!$D$7006,""))</f>
        <v>S355</v>
      </c>
      <c r="I254" s="84">
        <f>IF(TRIM($B254)="","",IFERROR(MAX(VLOOKUP($B254,'Section Data'!$B$36:$AC$107,5,FALSE),VLOOKUP($B254,'Section Data'!$B$36:$AC$107,6,FALSE)),""))</f>
        <v>17.5</v>
      </c>
      <c r="J254" s="84">
        <f>IF(TRIM($B254)="","",IFERROR(IF(I254&gt;150,"",INDEX('Section Data'!$AH$5:$AK$10,IF(I254&lt;=16,1,IF(I254&lt;=40,2,IF(I254&lt;=63,3,IF(I254&lt;=80,4,IF(I254&lt;=100,5,6))))),MATCH(H254,'Section Data'!$AH$4:$AK$4,0))),""))</f>
        <v>345</v>
      </c>
      <c r="K254" s="84">
        <f t="shared" si="27"/>
        <v>0.8928053815224023</v>
      </c>
      <c r="L254" s="84">
        <f>IF(TRIM($B254)="","",IFERROR(VLOOKUP($B254,'Section Data'!$B$36:$AC$107,9,FALSE),""))</f>
        <v>7.58</v>
      </c>
      <c r="M254" s="84">
        <f>IF(TRIM($B254)="","",IFERROR(VLOOKUP($B254,'Section Data'!$B$36:$AC$107,10,FALSE),""))</f>
        <v>53.6</v>
      </c>
      <c r="N254" s="84">
        <f t="shared" si="28"/>
        <v>9</v>
      </c>
      <c r="O254" s="84">
        <f t="shared" si="29"/>
        <v>80</v>
      </c>
      <c r="P254" s="84">
        <f>IF(TRIM($B254)="","",IFERROR(VLOOKUP($B254,'Section Data'!$B$36:$AC$107,5,FALSE)*VLOOKUP($B254,'Section Data'!$B$36:$AC$107,3,FALSE),""))</f>
        <v>9651.2000000000007</v>
      </c>
      <c r="Q254" s="84">
        <f t="shared" si="30"/>
        <v>1922.3824067110065</v>
      </c>
      <c r="R254" s="84">
        <f>'Steel Beam Design'!H2064</f>
        <v>0</v>
      </c>
      <c r="S254" s="84">
        <f t="shared" si="31"/>
        <v>0</v>
      </c>
      <c r="T254" s="84">
        <f>IF(TRIM($B254)="","",IFERROR(VLOOKUP($B254,'Section Data'!$B$36:$AC$107,20,FALSE),""))</f>
        <v>4470</v>
      </c>
      <c r="U254" s="84">
        <f>IF(TRIM($B254)="","",IFERROR(VLOOKUP($B254,'Section Data'!$B$36:$AC$107,21,FALSE),""))</f>
        <v>411</v>
      </c>
      <c r="V254" s="84">
        <f>IF(TRIM($B254)="","",IFERROR(VLOOKUP($B254,'Section Data'!$B$36:$AC$107,22,FALSE),""))</f>
        <v>5156</v>
      </c>
      <c r="W254" s="84">
        <f>IF(TRIM($B254)="","",IFERROR(VLOOKUP($B254,'Section Data'!$B$36:$AC$107,23,FALSE),""))</f>
        <v>647</v>
      </c>
      <c r="X254" s="84">
        <f>IF(TRIM($B254)="","",IFERROR((VLOOKUP($B254,'Section Data'!$B$36:$AC$107,5,FALSE)/10)*(VLOOKUP($B254,'Section Data'!$B$36:$AC$107,3,FALSE)/10)^2/4,""))</f>
        <v>1819.2512000000004</v>
      </c>
      <c r="Y254" s="84">
        <f>IF(TRIM($B254)="","",IFERROR((VLOOKUP($B254,'Section Data'!$B$36:$AC$107,3,FALSE)/10)*(VLOOKUP($B254,'Section Data'!$B$36:$AC$107,5,FALSE)/10)^2/4,""))</f>
        <v>30.883840000000003</v>
      </c>
      <c r="Z254" s="84">
        <f t="shared" si="32"/>
        <v>1778.82</v>
      </c>
      <c r="AA254" s="84">
        <f t="shared" si="33"/>
        <v>170.154</v>
      </c>
      <c r="AB254" s="86" t="str">
        <f t="shared" si="34"/>
        <v/>
      </c>
      <c r="AC254" s="86" t="str">
        <f t="shared" si="35"/>
        <v/>
      </c>
      <c r="AD254" s="1" t="b">
        <f>AND(ISNUMBER(AB254),ISNUMBER(AC254),AB254&gt;=0,AC254&gt;=0,AB254&lt;=0.95,AC254&lt;=0.95,ISNUMBER(D254),D254&gt;0,'Steel Beam Design'!$A$18="",C254="UC",'Steel Beam Design'!$B$3="Cantilever Supported")</f>
        <v>0</v>
      </c>
      <c r="AE254" s="1" t="str">
        <f>'Steel Beam Design'!O28</f>
        <v/>
      </c>
    </row>
    <row r="255" spans="1:31">
      <c r="A255" s="1" t="s">
        <v>480</v>
      </c>
      <c r="B255" s="1" t="str">
        <f>'Section Data'!B48</f>
        <v>762x267x134</v>
      </c>
      <c r="C255" s="1" t="s">
        <v>368</v>
      </c>
      <c r="D255" s="84">
        <f>'Section Data'!C48</f>
        <v>133.9</v>
      </c>
      <c r="E255" s="84">
        <f>'Section Data'!Q48</f>
        <v>150700</v>
      </c>
      <c r="F255" s="84" t="str">
        <f>'Steel Beam Design'!O56</f>
        <v/>
      </c>
      <c r="G255" s="84" t="str">
        <f>'Steel Beam Design'!O80</f>
        <v/>
      </c>
      <c r="H255" s="84" t="str">
        <f>IF(TRIM($B255)="","",IFERROR('Steel Beam Design'!$D$7006,""))</f>
        <v>S355</v>
      </c>
      <c r="I255" s="84">
        <f>IF(TRIM($B255)="","",IFERROR(MAX(VLOOKUP($B255,'Section Data'!$B$36:$AC$107,5,FALSE),VLOOKUP($B255,'Section Data'!$B$36:$AC$107,6,FALSE)),""))</f>
        <v>15.5</v>
      </c>
      <c r="J255" s="84">
        <f>IF(TRIM($B255)="","",IFERROR(IF(I255&gt;150,"",INDEX('Section Data'!$AH$5:$AK$10,IF(I255&lt;=16,1,IF(I255&lt;=40,2,IF(I255&lt;=63,3,IF(I255&lt;=80,4,IF(I255&lt;=100,5,6))))),MATCH(H255,'Section Data'!$AH$4:$AK$4,0))),""))</f>
        <v>355</v>
      </c>
      <c r="K255" s="84">
        <f t="shared" si="27"/>
        <v>0.88014083380101371</v>
      </c>
      <c r="L255" s="84">
        <f>IF(TRIM($B255)="","",IFERROR(VLOOKUP($B255,'Section Data'!$B$36:$AC$107,9,FALSE),""))</f>
        <v>8.5299999999999994</v>
      </c>
      <c r="M255" s="84">
        <f>IF(TRIM($B255)="","",IFERROR(VLOOKUP($B255,'Section Data'!$B$36:$AC$107,10,FALSE),""))</f>
        <v>57.2</v>
      </c>
      <c r="N255" s="84">
        <f t="shared" si="28"/>
        <v>13</v>
      </c>
      <c r="O255" s="84">
        <f t="shared" si="29"/>
        <v>80</v>
      </c>
      <c r="P255" s="84">
        <f>IF(TRIM($B255)="","",IFERROR(VLOOKUP($B255,'Section Data'!$B$36:$AC$107,5,FALSE)*VLOOKUP($B255,'Section Data'!$B$36:$AC$107,3,FALSE),""))</f>
        <v>9000</v>
      </c>
      <c r="Q255" s="84">
        <f t="shared" si="30"/>
        <v>1844.6341100608543</v>
      </c>
      <c r="R255" s="84">
        <f>'Steel Beam Design'!H2064</f>
        <v>0</v>
      </c>
      <c r="S255" s="84">
        <f t="shared" si="31"/>
        <v>0</v>
      </c>
      <c r="T255" s="84">
        <f>IF(TRIM($B255)="","",IFERROR(VLOOKUP($B255,'Section Data'!$B$36:$AC$107,20,FALSE),""))</f>
        <v>4018</v>
      </c>
      <c r="U255" s="84">
        <f>IF(TRIM($B255)="","",IFERROR(VLOOKUP($B255,'Section Data'!$B$36:$AC$107,21,FALSE),""))</f>
        <v>362</v>
      </c>
      <c r="V255" s="84">
        <f>IF(TRIM($B255)="","",IFERROR(VLOOKUP($B255,'Section Data'!$B$36:$AC$107,22,FALSE),""))</f>
        <v>4644</v>
      </c>
      <c r="W255" s="84">
        <f>IF(TRIM($B255)="","",IFERROR(VLOOKUP($B255,'Section Data'!$B$36:$AC$107,23,FALSE),""))</f>
        <v>540</v>
      </c>
      <c r="X255" s="84">
        <f>IF(TRIM($B255)="","",IFERROR((VLOOKUP($B255,'Section Data'!$B$36:$AC$107,5,FALSE)/10)*(VLOOKUP($B255,'Section Data'!$B$36:$AC$107,3,FALSE)/10)^2/4,""))</f>
        <v>1687.5</v>
      </c>
      <c r="Y255" s="84">
        <f>IF(TRIM($B255)="","",IFERROR((VLOOKUP($B255,'Section Data'!$B$36:$AC$107,3,FALSE)/10)*(VLOOKUP($B255,'Section Data'!$B$36:$AC$107,5,FALSE)/10)^2/4,""))</f>
        <v>27</v>
      </c>
      <c r="Z255" s="84">
        <f t="shared" si="32"/>
        <v>1426.39</v>
      </c>
      <c r="AA255" s="84">
        <f t="shared" si="33"/>
        <v>128.51</v>
      </c>
      <c r="AB255" s="86" t="str">
        <f t="shared" si="34"/>
        <v/>
      </c>
      <c r="AC255" s="86" t="str">
        <f t="shared" si="35"/>
        <v/>
      </c>
      <c r="AD255" s="1" t="b">
        <f>AND(ISNUMBER(AB255),ISNUMBER(AC255),AB255&gt;=0,AC255&gt;=0,AB255&lt;=0.95,AC255&lt;=0.95,ISNUMBER(D255),D255&gt;0,'Steel Beam Design'!$A$18="",C255="UC",'Steel Beam Design'!$B$3="Cantilever Supported")</f>
        <v>0</v>
      </c>
      <c r="AE255" s="1" t="str">
        <f>'Steel Beam Design'!O28</f>
        <v/>
      </c>
    </row>
    <row r="256" spans="1:31">
      <c r="A256" s="1" t="s">
        <v>480</v>
      </c>
      <c r="B256" s="1" t="str">
        <f>'Section Data'!B49</f>
        <v>686x254x170</v>
      </c>
      <c r="C256" s="1" t="s">
        <v>368</v>
      </c>
      <c r="D256" s="84">
        <f>'Section Data'!C49</f>
        <v>170.2</v>
      </c>
      <c r="E256" s="84">
        <f>'Section Data'!Q49</f>
        <v>170300</v>
      </c>
      <c r="F256" s="84" t="str">
        <f>'Steel Beam Design'!O56</f>
        <v/>
      </c>
      <c r="G256" s="84" t="str">
        <f>'Steel Beam Design'!O80</f>
        <v/>
      </c>
      <c r="H256" s="84" t="str">
        <f>IF(TRIM($B256)="","",IFERROR('Steel Beam Design'!$D$7006,""))</f>
        <v>S355</v>
      </c>
      <c r="I256" s="84">
        <f>IF(TRIM($B256)="","",IFERROR(MAX(VLOOKUP($B256,'Section Data'!$B$36:$AC$107,5,FALSE),VLOOKUP($B256,'Section Data'!$B$36:$AC$107,6,FALSE)),""))</f>
        <v>23.7</v>
      </c>
      <c r="J256" s="84">
        <f>IF(TRIM($B256)="","",IFERROR(IF(I256&gt;150,"",INDEX('Section Data'!$AH$5:$AK$10,IF(I256&lt;=16,1,IF(I256&lt;=40,2,IF(I256&lt;=63,3,IF(I256&lt;=80,4,IF(I256&lt;=100,5,6))))),MATCH(H256,'Section Data'!$AH$4:$AK$4,0))),""))</f>
        <v>345</v>
      </c>
      <c r="K256" s="84">
        <f t="shared" si="27"/>
        <v>0.8928053815224023</v>
      </c>
      <c r="L256" s="84">
        <f>IF(TRIM($B256)="","",IFERROR(VLOOKUP($B256,'Section Data'!$B$36:$AC$107,9,FALSE),""))</f>
        <v>5.4</v>
      </c>
      <c r="M256" s="84">
        <f>IF(TRIM($B256)="","",IFERROR(VLOOKUP($B256,'Section Data'!$B$36:$AC$107,10,FALSE),""))</f>
        <v>42.4</v>
      </c>
      <c r="N256" s="84">
        <f t="shared" si="28"/>
        <v>8</v>
      </c>
      <c r="O256" s="84">
        <f t="shared" si="29"/>
        <v>80</v>
      </c>
      <c r="P256" s="84">
        <f>IF(TRIM($B256)="","",IFERROR(VLOOKUP($B256,'Section Data'!$B$36:$AC$107,5,FALSE)*VLOOKUP($B256,'Section Data'!$B$36:$AC$107,3,FALSE),""))</f>
        <v>10047.049999999999</v>
      </c>
      <c r="Q256" s="84">
        <f t="shared" si="30"/>
        <v>2001.2301226112622</v>
      </c>
      <c r="R256" s="84">
        <f>'Steel Beam Design'!H2064</f>
        <v>0</v>
      </c>
      <c r="S256" s="84">
        <f t="shared" si="31"/>
        <v>0</v>
      </c>
      <c r="T256" s="84">
        <f>IF(TRIM($B256)="","",IFERROR(VLOOKUP($B256,'Section Data'!$B$36:$AC$107,20,FALSE),""))</f>
        <v>4918</v>
      </c>
      <c r="U256" s="84">
        <f>IF(TRIM($B256)="","",IFERROR(VLOOKUP($B256,'Section Data'!$B$36:$AC$107,21,FALSE),""))</f>
        <v>518</v>
      </c>
      <c r="V256" s="84">
        <f>IF(TRIM($B256)="","",IFERROR(VLOOKUP($B256,'Section Data'!$B$36:$AC$107,22,FALSE),""))</f>
        <v>5631</v>
      </c>
      <c r="W256" s="84">
        <f>IF(TRIM($B256)="","",IFERROR(VLOOKUP($B256,'Section Data'!$B$36:$AC$107,23,FALSE),""))</f>
        <v>811</v>
      </c>
      <c r="X256" s="84">
        <f>IF(TRIM($B256)="","",IFERROR((VLOOKUP($B256,'Section Data'!$B$36:$AC$107,5,FALSE)/10)*(VLOOKUP($B256,'Section Data'!$B$36:$AC$107,3,FALSE)/10)^2/4,""))</f>
        <v>1740.4002362499994</v>
      </c>
      <c r="Y256" s="84">
        <f>IF(TRIM($B256)="","",IFERROR((VLOOKUP($B256,'Section Data'!$B$36:$AC$107,3,FALSE)/10)*(VLOOKUP($B256,'Section Data'!$B$36:$AC$107,5,FALSE)/10)^2/4,""))</f>
        <v>36.420556249999997</v>
      </c>
      <c r="Z256" s="84">
        <f t="shared" si="32"/>
        <v>1942.6949999999999</v>
      </c>
      <c r="AA256" s="84">
        <f t="shared" si="33"/>
        <v>214.452</v>
      </c>
      <c r="AB256" s="86" t="str">
        <f t="shared" si="34"/>
        <v/>
      </c>
      <c r="AC256" s="86" t="str">
        <f t="shared" si="35"/>
        <v/>
      </c>
      <c r="AD256" s="1" t="b">
        <f>AND(ISNUMBER(AB256),ISNUMBER(AC256),AB256&gt;=0,AC256&gt;=0,AB256&lt;=0.95,AC256&lt;=0.95,ISNUMBER(D256),D256&gt;0,'Steel Beam Design'!$A$18="",C256="UC",'Steel Beam Design'!$B$3="Cantilever Supported")</f>
        <v>0</v>
      </c>
      <c r="AE256" s="1" t="str">
        <f>'Steel Beam Design'!O28</f>
        <v/>
      </c>
    </row>
    <row r="257" spans="1:31">
      <c r="A257" s="1" t="s">
        <v>480</v>
      </c>
      <c r="B257" s="1" t="str">
        <f>'Section Data'!B50</f>
        <v>686x254x152</v>
      </c>
      <c r="C257" s="1" t="s">
        <v>368</v>
      </c>
      <c r="D257" s="84">
        <f>'Section Data'!C50</f>
        <v>152.4</v>
      </c>
      <c r="E257" s="84">
        <f>'Section Data'!Q50</f>
        <v>150400</v>
      </c>
      <c r="F257" s="84" t="str">
        <f>'Steel Beam Design'!O56</f>
        <v/>
      </c>
      <c r="G257" s="84" t="str">
        <f>'Steel Beam Design'!O80</f>
        <v/>
      </c>
      <c r="H257" s="84" t="str">
        <f>IF(TRIM($B257)="","",IFERROR('Steel Beam Design'!$D$7006,""))</f>
        <v>S355</v>
      </c>
      <c r="I257" s="84">
        <f>IF(TRIM($B257)="","",IFERROR(MAX(VLOOKUP($B257,'Section Data'!$B$36:$AC$107,5,FALSE),VLOOKUP($B257,'Section Data'!$B$36:$AC$107,6,FALSE)),""))</f>
        <v>21</v>
      </c>
      <c r="J257" s="84">
        <f>IF(TRIM($B257)="","",IFERROR(IF(I257&gt;150,"",INDEX('Section Data'!$AH$5:$AK$10,IF(I257&lt;=16,1,IF(I257&lt;=40,2,IF(I257&lt;=63,3,IF(I257&lt;=80,4,IF(I257&lt;=100,5,6))))),MATCH(H257,'Section Data'!$AH$4:$AK$4,0))),""))</f>
        <v>345</v>
      </c>
      <c r="K257" s="84">
        <f t="shared" si="27"/>
        <v>0.8928053815224023</v>
      </c>
      <c r="L257" s="84">
        <f>IF(TRIM($B257)="","",IFERROR(VLOOKUP($B257,'Section Data'!$B$36:$AC$107,9,FALSE),""))</f>
        <v>6.06</v>
      </c>
      <c r="M257" s="84">
        <f>IF(TRIM($B257)="","",IFERROR(VLOOKUP($B257,'Section Data'!$B$36:$AC$107,10,FALSE),""))</f>
        <v>46.6</v>
      </c>
      <c r="N257" s="84">
        <f t="shared" si="28"/>
        <v>8</v>
      </c>
      <c r="O257" s="84">
        <f t="shared" si="29"/>
        <v>80</v>
      </c>
      <c r="P257" s="84">
        <f>IF(TRIM($B257)="","",IFERROR(VLOOKUP($B257,'Section Data'!$B$36:$AC$107,5,FALSE)*VLOOKUP($B257,'Section Data'!$B$36:$AC$107,3,FALSE),""))</f>
        <v>9075</v>
      </c>
      <c r="Q257" s="84">
        <f t="shared" si="30"/>
        <v>1807.6115240490697</v>
      </c>
      <c r="R257" s="84">
        <f>'Steel Beam Design'!H2064</f>
        <v>0</v>
      </c>
      <c r="S257" s="84">
        <f t="shared" si="31"/>
        <v>0</v>
      </c>
      <c r="T257" s="84">
        <f>IF(TRIM($B257)="","",IFERROR(VLOOKUP($B257,'Section Data'!$B$36:$AC$107,20,FALSE),""))</f>
        <v>4374</v>
      </c>
      <c r="U257" s="84">
        <f>IF(TRIM($B257)="","",IFERROR(VLOOKUP($B257,'Section Data'!$B$36:$AC$107,21,FALSE),""))</f>
        <v>455</v>
      </c>
      <c r="V257" s="84">
        <f>IF(TRIM($B257)="","",IFERROR(VLOOKUP($B257,'Section Data'!$B$36:$AC$107,22,FALSE),""))</f>
        <v>5000</v>
      </c>
      <c r="W257" s="84">
        <f>IF(TRIM($B257)="","",IFERROR(VLOOKUP($B257,'Section Data'!$B$36:$AC$107,23,FALSE),""))</f>
        <v>710</v>
      </c>
      <c r="X257" s="84">
        <f>IF(TRIM($B257)="","",IFERROR((VLOOKUP($B257,'Section Data'!$B$36:$AC$107,5,FALSE)/10)*(VLOOKUP($B257,'Section Data'!$B$36:$AC$107,3,FALSE)/10)^2/4,""))</f>
        <v>1559.7656249999998</v>
      </c>
      <c r="Y257" s="84">
        <f>IF(TRIM($B257)="","",IFERROR((VLOOKUP($B257,'Section Data'!$B$36:$AC$107,3,FALSE)/10)*(VLOOKUP($B257,'Section Data'!$B$36:$AC$107,5,FALSE)/10)^2/4,""))</f>
        <v>29.947499999999991</v>
      </c>
      <c r="Z257" s="84">
        <f t="shared" si="32"/>
        <v>1725</v>
      </c>
      <c r="AA257" s="84">
        <f t="shared" si="33"/>
        <v>188.37</v>
      </c>
      <c r="AB257" s="86" t="str">
        <f t="shared" si="34"/>
        <v/>
      </c>
      <c r="AC257" s="86" t="str">
        <f t="shared" si="35"/>
        <v/>
      </c>
      <c r="AD257" s="1" t="b">
        <f>AND(ISNUMBER(AB257),ISNUMBER(AC257),AB257&gt;=0,AC257&gt;=0,AB257&lt;=0.95,AC257&lt;=0.95,ISNUMBER(D257),D257&gt;0,'Steel Beam Design'!$A$18="",C257="UC",'Steel Beam Design'!$B$3="Cantilever Supported")</f>
        <v>0</v>
      </c>
      <c r="AE257" s="1" t="str">
        <f>'Steel Beam Design'!O28</f>
        <v/>
      </c>
    </row>
    <row r="258" spans="1:31">
      <c r="A258" s="1" t="s">
        <v>480</v>
      </c>
      <c r="B258" s="1" t="str">
        <f>'Section Data'!B51</f>
        <v>686x254x140</v>
      </c>
      <c r="C258" s="1" t="s">
        <v>368</v>
      </c>
      <c r="D258" s="84">
        <f>'Section Data'!C51</f>
        <v>140.1</v>
      </c>
      <c r="E258" s="84">
        <f>'Section Data'!Q51</f>
        <v>136300</v>
      </c>
      <c r="F258" s="84" t="str">
        <f>'Steel Beam Design'!O56</f>
        <v/>
      </c>
      <c r="G258" s="84" t="str">
        <f>'Steel Beam Design'!O80</f>
        <v/>
      </c>
      <c r="H258" s="84" t="str">
        <f>IF(TRIM($B258)="","",IFERROR('Steel Beam Design'!$D$7006,""))</f>
        <v>S355</v>
      </c>
      <c r="I258" s="84">
        <f>IF(TRIM($B258)="","",IFERROR(MAX(VLOOKUP($B258,'Section Data'!$B$36:$AC$107,5,FALSE),VLOOKUP($B258,'Section Data'!$B$36:$AC$107,6,FALSE)),""))</f>
        <v>19</v>
      </c>
      <c r="J258" s="84">
        <f>IF(TRIM($B258)="","",IFERROR(IF(I258&gt;150,"",INDEX('Section Data'!$AH$5:$AK$10,IF(I258&lt;=16,1,IF(I258&lt;=40,2,IF(I258&lt;=63,3,IF(I258&lt;=80,4,IF(I258&lt;=100,5,6))))),MATCH(H258,'Section Data'!$AH$4:$AK$4,0))),""))</f>
        <v>345</v>
      </c>
      <c r="K258" s="84">
        <f t="shared" si="27"/>
        <v>0.8928053815224023</v>
      </c>
      <c r="L258" s="84">
        <f>IF(TRIM($B258)="","",IFERROR(VLOOKUP($B258,'Section Data'!$B$36:$AC$107,9,FALSE),""))</f>
        <v>6.68</v>
      </c>
      <c r="M258" s="84">
        <f>IF(TRIM($B258)="","",IFERROR(VLOOKUP($B258,'Section Data'!$B$36:$AC$107,10,FALSE),""))</f>
        <v>49.6</v>
      </c>
      <c r="N258" s="84">
        <f t="shared" si="28"/>
        <v>8</v>
      </c>
      <c r="O258" s="84">
        <f t="shared" si="29"/>
        <v>80</v>
      </c>
      <c r="P258" s="84">
        <f>IF(TRIM($B258)="","",IFERROR(VLOOKUP($B258,'Section Data'!$B$36:$AC$107,5,FALSE)*VLOOKUP($B258,'Section Data'!$B$36:$AC$107,3,FALSE),""))</f>
        <v>8475.4</v>
      </c>
      <c r="Q258" s="84">
        <f t="shared" si="30"/>
        <v>1688.1796926639652</v>
      </c>
      <c r="R258" s="84">
        <f>'Steel Beam Design'!H2064</f>
        <v>0</v>
      </c>
      <c r="S258" s="84">
        <f t="shared" si="31"/>
        <v>0</v>
      </c>
      <c r="T258" s="84">
        <f>IF(TRIM($B258)="","",IFERROR(VLOOKUP($B258,'Section Data'!$B$36:$AC$107,20,FALSE),""))</f>
        <v>3987</v>
      </c>
      <c r="U258" s="84">
        <f>IF(TRIM($B258)="","",IFERROR(VLOOKUP($B258,'Section Data'!$B$36:$AC$107,21,FALSE),""))</f>
        <v>409</v>
      </c>
      <c r="V258" s="84">
        <f>IF(TRIM($B258)="","",IFERROR(VLOOKUP($B258,'Section Data'!$B$36:$AC$107,22,FALSE),""))</f>
        <v>4558</v>
      </c>
      <c r="W258" s="84">
        <f>IF(TRIM($B258)="","",IFERROR(VLOOKUP($B258,'Section Data'!$B$36:$AC$107,23,FALSE),""))</f>
        <v>638</v>
      </c>
      <c r="X258" s="84">
        <f>IF(TRIM($B258)="","",IFERROR((VLOOKUP($B258,'Section Data'!$B$36:$AC$107,5,FALSE)/10)*(VLOOKUP($B258,'Section Data'!$B$36:$AC$107,3,FALSE)/10)^2/4,""))</f>
        <v>1448.2339749999996</v>
      </c>
      <c r="Y258" s="84">
        <f>IF(TRIM($B258)="","",IFERROR((VLOOKUP($B258,'Section Data'!$B$36:$AC$107,3,FALSE)/10)*(VLOOKUP($B258,'Section Data'!$B$36:$AC$107,5,FALSE)/10)^2/4,""))</f>
        <v>26.27374</v>
      </c>
      <c r="Z258" s="84">
        <f t="shared" si="32"/>
        <v>1572.51</v>
      </c>
      <c r="AA258" s="84">
        <f t="shared" si="33"/>
        <v>169.32599999999996</v>
      </c>
      <c r="AB258" s="86" t="str">
        <f t="shared" si="34"/>
        <v/>
      </c>
      <c r="AC258" s="86" t="str">
        <f t="shared" si="35"/>
        <v/>
      </c>
      <c r="AD258" s="1" t="b">
        <f>AND(ISNUMBER(AB258),ISNUMBER(AC258),AB258&gt;=0,AC258&gt;=0,AB258&lt;=0.95,AC258&lt;=0.95,ISNUMBER(D258),D258&gt;0,'Steel Beam Design'!$A$18="",C258="UC",'Steel Beam Design'!$B$3="Cantilever Supported")</f>
        <v>0</v>
      </c>
      <c r="AE258" s="1" t="str">
        <f>'Steel Beam Design'!O28</f>
        <v/>
      </c>
    </row>
    <row r="259" spans="1:31">
      <c r="A259" s="1" t="s">
        <v>480</v>
      </c>
      <c r="B259" s="1" t="str">
        <f>'Section Data'!B52</f>
        <v>686x254x125</v>
      </c>
      <c r="C259" s="1" t="s">
        <v>368</v>
      </c>
      <c r="D259" s="84">
        <f>'Section Data'!C52</f>
        <v>125.2</v>
      </c>
      <c r="E259" s="84">
        <f>'Section Data'!Q52</f>
        <v>118000</v>
      </c>
      <c r="F259" s="84" t="str">
        <f>'Steel Beam Design'!O56</f>
        <v/>
      </c>
      <c r="G259" s="84" t="str">
        <f>'Steel Beam Design'!O80</f>
        <v/>
      </c>
      <c r="H259" s="84" t="str">
        <f>IF(TRIM($B259)="","",IFERROR('Steel Beam Design'!$D$7006,""))</f>
        <v>S355</v>
      </c>
      <c r="I259" s="84">
        <f>IF(TRIM($B259)="","",IFERROR(MAX(VLOOKUP($B259,'Section Data'!$B$36:$AC$107,5,FALSE),VLOOKUP($B259,'Section Data'!$B$36:$AC$107,6,FALSE)),""))</f>
        <v>16.2</v>
      </c>
      <c r="J259" s="84">
        <f>IF(TRIM($B259)="","",IFERROR(IF(I259&gt;150,"",INDEX('Section Data'!$AH$5:$AK$10,IF(I259&lt;=16,1,IF(I259&lt;=40,2,IF(I259&lt;=63,3,IF(I259&lt;=80,4,IF(I259&lt;=100,5,6))))),MATCH(H259,'Section Data'!$AH$4:$AK$4,0))),""))</f>
        <v>345</v>
      </c>
      <c r="K259" s="84">
        <f t="shared" si="27"/>
        <v>0.8928053815224023</v>
      </c>
      <c r="L259" s="84">
        <f>IF(TRIM($B259)="","",IFERROR(VLOOKUP($B259,'Section Data'!$B$36:$AC$107,9,FALSE),""))</f>
        <v>7.81</v>
      </c>
      <c r="M259" s="84">
        <f>IF(TRIM($B259)="","",IFERROR(VLOOKUP($B259,'Section Data'!$B$36:$AC$107,10,FALSE),""))</f>
        <v>52.6</v>
      </c>
      <c r="N259" s="84">
        <f t="shared" si="28"/>
        <v>9</v>
      </c>
      <c r="O259" s="84">
        <f t="shared" si="29"/>
        <v>80</v>
      </c>
      <c r="P259" s="84">
        <f>IF(TRIM($B259)="","",IFERROR(VLOOKUP($B259,'Section Data'!$B$36:$AC$107,5,FALSE)*VLOOKUP($B259,'Section Data'!$B$36:$AC$107,3,FALSE),""))</f>
        <v>7931.4299999999994</v>
      </c>
      <c r="Q259" s="84">
        <f t="shared" si="30"/>
        <v>1579.8285697177423</v>
      </c>
      <c r="R259" s="84">
        <f>'Steel Beam Design'!H2064</f>
        <v>0</v>
      </c>
      <c r="S259" s="84">
        <f t="shared" si="31"/>
        <v>0</v>
      </c>
      <c r="T259" s="84">
        <f>IF(TRIM($B259)="","",IFERROR(VLOOKUP($B259,'Section Data'!$B$36:$AC$107,20,FALSE),""))</f>
        <v>3481</v>
      </c>
      <c r="U259" s="84">
        <f>IF(TRIM($B259)="","",IFERROR(VLOOKUP($B259,'Section Data'!$B$36:$AC$107,21,FALSE),""))</f>
        <v>346</v>
      </c>
      <c r="V259" s="84">
        <f>IF(TRIM($B259)="","",IFERROR(VLOOKUP($B259,'Section Data'!$B$36:$AC$107,22,FALSE),""))</f>
        <v>3994</v>
      </c>
      <c r="W259" s="84">
        <f>IF(TRIM($B259)="","",IFERROR(VLOOKUP($B259,'Section Data'!$B$36:$AC$107,23,FALSE),""))</f>
        <v>542</v>
      </c>
      <c r="X259" s="84">
        <f>IF(TRIM($B259)="","",IFERROR((VLOOKUP($B259,'Section Data'!$B$36:$AC$107,5,FALSE)/10)*(VLOOKUP($B259,'Section Data'!$B$36:$AC$107,3,FALSE)/10)^2/4,""))</f>
        <v>1344.1790992499996</v>
      </c>
      <c r="Y259" s="84">
        <f>IF(TRIM($B259)="","",IFERROR((VLOOKUP($B259,'Section Data'!$B$36:$AC$107,3,FALSE)/10)*(VLOOKUP($B259,'Section Data'!$B$36:$AC$107,5,FALSE)/10)^2/4,""))</f>
        <v>23.199432749999993</v>
      </c>
      <c r="Z259" s="84">
        <f t="shared" si="32"/>
        <v>1377.93</v>
      </c>
      <c r="AA259" s="84">
        <f t="shared" si="33"/>
        <v>143.244</v>
      </c>
      <c r="AB259" s="86" t="str">
        <f t="shared" si="34"/>
        <v/>
      </c>
      <c r="AC259" s="86" t="str">
        <f t="shared" si="35"/>
        <v/>
      </c>
      <c r="AD259" s="1" t="b">
        <f>AND(ISNUMBER(AB259),ISNUMBER(AC259),AB259&gt;=0,AC259&gt;=0,AB259&lt;=0.95,AC259&lt;=0.95,ISNUMBER(D259),D259&gt;0,'Steel Beam Design'!$A$18="",C259="UC",'Steel Beam Design'!$B$3="Cantilever Supported")</f>
        <v>0</v>
      </c>
      <c r="AE259" s="1" t="str">
        <f>'Steel Beam Design'!O28</f>
        <v/>
      </c>
    </row>
    <row r="260" spans="1:31">
      <c r="A260" s="1" t="s">
        <v>480</v>
      </c>
      <c r="B260" s="1" t="str">
        <f>'Section Data'!B53</f>
        <v>610x305x238</v>
      </c>
      <c r="C260" s="1" t="s">
        <v>368</v>
      </c>
      <c r="D260" s="84">
        <f>'Section Data'!C53</f>
        <v>238.1</v>
      </c>
      <c r="E260" s="84">
        <f>'Section Data'!Q53</f>
        <v>209500</v>
      </c>
      <c r="F260" s="84" t="str">
        <f>'Steel Beam Design'!O56</f>
        <v/>
      </c>
      <c r="G260" s="84" t="str">
        <f>'Steel Beam Design'!O80</f>
        <v/>
      </c>
      <c r="H260" s="84" t="str">
        <f>IF(TRIM($B260)="","",IFERROR('Steel Beam Design'!$D$7006,""))</f>
        <v>S355</v>
      </c>
      <c r="I260" s="84">
        <f>IF(TRIM($B260)="","",IFERROR(MAX(VLOOKUP($B260,'Section Data'!$B$36:$AC$107,5,FALSE),VLOOKUP($B260,'Section Data'!$B$36:$AC$107,6,FALSE)),""))</f>
        <v>31.4</v>
      </c>
      <c r="J260" s="84">
        <f>IF(TRIM($B260)="","",IFERROR(IF(I260&gt;150,"",INDEX('Section Data'!$AH$5:$AK$10,IF(I260&lt;=16,1,IF(I260&lt;=40,2,IF(I260&lt;=63,3,IF(I260&lt;=80,4,IF(I260&lt;=100,5,6))))),MATCH(H260,'Section Data'!$AH$4:$AK$4,0))),""))</f>
        <v>345</v>
      </c>
      <c r="K260" s="84">
        <f t="shared" si="27"/>
        <v>0.8928053815224023</v>
      </c>
      <c r="L260" s="84">
        <f>IF(TRIM($B260)="","",IFERROR(VLOOKUP($B260,'Section Data'!$B$36:$AC$107,9,FALSE),""))</f>
        <v>4.96</v>
      </c>
      <c r="M260" s="84">
        <f>IF(TRIM($B260)="","",IFERROR(VLOOKUP($B260,'Section Data'!$B$36:$AC$107,10,FALSE),""))</f>
        <v>29.3</v>
      </c>
      <c r="N260" s="84">
        <f t="shared" si="28"/>
        <v>8</v>
      </c>
      <c r="O260" s="84">
        <f t="shared" si="29"/>
        <v>80</v>
      </c>
      <c r="P260" s="84">
        <f>IF(TRIM($B260)="","",IFERROR(VLOOKUP($B260,'Section Data'!$B$36:$AC$107,5,FALSE)*VLOOKUP($B260,'Section Data'!$B$36:$AC$107,3,FALSE),""))</f>
        <v>11698.719999999998</v>
      </c>
      <c r="Q260" s="84">
        <f t="shared" si="30"/>
        <v>2330.2194037050499</v>
      </c>
      <c r="R260" s="84">
        <f>'Steel Beam Design'!H2064</f>
        <v>0</v>
      </c>
      <c r="S260" s="84">
        <f t="shared" si="31"/>
        <v>0</v>
      </c>
      <c r="T260" s="84">
        <f>IF(TRIM($B260)="","",IFERROR(VLOOKUP($B260,'Section Data'!$B$36:$AC$107,20,FALSE),""))</f>
        <v>6589</v>
      </c>
      <c r="U260" s="84">
        <f>IF(TRIM($B260)="","",IFERROR(VLOOKUP($B260,'Section Data'!$B$36:$AC$107,21,FALSE),""))</f>
        <v>1017</v>
      </c>
      <c r="V260" s="84">
        <f>IF(TRIM($B260)="","",IFERROR(VLOOKUP($B260,'Section Data'!$B$36:$AC$107,22,FALSE),""))</f>
        <v>7486</v>
      </c>
      <c r="W260" s="84">
        <f>IF(TRIM($B260)="","",IFERROR(VLOOKUP($B260,'Section Data'!$B$36:$AC$107,23,FALSE),""))</f>
        <v>1574</v>
      </c>
      <c r="X260" s="84">
        <f>IF(TRIM($B260)="","",IFERROR((VLOOKUP($B260,'Section Data'!$B$36:$AC$107,5,FALSE)/10)*(VLOOKUP($B260,'Section Data'!$B$36:$AC$107,3,FALSE)/10)^2/4,""))</f>
        <v>1859.5115439999997</v>
      </c>
      <c r="Y260" s="84">
        <f>IF(TRIM($B260)="","",IFERROR((VLOOKUP($B260,'Section Data'!$B$36:$AC$107,3,FALSE)/10)*(VLOOKUP($B260,'Section Data'!$B$36:$AC$107,5,FALSE)/10)^2/4,""))</f>
        <v>53.814111999999987</v>
      </c>
      <c r="Z260" s="84">
        <f t="shared" si="32"/>
        <v>2582.67</v>
      </c>
      <c r="AA260" s="84">
        <f t="shared" si="33"/>
        <v>421.03799999999995</v>
      </c>
      <c r="AB260" s="86" t="str">
        <f t="shared" si="34"/>
        <v/>
      </c>
      <c r="AC260" s="86" t="str">
        <f t="shared" si="35"/>
        <v/>
      </c>
      <c r="AD260" s="1" t="b">
        <f>AND(ISNUMBER(AB260),ISNUMBER(AC260),AB260&gt;=0,AC260&gt;=0,AB260&lt;=0.95,AC260&lt;=0.95,ISNUMBER(D260),D260&gt;0,'Steel Beam Design'!$A$18="",C260="UC",'Steel Beam Design'!$B$3="Cantilever Supported")</f>
        <v>0</v>
      </c>
      <c r="AE260" s="1" t="str">
        <f>'Steel Beam Design'!O28</f>
        <v/>
      </c>
    </row>
    <row r="261" spans="1:31">
      <c r="A261" s="1" t="s">
        <v>480</v>
      </c>
      <c r="B261" s="1" t="str">
        <f>'Section Data'!B54</f>
        <v>610x305x179</v>
      </c>
      <c r="C261" s="1" t="s">
        <v>368</v>
      </c>
      <c r="D261" s="84">
        <f>'Section Data'!C54</f>
        <v>179</v>
      </c>
      <c r="E261" s="84">
        <f>'Section Data'!Q54</f>
        <v>153000</v>
      </c>
      <c r="F261" s="84" t="str">
        <f>'Steel Beam Design'!O56</f>
        <v/>
      </c>
      <c r="G261" s="84" t="str">
        <f>'Steel Beam Design'!O80</f>
        <v/>
      </c>
      <c r="H261" s="84" t="str">
        <f>IF(TRIM($B261)="","",IFERROR('Steel Beam Design'!$D$7006,""))</f>
        <v>S355</v>
      </c>
      <c r="I261" s="84">
        <f>IF(TRIM($B261)="","",IFERROR(MAX(VLOOKUP($B261,'Section Data'!$B$36:$AC$107,5,FALSE),VLOOKUP($B261,'Section Data'!$B$36:$AC$107,6,FALSE)),""))</f>
        <v>23.6</v>
      </c>
      <c r="J261" s="84">
        <f>IF(TRIM($B261)="","",IFERROR(IF(I261&gt;150,"",INDEX('Section Data'!$AH$5:$AK$10,IF(I261&lt;=16,1,IF(I261&lt;=40,2,IF(I261&lt;=63,3,IF(I261&lt;=80,4,IF(I261&lt;=100,5,6))))),MATCH(H261,'Section Data'!$AH$4:$AK$4,0))),""))</f>
        <v>345</v>
      </c>
      <c r="K261" s="84">
        <f t="shared" si="27"/>
        <v>0.8928053815224023</v>
      </c>
      <c r="L261" s="84">
        <f>IF(TRIM($B261)="","",IFERROR(VLOOKUP($B261,'Section Data'!$B$36:$AC$107,9,FALSE),""))</f>
        <v>6.51</v>
      </c>
      <c r="M261" s="84">
        <f>IF(TRIM($B261)="","",IFERROR(VLOOKUP($B261,'Section Data'!$B$36:$AC$107,10,FALSE),""))</f>
        <v>38.299999999999997</v>
      </c>
      <c r="N261" s="84">
        <f t="shared" si="28"/>
        <v>8</v>
      </c>
      <c r="O261" s="84">
        <f t="shared" si="29"/>
        <v>80</v>
      </c>
      <c r="P261" s="84">
        <f>IF(TRIM($B261)="","",IFERROR(VLOOKUP($B261,'Section Data'!$B$36:$AC$107,5,FALSE)*VLOOKUP($B261,'Section Data'!$B$36:$AC$107,3,FALSE),""))</f>
        <v>8744.82</v>
      </c>
      <c r="Q261" s="84">
        <f t="shared" si="30"/>
        <v>1741.844342450114</v>
      </c>
      <c r="R261" s="84">
        <f>'Steel Beam Design'!H2064</f>
        <v>0</v>
      </c>
      <c r="S261" s="84">
        <f t="shared" si="31"/>
        <v>0</v>
      </c>
      <c r="T261" s="84">
        <f>IF(TRIM($B261)="","",IFERROR(VLOOKUP($B261,'Section Data'!$B$36:$AC$107,20,FALSE),""))</f>
        <v>4935</v>
      </c>
      <c r="U261" s="84">
        <f>IF(TRIM($B261)="","",IFERROR(VLOOKUP($B261,'Section Data'!$B$36:$AC$107,21,FALSE),""))</f>
        <v>743</v>
      </c>
      <c r="V261" s="84">
        <f>IF(TRIM($B261)="","",IFERROR(VLOOKUP($B261,'Section Data'!$B$36:$AC$107,22,FALSE),""))</f>
        <v>5547</v>
      </c>
      <c r="W261" s="84">
        <f>IF(TRIM($B261)="","",IFERROR(VLOOKUP($B261,'Section Data'!$B$36:$AC$107,23,FALSE),""))</f>
        <v>1144</v>
      </c>
      <c r="X261" s="84">
        <f>IF(TRIM($B261)="","",IFERROR((VLOOKUP($B261,'Section Data'!$B$36:$AC$107,5,FALSE)/10)*(VLOOKUP($B261,'Section Data'!$B$36:$AC$107,3,FALSE)/10)^2/4,""))</f>
        <v>1355.8843409999999</v>
      </c>
      <c r="Y261" s="84">
        <f>IF(TRIM($B261)="","",IFERROR((VLOOKUP($B261,'Section Data'!$B$36:$AC$107,3,FALSE)/10)*(VLOOKUP($B261,'Section Data'!$B$36:$AC$107,5,FALSE)/10)^2/4,""))</f>
        <v>30.825490499999997</v>
      </c>
      <c r="Z261" s="84">
        <f t="shared" si="32"/>
        <v>1913.7149999999999</v>
      </c>
      <c r="AA261" s="84">
        <f t="shared" si="33"/>
        <v>307.60199999999998</v>
      </c>
      <c r="AB261" s="86" t="str">
        <f t="shared" si="34"/>
        <v/>
      </c>
      <c r="AC261" s="86" t="str">
        <f t="shared" si="35"/>
        <v/>
      </c>
      <c r="AD261" s="1" t="b">
        <f>AND(ISNUMBER(AB261),ISNUMBER(AC261),AB261&gt;=0,AC261&gt;=0,AB261&lt;=0.95,AC261&lt;=0.95,ISNUMBER(D261),D261&gt;0,'Steel Beam Design'!$A$18="",C261="UC",'Steel Beam Design'!$B$3="Cantilever Supported")</f>
        <v>0</v>
      </c>
      <c r="AE261" s="1" t="str">
        <f>'Steel Beam Design'!O28</f>
        <v/>
      </c>
    </row>
    <row r="262" spans="1:31">
      <c r="A262" s="1" t="s">
        <v>480</v>
      </c>
      <c r="B262" s="1" t="str">
        <f>'Section Data'!B55</f>
        <v>610x305x149</v>
      </c>
      <c r="C262" s="1" t="s">
        <v>368</v>
      </c>
      <c r="D262" s="84">
        <f>'Section Data'!C55</f>
        <v>149.19999999999999</v>
      </c>
      <c r="E262" s="84">
        <f>'Section Data'!Q55</f>
        <v>125900</v>
      </c>
      <c r="F262" s="84" t="str">
        <f>'Steel Beam Design'!O56</f>
        <v/>
      </c>
      <c r="G262" s="84" t="str">
        <f>'Steel Beam Design'!O80</f>
        <v/>
      </c>
      <c r="H262" s="84" t="str">
        <f>IF(TRIM($B262)="","",IFERROR('Steel Beam Design'!$D$7006,""))</f>
        <v>S355</v>
      </c>
      <c r="I262" s="84">
        <f>IF(TRIM($B262)="","",IFERROR(MAX(VLOOKUP($B262,'Section Data'!$B$36:$AC$107,5,FALSE),VLOOKUP($B262,'Section Data'!$B$36:$AC$107,6,FALSE)),""))</f>
        <v>19.7</v>
      </c>
      <c r="J262" s="84">
        <f>IF(TRIM($B262)="","",IFERROR(IF(I262&gt;150,"",INDEX('Section Data'!$AH$5:$AK$10,IF(I262&lt;=16,1,IF(I262&lt;=40,2,IF(I262&lt;=63,3,IF(I262&lt;=80,4,IF(I262&lt;=100,5,6))))),MATCH(H262,'Section Data'!$AH$4:$AK$4,0))),""))</f>
        <v>345</v>
      </c>
      <c r="K262" s="84">
        <f t="shared" ref="K262:K314" si="36">IF(ISNUMBER(J262),IF(J262&gt;0,SQRT(275/J262),""),"")</f>
        <v>0.8928053815224023</v>
      </c>
      <c r="L262" s="84">
        <f>IF(TRIM($B262)="","",IFERROR(VLOOKUP($B262,'Section Data'!$B$36:$AC$107,9,FALSE),""))</f>
        <v>7.74</v>
      </c>
      <c r="M262" s="84">
        <f>IF(TRIM($B262)="","",IFERROR(VLOOKUP($B262,'Section Data'!$B$36:$AC$107,10,FALSE),""))</f>
        <v>45.8</v>
      </c>
      <c r="N262" s="84">
        <f t="shared" ref="N262:N314" si="37">IF(COUNT(L262,K262)=2,IF(L262&lt;=8*K262,8,IF(L262&lt;=9*K262,9,13)),"")</f>
        <v>9</v>
      </c>
      <c r="O262" s="84">
        <f t="shared" ref="O262:O314" si="38">IF(COUNT(M262,K262)=2,IF(M262&lt;=80*K262,80,IF(M262&lt;=100*K262,100,120)),"")</f>
        <v>80</v>
      </c>
      <c r="P262" s="84">
        <f>IF(TRIM($B262)="","",IFERROR(VLOOKUP($B262,'Section Data'!$B$36:$AC$107,5,FALSE)*VLOOKUP($B262,'Section Data'!$B$36:$AC$107,3,FALSE),""))</f>
        <v>7226.3200000000006</v>
      </c>
      <c r="Q262" s="84">
        <f t="shared" ref="Q262:Q314" si="39">IF(TRIM($B262)="","",IFERROR(J262*P262/SQRT(3)/1000,""))</f>
        <v>1439.3806400513802</v>
      </c>
      <c r="R262" s="84">
        <f>'Steel Beam Design'!H2064</f>
        <v>0</v>
      </c>
      <c r="S262" s="84">
        <f t="shared" ref="S262:S314" si="40">IF(AND(ISNUMBER(Q262),Q262&gt;0),IF(R262&lt;=0.6*Q262,0,(2*R262/Q262-1)^2),"")</f>
        <v>0</v>
      </c>
      <c r="T262" s="84">
        <f>IF(TRIM($B262)="","",IFERROR(VLOOKUP($B262,'Section Data'!$B$36:$AC$107,20,FALSE),""))</f>
        <v>4111</v>
      </c>
      <c r="U262" s="84">
        <f>IF(TRIM($B262)="","",IFERROR(VLOOKUP($B262,'Section Data'!$B$36:$AC$107,21,FALSE),""))</f>
        <v>611</v>
      </c>
      <c r="V262" s="84">
        <f>IF(TRIM($B262)="","",IFERROR(VLOOKUP($B262,'Section Data'!$B$36:$AC$107,22,FALSE),""))</f>
        <v>4594</v>
      </c>
      <c r="W262" s="84">
        <f>IF(TRIM($B262)="","",IFERROR(VLOOKUP($B262,'Section Data'!$B$36:$AC$107,23,FALSE),""))</f>
        <v>937</v>
      </c>
      <c r="X262" s="84">
        <f>IF(TRIM($B262)="","",IFERROR((VLOOKUP($B262,'Section Data'!$B$36:$AC$107,5,FALSE)/10)*(VLOOKUP($B262,'Section Data'!$B$36:$AC$107,3,FALSE)/10)^2/4,""))</f>
        <v>1106.349592</v>
      </c>
      <c r="Y262" s="84">
        <f>IF(TRIM($B262)="","",IFERROR((VLOOKUP($B262,'Section Data'!$B$36:$AC$107,3,FALSE)/10)*(VLOOKUP($B262,'Section Data'!$B$36:$AC$107,5,FALSE)/10)^2/4,""))</f>
        <v>21.317644000000001</v>
      </c>
      <c r="Z262" s="84">
        <f t="shared" ref="Z262:Z314" si="41">IF(TRIM($B262)="","",IFERROR(IF(AND(J262&gt;0,R262&lt;=Q262,L262&lt;=13*K262,M262&lt;=120*K262),IF(R262&lt;=0.6*Q262,IF(OR(N262=13,O262=120),T262,MIN(V262,1.2*T262)),IF(OR(N262=13,O262=120),T262-S262*X262/1.5,MIN(V262-S262*X262,1.2*(T262-S262*X262/1.5))))*J262/1000,""),""))</f>
        <v>1584.93</v>
      </c>
      <c r="AA262" s="84">
        <f t="shared" ref="AA262:AA314" si="42">IF(TRIM($B262)="","",IFERROR(IF(AND(J262&gt;0,R262&lt;=Q262,L262&lt;=13*K262,M262&lt;=120*K262),IF(R262&lt;=0.6*Q262,IF(OR(N262=13,O262=120),U262,MIN(W262,1.2*U262)),IF(OR(N262=13,O262=120),U262-S262*Y262/1.5,MIN(W262-S262*Y262,1.2*(U262-S262*Y262/1.5))))*J262/1000,""),""))</f>
        <v>252.95399999999998</v>
      </c>
      <c r="AB262" s="86" t="str">
        <f t="shared" ref="AB262:AB314" si="43">IF(AND(ISNUMBER(F262),ISNUMBER(Z262),Z262&gt;0),F262/Z262,"")</f>
        <v/>
      </c>
      <c r="AC262" s="86" t="str">
        <f t="shared" ref="AC262:AC314" si="44">IF(AND(ISNUMBER(G262),ISNUMBER(E262),E262&gt;0),G262/E262,"")</f>
        <v/>
      </c>
      <c r="AD262" s="1" t="b">
        <f>AND(ISNUMBER(AB262),ISNUMBER(AC262),AB262&gt;=0,AC262&gt;=0,AB262&lt;=0.95,AC262&lt;=0.95,ISNUMBER(D262),D262&gt;0,'Steel Beam Design'!$A$18="",C262="UC",'Steel Beam Design'!$B$3="Cantilever Supported")</f>
        <v>0</v>
      </c>
      <c r="AE262" s="1" t="str">
        <f>'Steel Beam Design'!O28</f>
        <v/>
      </c>
    </row>
    <row r="263" spans="1:31">
      <c r="A263" s="1" t="s">
        <v>480</v>
      </c>
      <c r="B263" s="1" t="str">
        <f>'Section Data'!B56</f>
        <v>610x229x140</v>
      </c>
      <c r="C263" s="1" t="s">
        <v>368</v>
      </c>
      <c r="D263" s="84">
        <f>'Section Data'!C56</f>
        <v>139.9</v>
      </c>
      <c r="E263" s="84">
        <f>'Section Data'!Q56</f>
        <v>111800</v>
      </c>
      <c r="F263" s="84" t="str">
        <f>'Steel Beam Design'!O56</f>
        <v/>
      </c>
      <c r="G263" s="84" t="str">
        <f>'Steel Beam Design'!O80</f>
        <v/>
      </c>
      <c r="H263" s="84" t="str">
        <f>IF(TRIM($B263)="","",IFERROR('Steel Beam Design'!$D$7006,""))</f>
        <v>S355</v>
      </c>
      <c r="I263" s="84">
        <f>IF(TRIM($B263)="","",IFERROR(MAX(VLOOKUP($B263,'Section Data'!$B$36:$AC$107,5,FALSE),VLOOKUP($B263,'Section Data'!$B$36:$AC$107,6,FALSE)),""))</f>
        <v>22.1</v>
      </c>
      <c r="J263" s="84">
        <f>IF(TRIM($B263)="","",IFERROR(IF(I263&gt;150,"",INDEX('Section Data'!$AH$5:$AK$10,IF(I263&lt;=16,1,IF(I263&lt;=40,2,IF(I263&lt;=63,3,IF(I263&lt;=80,4,IF(I263&lt;=100,5,6))))),MATCH(H263,'Section Data'!$AH$4:$AK$4,0))),""))</f>
        <v>345</v>
      </c>
      <c r="K263" s="84">
        <f t="shared" si="36"/>
        <v>0.8928053815224023</v>
      </c>
      <c r="L263" s="84">
        <f>IF(TRIM($B263)="","",IFERROR(VLOOKUP($B263,'Section Data'!$B$36:$AC$107,9,FALSE),""))</f>
        <v>5.21</v>
      </c>
      <c r="M263" s="84">
        <f>IF(TRIM($B263)="","",IFERROR(VLOOKUP($B263,'Section Data'!$B$36:$AC$107,10,FALSE),""))</f>
        <v>41.8</v>
      </c>
      <c r="N263" s="84">
        <f t="shared" si="37"/>
        <v>8</v>
      </c>
      <c r="O263" s="84">
        <f t="shared" si="38"/>
        <v>80</v>
      </c>
      <c r="P263" s="84">
        <f>IF(TRIM($B263)="","",IFERROR(VLOOKUP($B263,'Section Data'!$B$36:$AC$107,5,FALSE)*VLOOKUP($B263,'Section Data'!$B$36:$AC$107,3,FALSE),""))</f>
        <v>8085.3200000000006</v>
      </c>
      <c r="Q263" s="84">
        <f t="shared" si="39"/>
        <v>1610.4812790770718</v>
      </c>
      <c r="R263" s="84">
        <f>'Steel Beam Design'!H2064</f>
        <v>0</v>
      </c>
      <c r="S263" s="84">
        <f t="shared" si="40"/>
        <v>0</v>
      </c>
      <c r="T263" s="84">
        <f>IF(TRIM($B263)="","",IFERROR(VLOOKUP($B263,'Section Data'!$B$36:$AC$107,20,FALSE),""))</f>
        <v>3622</v>
      </c>
      <c r="U263" s="84">
        <f>IF(TRIM($B263)="","",IFERROR(VLOOKUP($B263,'Section Data'!$B$36:$AC$107,21,FALSE),""))</f>
        <v>391</v>
      </c>
      <c r="V263" s="84">
        <f>IF(TRIM($B263)="","",IFERROR(VLOOKUP($B263,'Section Data'!$B$36:$AC$107,22,FALSE),""))</f>
        <v>4142</v>
      </c>
      <c r="W263" s="84">
        <f>IF(TRIM($B263)="","",IFERROR(VLOOKUP($B263,'Section Data'!$B$36:$AC$107,23,FALSE),""))</f>
        <v>611</v>
      </c>
      <c r="X263" s="84">
        <f>IF(TRIM($B263)="","",IFERROR((VLOOKUP($B263,'Section Data'!$B$36:$AC$107,5,FALSE)/10)*(VLOOKUP($B263,'Section Data'!$B$36:$AC$107,3,FALSE)/10)^2/4,""))</f>
        <v>1247.5648760000001</v>
      </c>
      <c r="Y263" s="84">
        <f>IF(TRIM($B263)="","",IFERROR((VLOOKUP($B263,'Section Data'!$B$36:$AC$107,3,FALSE)/10)*(VLOOKUP($B263,'Section Data'!$B$36:$AC$107,5,FALSE)/10)^2/4,""))</f>
        <v>26.479423000000004</v>
      </c>
      <c r="Z263" s="84">
        <f t="shared" si="41"/>
        <v>1428.99</v>
      </c>
      <c r="AA263" s="84">
        <f t="shared" si="42"/>
        <v>161.874</v>
      </c>
      <c r="AB263" s="86" t="str">
        <f t="shared" si="43"/>
        <v/>
      </c>
      <c r="AC263" s="86" t="str">
        <f t="shared" si="44"/>
        <v/>
      </c>
      <c r="AD263" s="1" t="b">
        <f>AND(ISNUMBER(AB263),ISNUMBER(AC263),AB263&gt;=0,AC263&gt;=0,AB263&lt;=0.95,AC263&lt;=0.95,ISNUMBER(D263),D263&gt;0,'Steel Beam Design'!$A$18="",C263="UC",'Steel Beam Design'!$B$3="Cantilever Supported")</f>
        <v>0</v>
      </c>
      <c r="AE263" s="1" t="str">
        <f>'Steel Beam Design'!O28</f>
        <v/>
      </c>
    </row>
    <row r="264" spans="1:31">
      <c r="A264" s="1" t="s">
        <v>480</v>
      </c>
      <c r="B264" s="1" t="str">
        <f>'Section Data'!B57</f>
        <v>610x229x125</v>
      </c>
      <c r="C264" s="1" t="s">
        <v>368</v>
      </c>
      <c r="D264" s="84">
        <f>'Section Data'!C57</f>
        <v>125.1</v>
      </c>
      <c r="E264" s="84">
        <f>'Section Data'!Q57</f>
        <v>98610</v>
      </c>
      <c r="F264" s="84" t="str">
        <f>'Steel Beam Design'!O56</f>
        <v/>
      </c>
      <c r="G264" s="84" t="str">
        <f>'Steel Beam Design'!O80</f>
        <v/>
      </c>
      <c r="H264" s="84" t="str">
        <f>IF(TRIM($B264)="","",IFERROR('Steel Beam Design'!$D$7006,""))</f>
        <v>S355</v>
      </c>
      <c r="I264" s="84">
        <f>IF(TRIM($B264)="","",IFERROR(MAX(VLOOKUP($B264,'Section Data'!$B$36:$AC$107,5,FALSE),VLOOKUP($B264,'Section Data'!$B$36:$AC$107,6,FALSE)),""))</f>
        <v>19.600000000000001</v>
      </c>
      <c r="J264" s="84">
        <f>IF(TRIM($B264)="","",IFERROR(IF(I264&gt;150,"",INDEX('Section Data'!$AH$5:$AK$10,IF(I264&lt;=16,1,IF(I264&lt;=40,2,IF(I264&lt;=63,3,IF(I264&lt;=80,4,IF(I264&lt;=100,5,6))))),MATCH(H264,'Section Data'!$AH$4:$AK$4,0))),""))</f>
        <v>345</v>
      </c>
      <c r="K264" s="84">
        <f t="shared" si="36"/>
        <v>0.8928053815224023</v>
      </c>
      <c r="L264" s="84">
        <f>IF(TRIM($B264)="","",IFERROR(VLOOKUP($B264,'Section Data'!$B$36:$AC$107,9,FALSE),""))</f>
        <v>5.84</v>
      </c>
      <c r="M264" s="84">
        <f>IF(TRIM($B264)="","",IFERROR(VLOOKUP($B264,'Section Data'!$B$36:$AC$107,10,FALSE),""))</f>
        <v>46</v>
      </c>
      <c r="N264" s="84">
        <f t="shared" si="37"/>
        <v>8</v>
      </c>
      <c r="O264" s="84">
        <f t="shared" si="38"/>
        <v>80</v>
      </c>
      <c r="P264" s="84">
        <f>IF(TRIM($B264)="","",IFERROR(VLOOKUP($B264,'Section Data'!$B$36:$AC$107,5,FALSE)*VLOOKUP($B264,'Section Data'!$B$36:$AC$107,3,FALSE),""))</f>
        <v>7285.1800000000012</v>
      </c>
      <c r="Q264" s="84">
        <f t="shared" si="39"/>
        <v>1451.1047187627332</v>
      </c>
      <c r="R264" s="84">
        <f>'Steel Beam Design'!H2064</f>
        <v>0</v>
      </c>
      <c r="S264" s="84">
        <f t="shared" si="40"/>
        <v>0</v>
      </c>
      <c r="T264" s="84">
        <f>IF(TRIM($B264)="","",IFERROR(VLOOKUP($B264,'Section Data'!$B$36:$AC$107,20,FALSE),""))</f>
        <v>3221</v>
      </c>
      <c r="U264" s="84">
        <f>IF(TRIM($B264)="","",IFERROR(VLOOKUP($B264,'Section Data'!$B$36:$AC$107,21,FALSE),""))</f>
        <v>343</v>
      </c>
      <c r="V264" s="84">
        <f>IF(TRIM($B264)="","",IFERROR(VLOOKUP($B264,'Section Data'!$B$36:$AC$107,22,FALSE),""))</f>
        <v>3676</v>
      </c>
      <c r="W264" s="84">
        <f>IF(TRIM($B264)="","",IFERROR(VLOOKUP($B264,'Section Data'!$B$36:$AC$107,23,FALSE),""))</f>
        <v>535</v>
      </c>
      <c r="X264" s="84">
        <f>IF(TRIM($B264)="","",IFERROR((VLOOKUP($B264,'Section Data'!$B$36:$AC$107,5,FALSE)/10)*(VLOOKUP($B264,'Section Data'!$B$36:$AC$107,3,FALSE)/10)^2/4,""))</f>
        <v>1114.9967990000002</v>
      </c>
      <c r="Y264" s="84">
        <f>IF(TRIM($B264)="","",IFERROR((VLOOKUP($B264,'Section Data'!$B$36:$AC$107,3,FALSE)/10)*(VLOOKUP($B264,'Section Data'!$B$36:$AC$107,5,FALSE)/10)^2/4,""))</f>
        <v>21.673410499999999</v>
      </c>
      <c r="Z264" s="84">
        <f t="shared" si="41"/>
        <v>1268.22</v>
      </c>
      <c r="AA264" s="84">
        <f t="shared" si="42"/>
        <v>142.00200000000001</v>
      </c>
      <c r="AB264" s="86" t="str">
        <f t="shared" si="43"/>
        <v/>
      </c>
      <c r="AC264" s="86" t="str">
        <f t="shared" si="44"/>
        <v/>
      </c>
      <c r="AD264" s="1" t="b">
        <f>AND(ISNUMBER(AB264),ISNUMBER(AC264),AB264&gt;=0,AC264&gt;=0,AB264&lt;=0.95,AC264&lt;=0.95,ISNUMBER(D264),D264&gt;0,'Steel Beam Design'!$A$18="",C264="UC",'Steel Beam Design'!$B$3="Cantilever Supported")</f>
        <v>0</v>
      </c>
      <c r="AE264" s="1" t="str">
        <f>'Steel Beam Design'!O28</f>
        <v/>
      </c>
    </row>
    <row r="265" spans="1:31">
      <c r="A265" s="1" t="s">
        <v>480</v>
      </c>
      <c r="B265" s="1" t="str">
        <f>'Section Data'!B58</f>
        <v>610x229x113</v>
      </c>
      <c r="C265" s="1" t="s">
        <v>368</v>
      </c>
      <c r="D265" s="84">
        <f>'Section Data'!C58</f>
        <v>113</v>
      </c>
      <c r="E265" s="84">
        <f>'Section Data'!Q58</f>
        <v>87320</v>
      </c>
      <c r="F265" s="84" t="str">
        <f>'Steel Beam Design'!O56</f>
        <v/>
      </c>
      <c r="G265" s="84" t="str">
        <f>'Steel Beam Design'!O80</f>
        <v/>
      </c>
      <c r="H265" s="84" t="str">
        <f>IF(TRIM($B265)="","",IFERROR('Steel Beam Design'!$D$7006,""))</f>
        <v>S355</v>
      </c>
      <c r="I265" s="84">
        <f>IF(TRIM($B265)="","",IFERROR(MAX(VLOOKUP($B265,'Section Data'!$B$36:$AC$107,5,FALSE),VLOOKUP($B265,'Section Data'!$B$36:$AC$107,6,FALSE)),""))</f>
        <v>17.3</v>
      </c>
      <c r="J265" s="84">
        <f>IF(TRIM($B265)="","",IFERROR(IF(I265&gt;150,"",INDEX('Section Data'!$AH$5:$AK$10,IF(I265&lt;=16,1,IF(I265&lt;=40,2,IF(I265&lt;=63,3,IF(I265&lt;=80,4,IF(I265&lt;=100,5,6))))),MATCH(H265,'Section Data'!$AH$4:$AK$4,0))),""))</f>
        <v>345</v>
      </c>
      <c r="K265" s="84">
        <f t="shared" si="36"/>
        <v>0.8928053815224023</v>
      </c>
      <c r="L265" s="84">
        <f>IF(TRIM($B265)="","",IFERROR(VLOOKUP($B265,'Section Data'!$B$36:$AC$107,9,FALSE),""))</f>
        <v>6.6</v>
      </c>
      <c r="M265" s="84">
        <f>IF(TRIM($B265)="","",IFERROR(VLOOKUP($B265,'Section Data'!$B$36:$AC$107,10,FALSE),""))</f>
        <v>49.3</v>
      </c>
      <c r="N265" s="84">
        <f t="shared" si="37"/>
        <v>8</v>
      </c>
      <c r="O265" s="84">
        <f t="shared" si="38"/>
        <v>80</v>
      </c>
      <c r="P265" s="84">
        <f>IF(TRIM($B265)="","",IFERROR(VLOOKUP($B265,'Section Data'!$B$36:$AC$107,5,FALSE)*VLOOKUP($B265,'Section Data'!$B$36:$AC$107,3,FALSE),""))</f>
        <v>6744.36</v>
      </c>
      <c r="Q265" s="84">
        <f t="shared" si="39"/>
        <v>1343.3810312215519</v>
      </c>
      <c r="R265" s="84">
        <f>'Steel Beam Design'!H2064</f>
        <v>0</v>
      </c>
      <c r="S265" s="84">
        <f t="shared" si="40"/>
        <v>0</v>
      </c>
      <c r="T265" s="84">
        <f>IF(TRIM($B265)="","",IFERROR(VLOOKUP($B265,'Section Data'!$B$36:$AC$107,20,FALSE),""))</f>
        <v>2874</v>
      </c>
      <c r="U265" s="84">
        <f>IF(TRIM($B265)="","",IFERROR(VLOOKUP($B265,'Section Data'!$B$36:$AC$107,21,FALSE),""))</f>
        <v>301</v>
      </c>
      <c r="V265" s="84">
        <f>IF(TRIM($B265)="","",IFERROR(VLOOKUP($B265,'Section Data'!$B$36:$AC$107,22,FALSE),""))</f>
        <v>3281</v>
      </c>
      <c r="W265" s="84">
        <f>IF(TRIM($B265)="","",IFERROR(VLOOKUP($B265,'Section Data'!$B$36:$AC$107,23,FALSE),""))</f>
        <v>469</v>
      </c>
      <c r="X265" s="84">
        <f>IF(TRIM($B265)="","",IFERROR((VLOOKUP($B265,'Section Data'!$B$36:$AC$107,5,FALSE)/10)*(VLOOKUP($B265,'Section Data'!$B$36:$AC$107,3,FALSE)/10)^2/4,""))</f>
        <v>1024.468284</v>
      </c>
      <c r="Y265" s="84">
        <f>IF(TRIM($B265)="","",IFERROR((VLOOKUP($B265,'Section Data'!$B$36:$AC$107,3,FALSE)/10)*(VLOOKUP($B265,'Section Data'!$B$36:$AC$107,5,FALSE)/10)^2/4,""))</f>
        <v>18.715598999999997</v>
      </c>
      <c r="Z265" s="84">
        <f t="shared" si="41"/>
        <v>1131.9449999999999</v>
      </c>
      <c r="AA265" s="84">
        <f t="shared" si="42"/>
        <v>124.614</v>
      </c>
      <c r="AB265" s="86" t="str">
        <f t="shared" si="43"/>
        <v/>
      </c>
      <c r="AC265" s="86" t="str">
        <f t="shared" si="44"/>
        <v/>
      </c>
      <c r="AD265" s="1" t="b">
        <f>AND(ISNUMBER(AB265),ISNUMBER(AC265),AB265&gt;=0,AC265&gt;=0,AB265&lt;=0.95,AC265&lt;=0.95,ISNUMBER(D265),D265&gt;0,'Steel Beam Design'!$A$18="",C265="UC",'Steel Beam Design'!$B$3="Cantilever Supported")</f>
        <v>0</v>
      </c>
      <c r="AE265" s="1" t="str">
        <f>'Steel Beam Design'!O28</f>
        <v/>
      </c>
    </row>
    <row r="266" spans="1:31">
      <c r="A266" s="1" t="s">
        <v>480</v>
      </c>
      <c r="B266" s="1" t="str">
        <f>'Section Data'!B59</f>
        <v>610x229x101</v>
      </c>
      <c r="C266" s="1" t="s">
        <v>368</v>
      </c>
      <c r="D266" s="84">
        <f>'Section Data'!C59</f>
        <v>101.2</v>
      </c>
      <c r="E266" s="84">
        <f>'Section Data'!Q59</f>
        <v>75780</v>
      </c>
      <c r="F266" s="84" t="str">
        <f>'Steel Beam Design'!O56</f>
        <v/>
      </c>
      <c r="G266" s="84" t="str">
        <f>'Steel Beam Design'!O80</f>
        <v/>
      </c>
      <c r="H266" s="84" t="str">
        <f>IF(TRIM($B266)="","",IFERROR('Steel Beam Design'!$D$7006,""))</f>
        <v>S355</v>
      </c>
      <c r="I266" s="84">
        <f>IF(TRIM($B266)="","",IFERROR(MAX(VLOOKUP($B266,'Section Data'!$B$36:$AC$107,5,FALSE),VLOOKUP($B266,'Section Data'!$B$36:$AC$107,6,FALSE)),""))</f>
        <v>14.8</v>
      </c>
      <c r="J266" s="84">
        <f>IF(TRIM($B266)="","",IFERROR(IF(I266&gt;150,"",INDEX('Section Data'!$AH$5:$AK$10,IF(I266&lt;=16,1,IF(I266&lt;=40,2,IF(I266&lt;=63,3,IF(I266&lt;=80,4,IF(I266&lt;=100,5,6))))),MATCH(H266,'Section Data'!$AH$4:$AK$4,0))),""))</f>
        <v>355</v>
      </c>
      <c r="K266" s="84">
        <f t="shared" si="36"/>
        <v>0.88014083380101371</v>
      </c>
      <c r="L266" s="84">
        <f>IF(TRIM($B266)="","",IFERROR(VLOOKUP($B266,'Section Data'!$B$36:$AC$107,9,FALSE),""))</f>
        <v>7.69</v>
      </c>
      <c r="M266" s="84">
        <f>IF(TRIM($B266)="","",IFERROR(VLOOKUP($B266,'Section Data'!$B$36:$AC$107,10,FALSE),""))</f>
        <v>52.2</v>
      </c>
      <c r="N266" s="84">
        <f t="shared" si="37"/>
        <v>9</v>
      </c>
      <c r="O266" s="84">
        <f t="shared" si="38"/>
        <v>80</v>
      </c>
      <c r="P266" s="84">
        <f>IF(TRIM($B266)="","",IFERROR(VLOOKUP($B266,'Section Data'!$B$36:$AC$107,5,FALSE)*VLOOKUP($B266,'Section Data'!$B$36:$AC$107,3,FALSE),""))</f>
        <v>6327.3</v>
      </c>
      <c r="Q266" s="84">
        <f t="shared" si="39"/>
        <v>1296.8392671764493</v>
      </c>
      <c r="R266" s="84">
        <f>'Steel Beam Design'!H2064</f>
        <v>0</v>
      </c>
      <c r="S266" s="84">
        <f t="shared" si="40"/>
        <v>0</v>
      </c>
      <c r="T266" s="84">
        <f>IF(TRIM($B266)="","",IFERROR(VLOOKUP($B266,'Section Data'!$B$36:$AC$107,20,FALSE),""))</f>
        <v>2515</v>
      </c>
      <c r="U266" s="84">
        <f>IF(TRIM($B266)="","",IFERROR(VLOOKUP($B266,'Section Data'!$B$36:$AC$107,21,FALSE),""))</f>
        <v>256</v>
      </c>
      <c r="V266" s="84">
        <f>IF(TRIM($B266)="","",IFERROR(VLOOKUP($B266,'Section Data'!$B$36:$AC$107,22,FALSE),""))</f>
        <v>2881</v>
      </c>
      <c r="W266" s="84">
        <f>IF(TRIM($B266)="","",IFERROR(VLOOKUP($B266,'Section Data'!$B$36:$AC$107,23,FALSE),""))</f>
        <v>400</v>
      </c>
      <c r="X266" s="84">
        <f>IF(TRIM($B266)="","",IFERROR((VLOOKUP($B266,'Section Data'!$B$36:$AC$107,5,FALSE)/10)*(VLOOKUP($B266,'Section Data'!$B$36:$AC$107,3,FALSE)/10)^2/4,""))</f>
        <v>953.20774500000016</v>
      </c>
      <c r="Y266" s="84">
        <f>IF(TRIM($B266)="","",IFERROR((VLOOKUP($B266,'Section Data'!$B$36:$AC$107,3,FALSE)/10)*(VLOOKUP($B266,'Section Data'!$B$36:$AC$107,5,FALSE)/10)^2/4,""))</f>
        <v>16.609162500000004</v>
      </c>
      <c r="Z266" s="84">
        <f t="shared" si="41"/>
        <v>1022.755</v>
      </c>
      <c r="AA266" s="84">
        <f t="shared" si="42"/>
        <v>109.056</v>
      </c>
      <c r="AB266" s="86" t="str">
        <f t="shared" si="43"/>
        <v/>
      </c>
      <c r="AC266" s="86" t="str">
        <f t="shared" si="44"/>
        <v/>
      </c>
      <c r="AD266" s="1" t="b">
        <f>AND(ISNUMBER(AB266),ISNUMBER(AC266),AB266&gt;=0,AC266&gt;=0,AB266&lt;=0.95,AC266&lt;=0.95,ISNUMBER(D266),D266&gt;0,'Steel Beam Design'!$A$18="",C266="UC",'Steel Beam Design'!$B$3="Cantilever Supported")</f>
        <v>0</v>
      </c>
      <c r="AE266" s="1" t="str">
        <f>'Steel Beam Design'!O28</f>
        <v/>
      </c>
    </row>
    <row r="267" spans="1:31">
      <c r="A267" s="1" t="s">
        <v>480</v>
      </c>
      <c r="B267" s="1" t="str">
        <f>'Section Data'!B60</f>
        <v>533x210x122</v>
      </c>
      <c r="C267" s="1" t="s">
        <v>368</v>
      </c>
      <c r="D267" s="84">
        <f>'Section Data'!C60</f>
        <v>122</v>
      </c>
      <c r="E267" s="84">
        <f>'Section Data'!Q60</f>
        <v>76040</v>
      </c>
      <c r="F267" s="84" t="str">
        <f>'Steel Beam Design'!O56</f>
        <v/>
      </c>
      <c r="G267" s="84" t="str">
        <f>'Steel Beam Design'!O80</f>
        <v/>
      </c>
      <c r="H267" s="84" t="str">
        <f>IF(TRIM($B267)="","",IFERROR('Steel Beam Design'!$D$7006,""))</f>
        <v>S355</v>
      </c>
      <c r="I267" s="84">
        <f>IF(TRIM($B267)="","",IFERROR(MAX(VLOOKUP($B267,'Section Data'!$B$36:$AC$107,5,FALSE),VLOOKUP($B267,'Section Data'!$B$36:$AC$107,6,FALSE)),""))</f>
        <v>21.3</v>
      </c>
      <c r="J267" s="84">
        <f>IF(TRIM($B267)="","",IFERROR(IF(I267&gt;150,"",INDEX('Section Data'!$AH$5:$AK$10,IF(I267&lt;=16,1,IF(I267&lt;=40,2,IF(I267&lt;=63,3,IF(I267&lt;=80,4,IF(I267&lt;=100,5,6))))),MATCH(H267,'Section Data'!$AH$4:$AK$4,0))),""))</f>
        <v>345</v>
      </c>
      <c r="K267" s="84">
        <f t="shared" si="36"/>
        <v>0.8928053815224023</v>
      </c>
      <c r="L267" s="84">
        <f>IF(TRIM($B267)="","",IFERROR(VLOOKUP($B267,'Section Data'!$B$36:$AC$107,9,FALSE),""))</f>
        <v>4.97</v>
      </c>
      <c r="M267" s="84">
        <f>IF(TRIM($B267)="","",IFERROR(VLOOKUP($B267,'Section Data'!$B$36:$AC$107,10,FALSE),""))</f>
        <v>37.299999999999997</v>
      </c>
      <c r="N267" s="84">
        <f t="shared" si="37"/>
        <v>8</v>
      </c>
      <c r="O267" s="84">
        <f t="shared" si="38"/>
        <v>80</v>
      </c>
      <c r="P267" s="84">
        <f>IF(TRIM($B267)="","",IFERROR(VLOOKUP($B267,'Section Data'!$B$36:$AC$107,5,FALSE)*VLOOKUP($B267,'Section Data'!$B$36:$AC$107,3,FALSE),""))</f>
        <v>6958.71</v>
      </c>
      <c r="Q267" s="84">
        <f t="shared" si="39"/>
        <v>1386.0765166408269</v>
      </c>
      <c r="R267" s="84">
        <f>'Steel Beam Design'!H2064</f>
        <v>0</v>
      </c>
      <c r="S267" s="84">
        <f t="shared" si="40"/>
        <v>0</v>
      </c>
      <c r="T267" s="84">
        <f>IF(TRIM($B267)="","",IFERROR(VLOOKUP($B267,'Section Data'!$B$36:$AC$107,20,FALSE),""))</f>
        <v>2793</v>
      </c>
      <c r="U267" s="84">
        <f>IF(TRIM($B267)="","",IFERROR(VLOOKUP($B267,'Section Data'!$B$36:$AC$107,21,FALSE),""))</f>
        <v>320</v>
      </c>
      <c r="V267" s="84">
        <f>IF(TRIM($B267)="","",IFERROR(VLOOKUP($B267,'Section Data'!$B$36:$AC$107,22,FALSE),""))</f>
        <v>3196</v>
      </c>
      <c r="W267" s="84">
        <f>IF(TRIM($B267)="","",IFERROR(VLOOKUP($B267,'Section Data'!$B$36:$AC$107,23,FALSE),""))</f>
        <v>500</v>
      </c>
      <c r="X267" s="84">
        <f>IF(TRIM($B267)="","",IFERROR((VLOOKUP($B267,'Section Data'!$B$36:$AC$107,5,FALSE)/10)*(VLOOKUP($B267,'Section Data'!$B$36:$AC$107,3,FALSE)/10)^2/4,""))</f>
        <v>947.25439875000006</v>
      </c>
      <c r="Y267" s="84">
        <f>IF(TRIM($B267)="","",IFERROR((VLOOKUP($B267,'Section Data'!$B$36:$AC$107,3,FALSE)/10)*(VLOOKUP($B267,'Section Data'!$B$36:$AC$107,5,FALSE)/10)^2/4,""))</f>
        <v>22.233078450000001</v>
      </c>
      <c r="Z267" s="84">
        <f t="shared" si="41"/>
        <v>1102.6199999999999</v>
      </c>
      <c r="AA267" s="84">
        <f t="shared" si="42"/>
        <v>132.47999999999999</v>
      </c>
      <c r="AB267" s="86" t="str">
        <f t="shared" si="43"/>
        <v/>
      </c>
      <c r="AC267" s="86" t="str">
        <f t="shared" si="44"/>
        <v/>
      </c>
      <c r="AD267" s="1" t="b">
        <f>AND(ISNUMBER(AB267),ISNUMBER(AC267),AB267&gt;=0,AC267&gt;=0,AB267&lt;=0.95,AC267&lt;=0.95,ISNUMBER(D267),D267&gt;0,'Steel Beam Design'!$A$18="",C267="UC",'Steel Beam Design'!$B$3="Cantilever Supported")</f>
        <v>0</v>
      </c>
      <c r="AE267" s="1" t="str">
        <f>'Steel Beam Design'!O28</f>
        <v/>
      </c>
    </row>
    <row r="268" spans="1:31">
      <c r="A268" s="1" t="s">
        <v>480</v>
      </c>
      <c r="B268" s="1" t="str">
        <f>'Section Data'!B61</f>
        <v>533x210x109</v>
      </c>
      <c r="C268" s="1" t="s">
        <v>368</v>
      </c>
      <c r="D268" s="84">
        <f>'Section Data'!C61</f>
        <v>109</v>
      </c>
      <c r="E268" s="84">
        <f>'Section Data'!Q61</f>
        <v>66820</v>
      </c>
      <c r="F268" s="84" t="str">
        <f>'Steel Beam Design'!O56</f>
        <v/>
      </c>
      <c r="G268" s="84" t="str">
        <f>'Steel Beam Design'!O80</f>
        <v/>
      </c>
      <c r="H268" s="84" t="str">
        <f>IF(TRIM($B268)="","",IFERROR('Steel Beam Design'!$D$7006,""))</f>
        <v>S355</v>
      </c>
      <c r="I268" s="84">
        <f>IF(TRIM($B268)="","",IFERROR(MAX(VLOOKUP($B268,'Section Data'!$B$36:$AC$107,5,FALSE),VLOOKUP($B268,'Section Data'!$B$36:$AC$107,6,FALSE)),""))</f>
        <v>18.8</v>
      </c>
      <c r="J268" s="84">
        <f>IF(TRIM($B268)="","",IFERROR(IF(I268&gt;150,"",INDEX('Section Data'!$AH$5:$AK$10,IF(I268&lt;=16,1,IF(I268&lt;=40,2,IF(I268&lt;=63,3,IF(I268&lt;=80,4,IF(I268&lt;=100,5,6))))),MATCH(H268,'Section Data'!$AH$4:$AK$4,0))),""))</f>
        <v>345</v>
      </c>
      <c r="K268" s="84">
        <f t="shared" si="36"/>
        <v>0.8928053815224023</v>
      </c>
      <c r="L268" s="84">
        <f>IF(TRIM($B268)="","",IFERROR(VLOOKUP($B268,'Section Data'!$B$36:$AC$107,9,FALSE),""))</f>
        <v>5.61</v>
      </c>
      <c r="M268" s="84">
        <f>IF(TRIM($B268)="","",IFERROR(VLOOKUP($B268,'Section Data'!$B$36:$AC$107,10,FALSE),""))</f>
        <v>41.1</v>
      </c>
      <c r="N268" s="84">
        <f t="shared" si="37"/>
        <v>8</v>
      </c>
      <c r="O268" s="84">
        <f t="shared" si="38"/>
        <v>80</v>
      </c>
      <c r="P268" s="84">
        <f>IF(TRIM($B268)="","",IFERROR(VLOOKUP($B268,'Section Data'!$B$36:$AC$107,5,FALSE)*VLOOKUP($B268,'Section Data'!$B$36:$AC$107,3,FALSE),""))</f>
        <v>6258.2</v>
      </c>
      <c r="Q268" s="84">
        <f t="shared" si="39"/>
        <v>1246.544841851668</v>
      </c>
      <c r="R268" s="84">
        <f>'Steel Beam Design'!H2064</f>
        <v>0</v>
      </c>
      <c r="S268" s="84">
        <f t="shared" si="40"/>
        <v>0</v>
      </c>
      <c r="T268" s="84">
        <f>IF(TRIM($B268)="","",IFERROR(VLOOKUP($B268,'Section Data'!$B$36:$AC$107,20,FALSE),""))</f>
        <v>2477</v>
      </c>
      <c r="U268" s="84">
        <f>IF(TRIM($B268)="","",IFERROR(VLOOKUP($B268,'Section Data'!$B$36:$AC$107,21,FALSE),""))</f>
        <v>279</v>
      </c>
      <c r="V268" s="84">
        <f>IF(TRIM($B268)="","",IFERROR(VLOOKUP($B268,'Section Data'!$B$36:$AC$107,22,FALSE),""))</f>
        <v>2828</v>
      </c>
      <c r="W268" s="84">
        <f>IF(TRIM($B268)="","",IFERROR(VLOOKUP($B268,'Section Data'!$B$36:$AC$107,23,FALSE),""))</f>
        <v>436</v>
      </c>
      <c r="X268" s="84">
        <f>IF(TRIM($B268)="","",IFERROR((VLOOKUP($B268,'Section Data'!$B$36:$AC$107,5,FALSE)/10)*(VLOOKUP($B268,'Section Data'!$B$36:$AC$107,3,FALSE)/10)^2/4,""))</f>
        <v>844.07472500000006</v>
      </c>
      <c r="Y268" s="84">
        <f>IF(TRIM($B268)="","",IFERROR((VLOOKUP($B268,'Section Data'!$B$36:$AC$107,3,FALSE)/10)*(VLOOKUP($B268,'Section Data'!$B$36:$AC$107,5,FALSE)/10)^2/4,""))</f>
        <v>18.148779999999999</v>
      </c>
      <c r="Z268" s="84">
        <f t="shared" si="41"/>
        <v>975.66</v>
      </c>
      <c r="AA268" s="84">
        <f t="shared" si="42"/>
        <v>115.506</v>
      </c>
      <c r="AB268" s="86" t="str">
        <f t="shared" si="43"/>
        <v/>
      </c>
      <c r="AC268" s="86" t="str">
        <f t="shared" si="44"/>
        <v/>
      </c>
      <c r="AD268" s="1" t="b">
        <f>AND(ISNUMBER(AB268),ISNUMBER(AC268),AB268&gt;=0,AC268&gt;=0,AB268&lt;=0.95,AC268&lt;=0.95,ISNUMBER(D268),D268&gt;0,'Steel Beam Design'!$A$18="",C268="UC",'Steel Beam Design'!$B$3="Cantilever Supported")</f>
        <v>0</v>
      </c>
      <c r="AE268" s="1" t="str">
        <f>'Steel Beam Design'!O28</f>
        <v/>
      </c>
    </row>
    <row r="269" spans="1:31">
      <c r="A269" s="1" t="s">
        <v>480</v>
      </c>
      <c r="B269" s="1" t="str">
        <f>'Section Data'!B62</f>
        <v>533x210x101</v>
      </c>
      <c r="C269" s="1" t="s">
        <v>368</v>
      </c>
      <c r="D269" s="84">
        <f>'Section Data'!C62</f>
        <v>101</v>
      </c>
      <c r="E269" s="84">
        <f>'Section Data'!Q62</f>
        <v>61520</v>
      </c>
      <c r="F269" s="84" t="str">
        <f>'Steel Beam Design'!O56</f>
        <v/>
      </c>
      <c r="G269" s="84" t="str">
        <f>'Steel Beam Design'!O80</f>
        <v/>
      </c>
      <c r="H269" s="84" t="str">
        <f>IF(TRIM($B269)="","",IFERROR('Steel Beam Design'!$D$7006,""))</f>
        <v>S355</v>
      </c>
      <c r="I269" s="84">
        <f>IF(TRIM($B269)="","",IFERROR(MAX(VLOOKUP($B269,'Section Data'!$B$36:$AC$107,5,FALSE),VLOOKUP($B269,'Section Data'!$B$36:$AC$107,6,FALSE)),""))</f>
        <v>17.399999999999999</v>
      </c>
      <c r="J269" s="84">
        <f>IF(TRIM($B269)="","",IFERROR(IF(I269&gt;150,"",INDEX('Section Data'!$AH$5:$AK$10,IF(I269&lt;=16,1,IF(I269&lt;=40,2,IF(I269&lt;=63,3,IF(I269&lt;=80,4,IF(I269&lt;=100,5,6))))),MATCH(H269,'Section Data'!$AH$4:$AK$4,0))),""))</f>
        <v>345</v>
      </c>
      <c r="K269" s="84">
        <f t="shared" si="36"/>
        <v>0.8928053815224023</v>
      </c>
      <c r="L269" s="84">
        <f>IF(TRIM($B269)="","",IFERROR(VLOOKUP($B269,'Section Data'!$B$36:$AC$107,9,FALSE),""))</f>
        <v>6.03</v>
      </c>
      <c r="M269" s="84">
        <f>IF(TRIM($B269)="","",IFERROR(VLOOKUP($B269,'Section Data'!$B$36:$AC$107,10,FALSE),""))</f>
        <v>44.1</v>
      </c>
      <c r="N269" s="84">
        <f t="shared" si="37"/>
        <v>8</v>
      </c>
      <c r="O269" s="84">
        <f t="shared" si="38"/>
        <v>80</v>
      </c>
      <c r="P269" s="84">
        <f>IF(TRIM($B269)="","",IFERROR(VLOOKUP($B269,'Section Data'!$B$36:$AC$107,5,FALSE)*VLOOKUP($B269,'Section Data'!$B$36:$AC$107,3,FALSE),""))</f>
        <v>5796.3600000000006</v>
      </c>
      <c r="Q269" s="84">
        <f t="shared" si="39"/>
        <v>1154.5528521803928</v>
      </c>
      <c r="R269" s="84">
        <f>'Steel Beam Design'!H2064</f>
        <v>0</v>
      </c>
      <c r="S269" s="84">
        <f t="shared" si="40"/>
        <v>0</v>
      </c>
      <c r="T269" s="84">
        <f>IF(TRIM($B269)="","",IFERROR(VLOOKUP($B269,'Section Data'!$B$36:$AC$107,20,FALSE),""))</f>
        <v>2292</v>
      </c>
      <c r="U269" s="84">
        <f>IF(TRIM($B269)="","",IFERROR(VLOOKUP($B269,'Section Data'!$B$36:$AC$107,21,FALSE),""))</f>
        <v>258</v>
      </c>
      <c r="V269" s="84">
        <f>IF(TRIM($B269)="","",IFERROR(VLOOKUP($B269,'Section Data'!$B$36:$AC$107,22,FALSE),""))</f>
        <v>2612</v>
      </c>
      <c r="W269" s="84">
        <f>IF(TRIM($B269)="","",IFERROR(VLOOKUP($B269,'Section Data'!$B$36:$AC$107,23,FALSE),""))</f>
        <v>399</v>
      </c>
      <c r="X269" s="84">
        <f>IF(TRIM($B269)="","",IFERROR((VLOOKUP($B269,'Section Data'!$B$36:$AC$107,5,FALSE)/10)*(VLOOKUP($B269,'Section Data'!$B$36:$AC$107,3,FALSE)/10)^2/4,""))</f>
        <v>777.72660300000018</v>
      </c>
      <c r="Y269" s="84">
        <f>IF(TRIM($B269)="","",IFERROR((VLOOKUP($B269,'Section Data'!$B$36:$AC$107,3,FALSE)/10)*(VLOOKUP($B269,'Section Data'!$B$36:$AC$107,5,FALSE)/10)^2/4,""))</f>
        <v>15.650172000000001</v>
      </c>
      <c r="Z269" s="84">
        <f t="shared" si="41"/>
        <v>901.14</v>
      </c>
      <c r="AA269" s="84">
        <f t="shared" si="42"/>
        <v>106.81199999999998</v>
      </c>
      <c r="AB269" s="86" t="str">
        <f t="shared" si="43"/>
        <v/>
      </c>
      <c r="AC269" s="86" t="str">
        <f t="shared" si="44"/>
        <v/>
      </c>
      <c r="AD269" s="1" t="b">
        <f>AND(ISNUMBER(AB269),ISNUMBER(AC269),AB269&gt;=0,AC269&gt;=0,AB269&lt;=0.95,AC269&lt;=0.95,ISNUMBER(D269),D269&gt;0,'Steel Beam Design'!$A$18="",C269="UC",'Steel Beam Design'!$B$3="Cantilever Supported")</f>
        <v>0</v>
      </c>
      <c r="AE269" s="1" t="str">
        <f>'Steel Beam Design'!O28</f>
        <v/>
      </c>
    </row>
    <row r="270" spans="1:31">
      <c r="A270" s="1" t="s">
        <v>480</v>
      </c>
      <c r="B270" s="1" t="str">
        <f>'Section Data'!B63</f>
        <v>533x210x92</v>
      </c>
      <c r="C270" s="1" t="s">
        <v>368</v>
      </c>
      <c r="D270" s="84">
        <f>'Section Data'!C63</f>
        <v>92.1</v>
      </c>
      <c r="E270" s="84">
        <f>'Section Data'!Q63</f>
        <v>55230</v>
      </c>
      <c r="F270" s="84" t="str">
        <f>'Steel Beam Design'!O56</f>
        <v/>
      </c>
      <c r="G270" s="84" t="str">
        <f>'Steel Beam Design'!O80</f>
        <v/>
      </c>
      <c r="H270" s="84" t="str">
        <f>IF(TRIM($B270)="","",IFERROR('Steel Beam Design'!$D$7006,""))</f>
        <v>S355</v>
      </c>
      <c r="I270" s="84">
        <f>IF(TRIM($B270)="","",IFERROR(MAX(VLOOKUP($B270,'Section Data'!$B$36:$AC$107,5,FALSE),VLOOKUP($B270,'Section Data'!$B$36:$AC$107,6,FALSE)),""))</f>
        <v>15.6</v>
      </c>
      <c r="J270" s="84">
        <f>IF(TRIM($B270)="","",IFERROR(IF(I270&gt;150,"",INDEX('Section Data'!$AH$5:$AK$10,IF(I270&lt;=16,1,IF(I270&lt;=40,2,IF(I270&lt;=63,3,IF(I270&lt;=80,4,IF(I270&lt;=100,5,6))))),MATCH(H270,'Section Data'!$AH$4:$AK$4,0))),""))</f>
        <v>355</v>
      </c>
      <c r="K270" s="84">
        <f t="shared" si="36"/>
        <v>0.88014083380101371</v>
      </c>
      <c r="L270" s="84">
        <f>IF(TRIM($B270)="","",IFERROR(VLOOKUP($B270,'Section Data'!$B$36:$AC$107,9,FALSE),""))</f>
        <v>6.71</v>
      </c>
      <c r="M270" s="84">
        <f>IF(TRIM($B270)="","",IFERROR(VLOOKUP($B270,'Section Data'!$B$36:$AC$107,10,FALSE),""))</f>
        <v>47.2</v>
      </c>
      <c r="N270" s="84">
        <f t="shared" si="37"/>
        <v>8</v>
      </c>
      <c r="O270" s="84">
        <f t="shared" si="38"/>
        <v>80</v>
      </c>
      <c r="P270" s="84">
        <f>IF(TRIM($B270)="","",IFERROR(VLOOKUP($B270,'Section Data'!$B$36:$AC$107,5,FALSE)*VLOOKUP($B270,'Section Data'!$B$36:$AC$107,3,FALSE),""))</f>
        <v>5384.31</v>
      </c>
      <c r="Q270" s="84">
        <f t="shared" si="39"/>
        <v>1103.56465390464</v>
      </c>
      <c r="R270" s="84">
        <f>'Steel Beam Design'!H2064</f>
        <v>0</v>
      </c>
      <c r="S270" s="84">
        <f t="shared" si="40"/>
        <v>0</v>
      </c>
      <c r="T270" s="84">
        <f>IF(TRIM($B270)="","",IFERROR(VLOOKUP($B270,'Section Data'!$B$36:$AC$107,20,FALSE),""))</f>
        <v>2072</v>
      </c>
      <c r="U270" s="84">
        <f>IF(TRIM($B270)="","",IFERROR(VLOOKUP($B270,'Section Data'!$B$36:$AC$107,21,FALSE),""))</f>
        <v>228</v>
      </c>
      <c r="V270" s="84">
        <f>IF(TRIM($B270)="","",IFERROR(VLOOKUP($B270,'Section Data'!$B$36:$AC$107,22,FALSE),""))</f>
        <v>2360</v>
      </c>
      <c r="W270" s="84">
        <f>IF(TRIM($B270)="","",IFERROR(VLOOKUP($B270,'Section Data'!$B$36:$AC$107,23,FALSE),""))</f>
        <v>356</v>
      </c>
      <c r="X270" s="84">
        <f>IF(TRIM($B270)="","",IFERROR((VLOOKUP($B270,'Section Data'!$B$36:$AC$107,5,FALSE)/10)*(VLOOKUP($B270,'Section Data'!$B$36:$AC$107,3,FALSE)/10)^2/4,""))</f>
        <v>717.59391525000012</v>
      </c>
      <c r="Y270" s="84">
        <f>IF(TRIM($B270)="","",IFERROR((VLOOKUP($B270,'Section Data'!$B$36:$AC$107,3,FALSE)/10)*(VLOOKUP($B270,'Section Data'!$B$36:$AC$107,5,FALSE)/10)^2/4,""))</f>
        <v>13.595382750000001</v>
      </c>
      <c r="Z270" s="84">
        <f t="shared" si="41"/>
        <v>837.8</v>
      </c>
      <c r="AA270" s="84">
        <f t="shared" si="42"/>
        <v>97.127999999999986</v>
      </c>
      <c r="AB270" s="86" t="str">
        <f t="shared" si="43"/>
        <v/>
      </c>
      <c r="AC270" s="86" t="str">
        <f t="shared" si="44"/>
        <v/>
      </c>
      <c r="AD270" s="1" t="b">
        <f>AND(ISNUMBER(AB270),ISNUMBER(AC270),AB270&gt;=0,AC270&gt;=0,AB270&lt;=0.95,AC270&lt;=0.95,ISNUMBER(D270),D270&gt;0,'Steel Beam Design'!$A$18="",C270="UC",'Steel Beam Design'!$B$3="Cantilever Supported")</f>
        <v>0</v>
      </c>
      <c r="AE270" s="1" t="str">
        <f>'Steel Beam Design'!O28</f>
        <v/>
      </c>
    </row>
    <row r="271" spans="1:31">
      <c r="A271" s="1" t="s">
        <v>480</v>
      </c>
      <c r="B271" s="1" t="str">
        <f>'Section Data'!B64</f>
        <v>533x210x82</v>
      </c>
      <c r="C271" s="1" t="s">
        <v>368</v>
      </c>
      <c r="D271" s="84">
        <f>'Section Data'!C64</f>
        <v>82.2</v>
      </c>
      <c r="E271" s="84">
        <f>'Section Data'!Q64</f>
        <v>47540</v>
      </c>
      <c r="F271" s="84" t="str">
        <f>'Steel Beam Design'!O56</f>
        <v/>
      </c>
      <c r="G271" s="84" t="str">
        <f>'Steel Beam Design'!O80</f>
        <v/>
      </c>
      <c r="H271" s="84" t="str">
        <f>IF(TRIM($B271)="","",IFERROR('Steel Beam Design'!$D$7006,""))</f>
        <v>S355</v>
      </c>
      <c r="I271" s="84">
        <f>IF(TRIM($B271)="","",IFERROR(MAX(VLOOKUP($B271,'Section Data'!$B$36:$AC$107,5,FALSE),VLOOKUP($B271,'Section Data'!$B$36:$AC$107,6,FALSE)),""))</f>
        <v>13.2</v>
      </c>
      <c r="J271" s="84">
        <f>IF(TRIM($B271)="","",IFERROR(IF(I271&gt;150,"",INDEX('Section Data'!$AH$5:$AK$10,IF(I271&lt;=16,1,IF(I271&lt;=40,2,IF(I271&lt;=63,3,IF(I271&lt;=80,4,IF(I271&lt;=100,5,6))))),MATCH(H271,'Section Data'!$AH$4:$AK$4,0))),""))</f>
        <v>355</v>
      </c>
      <c r="K271" s="84">
        <f t="shared" si="36"/>
        <v>0.88014083380101371</v>
      </c>
      <c r="L271" s="84">
        <f>IF(TRIM($B271)="","",IFERROR(VLOOKUP($B271,'Section Data'!$B$36:$AC$107,9,FALSE),""))</f>
        <v>7.91</v>
      </c>
      <c r="M271" s="84">
        <f>IF(TRIM($B271)="","",IFERROR(VLOOKUP($B271,'Section Data'!$B$36:$AC$107,10,FALSE),""))</f>
        <v>49.6</v>
      </c>
      <c r="N271" s="84">
        <f t="shared" si="37"/>
        <v>9</v>
      </c>
      <c r="O271" s="84">
        <f t="shared" si="38"/>
        <v>80</v>
      </c>
      <c r="P271" s="84">
        <f>IF(TRIM($B271)="","",IFERROR(VLOOKUP($B271,'Section Data'!$B$36:$AC$107,5,FALSE)*VLOOKUP($B271,'Section Data'!$B$36:$AC$107,3,FALSE),""))</f>
        <v>5071.6799999999994</v>
      </c>
      <c r="Q271" s="84">
        <f t="shared" si="39"/>
        <v>1039.4882137014924</v>
      </c>
      <c r="R271" s="84">
        <f>'Steel Beam Design'!H2064</f>
        <v>0</v>
      </c>
      <c r="S271" s="84">
        <f t="shared" si="40"/>
        <v>0</v>
      </c>
      <c r="T271" s="84">
        <f>IF(TRIM($B271)="","",IFERROR(VLOOKUP($B271,'Section Data'!$B$36:$AC$107,20,FALSE),""))</f>
        <v>1800</v>
      </c>
      <c r="U271" s="84">
        <f>IF(TRIM($B271)="","",IFERROR(VLOOKUP($B271,'Section Data'!$B$36:$AC$107,21,FALSE),""))</f>
        <v>192</v>
      </c>
      <c r="V271" s="84">
        <f>IF(TRIM($B271)="","",IFERROR(VLOOKUP($B271,'Section Data'!$B$36:$AC$107,22,FALSE),""))</f>
        <v>2059</v>
      </c>
      <c r="W271" s="84">
        <f>IF(TRIM($B271)="","",IFERROR(VLOOKUP($B271,'Section Data'!$B$36:$AC$107,23,FALSE),""))</f>
        <v>300</v>
      </c>
      <c r="X271" s="84">
        <f>IF(TRIM($B271)="","",IFERROR((VLOOKUP($B271,'Section Data'!$B$36:$AC$107,5,FALSE)/10)*(VLOOKUP($B271,'Section Data'!$B$36:$AC$107,3,FALSE)/10)^2/4,""))</f>
        <v>669.84213599999998</v>
      </c>
      <c r="Y271" s="84">
        <f>IF(TRIM($B271)="","",IFERROR((VLOOKUP($B271,'Section Data'!$B$36:$AC$107,3,FALSE)/10)*(VLOOKUP($B271,'Section Data'!$B$36:$AC$107,5,FALSE)/10)^2/4,""))</f>
        <v>12.172032</v>
      </c>
      <c r="Z271" s="84">
        <f t="shared" si="41"/>
        <v>730.94500000000005</v>
      </c>
      <c r="AA271" s="84">
        <f t="shared" si="42"/>
        <v>81.791999999999987</v>
      </c>
      <c r="AB271" s="86" t="str">
        <f t="shared" si="43"/>
        <v/>
      </c>
      <c r="AC271" s="86" t="str">
        <f t="shared" si="44"/>
        <v/>
      </c>
      <c r="AD271" s="1" t="b">
        <f>AND(ISNUMBER(AB271),ISNUMBER(AC271),AB271&gt;=0,AC271&gt;=0,AB271&lt;=0.95,AC271&lt;=0.95,ISNUMBER(D271),D271&gt;0,'Steel Beam Design'!$A$18="",C271="UC",'Steel Beam Design'!$B$3="Cantilever Supported")</f>
        <v>0</v>
      </c>
      <c r="AE271" s="1" t="str">
        <f>'Steel Beam Design'!O28</f>
        <v/>
      </c>
    </row>
    <row r="272" spans="1:31">
      <c r="A272" s="1" t="s">
        <v>480</v>
      </c>
      <c r="B272" s="1" t="str">
        <f>'Section Data'!B65</f>
        <v>457x191x98</v>
      </c>
      <c r="C272" s="1" t="s">
        <v>368</v>
      </c>
      <c r="D272" s="84">
        <f>'Section Data'!C65</f>
        <v>98.3</v>
      </c>
      <c r="E272" s="84">
        <f>'Section Data'!Q65</f>
        <v>45730</v>
      </c>
      <c r="F272" s="84" t="str">
        <f>'Steel Beam Design'!O56</f>
        <v/>
      </c>
      <c r="G272" s="84" t="str">
        <f>'Steel Beam Design'!O80</f>
        <v/>
      </c>
      <c r="H272" s="84" t="str">
        <f>IF(TRIM($B272)="","",IFERROR('Steel Beam Design'!$D$7006,""))</f>
        <v>S355</v>
      </c>
      <c r="I272" s="84">
        <f>IF(TRIM($B272)="","",IFERROR(MAX(VLOOKUP($B272,'Section Data'!$B$36:$AC$107,5,FALSE),VLOOKUP($B272,'Section Data'!$B$36:$AC$107,6,FALSE)),""))</f>
        <v>19.600000000000001</v>
      </c>
      <c r="J272" s="84">
        <f>IF(TRIM($B272)="","",IFERROR(IF(I272&gt;150,"",INDEX('Section Data'!$AH$5:$AK$10,IF(I272&lt;=16,1,IF(I272&lt;=40,2,IF(I272&lt;=63,3,IF(I272&lt;=80,4,IF(I272&lt;=100,5,6))))),MATCH(H272,'Section Data'!$AH$4:$AK$4,0))),""))</f>
        <v>345</v>
      </c>
      <c r="K272" s="84">
        <f t="shared" si="36"/>
        <v>0.8928053815224023</v>
      </c>
      <c r="L272" s="84">
        <f>IF(TRIM($B272)="","",IFERROR(VLOOKUP($B272,'Section Data'!$B$36:$AC$107,9,FALSE),""))</f>
        <v>4.92</v>
      </c>
      <c r="M272" s="84">
        <f>IF(TRIM($B272)="","",IFERROR(VLOOKUP($B272,'Section Data'!$B$36:$AC$107,10,FALSE),""))</f>
        <v>35.799999999999997</v>
      </c>
      <c r="N272" s="84">
        <f t="shared" si="37"/>
        <v>8</v>
      </c>
      <c r="O272" s="84">
        <f t="shared" si="38"/>
        <v>80</v>
      </c>
      <c r="P272" s="84">
        <f>IF(TRIM($B272)="","",IFERROR(VLOOKUP($B272,'Section Data'!$B$36:$AC$107,5,FALSE)*VLOOKUP($B272,'Section Data'!$B$36:$AC$107,3,FALSE),""))</f>
        <v>5326.08</v>
      </c>
      <c r="Q272" s="84">
        <f t="shared" si="39"/>
        <v>1060.8797339952912</v>
      </c>
      <c r="R272" s="84">
        <f>'Steel Beam Design'!H2064</f>
        <v>0</v>
      </c>
      <c r="S272" s="84">
        <f t="shared" si="40"/>
        <v>0</v>
      </c>
      <c r="T272" s="84">
        <f>IF(TRIM($B272)="","",IFERROR(VLOOKUP($B272,'Section Data'!$B$36:$AC$107,20,FALSE),""))</f>
        <v>1957</v>
      </c>
      <c r="U272" s="84">
        <f>IF(TRIM($B272)="","",IFERROR(VLOOKUP($B272,'Section Data'!$B$36:$AC$107,21,FALSE),""))</f>
        <v>243</v>
      </c>
      <c r="V272" s="84">
        <f>IF(TRIM($B272)="","",IFERROR(VLOOKUP($B272,'Section Data'!$B$36:$AC$107,22,FALSE),""))</f>
        <v>2232</v>
      </c>
      <c r="W272" s="84">
        <f>IF(TRIM($B272)="","",IFERROR(VLOOKUP($B272,'Section Data'!$B$36:$AC$107,23,FALSE),""))</f>
        <v>379</v>
      </c>
      <c r="X272" s="84">
        <f>IF(TRIM($B272)="","",IFERROR((VLOOKUP($B272,'Section Data'!$B$36:$AC$107,5,FALSE)/10)*(VLOOKUP($B272,'Section Data'!$B$36:$AC$107,3,FALSE)/10)^2/4,""))</f>
        <v>622.08614399999999</v>
      </c>
      <c r="Y272" s="84">
        <f>IF(TRIM($B272)="","",IFERROR((VLOOKUP($B272,'Section Data'!$B$36:$AC$107,3,FALSE)/10)*(VLOOKUP($B272,'Section Data'!$B$36:$AC$107,5,FALSE)/10)^2/4,""))</f>
        <v>15.179328000000003</v>
      </c>
      <c r="Z272" s="84">
        <f t="shared" si="41"/>
        <v>770.04</v>
      </c>
      <c r="AA272" s="84">
        <f t="shared" si="42"/>
        <v>100.60199999999999</v>
      </c>
      <c r="AB272" s="86" t="str">
        <f t="shared" si="43"/>
        <v/>
      </c>
      <c r="AC272" s="86" t="str">
        <f t="shared" si="44"/>
        <v/>
      </c>
      <c r="AD272" s="1" t="b">
        <f>AND(ISNUMBER(AB272),ISNUMBER(AC272),AB272&gt;=0,AC272&gt;=0,AB272&lt;=0.95,AC272&lt;=0.95,ISNUMBER(D272),D272&gt;0,'Steel Beam Design'!$A$18="",C272="UC",'Steel Beam Design'!$B$3="Cantilever Supported")</f>
        <v>0</v>
      </c>
      <c r="AE272" s="1" t="str">
        <f>'Steel Beam Design'!O28</f>
        <v/>
      </c>
    </row>
    <row r="273" spans="1:31">
      <c r="A273" s="1" t="s">
        <v>480</v>
      </c>
      <c r="B273" s="1" t="str">
        <f>'Section Data'!B66</f>
        <v>457x191x89</v>
      </c>
      <c r="C273" s="1" t="s">
        <v>368</v>
      </c>
      <c r="D273" s="84">
        <f>'Section Data'!C66</f>
        <v>89.3</v>
      </c>
      <c r="E273" s="84">
        <f>'Section Data'!Q66</f>
        <v>41020</v>
      </c>
      <c r="F273" s="84" t="str">
        <f>'Steel Beam Design'!O56</f>
        <v/>
      </c>
      <c r="G273" s="84" t="str">
        <f>'Steel Beam Design'!O80</f>
        <v/>
      </c>
      <c r="H273" s="84" t="str">
        <f>IF(TRIM($B273)="","",IFERROR('Steel Beam Design'!$D$7006,""))</f>
        <v>S355</v>
      </c>
      <c r="I273" s="84">
        <f>IF(TRIM($B273)="","",IFERROR(MAX(VLOOKUP($B273,'Section Data'!$B$36:$AC$107,5,FALSE),VLOOKUP($B273,'Section Data'!$B$36:$AC$107,6,FALSE)),""))</f>
        <v>17.7</v>
      </c>
      <c r="J273" s="84">
        <f>IF(TRIM($B273)="","",IFERROR(IF(I273&gt;150,"",INDEX('Section Data'!$AH$5:$AK$10,IF(I273&lt;=16,1,IF(I273&lt;=40,2,IF(I273&lt;=63,3,IF(I273&lt;=80,4,IF(I273&lt;=100,5,6))))),MATCH(H273,'Section Data'!$AH$4:$AK$4,0))),""))</f>
        <v>345</v>
      </c>
      <c r="K273" s="84">
        <f t="shared" si="36"/>
        <v>0.8928053815224023</v>
      </c>
      <c r="L273" s="84">
        <f>IF(TRIM($B273)="","",IFERROR(VLOOKUP($B273,'Section Data'!$B$36:$AC$107,9,FALSE),""))</f>
        <v>5.42</v>
      </c>
      <c r="M273" s="84">
        <f>IF(TRIM($B273)="","",IFERROR(VLOOKUP($B273,'Section Data'!$B$36:$AC$107,10,FALSE),""))</f>
        <v>38.799999999999997</v>
      </c>
      <c r="N273" s="84">
        <f t="shared" si="37"/>
        <v>8</v>
      </c>
      <c r="O273" s="84">
        <f t="shared" si="38"/>
        <v>80</v>
      </c>
      <c r="P273" s="84">
        <f>IF(TRIM($B273)="","",IFERROR(VLOOKUP($B273,'Section Data'!$B$36:$AC$107,5,FALSE)*VLOOKUP($B273,'Section Data'!$B$36:$AC$107,3,FALSE),""))</f>
        <v>4865.7</v>
      </c>
      <c r="Q273" s="84">
        <f t="shared" si="39"/>
        <v>969.17855565460707</v>
      </c>
      <c r="R273" s="84">
        <f>'Steel Beam Design'!H2064</f>
        <v>0</v>
      </c>
      <c r="S273" s="84">
        <f t="shared" si="40"/>
        <v>0</v>
      </c>
      <c r="T273" s="84">
        <f>IF(TRIM($B273)="","",IFERROR(VLOOKUP($B273,'Section Data'!$B$36:$AC$107,20,FALSE),""))</f>
        <v>1770</v>
      </c>
      <c r="U273" s="84">
        <f>IF(TRIM($B273)="","",IFERROR(VLOOKUP($B273,'Section Data'!$B$36:$AC$107,21,FALSE),""))</f>
        <v>218</v>
      </c>
      <c r="V273" s="84">
        <f>IF(TRIM($B273)="","",IFERROR(VLOOKUP($B273,'Section Data'!$B$36:$AC$107,22,FALSE),""))</f>
        <v>2015</v>
      </c>
      <c r="W273" s="84">
        <f>IF(TRIM($B273)="","",IFERROR(VLOOKUP($B273,'Section Data'!$B$36:$AC$107,23,FALSE),""))</f>
        <v>338</v>
      </c>
      <c r="X273" s="84">
        <f>IF(TRIM($B273)="","",IFERROR((VLOOKUP($B273,'Section Data'!$B$36:$AC$107,5,FALSE)/10)*(VLOOKUP($B273,'Section Data'!$B$36:$AC$107,3,FALSE)/10)^2/4,""))</f>
        <v>563.69134499999996</v>
      </c>
      <c r="Y273" s="84">
        <f>IF(TRIM($B273)="","",IFERROR((VLOOKUP($B273,'Section Data'!$B$36:$AC$107,3,FALSE)/10)*(VLOOKUP($B273,'Section Data'!$B$36:$AC$107,5,FALSE)/10)^2/4,""))</f>
        <v>12.7724625</v>
      </c>
      <c r="Z273" s="84">
        <f t="shared" si="41"/>
        <v>695.17499999999995</v>
      </c>
      <c r="AA273" s="84">
        <f t="shared" si="42"/>
        <v>90.251999999999981</v>
      </c>
      <c r="AB273" s="86" t="str">
        <f t="shared" si="43"/>
        <v/>
      </c>
      <c r="AC273" s="86" t="str">
        <f t="shared" si="44"/>
        <v/>
      </c>
      <c r="AD273" s="1" t="b">
        <f>AND(ISNUMBER(AB273),ISNUMBER(AC273),AB273&gt;=0,AC273&gt;=0,AB273&lt;=0.95,AC273&lt;=0.95,ISNUMBER(D273),D273&gt;0,'Steel Beam Design'!$A$18="",C273="UC",'Steel Beam Design'!$B$3="Cantilever Supported")</f>
        <v>0</v>
      </c>
      <c r="AE273" s="1" t="str">
        <f>'Steel Beam Design'!O28</f>
        <v/>
      </c>
    </row>
    <row r="274" spans="1:31">
      <c r="A274" s="1" t="s">
        <v>480</v>
      </c>
      <c r="B274" s="1" t="str">
        <f>'Section Data'!B67</f>
        <v>457x191x82</v>
      </c>
      <c r="C274" s="1" t="s">
        <v>368</v>
      </c>
      <c r="D274" s="84">
        <f>'Section Data'!C67</f>
        <v>82</v>
      </c>
      <c r="E274" s="84">
        <f>'Section Data'!Q67</f>
        <v>37050</v>
      </c>
      <c r="F274" s="84" t="str">
        <f>'Steel Beam Design'!O56</f>
        <v/>
      </c>
      <c r="G274" s="84" t="str">
        <f>'Steel Beam Design'!O80</f>
        <v/>
      </c>
      <c r="H274" s="84" t="str">
        <f>IF(TRIM($B274)="","",IFERROR('Steel Beam Design'!$D$7006,""))</f>
        <v>S355</v>
      </c>
      <c r="I274" s="84">
        <f>IF(TRIM($B274)="","",IFERROR(MAX(VLOOKUP($B274,'Section Data'!$B$36:$AC$107,5,FALSE),VLOOKUP($B274,'Section Data'!$B$36:$AC$107,6,FALSE)),""))</f>
        <v>16</v>
      </c>
      <c r="J274" s="84">
        <f>IF(TRIM($B274)="","",IFERROR(IF(I274&gt;150,"",INDEX('Section Data'!$AH$5:$AK$10,IF(I274&lt;=16,1,IF(I274&lt;=40,2,IF(I274&lt;=63,3,IF(I274&lt;=80,4,IF(I274&lt;=100,5,6))))),MATCH(H274,'Section Data'!$AH$4:$AK$4,0))),""))</f>
        <v>355</v>
      </c>
      <c r="K274" s="84">
        <f t="shared" si="36"/>
        <v>0.88014083380101371</v>
      </c>
      <c r="L274" s="84">
        <f>IF(TRIM($B274)="","",IFERROR(VLOOKUP($B274,'Section Data'!$B$36:$AC$107,9,FALSE),""))</f>
        <v>5.98</v>
      </c>
      <c r="M274" s="84">
        <f>IF(TRIM($B274)="","",IFERROR(VLOOKUP($B274,'Section Data'!$B$36:$AC$107,10,FALSE),""))</f>
        <v>41.2</v>
      </c>
      <c r="N274" s="84">
        <f t="shared" si="37"/>
        <v>8</v>
      </c>
      <c r="O274" s="84">
        <f t="shared" si="38"/>
        <v>80</v>
      </c>
      <c r="P274" s="84">
        <f>IF(TRIM($B274)="","",IFERROR(VLOOKUP($B274,'Section Data'!$B$36:$AC$107,5,FALSE)*VLOOKUP($B274,'Section Data'!$B$36:$AC$107,3,FALSE),""))</f>
        <v>4554</v>
      </c>
      <c r="Q274" s="84">
        <f t="shared" si="39"/>
        <v>933.38485969079238</v>
      </c>
      <c r="R274" s="84">
        <f>'Steel Beam Design'!H2064</f>
        <v>0</v>
      </c>
      <c r="S274" s="84">
        <f t="shared" si="40"/>
        <v>0</v>
      </c>
      <c r="T274" s="84">
        <f>IF(TRIM($B274)="","",IFERROR(VLOOKUP($B274,'Section Data'!$B$36:$AC$107,20,FALSE),""))</f>
        <v>1611</v>
      </c>
      <c r="U274" s="84">
        <f>IF(TRIM($B274)="","",IFERROR(VLOOKUP($B274,'Section Data'!$B$36:$AC$107,21,FALSE),""))</f>
        <v>196</v>
      </c>
      <c r="V274" s="84">
        <f>IF(TRIM($B274)="","",IFERROR(VLOOKUP($B274,'Section Data'!$B$36:$AC$107,22,FALSE),""))</f>
        <v>1831</v>
      </c>
      <c r="W274" s="84">
        <f>IF(TRIM($B274)="","",IFERROR(VLOOKUP($B274,'Section Data'!$B$36:$AC$107,23,FALSE),""))</f>
        <v>304</v>
      </c>
      <c r="X274" s="84">
        <f>IF(TRIM($B274)="","",IFERROR((VLOOKUP($B274,'Section Data'!$B$36:$AC$107,5,FALSE)/10)*(VLOOKUP($B274,'Section Data'!$B$36:$AC$107,3,FALSE)/10)^2/4,""))</f>
        <v>523.71</v>
      </c>
      <c r="Y274" s="84">
        <f>IF(TRIM($B274)="","",IFERROR((VLOOKUP($B274,'Section Data'!$B$36:$AC$107,3,FALSE)/10)*(VLOOKUP($B274,'Section Data'!$B$36:$AC$107,5,FALSE)/10)^2/4,""))</f>
        <v>11.27115</v>
      </c>
      <c r="Z274" s="84">
        <f t="shared" si="41"/>
        <v>650.005</v>
      </c>
      <c r="AA274" s="84">
        <f t="shared" si="42"/>
        <v>83.495999999999995</v>
      </c>
      <c r="AB274" s="86" t="str">
        <f t="shared" si="43"/>
        <v/>
      </c>
      <c r="AC274" s="86" t="str">
        <f t="shared" si="44"/>
        <v/>
      </c>
      <c r="AD274" s="1" t="b">
        <f>AND(ISNUMBER(AB274),ISNUMBER(AC274),AB274&gt;=0,AC274&gt;=0,AB274&lt;=0.95,AC274&lt;=0.95,ISNUMBER(D274),D274&gt;0,'Steel Beam Design'!$A$18="",C274="UC",'Steel Beam Design'!$B$3="Cantilever Supported")</f>
        <v>0</v>
      </c>
      <c r="AE274" s="1" t="str">
        <f>'Steel Beam Design'!O28</f>
        <v/>
      </c>
    </row>
    <row r="275" spans="1:31">
      <c r="A275" s="1" t="s">
        <v>480</v>
      </c>
      <c r="B275" s="1" t="str">
        <f>'Section Data'!B68</f>
        <v>457x191x74</v>
      </c>
      <c r="C275" s="1" t="s">
        <v>368</v>
      </c>
      <c r="D275" s="84">
        <f>'Section Data'!C68</f>
        <v>74.3</v>
      </c>
      <c r="E275" s="84">
        <f>'Section Data'!Q68</f>
        <v>33320</v>
      </c>
      <c r="F275" s="84" t="str">
        <f>'Steel Beam Design'!O56</f>
        <v/>
      </c>
      <c r="G275" s="84" t="str">
        <f>'Steel Beam Design'!O80</f>
        <v/>
      </c>
      <c r="H275" s="84" t="str">
        <f>IF(TRIM($B275)="","",IFERROR('Steel Beam Design'!$D$7006,""))</f>
        <v>S355</v>
      </c>
      <c r="I275" s="84">
        <f>IF(TRIM($B275)="","",IFERROR(MAX(VLOOKUP($B275,'Section Data'!$B$36:$AC$107,5,FALSE),VLOOKUP($B275,'Section Data'!$B$36:$AC$107,6,FALSE)),""))</f>
        <v>14.5</v>
      </c>
      <c r="J275" s="84">
        <f>IF(TRIM($B275)="","",IFERROR(IF(I275&gt;150,"",INDEX('Section Data'!$AH$5:$AK$10,IF(I275&lt;=16,1,IF(I275&lt;=40,2,IF(I275&lt;=63,3,IF(I275&lt;=80,4,IF(I275&lt;=100,5,6))))),MATCH(H275,'Section Data'!$AH$4:$AK$4,0))),""))</f>
        <v>355</v>
      </c>
      <c r="K275" s="84">
        <f t="shared" si="36"/>
        <v>0.88014083380101371</v>
      </c>
      <c r="L275" s="84">
        <f>IF(TRIM($B275)="","",IFERROR(VLOOKUP($B275,'Section Data'!$B$36:$AC$107,9,FALSE),""))</f>
        <v>6.57</v>
      </c>
      <c r="M275" s="84">
        <f>IF(TRIM($B275)="","",IFERROR(VLOOKUP($B275,'Section Data'!$B$36:$AC$107,10,FALSE),""))</f>
        <v>45.3</v>
      </c>
      <c r="N275" s="84">
        <f t="shared" si="37"/>
        <v>8</v>
      </c>
      <c r="O275" s="84">
        <f t="shared" si="38"/>
        <v>80</v>
      </c>
      <c r="P275" s="84">
        <f>IF(TRIM($B275)="","",IFERROR(VLOOKUP($B275,'Section Data'!$B$36:$AC$107,5,FALSE)*VLOOKUP($B275,'Section Data'!$B$36:$AC$107,3,FALSE),""))</f>
        <v>4113</v>
      </c>
      <c r="Q275" s="84">
        <f t="shared" si="39"/>
        <v>842.99778829781053</v>
      </c>
      <c r="R275" s="84">
        <f>'Steel Beam Design'!H2064</f>
        <v>0</v>
      </c>
      <c r="S275" s="84">
        <f t="shared" si="40"/>
        <v>0</v>
      </c>
      <c r="T275" s="84">
        <f>IF(TRIM($B275)="","",IFERROR(VLOOKUP($B275,'Section Data'!$B$36:$AC$107,20,FALSE),""))</f>
        <v>1458</v>
      </c>
      <c r="U275" s="84">
        <f>IF(TRIM($B275)="","",IFERROR(VLOOKUP($B275,'Section Data'!$B$36:$AC$107,21,FALSE),""))</f>
        <v>176</v>
      </c>
      <c r="V275" s="84">
        <f>IF(TRIM($B275)="","",IFERROR(VLOOKUP($B275,'Section Data'!$B$36:$AC$107,22,FALSE),""))</f>
        <v>1653</v>
      </c>
      <c r="W275" s="84">
        <f>IF(TRIM($B275)="","",IFERROR(VLOOKUP($B275,'Section Data'!$B$36:$AC$107,23,FALSE),""))</f>
        <v>272</v>
      </c>
      <c r="X275" s="84">
        <f>IF(TRIM($B275)="","",IFERROR((VLOOKUP($B275,'Section Data'!$B$36:$AC$107,5,FALSE)/10)*(VLOOKUP($B275,'Section Data'!$B$36:$AC$107,3,FALSE)/10)^2/4,""))</f>
        <v>469.91025000000008</v>
      </c>
      <c r="Y275" s="84">
        <f>IF(TRIM($B275)="","",IFERROR((VLOOKUP($B275,'Section Data'!$B$36:$AC$107,3,FALSE)/10)*(VLOOKUP($B275,'Section Data'!$B$36:$AC$107,5,FALSE)/10)^2/4,""))</f>
        <v>9.2542500000000008</v>
      </c>
      <c r="Z275" s="84">
        <f t="shared" si="41"/>
        <v>586.81500000000005</v>
      </c>
      <c r="AA275" s="84">
        <f t="shared" si="42"/>
        <v>74.975999999999999</v>
      </c>
      <c r="AB275" s="86" t="str">
        <f t="shared" si="43"/>
        <v/>
      </c>
      <c r="AC275" s="86" t="str">
        <f t="shared" si="44"/>
        <v/>
      </c>
      <c r="AD275" s="1" t="b">
        <f>AND(ISNUMBER(AB275),ISNUMBER(AC275),AB275&gt;=0,AC275&gt;=0,AB275&lt;=0.95,AC275&lt;=0.95,ISNUMBER(D275),D275&gt;0,'Steel Beam Design'!$A$18="",C275="UC",'Steel Beam Design'!$B$3="Cantilever Supported")</f>
        <v>0</v>
      </c>
      <c r="AE275" s="1" t="str">
        <f>'Steel Beam Design'!O28</f>
        <v/>
      </c>
    </row>
    <row r="276" spans="1:31">
      <c r="A276" s="1" t="s">
        <v>480</v>
      </c>
      <c r="B276" s="1" t="str">
        <f>'Section Data'!B69</f>
        <v>457x191x67</v>
      </c>
      <c r="C276" s="1" t="s">
        <v>368</v>
      </c>
      <c r="D276" s="84">
        <f>'Section Data'!C69</f>
        <v>67.099999999999994</v>
      </c>
      <c r="E276" s="84">
        <f>'Section Data'!Q69</f>
        <v>29380</v>
      </c>
      <c r="F276" s="84" t="str">
        <f>'Steel Beam Design'!O56</f>
        <v/>
      </c>
      <c r="G276" s="84" t="str">
        <f>'Steel Beam Design'!O80</f>
        <v/>
      </c>
      <c r="H276" s="84" t="str">
        <f>IF(TRIM($B276)="","",IFERROR('Steel Beam Design'!$D$7006,""))</f>
        <v>S355</v>
      </c>
      <c r="I276" s="84">
        <f>IF(TRIM($B276)="","",IFERROR(MAX(VLOOKUP($B276,'Section Data'!$B$36:$AC$107,5,FALSE),VLOOKUP($B276,'Section Data'!$B$36:$AC$107,6,FALSE)),""))</f>
        <v>12.7</v>
      </c>
      <c r="J276" s="84">
        <f>IF(TRIM($B276)="","",IFERROR(IF(I276&gt;150,"",INDEX('Section Data'!$AH$5:$AK$10,IF(I276&lt;=16,1,IF(I276&lt;=40,2,IF(I276&lt;=63,3,IF(I276&lt;=80,4,IF(I276&lt;=100,5,6))))),MATCH(H276,'Section Data'!$AH$4:$AK$4,0))),""))</f>
        <v>355</v>
      </c>
      <c r="K276" s="84">
        <f t="shared" si="36"/>
        <v>0.88014083380101371</v>
      </c>
      <c r="L276" s="84">
        <f>IF(TRIM($B276)="","",IFERROR(VLOOKUP($B276,'Section Data'!$B$36:$AC$107,9,FALSE),""))</f>
        <v>7.48</v>
      </c>
      <c r="M276" s="84">
        <f>IF(TRIM($B276)="","",IFERROR(VLOOKUP($B276,'Section Data'!$B$36:$AC$107,10,FALSE),""))</f>
        <v>48</v>
      </c>
      <c r="N276" s="84">
        <f t="shared" si="37"/>
        <v>9</v>
      </c>
      <c r="O276" s="84">
        <f t="shared" si="38"/>
        <v>80</v>
      </c>
      <c r="P276" s="84">
        <f>IF(TRIM($B276)="","",IFERROR(VLOOKUP($B276,'Section Data'!$B$36:$AC$107,5,FALSE)*VLOOKUP($B276,'Section Data'!$B$36:$AC$107,3,FALSE),""))</f>
        <v>3853.8999999999996</v>
      </c>
      <c r="Q276" s="84">
        <f t="shared" si="39"/>
        <v>789.89282186261403</v>
      </c>
      <c r="R276" s="84">
        <f>'Steel Beam Design'!H2064</f>
        <v>0</v>
      </c>
      <c r="S276" s="84">
        <f t="shared" si="40"/>
        <v>0</v>
      </c>
      <c r="T276" s="84">
        <f>IF(TRIM($B276)="","",IFERROR(VLOOKUP($B276,'Section Data'!$B$36:$AC$107,20,FALSE),""))</f>
        <v>1296</v>
      </c>
      <c r="U276" s="84">
        <f>IF(TRIM($B276)="","",IFERROR(VLOOKUP($B276,'Section Data'!$B$36:$AC$107,21,FALSE),""))</f>
        <v>153</v>
      </c>
      <c r="V276" s="84">
        <f>IF(TRIM($B276)="","",IFERROR(VLOOKUP($B276,'Section Data'!$B$36:$AC$107,22,FALSE),""))</f>
        <v>1471</v>
      </c>
      <c r="W276" s="84">
        <f>IF(TRIM($B276)="","",IFERROR(VLOOKUP($B276,'Section Data'!$B$36:$AC$107,23,FALSE),""))</f>
        <v>237</v>
      </c>
      <c r="X276" s="84">
        <f>IF(TRIM($B276)="","",IFERROR((VLOOKUP($B276,'Section Data'!$B$36:$AC$107,5,FALSE)/10)*(VLOOKUP($B276,'Section Data'!$B$36:$AC$107,3,FALSE)/10)^2/4,""))</f>
        <v>436.83956499999988</v>
      </c>
      <c r="Y276" s="84">
        <f>IF(TRIM($B276)="","",IFERROR((VLOOKUP($B276,'Section Data'!$B$36:$AC$107,3,FALSE)/10)*(VLOOKUP($B276,'Section Data'!$B$36:$AC$107,5,FALSE)/10)^2/4,""))</f>
        <v>8.1895374999999984</v>
      </c>
      <c r="Z276" s="84">
        <f t="shared" si="41"/>
        <v>522.20500000000004</v>
      </c>
      <c r="AA276" s="84">
        <f t="shared" si="42"/>
        <v>65.177999999999997</v>
      </c>
      <c r="AB276" s="86" t="str">
        <f t="shared" si="43"/>
        <v/>
      </c>
      <c r="AC276" s="86" t="str">
        <f t="shared" si="44"/>
        <v/>
      </c>
      <c r="AD276" s="1" t="b">
        <f>AND(ISNUMBER(AB276),ISNUMBER(AC276),AB276&gt;=0,AC276&gt;=0,AB276&lt;=0.95,AC276&lt;=0.95,ISNUMBER(D276),D276&gt;0,'Steel Beam Design'!$A$18="",C276="UC",'Steel Beam Design'!$B$3="Cantilever Supported")</f>
        <v>0</v>
      </c>
      <c r="AE276" s="1" t="str">
        <f>'Steel Beam Design'!O28</f>
        <v/>
      </c>
    </row>
    <row r="277" spans="1:31">
      <c r="A277" s="1" t="s">
        <v>480</v>
      </c>
      <c r="B277" s="1" t="str">
        <f>'Section Data'!B70</f>
        <v>457x152x82</v>
      </c>
      <c r="C277" s="1" t="s">
        <v>368</v>
      </c>
      <c r="D277" s="84">
        <f>'Section Data'!C70</f>
        <v>82.1</v>
      </c>
      <c r="E277" s="84">
        <f>'Section Data'!Q70</f>
        <v>36590</v>
      </c>
      <c r="F277" s="84" t="str">
        <f>'Steel Beam Design'!O56</f>
        <v/>
      </c>
      <c r="G277" s="84" t="str">
        <f>'Steel Beam Design'!O80</f>
        <v/>
      </c>
      <c r="H277" s="84" t="str">
        <f>IF(TRIM($B277)="","",IFERROR('Steel Beam Design'!$D$7006,""))</f>
        <v>S355</v>
      </c>
      <c r="I277" s="84">
        <f>IF(TRIM($B277)="","",IFERROR(MAX(VLOOKUP($B277,'Section Data'!$B$36:$AC$107,5,FALSE),VLOOKUP($B277,'Section Data'!$B$36:$AC$107,6,FALSE)),""))</f>
        <v>18.899999999999999</v>
      </c>
      <c r="J277" s="84">
        <f>IF(TRIM($B277)="","",IFERROR(IF(I277&gt;150,"",INDEX('Section Data'!$AH$5:$AK$10,IF(I277&lt;=16,1,IF(I277&lt;=40,2,IF(I277&lt;=63,3,IF(I277&lt;=80,4,IF(I277&lt;=100,5,6))))),MATCH(H277,'Section Data'!$AH$4:$AK$4,0))),""))</f>
        <v>345</v>
      </c>
      <c r="K277" s="84">
        <f t="shared" si="36"/>
        <v>0.8928053815224023</v>
      </c>
      <c r="L277" s="84">
        <f>IF(TRIM($B277)="","",IFERROR(VLOOKUP($B277,'Section Data'!$B$36:$AC$107,9,FALSE),""))</f>
        <v>4.1100000000000003</v>
      </c>
      <c r="M277" s="84">
        <f>IF(TRIM($B277)="","",IFERROR(VLOOKUP($B277,'Section Data'!$B$36:$AC$107,10,FALSE),""))</f>
        <v>38.1</v>
      </c>
      <c r="N277" s="84">
        <f t="shared" si="37"/>
        <v>8</v>
      </c>
      <c r="O277" s="84">
        <f t="shared" si="38"/>
        <v>80</v>
      </c>
      <c r="P277" s="84">
        <f>IF(TRIM($B277)="","",IFERROR(VLOOKUP($B277,'Section Data'!$B$36:$AC$107,5,FALSE)*VLOOKUP($B277,'Section Data'!$B$36:$AC$107,3,FALSE),""))</f>
        <v>4984.0599999999995</v>
      </c>
      <c r="Q277" s="84">
        <f t="shared" si="39"/>
        <v>992.75419201674993</v>
      </c>
      <c r="R277" s="84">
        <f>'Steel Beam Design'!H2064</f>
        <v>0</v>
      </c>
      <c r="S277" s="84">
        <f t="shared" si="40"/>
        <v>0</v>
      </c>
      <c r="T277" s="84">
        <f>IF(TRIM($B277)="","",IFERROR(VLOOKUP($B277,'Section Data'!$B$36:$AC$107,20,FALSE),""))</f>
        <v>1571</v>
      </c>
      <c r="U277" s="84">
        <f>IF(TRIM($B277)="","",IFERROR(VLOOKUP($B277,'Section Data'!$B$36:$AC$107,21,FALSE),""))</f>
        <v>153</v>
      </c>
      <c r="V277" s="84">
        <f>IF(TRIM($B277)="","",IFERROR(VLOOKUP($B277,'Section Data'!$B$36:$AC$107,22,FALSE),""))</f>
        <v>1811</v>
      </c>
      <c r="W277" s="84">
        <f>IF(TRIM($B277)="","",IFERROR(VLOOKUP($B277,'Section Data'!$B$36:$AC$107,23,FALSE),""))</f>
        <v>240</v>
      </c>
      <c r="X277" s="84">
        <f>IF(TRIM($B277)="","",IFERROR((VLOOKUP($B277,'Section Data'!$B$36:$AC$107,5,FALSE)/10)*(VLOOKUP($B277,'Section Data'!$B$36:$AC$107,3,FALSE)/10)^2/4,""))</f>
        <v>580.39378699999986</v>
      </c>
      <c r="Y277" s="84">
        <f>IF(TRIM($B277)="","",IFERROR((VLOOKUP($B277,'Section Data'!$B$36:$AC$107,3,FALSE)/10)*(VLOOKUP($B277,'Section Data'!$B$36:$AC$107,5,FALSE)/10)^2/4,""))</f>
        <v>13.332360499999995</v>
      </c>
      <c r="Z277" s="84">
        <f t="shared" si="41"/>
        <v>624.79499999999996</v>
      </c>
      <c r="AA277" s="84">
        <f t="shared" si="42"/>
        <v>63.341999999999999</v>
      </c>
      <c r="AB277" s="86" t="str">
        <f t="shared" si="43"/>
        <v/>
      </c>
      <c r="AC277" s="86" t="str">
        <f t="shared" si="44"/>
        <v/>
      </c>
      <c r="AD277" s="1" t="b">
        <f>AND(ISNUMBER(AB277),ISNUMBER(AC277),AB277&gt;=0,AC277&gt;=0,AB277&lt;=0.95,AC277&lt;=0.95,ISNUMBER(D277),D277&gt;0,'Steel Beam Design'!$A$18="",C277="UC",'Steel Beam Design'!$B$3="Cantilever Supported")</f>
        <v>0</v>
      </c>
      <c r="AE277" s="1" t="str">
        <f>'Steel Beam Design'!O28</f>
        <v/>
      </c>
    </row>
    <row r="278" spans="1:31">
      <c r="A278" s="1" t="s">
        <v>480</v>
      </c>
      <c r="B278" s="1" t="str">
        <f>'Section Data'!B71</f>
        <v>457x152x74</v>
      </c>
      <c r="C278" s="1" t="s">
        <v>368</v>
      </c>
      <c r="D278" s="84">
        <f>'Section Data'!C71</f>
        <v>74.2</v>
      </c>
      <c r="E278" s="84">
        <f>'Section Data'!Q71</f>
        <v>32670</v>
      </c>
      <c r="F278" s="84" t="str">
        <f>'Steel Beam Design'!O56</f>
        <v/>
      </c>
      <c r="G278" s="84" t="str">
        <f>'Steel Beam Design'!O80</f>
        <v/>
      </c>
      <c r="H278" s="84" t="str">
        <f>IF(TRIM($B278)="","",IFERROR('Steel Beam Design'!$D$7006,""))</f>
        <v>S355</v>
      </c>
      <c r="I278" s="84">
        <f>IF(TRIM($B278)="","",IFERROR(MAX(VLOOKUP($B278,'Section Data'!$B$36:$AC$107,5,FALSE),VLOOKUP($B278,'Section Data'!$B$36:$AC$107,6,FALSE)),""))</f>
        <v>17</v>
      </c>
      <c r="J278" s="84">
        <f>IF(TRIM($B278)="","",IFERROR(IF(I278&gt;150,"",INDEX('Section Data'!$AH$5:$AK$10,IF(I278&lt;=16,1,IF(I278&lt;=40,2,IF(I278&lt;=63,3,IF(I278&lt;=80,4,IF(I278&lt;=100,5,6))))),MATCH(H278,'Section Data'!$AH$4:$AK$4,0))),""))</f>
        <v>345</v>
      </c>
      <c r="K278" s="84">
        <f t="shared" si="36"/>
        <v>0.8928053815224023</v>
      </c>
      <c r="L278" s="84">
        <f>IF(TRIM($B278)="","",IFERROR(VLOOKUP($B278,'Section Data'!$B$36:$AC$107,9,FALSE),""))</f>
        <v>4.54</v>
      </c>
      <c r="M278" s="84">
        <f>IF(TRIM($B278)="","",IFERROR(VLOOKUP($B278,'Section Data'!$B$36:$AC$107,10,FALSE),""))</f>
        <v>42.5</v>
      </c>
      <c r="N278" s="84">
        <f t="shared" si="37"/>
        <v>8</v>
      </c>
      <c r="O278" s="84">
        <f t="shared" si="38"/>
        <v>80</v>
      </c>
      <c r="P278" s="84">
        <f>IF(TRIM($B278)="","",IFERROR(VLOOKUP($B278,'Section Data'!$B$36:$AC$107,5,FALSE)*VLOOKUP($B278,'Section Data'!$B$36:$AC$107,3,FALSE),""))</f>
        <v>4435.2</v>
      </c>
      <c r="Q278" s="84">
        <f t="shared" si="39"/>
        <v>883.42905029889084</v>
      </c>
      <c r="R278" s="84">
        <f>'Steel Beam Design'!H2064</f>
        <v>0</v>
      </c>
      <c r="S278" s="84">
        <f t="shared" si="40"/>
        <v>0</v>
      </c>
      <c r="T278" s="84">
        <f>IF(TRIM($B278)="","",IFERROR(VLOOKUP($B278,'Section Data'!$B$36:$AC$107,20,FALSE),""))</f>
        <v>1414</v>
      </c>
      <c r="U278" s="84">
        <f>IF(TRIM($B278)="","",IFERROR(VLOOKUP($B278,'Section Data'!$B$36:$AC$107,21,FALSE),""))</f>
        <v>136</v>
      </c>
      <c r="V278" s="84">
        <f>IF(TRIM($B278)="","",IFERROR(VLOOKUP($B278,'Section Data'!$B$36:$AC$107,22,FALSE),""))</f>
        <v>1627</v>
      </c>
      <c r="W278" s="84">
        <f>IF(TRIM($B278)="","",IFERROR(VLOOKUP($B278,'Section Data'!$B$36:$AC$107,23,FALSE),""))</f>
        <v>213</v>
      </c>
      <c r="X278" s="84">
        <f>IF(TRIM($B278)="","",IFERROR((VLOOKUP($B278,'Section Data'!$B$36:$AC$107,5,FALSE)/10)*(VLOOKUP($B278,'Section Data'!$B$36:$AC$107,3,FALSE)/10)^2/4,""))</f>
        <v>512.26559999999995</v>
      </c>
      <c r="Y278" s="84">
        <f>IF(TRIM($B278)="","",IFERROR((VLOOKUP($B278,'Section Data'!$B$36:$AC$107,3,FALSE)/10)*(VLOOKUP($B278,'Section Data'!$B$36:$AC$107,5,FALSE)/10)^2/4,""))</f>
        <v>10.64448</v>
      </c>
      <c r="Z278" s="84">
        <f t="shared" si="41"/>
        <v>561.31500000000005</v>
      </c>
      <c r="AA278" s="84">
        <f t="shared" si="42"/>
        <v>56.303999999999995</v>
      </c>
      <c r="AB278" s="86" t="str">
        <f t="shared" si="43"/>
        <v/>
      </c>
      <c r="AC278" s="86" t="str">
        <f t="shared" si="44"/>
        <v/>
      </c>
      <c r="AD278" s="1" t="b">
        <f>AND(ISNUMBER(AB278),ISNUMBER(AC278),AB278&gt;=0,AC278&gt;=0,AB278&lt;=0.95,AC278&lt;=0.95,ISNUMBER(D278),D278&gt;0,'Steel Beam Design'!$A$18="",C278="UC",'Steel Beam Design'!$B$3="Cantilever Supported")</f>
        <v>0</v>
      </c>
      <c r="AE278" s="1" t="str">
        <f>'Steel Beam Design'!O28</f>
        <v/>
      </c>
    </row>
    <row r="279" spans="1:31">
      <c r="A279" s="1" t="s">
        <v>480</v>
      </c>
      <c r="B279" s="1" t="str">
        <f>'Section Data'!B72</f>
        <v>457x152x67</v>
      </c>
      <c r="C279" s="1" t="s">
        <v>368</v>
      </c>
      <c r="D279" s="84">
        <f>'Section Data'!C72</f>
        <v>67.2</v>
      </c>
      <c r="E279" s="84">
        <f>'Section Data'!Q72</f>
        <v>28930</v>
      </c>
      <c r="F279" s="84" t="str">
        <f>'Steel Beam Design'!O56</f>
        <v/>
      </c>
      <c r="G279" s="84" t="str">
        <f>'Steel Beam Design'!O80</f>
        <v/>
      </c>
      <c r="H279" s="84" t="str">
        <f>IF(TRIM($B279)="","",IFERROR('Steel Beam Design'!$D$7006,""))</f>
        <v>S355</v>
      </c>
      <c r="I279" s="84">
        <f>IF(TRIM($B279)="","",IFERROR(MAX(VLOOKUP($B279,'Section Data'!$B$36:$AC$107,5,FALSE),VLOOKUP($B279,'Section Data'!$B$36:$AC$107,6,FALSE)),""))</f>
        <v>15</v>
      </c>
      <c r="J279" s="84">
        <f>IF(TRIM($B279)="","",IFERROR(IF(I279&gt;150,"",INDEX('Section Data'!$AH$5:$AK$10,IF(I279&lt;=16,1,IF(I279&lt;=40,2,IF(I279&lt;=63,3,IF(I279&lt;=80,4,IF(I279&lt;=100,5,6))))),MATCH(H279,'Section Data'!$AH$4:$AK$4,0))),""))</f>
        <v>355</v>
      </c>
      <c r="K279" s="84">
        <f t="shared" si="36"/>
        <v>0.88014083380101371</v>
      </c>
      <c r="L279" s="84">
        <f>IF(TRIM($B279)="","",IFERROR(VLOOKUP($B279,'Section Data'!$B$36:$AC$107,9,FALSE),""))</f>
        <v>5.13</v>
      </c>
      <c r="M279" s="84">
        <f>IF(TRIM($B279)="","",IFERROR(VLOOKUP($B279,'Section Data'!$B$36:$AC$107,10,FALSE),""))</f>
        <v>45.3</v>
      </c>
      <c r="N279" s="84">
        <f t="shared" si="37"/>
        <v>8</v>
      </c>
      <c r="O279" s="84">
        <f t="shared" si="38"/>
        <v>80</v>
      </c>
      <c r="P279" s="84">
        <f>IF(TRIM($B279)="","",IFERROR(VLOOKUP($B279,'Section Data'!$B$36:$AC$107,5,FALSE)*VLOOKUP($B279,'Section Data'!$B$36:$AC$107,3,FALSE),""))</f>
        <v>4122</v>
      </c>
      <c r="Q279" s="84">
        <f t="shared" si="39"/>
        <v>844.84242240787137</v>
      </c>
      <c r="R279" s="84">
        <f>'Steel Beam Design'!H2064</f>
        <v>0</v>
      </c>
      <c r="S279" s="84">
        <f t="shared" si="40"/>
        <v>0</v>
      </c>
      <c r="T279" s="84">
        <f>IF(TRIM($B279)="","",IFERROR(VLOOKUP($B279,'Section Data'!$B$36:$AC$107,20,FALSE),""))</f>
        <v>1263</v>
      </c>
      <c r="U279" s="84">
        <f>IF(TRIM($B279)="","",IFERROR(VLOOKUP($B279,'Section Data'!$B$36:$AC$107,21,FALSE),""))</f>
        <v>119</v>
      </c>
      <c r="V279" s="84">
        <f>IF(TRIM($B279)="","",IFERROR(VLOOKUP($B279,'Section Data'!$B$36:$AC$107,22,FALSE),""))</f>
        <v>1453</v>
      </c>
      <c r="W279" s="84">
        <f>IF(TRIM($B279)="","",IFERROR(VLOOKUP($B279,'Section Data'!$B$36:$AC$107,23,FALSE),""))</f>
        <v>187</v>
      </c>
      <c r="X279" s="84">
        <f>IF(TRIM($B279)="","",IFERROR((VLOOKUP($B279,'Section Data'!$B$36:$AC$107,5,FALSE)/10)*(VLOOKUP($B279,'Section Data'!$B$36:$AC$107,3,FALSE)/10)^2/4,""))</f>
        <v>471.96899999999999</v>
      </c>
      <c r="Y279" s="84">
        <f>IF(TRIM($B279)="","",IFERROR((VLOOKUP($B279,'Section Data'!$B$36:$AC$107,3,FALSE)/10)*(VLOOKUP($B279,'Section Data'!$B$36:$AC$107,5,FALSE)/10)^2/4,""))</f>
        <v>9.2744999999999997</v>
      </c>
      <c r="Z279" s="84">
        <f t="shared" si="41"/>
        <v>515.81500000000005</v>
      </c>
      <c r="AA279" s="84">
        <f t="shared" si="42"/>
        <v>50.693999999999996</v>
      </c>
      <c r="AB279" s="86" t="str">
        <f t="shared" si="43"/>
        <v/>
      </c>
      <c r="AC279" s="86" t="str">
        <f t="shared" si="44"/>
        <v/>
      </c>
      <c r="AD279" s="1" t="b">
        <f>AND(ISNUMBER(AB279),ISNUMBER(AC279),AB279&gt;=0,AC279&gt;=0,AB279&lt;=0.95,AC279&lt;=0.95,ISNUMBER(D279),D279&gt;0,'Steel Beam Design'!$A$18="",C279="UC",'Steel Beam Design'!$B$3="Cantilever Supported")</f>
        <v>0</v>
      </c>
      <c r="AE279" s="1" t="str">
        <f>'Steel Beam Design'!O28</f>
        <v/>
      </c>
    </row>
    <row r="280" spans="1:31">
      <c r="A280" s="1" t="s">
        <v>480</v>
      </c>
      <c r="B280" s="1" t="str">
        <f>'Section Data'!B73</f>
        <v>457x152x60</v>
      </c>
      <c r="C280" s="1" t="s">
        <v>368</v>
      </c>
      <c r="D280" s="84">
        <f>'Section Data'!C73</f>
        <v>59.8</v>
      </c>
      <c r="E280" s="84">
        <f>'Section Data'!Q73</f>
        <v>25500</v>
      </c>
      <c r="F280" s="84" t="str">
        <f>'Steel Beam Design'!O56</f>
        <v/>
      </c>
      <c r="G280" s="84" t="str">
        <f>'Steel Beam Design'!O80</f>
        <v/>
      </c>
      <c r="H280" s="84" t="str">
        <f>IF(TRIM($B280)="","",IFERROR('Steel Beam Design'!$D$7006,""))</f>
        <v>S355</v>
      </c>
      <c r="I280" s="84">
        <f>IF(TRIM($B280)="","",IFERROR(MAX(VLOOKUP($B280,'Section Data'!$B$36:$AC$107,5,FALSE),VLOOKUP($B280,'Section Data'!$B$36:$AC$107,6,FALSE)),""))</f>
        <v>13.3</v>
      </c>
      <c r="J280" s="84">
        <f>IF(TRIM($B280)="","",IFERROR(IF(I280&gt;150,"",INDEX('Section Data'!$AH$5:$AK$10,IF(I280&lt;=16,1,IF(I280&lt;=40,2,IF(I280&lt;=63,3,IF(I280&lt;=80,4,IF(I280&lt;=100,5,6))))),MATCH(H280,'Section Data'!$AH$4:$AK$4,0))),""))</f>
        <v>355</v>
      </c>
      <c r="K280" s="84">
        <f t="shared" si="36"/>
        <v>0.88014083380101371</v>
      </c>
      <c r="L280" s="84">
        <f>IF(TRIM($B280)="","",IFERROR(VLOOKUP($B280,'Section Data'!$B$36:$AC$107,9,FALSE),""))</f>
        <v>5.76</v>
      </c>
      <c r="M280" s="84">
        <f>IF(TRIM($B280)="","",IFERROR(VLOOKUP($B280,'Section Data'!$B$36:$AC$107,10,FALSE),""))</f>
        <v>50.3</v>
      </c>
      <c r="N280" s="84">
        <f t="shared" si="37"/>
        <v>8</v>
      </c>
      <c r="O280" s="84">
        <f t="shared" si="38"/>
        <v>80</v>
      </c>
      <c r="P280" s="84">
        <f>IF(TRIM($B280)="","",IFERROR(VLOOKUP($B280,'Section Data'!$B$36:$AC$107,5,FALSE)*VLOOKUP($B280,'Section Data'!$B$36:$AC$107,3,FALSE),""))</f>
        <v>3682.26</v>
      </c>
      <c r="Q280" s="84">
        <f t="shared" si="39"/>
        <v>754.71359979029808</v>
      </c>
      <c r="R280" s="84">
        <f>'Steel Beam Design'!H2064</f>
        <v>0</v>
      </c>
      <c r="S280" s="84">
        <f t="shared" si="40"/>
        <v>0</v>
      </c>
      <c r="T280" s="84">
        <f>IF(TRIM($B280)="","",IFERROR(VLOOKUP($B280,'Section Data'!$B$36:$AC$107,20,FALSE),""))</f>
        <v>1122</v>
      </c>
      <c r="U280" s="84">
        <f>IF(TRIM($B280)="","",IFERROR(VLOOKUP($B280,'Section Data'!$B$36:$AC$107,21,FALSE),""))</f>
        <v>104</v>
      </c>
      <c r="V280" s="84">
        <f>IF(TRIM($B280)="","",IFERROR(VLOOKUP($B280,'Section Data'!$B$36:$AC$107,22,FALSE),""))</f>
        <v>1287</v>
      </c>
      <c r="W280" s="84">
        <f>IF(TRIM($B280)="","",IFERROR(VLOOKUP($B280,'Section Data'!$B$36:$AC$107,23,FALSE),""))</f>
        <v>163</v>
      </c>
      <c r="X280" s="84">
        <f>IF(TRIM($B280)="","",IFERROR((VLOOKUP($B280,'Section Data'!$B$36:$AC$107,5,FALSE)/10)*(VLOOKUP($B280,'Section Data'!$B$36:$AC$107,3,FALSE)/10)^2/4,""))</f>
        <v>418.48884900000002</v>
      </c>
      <c r="Y280" s="84">
        <f>IF(TRIM($B280)="","",IFERROR((VLOOKUP($B280,'Section Data'!$B$36:$AC$107,3,FALSE)/10)*(VLOOKUP($B280,'Section Data'!$B$36:$AC$107,5,FALSE)/10)^2/4,""))</f>
        <v>7.4565764999999988</v>
      </c>
      <c r="Z280" s="84">
        <f t="shared" si="41"/>
        <v>456.88499999999999</v>
      </c>
      <c r="AA280" s="84">
        <f t="shared" si="42"/>
        <v>44.304000000000002</v>
      </c>
      <c r="AB280" s="86" t="str">
        <f t="shared" si="43"/>
        <v/>
      </c>
      <c r="AC280" s="86" t="str">
        <f t="shared" si="44"/>
        <v/>
      </c>
      <c r="AD280" s="1" t="b">
        <f>AND(ISNUMBER(AB280),ISNUMBER(AC280),AB280&gt;=0,AC280&gt;=0,AB280&lt;=0.95,AC280&lt;=0.95,ISNUMBER(D280),D280&gt;0,'Steel Beam Design'!$A$18="",C280="UC",'Steel Beam Design'!$B$3="Cantilever Supported")</f>
        <v>0</v>
      </c>
      <c r="AE280" s="1" t="str">
        <f>'Steel Beam Design'!O28</f>
        <v/>
      </c>
    </row>
    <row r="281" spans="1:31">
      <c r="A281" s="1" t="s">
        <v>480</v>
      </c>
      <c r="B281" s="1" t="str">
        <f>'Section Data'!B74</f>
        <v>457x152x52</v>
      </c>
      <c r="C281" s="1" t="s">
        <v>368</v>
      </c>
      <c r="D281" s="84">
        <f>'Section Data'!C74</f>
        <v>52.3</v>
      </c>
      <c r="E281" s="84">
        <f>'Section Data'!Q74</f>
        <v>21370</v>
      </c>
      <c r="F281" s="84" t="str">
        <f>'Steel Beam Design'!O56</f>
        <v/>
      </c>
      <c r="G281" s="84" t="str">
        <f>'Steel Beam Design'!O80</f>
        <v/>
      </c>
      <c r="H281" s="84" t="str">
        <f>IF(TRIM($B281)="","",IFERROR('Steel Beam Design'!$D$7006,""))</f>
        <v>S355</v>
      </c>
      <c r="I281" s="84">
        <f>IF(TRIM($B281)="","",IFERROR(MAX(VLOOKUP($B281,'Section Data'!$B$36:$AC$107,5,FALSE),VLOOKUP($B281,'Section Data'!$B$36:$AC$107,6,FALSE)),""))</f>
        <v>10.9</v>
      </c>
      <c r="J281" s="84">
        <f>IF(TRIM($B281)="","",IFERROR(IF(I281&gt;150,"",INDEX('Section Data'!$AH$5:$AK$10,IF(I281&lt;=16,1,IF(I281&lt;=40,2,IF(I281&lt;=63,3,IF(I281&lt;=80,4,IF(I281&lt;=100,5,6))))),MATCH(H281,'Section Data'!$AH$4:$AK$4,0))),""))</f>
        <v>355</v>
      </c>
      <c r="K281" s="84">
        <f t="shared" si="36"/>
        <v>0.88014083380101371</v>
      </c>
      <c r="L281" s="84">
        <f>IF(TRIM($B281)="","",IFERROR(VLOOKUP($B281,'Section Data'!$B$36:$AC$107,9,FALSE),""))</f>
        <v>6.99</v>
      </c>
      <c r="M281" s="84">
        <f>IF(TRIM($B281)="","",IFERROR(VLOOKUP($B281,'Section Data'!$B$36:$AC$107,10,FALSE),""))</f>
        <v>53.6</v>
      </c>
      <c r="N281" s="84">
        <f t="shared" si="37"/>
        <v>8</v>
      </c>
      <c r="O281" s="84">
        <f t="shared" si="38"/>
        <v>80</v>
      </c>
      <c r="P281" s="84">
        <f>IF(TRIM($B281)="","",IFERROR(VLOOKUP($B281,'Section Data'!$B$36:$AC$107,5,FALSE)*VLOOKUP($B281,'Section Data'!$B$36:$AC$107,3,FALSE),""))</f>
        <v>3418.48</v>
      </c>
      <c r="Q281" s="84">
        <f t="shared" si="39"/>
        <v>700.64942361786984</v>
      </c>
      <c r="R281" s="84">
        <f>'Steel Beam Design'!H2064</f>
        <v>0</v>
      </c>
      <c r="S281" s="84">
        <f t="shared" si="40"/>
        <v>0</v>
      </c>
      <c r="T281" s="84">
        <f>IF(TRIM($B281)="","",IFERROR(VLOOKUP($B281,'Section Data'!$B$36:$AC$107,20,FALSE),""))</f>
        <v>950</v>
      </c>
      <c r="U281" s="84">
        <f>IF(TRIM($B281)="","",IFERROR(VLOOKUP($B281,'Section Data'!$B$36:$AC$107,21,FALSE),""))</f>
        <v>84.6</v>
      </c>
      <c r="V281" s="84">
        <f>IF(TRIM($B281)="","",IFERROR(VLOOKUP($B281,'Section Data'!$B$36:$AC$107,22,FALSE),""))</f>
        <v>1096</v>
      </c>
      <c r="W281" s="84">
        <f>IF(TRIM($B281)="","",IFERROR(VLOOKUP($B281,'Section Data'!$B$36:$AC$107,23,FALSE),""))</f>
        <v>133</v>
      </c>
      <c r="X281" s="84">
        <f>IF(TRIM($B281)="","",IFERROR((VLOOKUP($B281,'Section Data'!$B$36:$AC$107,5,FALSE)/10)*(VLOOKUP($B281,'Section Data'!$B$36:$AC$107,3,FALSE)/10)^2/4,""))</f>
        <v>384.40807600000011</v>
      </c>
      <c r="Y281" s="84">
        <f>IF(TRIM($B281)="","",IFERROR((VLOOKUP($B281,'Section Data'!$B$36:$AC$107,3,FALSE)/10)*(VLOOKUP($B281,'Section Data'!$B$36:$AC$107,5,FALSE)/10)^2/4,""))</f>
        <v>6.4951120000000007</v>
      </c>
      <c r="Z281" s="84">
        <f t="shared" si="41"/>
        <v>389.08</v>
      </c>
      <c r="AA281" s="84">
        <f t="shared" si="42"/>
        <v>36.0396</v>
      </c>
      <c r="AB281" s="86" t="str">
        <f t="shared" si="43"/>
        <v/>
      </c>
      <c r="AC281" s="86" t="str">
        <f t="shared" si="44"/>
        <v/>
      </c>
      <c r="AD281" s="1" t="b">
        <f>AND(ISNUMBER(AB281),ISNUMBER(AC281),AB281&gt;=0,AC281&gt;=0,AB281&lt;=0.95,AC281&lt;=0.95,ISNUMBER(D281),D281&gt;0,'Steel Beam Design'!$A$18="",C281="UC",'Steel Beam Design'!$B$3="Cantilever Supported")</f>
        <v>0</v>
      </c>
      <c r="AE281" s="1" t="str">
        <f>'Steel Beam Design'!O28</f>
        <v/>
      </c>
    </row>
    <row r="282" spans="1:31">
      <c r="A282" s="1" t="s">
        <v>480</v>
      </c>
      <c r="B282" s="1" t="str">
        <f>'Section Data'!B75</f>
        <v>406x178x74</v>
      </c>
      <c r="C282" s="1" t="s">
        <v>368</v>
      </c>
      <c r="D282" s="84">
        <f>'Section Data'!C75</f>
        <v>74.2</v>
      </c>
      <c r="E282" s="84">
        <f>'Section Data'!Q75</f>
        <v>27310</v>
      </c>
      <c r="F282" s="84" t="str">
        <f>'Steel Beam Design'!O56</f>
        <v/>
      </c>
      <c r="G282" s="84" t="str">
        <f>'Steel Beam Design'!O80</f>
        <v/>
      </c>
      <c r="H282" s="84" t="str">
        <f>IF(TRIM($B282)="","",IFERROR('Steel Beam Design'!$D$7006,""))</f>
        <v>S355</v>
      </c>
      <c r="I282" s="84">
        <f>IF(TRIM($B282)="","",IFERROR(MAX(VLOOKUP($B282,'Section Data'!$B$36:$AC$107,5,FALSE),VLOOKUP($B282,'Section Data'!$B$36:$AC$107,6,FALSE)),""))</f>
        <v>16</v>
      </c>
      <c r="J282" s="84">
        <f>IF(TRIM($B282)="","",IFERROR(IF(I282&gt;150,"",INDEX('Section Data'!$AH$5:$AK$10,IF(I282&lt;=16,1,IF(I282&lt;=40,2,IF(I282&lt;=63,3,IF(I282&lt;=80,4,IF(I282&lt;=100,5,6))))),MATCH(H282,'Section Data'!$AH$4:$AK$4,0))),""))</f>
        <v>355</v>
      </c>
      <c r="K282" s="84">
        <f t="shared" si="36"/>
        <v>0.88014083380101371</v>
      </c>
      <c r="L282" s="84">
        <f>IF(TRIM($B282)="","",IFERROR(VLOOKUP($B282,'Section Data'!$B$36:$AC$107,9,FALSE),""))</f>
        <v>5.61</v>
      </c>
      <c r="M282" s="84">
        <f>IF(TRIM($B282)="","",IFERROR(VLOOKUP($B282,'Section Data'!$B$36:$AC$107,10,FALSE),""))</f>
        <v>37.9</v>
      </c>
      <c r="N282" s="84">
        <f t="shared" si="37"/>
        <v>8</v>
      </c>
      <c r="O282" s="84">
        <f t="shared" si="38"/>
        <v>80</v>
      </c>
      <c r="P282" s="84">
        <f>IF(TRIM($B282)="","",IFERROR(VLOOKUP($B282,'Section Data'!$B$36:$AC$107,5,FALSE)*VLOOKUP($B282,'Section Data'!$B$36:$AC$107,3,FALSE),""))</f>
        <v>3921.6</v>
      </c>
      <c r="Q282" s="84">
        <f t="shared" si="39"/>
        <v>803.7685695571829</v>
      </c>
      <c r="R282" s="84">
        <f>'Steel Beam Design'!H2064</f>
        <v>0</v>
      </c>
      <c r="S282" s="84">
        <f t="shared" si="40"/>
        <v>0</v>
      </c>
      <c r="T282" s="84">
        <f>IF(TRIM($B282)="","",IFERROR(VLOOKUP($B282,'Section Data'!$B$36:$AC$107,20,FALSE),""))</f>
        <v>1323</v>
      </c>
      <c r="U282" s="84">
        <f>IF(TRIM($B282)="","",IFERROR(VLOOKUP($B282,'Section Data'!$B$36:$AC$107,21,FALSE),""))</f>
        <v>172</v>
      </c>
      <c r="V282" s="84">
        <f>IF(TRIM($B282)="","",IFERROR(VLOOKUP($B282,'Section Data'!$B$36:$AC$107,22,FALSE),""))</f>
        <v>1501</v>
      </c>
      <c r="W282" s="84">
        <f>IF(TRIM($B282)="","",IFERROR(VLOOKUP($B282,'Section Data'!$B$36:$AC$107,23,FALSE),""))</f>
        <v>267</v>
      </c>
      <c r="X282" s="84">
        <f>IF(TRIM($B282)="","",IFERROR((VLOOKUP($B282,'Section Data'!$B$36:$AC$107,5,FALSE)/10)*(VLOOKUP($B282,'Section Data'!$B$36:$AC$107,3,FALSE)/10)^2/4,""))</f>
        <v>404.70912000000004</v>
      </c>
      <c r="Y282" s="84">
        <f>IF(TRIM($B282)="","",IFERROR((VLOOKUP($B282,'Section Data'!$B$36:$AC$107,3,FALSE)/10)*(VLOOKUP($B282,'Section Data'!$B$36:$AC$107,5,FALSE)/10)^2/4,""))</f>
        <v>9.3138000000000005</v>
      </c>
      <c r="Z282" s="84">
        <f t="shared" si="41"/>
        <v>532.85500000000002</v>
      </c>
      <c r="AA282" s="84">
        <f t="shared" si="42"/>
        <v>73.272000000000006</v>
      </c>
      <c r="AB282" s="86" t="str">
        <f t="shared" si="43"/>
        <v/>
      </c>
      <c r="AC282" s="86" t="str">
        <f t="shared" si="44"/>
        <v/>
      </c>
      <c r="AD282" s="1" t="b">
        <f>AND(ISNUMBER(AB282),ISNUMBER(AC282),AB282&gt;=0,AC282&gt;=0,AB282&lt;=0.95,AC282&lt;=0.95,ISNUMBER(D282),D282&gt;0,'Steel Beam Design'!$A$18="",C282="UC",'Steel Beam Design'!$B$3="Cantilever Supported")</f>
        <v>0</v>
      </c>
      <c r="AE282" s="1" t="str">
        <f>'Steel Beam Design'!O28</f>
        <v/>
      </c>
    </row>
    <row r="283" spans="1:31">
      <c r="A283" s="1" t="s">
        <v>480</v>
      </c>
      <c r="B283" s="1" t="str">
        <f>'Section Data'!B76</f>
        <v>406x178x67</v>
      </c>
      <c r="C283" s="1" t="s">
        <v>368</v>
      </c>
      <c r="D283" s="84">
        <f>'Section Data'!C76</f>
        <v>67.099999999999994</v>
      </c>
      <c r="E283" s="84">
        <f>'Section Data'!Q76</f>
        <v>24330</v>
      </c>
      <c r="F283" s="84" t="str">
        <f>'Steel Beam Design'!O56</f>
        <v/>
      </c>
      <c r="G283" s="84" t="str">
        <f>'Steel Beam Design'!O80</f>
        <v/>
      </c>
      <c r="H283" s="84" t="str">
        <f>IF(TRIM($B283)="","",IFERROR('Steel Beam Design'!$D$7006,""))</f>
        <v>S355</v>
      </c>
      <c r="I283" s="84">
        <f>IF(TRIM($B283)="","",IFERROR(MAX(VLOOKUP($B283,'Section Data'!$B$36:$AC$107,5,FALSE),VLOOKUP($B283,'Section Data'!$B$36:$AC$107,6,FALSE)),""))</f>
        <v>14.3</v>
      </c>
      <c r="J283" s="84">
        <f>IF(TRIM($B283)="","",IFERROR(IF(I283&gt;150,"",INDEX('Section Data'!$AH$5:$AK$10,IF(I283&lt;=16,1,IF(I283&lt;=40,2,IF(I283&lt;=63,3,IF(I283&lt;=80,4,IF(I283&lt;=100,5,6))))),MATCH(H283,'Section Data'!$AH$4:$AK$4,0))),""))</f>
        <v>355</v>
      </c>
      <c r="K283" s="84">
        <f t="shared" si="36"/>
        <v>0.88014083380101371</v>
      </c>
      <c r="L283" s="84">
        <f>IF(TRIM($B283)="","",IFERROR(VLOOKUP($B283,'Section Data'!$B$36:$AC$107,9,FALSE),""))</f>
        <v>6.25</v>
      </c>
      <c r="M283" s="84">
        <f>IF(TRIM($B283)="","",IFERROR(VLOOKUP($B283,'Section Data'!$B$36:$AC$107,10,FALSE),""))</f>
        <v>41</v>
      </c>
      <c r="N283" s="84">
        <f t="shared" si="37"/>
        <v>8</v>
      </c>
      <c r="O283" s="84">
        <f t="shared" si="38"/>
        <v>80</v>
      </c>
      <c r="P283" s="84">
        <f>IF(TRIM($B283)="","",IFERROR(VLOOKUP($B283,'Section Data'!$B$36:$AC$107,5,FALSE)*VLOOKUP($B283,'Section Data'!$B$36:$AC$107,3,FALSE),""))</f>
        <v>3602.7200000000003</v>
      </c>
      <c r="Q283" s="84">
        <f t="shared" si="39"/>
        <v>738.41113344427129</v>
      </c>
      <c r="R283" s="84">
        <f>'Steel Beam Design'!H2064</f>
        <v>0</v>
      </c>
      <c r="S283" s="84">
        <f t="shared" si="40"/>
        <v>0</v>
      </c>
      <c r="T283" s="84">
        <f>IF(TRIM($B283)="","",IFERROR(VLOOKUP($B283,'Section Data'!$B$36:$AC$107,20,FALSE),""))</f>
        <v>1189</v>
      </c>
      <c r="U283" s="84">
        <f>IF(TRIM($B283)="","",IFERROR(VLOOKUP($B283,'Section Data'!$B$36:$AC$107,21,FALSE),""))</f>
        <v>153</v>
      </c>
      <c r="V283" s="84">
        <f>IF(TRIM($B283)="","",IFERROR(VLOOKUP($B283,'Section Data'!$B$36:$AC$107,22,FALSE),""))</f>
        <v>1346</v>
      </c>
      <c r="W283" s="84">
        <f>IF(TRIM($B283)="","",IFERROR(VLOOKUP($B283,'Section Data'!$B$36:$AC$107,23,FALSE),""))</f>
        <v>237</v>
      </c>
      <c r="X283" s="84">
        <f>IF(TRIM($B283)="","",IFERROR((VLOOKUP($B283,'Section Data'!$B$36:$AC$107,5,FALSE)/10)*(VLOOKUP($B283,'Section Data'!$B$36:$AC$107,3,FALSE)/10)^2/4,""))</f>
        <v>368.73839199999998</v>
      </c>
      <c r="Y283" s="84">
        <f>IF(TRIM($B283)="","",IFERROR((VLOOKUP($B283,'Section Data'!$B$36:$AC$107,3,FALSE)/10)*(VLOOKUP($B283,'Section Data'!$B$36:$AC$107,5,FALSE)/10)^2/4,""))</f>
        <v>7.9259840000000015</v>
      </c>
      <c r="Z283" s="84">
        <f t="shared" si="41"/>
        <v>477.83</v>
      </c>
      <c r="AA283" s="84">
        <f t="shared" si="42"/>
        <v>65.177999999999997</v>
      </c>
      <c r="AB283" s="86" t="str">
        <f t="shared" si="43"/>
        <v/>
      </c>
      <c r="AC283" s="86" t="str">
        <f t="shared" si="44"/>
        <v/>
      </c>
      <c r="AD283" s="1" t="b">
        <f>AND(ISNUMBER(AB283),ISNUMBER(AC283),AB283&gt;=0,AC283&gt;=0,AB283&lt;=0.95,AC283&lt;=0.95,ISNUMBER(D283),D283&gt;0,'Steel Beam Design'!$A$18="",C283="UC",'Steel Beam Design'!$B$3="Cantilever Supported")</f>
        <v>0</v>
      </c>
      <c r="AE283" s="1" t="str">
        <f>'Steel Beam Design'!O28</f>
        <v/>
      </c>
    </row>
    <row r="284" spans="1:31">
      <c r="A284" s="1" t="s">
        <v>480</v>
      </c>
      <c r="B284" s="1" t="str">
        <f>'Section Data'!B77</f>
        <v>406x178x60</v>
      </c>
      <c r="C284" s="1" t="s">
        <v>368</v>
      </c>
      <c r="D284" s="84">
        <f>'Section Data'!C77</f>
        <v>6.1</v>
      </c>
      <c r="E284" s="84">
        <f>'Section Data'!Q77</f>
        <v>21600</v>
      </c>
      <c r="F284" s="84" t="str">
        <f>'Steel Beam Design'!O56</f>
        <v/>
      </c>
      <c r="G284" s="84" t="str">
        <f>'Steel Beam Design'!O80</f>
        <v/>
      </c>
      <c r="H284" s="84" t="str">
        <f>IF(TRIM($B284)="","",IFERROR('Steel Beam Design'!$D$7006,""))</f>
        <v>S355</v>
      </c>
      <c r="I284" s="84">
        <f>IF(TRIM($B284)="","",IFERROR(MAX(VLOOKUP($B284,'Section Data'!$B$36:$AC$107,5,FALSE),VLOOKUP($B284,'Section Data'!$B$36:$AC$107,6,FALSE)),""))</f>
        <v>12.8</v>
      </c>
      <c r="J284" s="84">
        <f>IF(TRIM($B284)="","",IFERROR(IF(I284&gt;150,"",INDEX('Section Data'!$AH$5:$AK$10,IF(I284&lt;=16,1,IF(I284&lt;=40,2,IF(I284&lt;=63,3,IF(I284&lt;=80,4,IF(I284&lt;=100,5,6))))),MATCH(H284,'Section Data'!$AH$4:$AK$4,0))),""))</f>
        <v>355</v>
      </c>
      <c r="K284" s="84">
        <f t="shared" si="36"/>
        <v>0.88014083380101371</v>
      </c>
      <c r="L284" s="84">
        <f>IF(TRIM($B284)="","",IFERROR(VLOOKUP($B284,'Section Data'!$B$36:$AC$107,9,FALSE),""))</f>
        <v>6.95</v>
      </c>
      <c r="M284" s="84">
        <f>IF(TRIM($B284)="","",IFERROR(VLOOKUP($B284,'Section Data'!$B$36:$AC$107,10,FALSE),""))</f>
        <v>45.6</v>
      </c>
      <c r="N284" s="84">
        <f t="shared" si="37"/>
        <v>8</v>
      </c>
      <c r="O284" s="84">
        <f t="shared" si="38"/>
        <v>80</v>
      </c>
      <c r="P284" s="84">
        <f>IF(TRIM($B284)="","",IFERROR(VLOOKUP($B284,'Section Data'!$B$36:$AC$107,5,FALSE)*VLOOKUP($B284,'Section Data'!$B$36:$AC$107,3,FALSE),""))</f>
        <v>3210.56</v>
      </c>
      <c r="Q284" s="84">
        <f t="shared" si="39"/>
        <v>658.03427648855302</v>
      </c>
      <c r="R284" s="84">
        <f>'Steel Beam Design'!H2064</f>
        <v>0</v>
      </c>
      <c r="S284" s="84">
        <f t="shared" si="40"/>
        <v>0</v>
      </c>
      <c r="T284" s="84">
        <f>IF(TRIM($B284)="","",IFERROR(VLOOKUP($B284,'Section Data'!$B$36:$AC$107,20,FALSE),""))</f>
        <v>1063</v>
      </c>
      <c r="U284" s="84">
        <f>IF(TRIM($B284)="","",IFERROR(VLOOKUP($B284,'Section Data'!$B$36:$AC$107,21,FALSE),""))</f>
        <v>135</v>
      </c>
      <c r="V284" s="84">
        <f>IF(TRIM($B284)="","",IFERROR(VLOOKUP($B284,'Section Data'!$B$36:$AC$107,22,FALSE),""))</f>
        <v>1199</v>
      </c>
      <c r="W284" s="84">
        <f>IF(TRIM($B284)="","",IFERROR(VLOOKUP($B284,'Section Data'!$B$36:$AC$107,23,FALSE),""))</f>
        <v>209</v>
      </c>
      <c r="X284" s="84">
        <f>IF(TRIM($B284)="","",IFERROR((VLOOKUP($B284,'Section Data'!$B$36:$AC$107,5,FALSE)/10)*(VLOOKUP($B284,'Section Data'!$B$36:$AC$107,3,FALSE)/10)^2/4,""))</f>
        <v>326.19289600000002</v>
      </c>
      <c r="Y284" s="84">
        <f>IF(TRIM($B284)="","",IFERROR((VLOOKUP($B284,'Section Data'!$B$36:$AC$107,3,FALSE)/10)*(VLOOKUP($B284,'Section Data'!$B$36:$AC$107,5,FALSE)/10)^2/4,""))</f>
        <v>6.3408560000000014</v>
      </c>
      <c r="Z284" s="84">
        <f t="shared" si="41"/>
        <v>425.64499999999998</v>
      </c>
      <c r="AA284" s="84">
        <f t="shared" si="42"/>
        <v>57.51</v>
      </c>
      <c r="AB284" s="86" t="str">
        <f t="shared" si="43"/>
        <v/>
      </c>
      <c r="AC284" s="86" t="str">
        <f t="shared" si="44"/>
        <v/>
      </c>
      <c r="AD284" s="1" t="b">
        <f>AND(ISNUMBER(AB284),ISNUMBER(AC284),AB284&gt;=0,AC284&gt;=0,AB284&lt;=0.95,AC284&lt;=0.95,ISNUMBER(D284),D284&gt;0,'Steel Beam Design'!$A$18="",C284="UC",'Steel Beam Design'!$B$3="Cantilever Supported")</f>
        <v>0</v>
      </c>
      <c r="AE284" s="1" t="str">
        <f>'Steel Beam Design'!O28</f>
        <v/>
      </c>
    </row>
    <row r="285" spans="1:31">
      <c r="A285" s="1" t="s">
        <v>480</v>
      </c>
      <c r="B285" s="1" t="str">
        <f>'Section Data'!B78</f>
        <v>406x178x54</v>
      </c>
      <c r="C285" s="1" t="s">
        <v>368</v>
      </c>
      <c r="D285" s="84">
        <f>'Section Data'!C78</f>
        <v>54.1</v>
      </c>
      <c r="E285" s="84">
        <f>'Section Data'!Q78</f>
        <v>18720</v>
      </c>
      <c r="F285" s="84" t="str">
        <f>'Steel Beam Design'!O56</f>
        <v/>
      </c>
      <c r="G285" s="84" t="str">
        <f>'Steel Beam Design'!O80</f>
        <v/>
      </c>
      <c r="H285" s="84" t="str">
        <f>IF(TRIM($B285)="","",IFERROR('Steel Beam Design'!$D$7006,""))</f>
        <v>S355</v>
      </c>
      <c r="I285" s="84">
        <f>IF(TRIM($B285)="","",IFERROR(MAX(VLOOKUP($B285,'Section Data'!$B$36:$AC$107,5,FALSE),VLOOKUP($B285,'Section Data'!$B$36:$AC$107,6,FALSE)),""))</f>
        <v>10.9</v>
      </c>
      <c r="J285" s="84">
        <f>IF(TRIM($B285)="","",IFERROR(IF(I285&gt;150,"",INDEX('Section Data'!$AH$5:$AK$10,IF(I285&lt;=16,1,IF(I285&lt;=40,2,IF(I285&lt;=63,3,IF(I285&lt;=80,4,IF(I285&lt;=100,5,6))))),MATCH(H285,'Section Data'!$AH$4:$AK$4,0))),""))</f>
        <v>355</v>
      </c>
      <c r="K285" s="84">
        <f t="shared" si="36"/>
        <v>0.88014083380101371</v>
      </c>
      <c r="L285" s="84">
        <f>IF(TRIM($B285)="","",IFERROR(VLOOKUP($B285,'Section Data'!$B$36:$AC$107,9,FALSE),""))</f>
        <v>8.15</v>
      </c>
      <c r="M285" s="84">
        <f>IF(TRIM($B285)="","",IFERROR(VLOOKUP($B285,'Section Data'!$B$36:$AC$107,10,FALSE),""))</f>
        <v>46.8</v>
      </c>
      <c r="N285" s="84">
        <f t="shared" si="37"/>
        <v>13</v>
      </c>
      <c r="O285" s="84">
        <f t="shared" si="38"/>
        <v>80</v>
      </c>
      <c r="P285" s="84">
        <f>IF(TRIM($B285)="","",IFERROR(VLOOKUP($B285,'Section Data'!$B$36:$AC$107,5,FALSE)*VLOOKUP($B285,'Section Data'!$B$36:$AC$107,3,FALSE),""))</f>
        <v>3100.0200000000004</v>
      </c>
      <c r="Q285" s="84">
        <f t="shared" si="39"/>
        <v>635.37807043009445</v>
      </c>
      <c r="R285" s="84">
        <f>'Steel Beam Design'!H2064</f>
        <v>0</v>
      </c>
      <c r="S285" s="84">
        <f t="shared" si="40"/>
        <v>0</v>
      </c>
      <c r="T285" s="84">
        <f>IF(TRIM($B285)="","",IFERROR(VLOOKUP($B285,'Section Data'!$B$36:$AC$107,20,FALSE),""))</f>
        <v>930</v>
      </c>
      <c r="U285" s="84">
        <f>IF(TRIM($B285)="","",IFERROR(VLOOKUP($B285,'Section Data'!$B$36:$AC$107,21,FALSE),""))</f>
        <v>115</v>
      </c>
      <c r="V285" s="84">
        <f>IF(TRIM($B285)="","",IFERROR(VLOOKUP($B285,'Section Data'!$B$36:$AC$107,22,FALSE),""))</f>
        <v>1055</v>
      </c>
      <c r="W285" s="84">
        <f>IF(TRIM($B285)="","",IFERROR(VLOOKUP($B285,'Section Data'!$B$36:$AC$107,23,FALSE),""))</f>
        <v>178</v>
      </c>
      <c r="X285" s="84">
        <f>IF(TRIM($B285)="","",IFERROR((VLOOKUP($B285,'Section Data'!$B$36:$AC$107,5,FALSE)/10)*(VLOOKUP($B285,'Section Data'!$B$36:$AC$107,3,FALSE)/10)^2/4,""))</f>
        <v>312.01701300000008</v>
      </c>
      <c r="Y285" s="84">
        <f>IF(TRIM($B285)="","",IFERROR((VLOOKUP($B285,'Section Data'!$B$36:$AC$107,3,FALSE)/10)*(VLOOKUP($B285,'Section Data'!$B$36:$AC$107,5,FALSE)/10)^2/4,""))</f>
        <v>5.9675385000000007</v>
      </c>
      <c r="Z285" s="84">
        <f t="shared" si="41"/>
        <v>330.15</v>
      </c>
      <c r="AA285" s="84">
        <f t="shared" si="42"/>
        <v>40.825000000000003</v>
      </c>
      <c r="AB285" s="86" t="str">
        <f t="shared" si="43"/>
        <v/>
      </c>
      <c r="AC285" s="86" t="str">
        <f t="shared" si="44"/>
        <v/>
      </c>
      <c r="AD285" s="1" t="b">
        <f>AND(ISNUMBER(AB285),ISNUMBER(AC285),AB285&gt;=0,AC285&gt;=0,AB285&lt;=0.95,AC285&lt;=0.95,ISNUMBER(D285),D285&gt;0,'Steel Beam Design'!$A$18="",C285="UC",'Steel Beam Design'!$B$3="Cantilever Supported")</f>
        <v>0</v>
      </c>
      <c r="AE285" s="1" t="str">
        <f>'Steel Beam Design'!O28</f>
        <v/>
      </c>
    </row>
    <row r="286" spans="1:31">
      <c r="A286" s="1" t="s">
        <v>480</v>
      </c>
      <c r="B286" s="1" t="str">
        <f>'Section Data'!B79</f>
        <v>406x140x46</v>
      </c>
      <c r="C286" s="1" t="s">
        <v>368</v>
      </c>
      <c r="D286" s="84">
        <f>'Section Data'!C79</f>
        <v>46</v>
      </c>
      <c r="E286" s="84">
        <f>'Section Data'!Q79</f>
        <v>15690</v>
      </c>
      <c r="F286" s="84" t="str">
        <f>'Steel Beam Design'!O56</f>
        <v/>
      </c>
      <c r="G286" s="84" t="str">
        <f>'Steel Beam Design'!O80</f>
        <v/>
      </c>
      <c r="H286" s="84" t="str">
        <f>IF(TRIM($B286)="","",IFERROR('Steel Beam Design'!$D$7006,""))</f>
        <v>S355</v>
      </c>
      <c r="I286" s="84">
        <f>IF(TRIM($B286)="","",IFERROR(MAX(VLOOKUP($B286,'Section Data'!$B$36:$AC$107,5,FALSE),VLOOKUP($B286,'Section Data'!$B$36:$AC$107,6,FALSE)),""))</f>
        <v>11.2</v>
      </c>
      <c r="J286" s="84">
        <f>IF(TRIM($B286)="","",IFERROR(IF(I286&gt;150,"",INDEX('Section Data'!$AH$5:$AK$10,IF(I286&lt;=16,1,IF(I286&lt;=40,2,IF(I286&lt;=63,3,IF(I286&lt;=80,4,IF(I286&lt;=100,5,6))))),MATCH(H286,'Section Data'!$AH$4:$AK$4,0))),""))</f>
        <v>355</v>
      </c>
      <c r="K286" s="84">
        <f t="shared" si="36"/>
        <v>0.88014083380101371</v>
      </c>
      <c r="L286" s="84">
        <f>IF(TRIM($B286)="","",IFERROR(VLOOKUP($B286,'Section Data'!$B$36:$AC$107,9,FALSE),""))</f>
        <v>6.35</v>
      </c>
      <c r="M286" s="84">
        <f>IF(TRIM($B286)="","",IFERROR(VLOOKUP($B286,'Section Data'!$B$36:$AC$107,10,FALSE),""))</f>
        <v>53</v>
      </c>
      <c r="N286" s="84">
        <f t="shared" si="37"/>
        <v>8</v>
      </c>
      <c r="O286" s="84">
        <f t="shared" si="38"/>
        <v>80</v>
      </c>
      <c r="P286" s="84">
        <f>IF(TRIM($B286)="","",IFERROR(VLOOKUP($B286,'Section Data'!$B$36:$AC$107,5,FALSE)*VLOOKUP($B286,'Section Data'!$B$36:$AC$107,3,FALSE),""))</f>
        <v>2741.7599999999998</v>
      </c>
      <c r="Q286" s="84">
        <f t="shared" si="39"/>
        <v>561.94933528893864</v>
      </c>
      <c r="R286" s="84">
        <f>'Steel Beam Design'!H2064</f>
        <v>0</v>
      </c>
      <c r="S286" s="84">
        <f t="shared" si="40"/>
        <v>0</v>
      </c>
      <c r="T286" s="84">
        <f>IF(TRIM($B286)="","",IFERROR(VLOOKUP($B286,'Section Data'!$B$36:$AC$107,20,FALSE),""))</f>
        <v>778</v>
      </c>
      <c r="U286" s="84">
        <f>IF(TRIM($B286)="","",IFERROR(VLOOKUP($B286,'Section Data'!$B$36:$AC$107,21,FALSE),""))</f>
        <v>75.7</v>
      </c>
      <c r="V286" s="84">
        <f>IF(TRIM($B286)="","",IFERROR(VLOOKUP($B286,'Section Data'!$B$36:$AC$107,22,FALSE),""))</f>
        <v>888</v>
      </c>
      <c r="W286" s="84">
        <f>IF(TRIM($B286)="","",IFERROR(VLOOKUP($B286,'Section Data'!$B$36:$AC$107,23,FALSE),""))</f>
        <v>118</v>
      </c>
      <c r="X286" s="84">
        <f>IF(TRIM($B286)="","",IFERROR((VLOOKUP($B286,'Section Data'!$B$36:$AC$107,5,FALSE)/10)*(VLOOKUP($B286,'Section Data'!$B$36:$AC$107,3,FALSE)/10)^2/4,""))</f>
        <v>276.36940800000002</v>
      </c>
      <c r="Y286" s="84">
        <f>IF(TRIM($B286)="","",IFERROR((VLOOKUP($B286,'Section Data'!$B$36:$AC$107,3,FALSE)/10)*(VLOOKUP($B286,'Section Data'!$B$36:$AC$107,5,FALSE)/10)^2/4,""))</f>
        <v>4.6609919999999994</v>
      </c>
      <c r="Z286" s="84">
        <f t="shared" si="41"/>
        <v>315.24</v>
      </c>
      <c r="AA286" s="84">
        <f t="shared" si="42"/>
        <v>32.248200000000004</v>
      </c>
      <c r="AB286" s="86" t="str">
        <f t="shared" si="43"/>
        <v/>
      </c>
      <c r="AC286" s="86" t="str">
        <f t="shared" si="44"/>
        <v/>
      </c>
      <c r="AD286" s="1" t="b">
        <f>AND(ISNUMBER(AB286),ISNUMBER(AC286),AB286&gt;=0,AC286&gt;=0,AB286&lt;=0.95,AC286&lt;=0.95,ISNUMBER(D286),D286&gt;0,'Steel Beam Design'!$A$18="",C286="UC",'Steel Beam Design'!$B$3="Cantilever Supported")</f>
        <v>0</v>
      </c>
      <c r="AE286" s="1" t="str">
        <f>'Steel Beam Design'!O28</f>
        <v/>
      </c>
    </row>
    <row r="287" spans="1:31">
      <c r="A287" s="1" t="s">
        <v>480</v>
      </c>
      <c r="B287" s="1" t="str">
        <f>'Section Data'!B80</f>
        <v>406x140x36</v>
      </c>
      <c r="C287" s="1" t="s">
        <v>368</v>
      </c>
      <c r="D287" s="84">
        <f>'Section Data'!C80</f>
        <v>39</v>
      </c>
      <c r="E287" s="84">
        <f>'Section Data'!Q80</f>
        <v>12510</v>
      </c>
      <c r="F287" s="84" t="str">
        <f>'Steel Beam Design'!O56</f>
        <v/>
      </c>
      <c r="G287" s="84" t="str">
        <f>'Steel Beam Design'!O80</f>
        <v/>
      </c>
      <c r="H287" s="84" t="str">
        <f>IF(TRIM($B287)="","",IFERROR('Steel Beam Design'!$D$7006,""))</f>
        <v>S355</v>
      </c>
      <c r="I287" s="84">
        <f>IF(TRIM($B287)="","",IFERROR(MAX(VLOOKUP($B287,'Section Data'!$B$36:$AC$107,5,FALSE),VLOOKUP($B287,'Section Data'!$B$36:$AC$107,6,FALSE)),""))</f>
        <v>8.6</v>
      </c>
      <c r="J287" s="84">
        <f>IF(TRIM($B287)="","",IFERROR(IF(I287&gt;150,"",INDEX('Section Data'!$AH$5:$AK$10,IF(I287&lt;=16,1,IF(I287&lt;=40,2,IF(I287&lt;=63,3,IF(I287&lt;=80,4,IF(I287&lt;=100,5,6))))),MATCH(H287,'Section Data'!$AH$4:$AK$4,0))),""))</f>
        <v>355</v>
      </c>
      <c r="K287" s="84">
        <f t="shared" si="36"/>
        <v>0.88014083380101371</v>
      </c>
      <c r="L287" s="84">
        <f>IF(TRIM($B287)="","",IFERROR(VLOOKUP($B287,'Section Data'!$B$36:$AC$107,9,FALSE),""))</f>
        <v>8.24</v>
      </c>
      <c r="M287" s="84">
        <f>IF(TRIM($B287)="","",IFERROR(VLOOKUP($B287,'Section Data'!$B$36:$AC$107,10,FALSE),""))</f>
        <v>56.3</v>
      </c>
      <c r="N287" s="84">
        <f t="shared" si="37"/>
        <v>13</v>
      </c>
      <c r="O287" s="84">
        <f t="shared" si="38"/>
        <v>80</v>
      </c>
      <c r="P287" s="84">
        <f>IF(TRIM($B287)="","",IFERROR(VLOOKUP($B287,'Section Data'!$B$36:$AC$107,5,FALSE)*VLOOKUP($B287,'Section Data'!$B$36:$AC$107,3,FALSE),""))</f>
        <v>2547.2000000000003</v>
      </c>
      <c r="Q287" s="84">
        <f t="shared" si="39"/>
        <v>522.07244501633431</v>
      </c>
      <c r="R287" s="84">
        <f>'Steel Beam Design'!H2064</f>
        <v>0</v>
      </c>
      <c r="S287" s="84">
        <f t="shared" si="40"/>
        <v>0</v>
      </c>
      <c r="T287" s="84">
        <f>IF(TRIM($B287)="","",IFERROR(VLOOKUP($B287,'Section Data'!$B$36:$AC$107,20,FALSE),""))</f>
        <v>629</v>
      </c>
      <c r="U287" s="84">
        <f>IF(TRIM($B287)="","",IFERROR(VLOOKUP($B287,'Section Data'!$B$36:$AC$107,21,FALSE),""))</f>
        <v>57.8</v>
      </c>
      <c r="V287" s="84">
        <f>IF(TRIM($B287)="","",IFERROR(VLOOKUP($B287,'Section Data'!$B$36:$AC$107,22,FALSE),""))</f>
        <v>724</v>
      </c>
      <c r="W287" s="84">
        <f>IF(TRIM($B287)="","",IFERROR(VLOOKUP($B287,'Section Data'!$B$36:$AC$107,23,FALSE),""))</f>
        <v>90.8</v>
      </c>
      <c r="X287" s="84">
        <f>IF(TRIM($B287)="","",IFERROR((VLOOKUP($B287,'Section Data'!$B$36:$AC$107,5,FALSE)/10)*(VLOOKUP($B287,'Section Data'!$B$36:$AC$107,3,FALSE)/10)^2/4,""))</f>
        <v>253.44639999999995</v>
      </c>
      <c r="Y287" s="84">
        <f>IF(TRIM($B287)="","",IFERROR((VLOOKUP($B287,'Section Data'!$B$36:$AC$107,3,FALSE)/10)*(VLOOKUP($B287,'Section Data'!$B$36:$AC$107,5,FALSE)/10)^2/4,""))</f>
        <v>4.07552</v>
      </c>
      <c r="Z287" s="84">
        <f t="shared" si="41"/>
        <v>223.29499999999999</v>
      </c>
      <c r="AA287" s="84">
        <f t="shared" si="42"/>
        <v>20.518999999999998</v>
      </c>
      <c r="AB287" s="86" t="str">
        <f t="shared" si="43"/>
        <v/>
      </c>
      <c r="AC287" s="86" t="str">
        <f t="shared" si="44"/>
        <v/>
      </c>
      <c r="AD287" s="1" t="b">
        <f>AND(ISNUMBER(AB287),ISNUMBER(AC287),AB287&gt;=0,AC287&gt;=0,AB287&lt;=0.95,AC287&lt;=0.95,ISNUMBER(D287),D287&gt;0,'Steel Beam Design'!$A$18="",C287="UC",'Steel Beam Design'!$B$3="Cantilever Supported")</f>
        <v>0</v>
      </c>
      <c r="AE287" s="1" t="str">
        <f>'Steel Beam Design'!O28</f>
        <v/>
      </c>
    </row>
    <row r="288" spans="1:31">
      <c r="A288" s="1" t="s">
        <v>480</v>
      </c>
      <c r="B288" s="1" t="str">
        <f>'Section Data'!B81</f>
        <v>356x171x67</v>
      </c>
      <c r="C288" s="1" t="s">
        <v>368</v>
      </c>
      <c r="D288" s="84">
        <f>'Section Data'!C81</f>
        <v>67.099999999999994</v>
      </c>
      <c r="E288" s="84">
        <f>'Section Data'!Q81</f>
        <v>19460</v>
      </c>
      <c r="F288" s="84" t="str">
        <f>'Steel Beam Design'!O56</f>
        <v/>
      </c>
      <c r="G288" s="84" t="str">
        <f>'Steel Beam Design'!O80</f>
        <v/>
      </c>
      <c r="H288" s="84" t="str">
        <f>IF(TRIM($B288)="","",IFERROR('Steel Beam Design'!$D$7006,""))</f>
        <v>S355</v>
      </c>
      <c r="I288" s="84">
        <f>IF(TRIM($B288)="","",IFERROR(MAX(VLOOKUP($B288,'Section Data'!$B$36:$AC$107,5,FALSE),VLOOKUP($B288,'Section Data'!$B$36:$AC$107,6,FALSE)),""))</f>
        <v>15.7</v>
      </c>
      <c r="J288" s="84">
        <f>IF(TRIM($B288)="","",IFERROR(IF(I288&gt;150,"",INDEX('Section Data'!$AH$5:$AK$10,IF(I288&lt;=16,1,IF(I288&lt;=40,2,IF(I288&lt;=63,3,IF(I288&lt;=80,4,IF(I288&lt;=100,5,6))))),MATCH(H288,'Section Data'!$AH$4:$AK$4,0))),""))</f>
        <v>355</v>
      </c>
      <c r="K288" s="84">
        <f t="shared" si="36"/>
        <v>0.88014083380101371</v>
      </c>
      <c r="L288" s="84">
        <f>IF(TRIM($B288)="","",IFERROR(VLOOKUP($B288,'Section Data'!$B$36:$AC$107,9,FALSE),""))</f>
        <v>5.52</v>
      </c>
      <c r="M288" s="84">
        <f>IF(TRIM($B288)="","",IFERROR(VLOOKUP($B288,'Section Data'!$B$36:$AC$107,10,FALSE),""))</f>
        <v>34.200000000000003</v>
      </c>
      <c r="N288" s="84">
        <f t="shared" si="37"/>
        <v>8</v>
      </c>
      <c r="O288" s="84">
        <f t="shared" si="38"/>
        <v>80</v>
      </c>
      <c r="P288" s="84">
        <f>IF(TRIM($B288)="","",IFERROR(VLOOKUP($B288,'Section Data'!$B$36:$AC$107,5,FALSE)*VLOOKUP($B288,'Section Data'!$B$36:$AC$107,3,FALSE),""))</f>
        <v>3306.9399999999996</v>
      </c>
      <c r="Q288" s="84">
        <f t="shared" si="39"/>
        <v>677.78825821384908</v>
      </c>
      <c r="R288" s="84">
        <f>'Steel Beam Design'!H2064</f>
        <v>0</v>
      </c>
      <c r="S288" s="84">
        <f t="shared" si="40"/>
        <v>0</v>
      </c>
      <c r="T288" s="84">
        <f>IF(TRIM($B288)="","",IFERROR(VLOOKUP($B288,'Section Data'!$B$36:$AC$107,20,FALSE),""))</f>
        <v>1071</v>
      </c>
      <c r="U288" s="84">
        <f>IF(TRIM($B288)="","",IFERROR(VLOOKUP($B288,'Section Data'!$B$36:$AC$107,21,FALSE),""))</f>
        <v>157</v>
      </c>
      <c r="V288" s="84">
        <f>IF(TRIM($B288)="","",IFERROR(VLOOKUP($B288,'Section Data'!$B$36:$AC$107,22,FALSE),""))</f>
        <v>1211</v>
      </c>
      <c r="W288" s="84">
        <f>IF(TRIM($B288)="","",IFERROR(VLOOKUP($B288,'Section Data'!$B$36:$AC$107,23,FALSE),""))</f>
        <v>243</v>
      </c>
      <c r="X288" s="84">
        <f>IF(TRIM($B288)="","",IFERROR((VLOOKUP($B288,'Section Data'!$B$36:$AC$107,5,FALSE)/10)*(VLOOKUP($B288,'Section Data'!$B$36:$AC$107,3,FALSE)/10)^2/4,""))</f>
        <v>300.43549899999988</v>
      </c>
      <c r="Y288" s="84">
        <f>IF(TRIM($B288)="","",IFERROR((VLOOKUP($B288,'Section Data'!$B$36:$AC$107,3,FALSE)/10)*(VLOOKUP($B288,'Section Data'!$B$36:$AC$107,5,FALSE)/10)^2/4,""))</f>
        <v>7.5232884999999978</v>
      </c>
      <c r="Z288" s="84">
        <f t="shared" si="41"/>
        <v>429.90499999999997</v>
      </c>
      <c r="AA288" s="84">
        <f t="shared" si="42"/>
        <v>66.882000000000005</v>
      </c>
      <c r="AB288" s="86" t="str">
        <f t="shared" si="43"/>
        <v/>
      </c>
      <c r="AC288" s="86" t="str">
        <f t="shared" si="44"/>
        <v/>
      </c>
      <c r="AD288" s="1" t="b">
        <f>AND(ISNUMBER(AB288),ISNUMBER(AC288),AB288&gt;=0,AC288&gt;=0,AB288&lt;=0.95,AC288&lt;=0.95,ISNUMBER(D288),D288&gt;0,'Steel Beam Design'!$A$18="",C288="UC",'Steel Beam Design'!$B$3="Cantilever Supported")</f>
        <v>0</v>
      </c>
      <c r="AE288" s="1" t="str">
        <f>'Steel Beam Design'!O28</f>
        <v/>
      </c>
    </row>
    <row r="289" spans="1:31">
      <c r="A289" s="1" t="s">
        <v>480</v>
      </c>
      <c r="B289" s="1" t="str">
        <f>'Section Data'!B82</f>
        <v>356x171x57</v>
      </c>
      <c r="C289" s="1" t="s">
        <v>368</v>
      </c>
      <c r="D289" s="84">
        <f>'Section Data'!C82</f>
        <v>54</v>
      </c>
      <c r="E289" s="84">
        <f>'Section Data'!Q82</f>
        <v>16040</v>
      </c>
      <c r="F289" s="84" t="str">
        <f>'Steel Beam Design'!O56</f>
        <v/>
      </c>
      <c r="G289" s="84" t="str">
        <f>'Steel Beam Design'!O80</f>
        <v/>
      </c>
      <c r="H289" s="84" t="str">
        <f>IF(TRIM($B289)="","",IFERROR('Steel Beam Design'!$D$7006,""))</f>
        <v>S355</v>
      </c>
      <c r="I289" s="84">
        <f>IF(TRIM($B289)="","",IFERROR(MAX(VLOOKUP($B289,'Section Data'!$B$36:$AC$107,5,FALSE),VLOOKUP($B289,'Section Data'!$B$36:$AC$107,6,FALSE)),""))</f>
        <v>13</v>
      </c>
      <c r="J289" s="84">
        <f>IF(TRIM($B289)="","",IFERROR(IF(I289&gt;150,"",INDEX('Section Data'!$AH$5:$AK$10,IF(I289&lt;=16,1,IF(I289&lt;=40,2,IF(I289&lt;=63,3,IF(I289&lt;=80,4,IF(I289&lt;=100,5,6))))),MATCH(H289,'Section Data'!$AH$4:$AK$4,0))),""))</f>
        <v>355</v>
      </c>
      <c r="K289" s="84">
        <f t="shared" si="36"/>
        <v>0.88014083380101371</v>
      </c>
      <c r="L289" s="84">
        <f>IF(TRIM($B289)="","",IFERROR(VLOOKUP($B289,'Section Data'!$B$36:$AC$107,9,FALSE),""))</f>
        <v>6.62</v>
      </c>
      <c r="M289" s="84">
        <f>IF(TRIM($B289)="","",IFERROR(VLOOKUP($B289,'Section Data'!$B$36:$AC$107,10,FALSE),""))</f>
        <v>38.5</v>
      </c>
      <c r="N289" s="84">
        <f t="shared" si="37"/>
        <v>8</v>
      </c>
      <c r="O289" s="84">
        <f t="shared" si="38"/>
        <v>80</v>
      </c>
      <c r="P289" s="84">
        <f>IF(TRIM($B289)="","",IFERROR(VLOOKUP($B289,'Section Data'!$B$36:$AC$107,5,FALSE)*VLOOKUP($B289,'Section Data'!$B$36:$AC$107,3,FALSE),""))</f>
        <v>2899.7999999999997</v>
      </c>
      <c r="Q289" s="84">
        <f t="shared" si="39"/>
        <v>594.34111026160724</v>
      </c>
      <c r="R289" s="84">
        <f>'Steel Beam Design'!H2064</f>
        <v>0</v>
      </c>
      <c r="S289" s="84">
        <f t="shared" si="40"/>
        <v>0</v>
      </c>
      <c r="T289" s="84">
        <f>IF(TRIM($B289)="","",IFERROR(VLOOKUP($B289,'Section Data'!$B$36:$AC$107,20,FALSE),""))</f>
        <v>896</v>
      </c>
      <c r="U289" s="84">
        <f>IF(TRIM($B289)="","",IFERROR(VLOOKUP($B289,'Section Data'!$B$36:$AC$107,21,FALSE),""))</f>
        <v>129</v>
      </c>
      <c r="V289" s="84">
        <f>IF(TRIM($B289)="","",IFERROR(VLOOKUP($B289,'Section Data'!$B$36:$AC$107,22,FALSE),""))</f>
        <v>1010</v>
      </c>
      <c r="W289" s="84">
        <f>IF(TRIM($B289)="","",IFERROR(VLOOKUP($B289,'Section Data'!$B$36:$AC$107,23,FALSE),""))</f>
        <v>199</v>
      </c>
      <c r="X289" s="84">
        <f>IF(TRIM($B289)="","",IFERROR((VLOOKUP($B289,'Section Data'!$B$36:$AC$107,5,FALSE)/10)*(VLOOKUP($B289,'Section Data'!$B$36:$AC$107,3,FALSE)/10)^2/4,""))</f>
        <v>259.53209999999996</v>
      </c>
      <c r="Y289" s="84">
        <f>IF(TRIM($B289)="","",IFERROR((VLOOKUP($B289,'Section Data'!$B$36:$AC$107,3,FALSE)/10)*(VLOOKUP($B289,'Section Data'!$B$36:$AC$107,5,FALSE)/10)^2/4,""))</f>
        <v>5.872094999999999</v>
      </c>
      <c r="Z289" s="84">
        <f t="shared" si="41"/>
        <v>358.55</v>
      </c>
      <c r="AA289" s="84">
        <f t="shared" si="42"/>
        <v>54.953999999999994</v>
      </c>
      <c r="AB289" s="86" t="str">
        <f t="shared" si="43"/>
        <v/>
      </c>
      <c r="AC289" s="86" t="str">
        <f t="shared" si="44"/>
        <v/>
      </c>
      <c r="AD289" s="1" t="b">
        <f>AND(ISNUMBER(AB289),ISNUMBER(AC289),AB289&gt;=0,AC289&gt;=0,AB289&lt;=0.95,AC289&lt;=0.95,ISNUMBER(D289),D289&gt;0,'Steel Beam Design'!$A$18="",C289="UC",'Steel Beam Design'!$B$3="Cantilever Supported")</f>
        <v>0</v>
      </c>
      <c r="AE289" s="1" t="str">
        <f>'Steel Beam Design'!O28</f>
        <v/>
      </c>
    </row>
    <row r="290" spans="1:31">
      <c r="A290" s="1" t="s">
        <v>480</v>
      </c>
      <c r="B290" s="1" t="str">
        <f>'Section Data'!B83</f>
        <v>356x171x51</v>
      </c>
      <c r="C290" s="1" t="s">
        <v>368</v>
      </c>
      <c r="D290" s="84">
        <f>'Section Data'!C83</f>
        <v>51</v>
      </c>
      <c r="E290" s="84">
        <f>'Section Data'!Q83</f>
        <v>14140</v>
      </c>
      <c r="F290" s="84" t="str">
        <f>'Steel Beam Design'!O56</f>
        <v/>
      </c>
      <c r="G290" s="84" t="str">
        <f>'Steel Beam Design'!O80</f>
        <v/>
      </c>
      <c r="H290" s="84" t="str">
        <f>IF(TRIM($B290)="","",IFERROR('Steel Beam Design'!$D$7006,""))</f>
        <v>S355</v>
      </c>
      <c r="I290" s="84">
        <f>IF(TRIM($B290)="","",IFERROR(MAX(VLOOKUP($B290,'Section Data'!$B$36:$AC$107,5,FALSE),VLOOKUP($B290,'Section Data'!$B$36:$AC$107,6,FALSE)),""))</f>
        <v>11.5</v>
      </c>
      <c r="J290" s="84">
        <f>IF(TRIM($B290)="","",IFERROR(IF(I290&gt;150,"",INDEX('Section Data'!$AH$5:$AK$10,IF(I290&lt;=16,1,IF(I290&lt;=40,2,IF(I290&lt;=63,3,IF(I290&lt;=80,4,IF(I290&lt;=100,5,6))))),MATCH(H290,'Section Data'!$AH$4:$AK$4,0))),""))</f>
        <v>355</v>
      </c>
      <c r="K290" s="84">
        <f t="shared" si="36"/>
        <v>0.88014083380101371</v>
      </c>
      <c r="L290" s="84">
        <f>IF(TRIM($B290)="","",IFERROR(VLOOKUP($B290,'Section Data'!$B$36:$AC$107,9,FALSE),""))</f>
        <v>7.46</v>
      </c>
      <c r="M290" s="84">
        <f>IF(TRIM($B290)="","",IFERROR(VLOOKUP($B290,'Section Data'!$B$36:$AC$107,10,FALSE),""))</f>
        <v>42.1</v>
      </c>
      <c r="N290" s="84">
        <f t="shared" si="37"/>
        <v>9</v>
      </c>
      <c r="O290" s="84">
        <f t="shared" si="38"/>
        <v>80</v>
      </c>
      <c r="P290" s="84">
        <f>IF(TRIM($B290)="","",IFERROR(VLOOKUP($B290,'Section Data'!$B$36:$AC$107,5,FALSE)*VLOOKUP($B290,'Section Data'!$B$36:$AC$107,3,FALSE),""))</f>
        <v>2627</v>
      </c>
      <c r="Q290" s="84">
        <f t="shared" si="39"/>
        <v>538.42820079220712</v>
      </c>
      <c r="R290" s="84">
        <f>'Steel Beam Design'!H2064</f>
        <v>0</v>
      </c>
      <c r="S290" s="84">
        <f t="shared" si="40"/>
        <v>0</v>
      </c>
      <c r="T290" s="84">
        <f>IF(TRIM($B290)="","",IFERROR(VLOOKUP($B290,'Section Data'!$B$36:$AC$107,20,FALSE),""))</f>
        <v>796</v>
      </c>
      <c r="U290" s="84">
        <f>IF(TRIM($B290)="","",IFERROR(VLOOKUP($B290,'Section Data'!$B$36:$AC$107,21,FALSE),""))</f>
        <v>113</v>
      </c>
      <c r="V290" s="84">
        <f>IF(TRIM($B290)="","",IFERROR(VLOOKUP($B290,'Section Data'!$B$36:$AC$107,22,FALSE),""))</f>
        <v>896</v>
      </c>
      <c r="W290" s="84">
        <f>IF(TRIM($B290)="","",IFERROR(VLOOKUP($B290,'Section Data'!$B$36:$AC$107,23,FALSE),""))</f>
        <v>174</v>
      </c>
      <c r="X290" s="84">
        <f>IF(TRIM($B290)="","",IFERROR((VLOOKUP($B290,'Section Data'!$B$36:$AC$107,5,FALSE)/10)*(VLOOKUP($B290,'Section Data'!$B$36:$AC$107,3,FALSE)/10)^2/4,""))</f>
        <v>233.14625000000001</v>
      </c>
      <c r="Y290" s="84">
        <f>IF(TRIM($B290)="","",IFERROR((VLOOKUP($B290,'Section Data'!$B$36:$AC$107,3,FALSE)/10)*(VLOOKUP($B290,'Section Data'!$B$36:$AC$107,5,FALSE)/10)^2/4,""))</f>
        <v>4.8599499999999995</v>
      </c>
      <c r="Z290" s="84">
        <f t="shared" si="41"/>
        <v>318.08</v>
      </c>
      <c r="AA290" s="84">
        <f t="shared" si="42"/>
        <v>48.137999999999998</v>
      </c>
      <c r="AB290" s="86" t="str">
        <f t="shared" si="43"/>
        <v/>
      </c>
      <c r="AC290" s="86" t="str">
        <f t="shared" si="44"/>
        <v/>
      </c>
      <c r="AD290" s="1" t="b">
        <f>AND(ISNUMBER(AB290),ISNUMBER(AC290),AB290&gt;=0,AC290&gt;=0,AB290&lt;=0.95,AC290&lt;=0.95,ISNUMBER(D290),D290&gt;0,'Steel Beam Design'!$A$18="",C290="UC",'Steel Beam Design'!$B$3="Cantilever Supported")</f>
        <v>0</v>
      </c>
      <c r="AE290" s="1" t="str">
        <f>'Steel Beam Design'!O28</f>
        <v/>
      </c>
    </row>
    <row r="291" spans="1:31">
      <c r="A291" s="1" t="s">
        <v>480</v>
      </c>
      <c r="B291" s="1" t="str">
        <f>'Section Data'!B84</f>
        <v>356x171x45</v>
      </c>
      <c r="C291" s="1" t="s">
        <v>368</v>
      </c>
      <c r="D291" s="84">
        <f>'Section Data'!C84</f>
        <v>45</v>
      </c>
      <c r="E291" s="84">
        <f>'Section Data'!Q84</f>
        <v>12070</v>
      </c>
      <c r="F291" s="84" t="str">
        <f>'Steel Beam Design'!O56</f>
        <v/>
      </c>
      <c r="G291" s="84" t="str">
        <f>'Steel Beam Design'!O80</f>
        <v/>
      </c>
      <c r="H291" s="84" t="str">
        <f>IF(TRIM($B291)="","",IFERROR('Steel Beam Design'!$D$7006,""))</f>
        <v>S355</v>
      </c>
      <c r="I291" s="84">
        <f>IF(TRIM($B291)="","",IFERROR(MAX(VLOOKUP($B291,'Section Data'!$B$36:$AC$107,5,FALSE),VLOOKUP($B291,'Section Data'!$B$36:$AC$107,6,FALSE)),""))</f>
        <v>9.6999999999999993</v>
      </c>
      <c r="J291" s="84">
        <f>IF(TRIM($B291)="","",IFERROR(IF(I291&gt;150,"",INDEX('Section Data'!$AH$5:$AK$10,IF(I291&lt;=16,1,IF(I291&lt;=40,2,IF(I291&lt;=63,3,IF(I291&lt;=80,4,IF(I291&lt;=100,5,6))))),MATCH(H291,'Section Data'!$AH$4:$AK$4,0))),""))</f>
        <v>355</v>
      </c>
      <c r="K291" s="84">
        <f t="shared" si="36"/>
        <v>0.88014083380101371</v>
      </c>
      <c r="L291" s="84">
        <f>IF(TRIM($B291)="","",IFERROR(VLOOKUP($B291,'Section Data'!$B$36:$AC$107,9,FALSE),""))</f>
        <v>8.82</v>
      </c>
      <c r="M291" s="84">
        <f>IF(TRIM($B291)="","",IFERROR(VLOOKUP($B291,'Section Data'!$B$36:$AC$107,10,FALSE),""))</f>
        <v>44.5</v>
      </c>
      <c r="N291" s="84">
        <f t="shared" si="37"/>
        <v>13</v>
      </c>
      <c r="O291" s="84">
        <f t="shared" si="38"/>
        <v>80</v>
      </c>
      <c r="P291" s="84">
        <f>IF(TRIM($B291)="","",IFERROR(VLOOKUP($B291,'Section Data'!$B$36:$AC$107,5,FALSE)*VLOOKUP($B291,'Section Data'!$B$36:$AC$107,3,FALSE),""))</f>
        <v>2459.7999999999997</v>
      </c>
      <c r="Q291" s="84">
        <f t="shared" si="39"/>
        <v>504.1589982141877</v>
      </c>
      <c r="R291" s="84">
        <f>'Steel Beam Design'!H2064</f>
        <v>0</v>
      </c>
      <c r="S291" s="84">
        <f t="shared" si="40"/>
        <v>0</v>
      </c>
      <c r="T291" s="84">
        <f>IF(TRIM($B291)="","",IFERROR(VLOOKUP($B291,'Section Data'!$B$36:$AC$107,20,FALSE),""))</f>
        <v>687</v>
      </c>
      <c r="U291" s="84">
        <f>IF(TRIM($B291)="","",IFERROR(VLOOKUP($B291,'Section Data'!$B$36:$AC$107,21,FALSE),""))</f>
        <v>94.8</v>
      </c>
      <c r="V291" s="84">
        <f>IF(TRIM($B291)="","",IFERROR(VLOOKUP($B291,'Section Data'!$B$36:$AC$107,22,FALSE),""))</f>
        <v>775</v>
      </c>
      <c r="W291" s="84">
        <f>IF(TRIM($B291)="","",IFERROR(VLOOKUP($B291,'Section Data'!$B$36:$AC$107,23,FALSE),""))</f>
        <v>147</v>
      </c>
      <c r="X291" s="84">
        <f>IF(TRIM($B291)="","",IFERROR((VLOOKUP($B291,'Section Data'!$B$36:$AC$107,5,FALSE)/10)*(VLOOKUP($B291,'Section Data'!$B$36:$AC$107,3,FALSE)/10)^2/4,""))</f>
        <v>216.09342999999998</v>
      </c>
      <c r="Y291" s="84">
        <f>IF(TRIM($B291)="","",IFERROR((VLOOKUP($B291,'Section Data'!$B$36:$AC$107,3,FALSE)/10)*(VLOOKUP($B291,'Section Data'!$B$36:$AC$107,5,FALSE)/10)^2/4,""))</f>
        <v>4.3046499999999996</v>
      </c>
      <c r="Z291" s="84">
        <f t="shared" si="41"/>
        <v>243.88499999999999</v>
      </c>
      <c r="AA291" s="84">
        <f t="shared" si="42"/>
        <v>33.654000000000003</v>
      </c>
      <c r="AB291" s="86" t="str">
        <f t="shared" si="43"/>
        <v/>
      </c>
      <c r="AC291" s="86" t="str">
        <f t="shared" si="44"/>
        <v/>
      </c>
      <c r="AD291" s="1" t="b">
        <f>AND(ISNUMBER(AB291),ISNUMBER(AC291),AB291&gt;=0,AC291&gt;=0,AB291&lt;=0.95,AC291&lt;=0.95,ISNUMBER(D291),D291&gt;0,'Steel Beam Design'!$A$18="",C291="UC",'Steel Beam Design'!$B$3="Cantilever Supported")</f>
        <v>0</v>
      </c>
      <c r="AE291" s="1" t="str">
        <f>'Steel Beam Design'!O28</f>
        <v/>
      </c>
    </row>
    <row r="292" spans="1:31">
      <c r="A292" s="1" t="s">
        <v>480</v>
      </c>
      <c r="B292" s="1" t="str">
        <f>'Section Data'!B85</f>
        <v>356x127x39</v>
      </c>
      <c r="C292" s="1" t="s">
        <v>368</v>
      </c>
      <c r="D292" s="84">
        <f>'Section Data'!C85</f>
        <v>39.1</v>
      </c>
      <c r="E292" s="84">
        <f>'Section Data'!Q85</f>
        <v>10170</v>
      </c>
      <c r="F292" s="84" t="str">
        <f>'Steel Beam Design'!O56</f>
        <v/>
      </c>
      <c r="G292" s="84" t="str">
        <f>'Steel Beam Design'!O80</f>
        <v/>
      </c>
      <c r="H292" s="84" t="str">
        <f>IF(TRIM($B292)="","",IFERROR('Steel Beam Design'!$D$7006,""))</f>
        <v>S355</v>
      </c>
      <c r="I292" s="84">
        <f>IF(TRIM($B292)="","",IFERROR(MAX(VLOOKUP($B292,'Section Data'!$B$36:$AC$107,5,FALSE),VLOOKUP($B292,'Section Data'!$B$36:$AC$107,6,FALSE)),""))</f>
        <v>10.7</v>
      </c>
      <c r="J292" s="84">
        <f>IF(TRIM($B292)="","",IFERROR(IF(I292&gt;150,"",INDEX('Section Data'!$AH$5:$AK$10,IF(I292&lt;=16,1,IF(I292&lt;=40,2,IF(I292&lt;=63,3,IF(I292&lt;=80,4,IF(I292&lt;=100,5,6))))),MATCH(H292,'Section Data'!$AH$4:$AK$4,0))),""))</f>
        <v>355</v>
      </c>
      <c r="K292" s="84">
        <f t="shared" si="36"/>
        <v>0.88014083380101371</v>
      </c>
      <c r="L292" s="84">
        <f>IF(TRIM($B292)="","",IFERROR(VLOOKUP($B292,'Section Data'!$B$36:$AC$107,9,FALSE),""))</f>
        <v>5.89</v>
      </c>
      <c r="M292" s="84">
        <f>IF(TRIM($B292)="","",IFERROR(VLOOKUP($B292,'Section Data'!$B$36:$AC$107,10,FALSE),""))</f>
        <v>47.2</v>
      </c>
      <c r="N292" s="84">
        <f t="shared" si="37"/>
        <v>8</v>
      </c>
      <c r="O292" s="84">
        <f t="shared" si="38"/>
        <v>80</v>
      </c>
      <c r="P292" s="84">
        <f>IF(TRIM($B292)="","",IFERROR(VLOOKUP($B292,'Section Data'!$B$36:$AC$107,5,FALSE)*VLOOKUP($B292,'Section Data'!$B$36:$AC$107,3,FALSE),""))</f>
        <v>2332.4399999999996</v>
      </c>
      <c r="Q292" s="84">
        <f t="shared" si="39"/>
        <v>478.05537596337098</v>
      </c>
      <c r="R292" s="84">
        <f>'Steel Beam Design'!H2064</f>
        <v>0</v>
      </c>
      <c r="S292" s="84">
        <f t="shared" si="40"/>
        <v>0</v>
      </c>
      <c r="T292" s="84">
        <f>IF(TRIM($B292)="","",IFERROR(VLOOKUP($B292,'Section Data'!$B$36:$AC$107,20,FALSE),""))</f>
        <v>576</v>
      </c>
      <c r="U292" s="84">
        <f>IF(TRIM($B292)="","",IFERROR(VLOOKUP($B292,'Section Data'!$B$36:$AC$107,21,FALSE),""))</f>
        <v>56.8</v>
      </c>
      <c r="V292" s="84">
        <f>IF(TRIM($B292)="","",IFERROR(VLOOKUP($B292,'Section Data'!$B$36:$AC$107,22,FALSE),""))</f>
        <v>659</v>
      </c>
      <c r="W292" s="84">
        <f>IF(TRIM($B292)="","",IFERROR(VLOOKUP($B292,'Section Data'!$B$36:$AC$107,23,FALSE),""))</f>
        <v>89.1</v>
      </c>
      <c r="X292" s="84">
        <f>IF(TRIM($B292)="","",IFERROR((VLOOKUP($B292,'Section Data'!$B$36:$AC$107,5,FALSE)/10)*(VLOOKUP($B292,'Section Data'!$B$36:$AC$107,3,FALSE)/10)^2/4,""))</f>
        <v>206.07107399999995</v>
      </c>
      <c r="Y292" s="84">
        <f>IF(TRIM($B292)="","",IFERROR((VLOOKUP($B292,'Section Data'!$B$36:$AC$107,3,FALSE)/10)*(VLOOKUP($B292,'Section Data'!$B$36:$AC$107,5,FALSE)/10)^2/4,""))</f>
        <v>3.8485259999999983</v>
      </c>
      <c r="Z292" s="84">
        <f t="shared" si="41"/>
        <v>233.94499999999999</v>
      </c>
      <c r="AA292" s="84">
        <f t="shared" si="42"/>
        <v>24.1968</v>
      </c>
      <c r="AB292" s="86" t="str">
        <f t="shared" si="43"/>
        <v/>
      </c>
      <c r="AC292" s="86" t="str">
        <f t="shared" si="44"/>
        <v/>
      </c>
      <c r="AD292" s="1" t="b">
        <f>AND(ISNUMBER(AB292),ISNUMBER(AC292),AB292&gt;=0,AC292&gt;=0,AB292&lt;=0.95,AC292&lt;=0.95,ISNUMBER(D292),D292&gt;0,'Steel Beam Design'!$A$18="",C292="UC",'Steel Beam Design'!$B$3="Cantilever Supported")</f>
        <v>0</v>
      </c>
      <c r="AE292" s="1" t="str">
        <f>'Steel Beam Design'!O28</f>
        <v/>
      </c>
    </row>
    <row r="293" spans="1:31">
      <c r="A293" s="1" t="s">
        <v>480</v>
      </c>
      <c r="B293" s="1" t="str">
        <f>'Section Data'!B86</f>
        <v>356x127x33</v>
      </c>
      <c r="C293" s="1" t="s">
        <v>368</v>
      </c>
      <c r="D293" s="84">
        <f>'Section Data'!C86</f>
        <v>33.1</v>
      </c>
      <c r="E293" s="84">
        <f>'Section Data'!Q86</f>
        <v>8249</v>
      </c>
      <c r="F293" s="84" t="str">
        <f>'Steel Beam Design'!O56</f>
        <v/>
      </c>
      <c r="G293" s="84" t="str">
        <f>'Steel Beam Design'!O80</f>
        <v/>
      </c>
      <c r="H293" s="84" t="str">
        <f>IF(TRIM($B293)="","",IFERROR('Steel Beam Design'!$D$7006,""))</f>
        <v>S355</v>
      </c>
      <c r="I293" s="84">
        <f>IF(TRIM($B293)="","",IFERROR(MAX(VLOOKUP($B293,'Section Data'!$B$36:$AC$107,5,FALSE),VLOOKUP($B293,'Section Data'!$B$36:$AC$107,6,FALSE)),""))</f>
        <v>8.5</v>
      </c>
      <c r="J293" s="84">
        <f>IF(TRIM($B293)="","",IFERROR(IF(I293&gt;150,"",INDEX('Section Data'!$AH$5:$AK$10,IF(I293&lt;=16,1,IF(I293&lt;=40,2,IF(I293&lt;=63,3,IF(I293&lt;=80,4,IF(I293&lt;=100,5,6))))),MATCH(H293,'Section Data'!$AH$4:$AK$4,0))),""))</f>
        <v>355</v>
      </c>
      <c r="K293" s="84">
        <f t="shared" si="36"/>
        <v>0.88014083380101371</v>
      </c>
      <c r="L293" s="84">
        <f>IF(TRIM($B293)="","",IFERROR(VLOOKUP($B293,'Section Data'!$B$36:$AC$107,9,FALSE),""))</f>
        <v>7.38</v>
      </c>
      <c r="M293" s="84">
        <f>IF(TRIM($B293)="","",IFERROR(VLOOKUP($B293,'Section Data'!$B$36:$AC$107,10,FALSE),""))</f>
        <v>51.9</v>
      </c>
      <c r="N293" s="84">
        <f t="shared" si="37"/>
        <v>9</v>
      </c>
      <c r="O293" s="84">
        <f t="shared" si="38"/>
        <v>80</v>
      </c>
      <c r="P293" s="84">
        <f>IF(TRIM($B293)="","",IFERROR(VLOOKUP($B293,'Section Data'!$B$36:$AC$107,5,FALSE)*VLOOKUP($B293,'Section Data'!$B$36:$AC$107,3,FALSE),""))</f>
        <v>2094</v>
      </c>
      <c r="Q293" s="84">
        <f t="shared" si="39"/>
        <v>429.18486960749209</v>
      </c>
      <c r="R293" s="84">
        <f>'Steel Beam Design'!H2064</f>
        <v>0</v>
      </c>
      <c r="S293" s="84">
        <f t="shared" si="40"/>
        <v>0</v>
      </c>
      <c r="T293" s="84">
        <f>IF(TRIM($B293)="","",IFERROR(VLOOKUP($B293,'Section Data'!$B$36:$AC$107,20,FALSE),""))</f>
        <v>473</v>
      </c>
      <c r="U293" s="84">
        <f>IF(TRIM($B293)="","",IFERROR(VLOOKUP($B293,'Section Data'!$B$36:$AC$107,21,FALSE),""))</f>
        <v>44.7</v>
      </c>
      <c r="V293" s="84">
        <f>IF(TRIM($B293)="","",IFERROR(VLOOKUP($B293,'Section Data'!$B$36:$AC$107,22,FALSE),""))</f>
        <v>543</v>
      </c>
      <c r="W293" s="84">
        <f>IF(TRIM($B293)="","",IFERROR(VLOOKUP($B293,'Section Data'!$B$36:$AC$107,23,FALSE),""))</f>
        <v>70.3</v>
      </c>
      <c r="X293" s="84">
        <f>IF(TRIM($B293)="","",IFERROR((VLOOKUP($B293,'Section Data'!$B$36:$AC$107,5,FALSE)/10)*(VLOOKUP($B293,'Section Data'!$B$36:$AC$107,3,FALSE)/10)^2/4,""))</f>
        <v>182.70149999999998</v>
      </c>
      <c r="Y293" s="84">
        <f>IF(TRIM($B293)="","",IFERROR((VLOOKUP($B293,'Section Data'!$B$36:$AC$107,3,FALSE)/10)*(VLOOKUP($B293,'Section Data'!$B$36:$AC$107,5,FALSE)/10)^2/4,""))</f>
        <v>3.1409999999999996</v>
      </c>
      <c r="Z293" s="84">
        <f t="shared" si="41"/>
        <v>192.76499999999999</v>
      </c>
      <c r="AA293" s="84">
        <f t="shared" si="42"/>
        <v>19.042200000000001</v>
      </c>
      <c r="AB293" s="86" t="str">
        <f t="shared" si="43"/>
        <v/>
      </c>
      <c r="AC293" s="86" t="str">
        <f t="shared" si="44"/>
        <v/>
      </c>
      <c r="AD293" s="1" t="b">
        <f>AND(ISNUMBER(AB293),ISNUMBER(AC293),AB293&gt;=0,AC293&gt;=0,AB293&lt;=0.95,AC293&lt;=0.95,ISNUMBER(D293),D293&gt;0,'Steel Beam Design'!$A$18="",C293="UC",'Steel Beam Design'!$B$3="Cantilever Supported")</f>
        <v>0</v>
      </c>
      <c r="AE293" s="1" t="str">
        <f>'Steel Beam Design'!O28</f>
        <v/>
      </c>
    </row>
    <row r="294" spans="1:31">
      <c r="A294" s="1" t="s">
        <v>480</v>
      </c>
      <c r="B294" s="1" t="str">
        <f>'Section Data'!B87</f>
        <v>305x165x54</v>
      </c>
      <c r="C294" s="1" t="s">
        <v>368</v>
      </c>
      <c r="D294" s="84">
        <f>'Section Data'!C87</f>
        <v>54</v>
      </c>
      <c r="E294" s="84">
        <f>'Section Data'!Q87</f>
        <v>11700</v>
      </c>
      <c r="F294" s="84" t="str">
        <f>'Steel Beam Design'!O56</f>
        <v/>
      </c>
      <c r="G294" s="84" t="str">
        <f>'Steel Beam Design'!O80</f>
        <v/>
      </c>
      <c r="H294" s="84" t="str">
        <f>IF(TRIM($B294)="","",IFERROR('Steel Beam Design'!$D$7006,""))</f>
        <v>S355</v>
      </c>
      <c r="I294" s="84">
        <f>IF(TRIM($B294)="","",IFERROR(MAX(VLOOKUP($B294,'Section Data'!$B$36:$AC$107,5,FALSE),VLOOKUP($B294,'Section Data'!$B$36:$AC$107,6,FALSE)),""))</f>
        <v>13.7</v>
      </c>
      <c r="J294" s="84">
        <f>IF(TRIM($B294)="","",IFERROR(IF(I294&gt;150,"",INDEX('Section Data'!$AH$5:$AK$10,IF(I294&lt;=16,1,IF(I294&lt;=40,2,IF(I294&lt;=63,3,IF(I294&lt;=80,4,IF(I294&lt;=100,5,6))))),MATCH(H294,'Section Data'!$AH$4:$AK$4,0))),""))</f>
        <v>355</v>
      </c>
      <c r="K294" s="84">
        <f t="shared" si="36"/>
        <v>0.88014083380101371</v>
      </c>
      <c r="L294" s="84">
        <f>IF(TRIM($B294)="","",IFERROR(VLOOKUP($B294,'Section Data'!$B$36:$AC$107,9,FALSE),""))</f>
        <v>6.09</v>
      </c>
      <c r="M294" s="84">
        <f>IF(TRIM($B294)="","",IFERROR(VLOOKUP($B294,'Section Data'!$B$36:$AC$107,10,FALSE),""))</f>
        <v>33.6</v>
      </c>
      <c r="N294" s="84">
        <f t="shared" si="37"/>
        <v>8</v>
      </c>
      <c r="O294" s="84">
        <f t="shared" si="38"/>
        <v>80</v>
      </c>
      <c r="P294" s="84">
        <f>IF(TRIM($B294)="","",IFERROR(VLOOKUP($B294,'Section Data'!$B$36:$AC$107,5,FALSE)*VLOOKUP($B294,'Section Data'!$B$36:$AC$107,3,FALSE),""))</f>
        <v>2452.16</v>
      </c>
      <c r="Q294" s="84">
        <f t="shared" si="39"/>
        <v>502.59310881409158</v>
      </c>
      <c r="R294" s="84">
        <f>'Steel Beam Design'!H2064</f>
        <v>0</v>
      </c>
      <c r="S294" s="84">
        <f t="shared" si="40"/>
        <v>0</v>
      </c>
      <c r="T294" s="84">
        <f>IF(TRIM($B294)="","",IFERROR(VLOOKUP($B294,'Section Data'!$B$36:$AC$107,20,FALSE),""))</f>
        <v>754</v>
      </c>
      <c r="U294" s="84">
        <f>IF(TRIM($B294)="","",IFERROR(VLOOKUP($B294,'Section Data'!$B$36:$AC$107,21,FALSE),""))</f>
        <v>127</v>
      </c>
      <c r="V294" s="84">
        <f>IF(TRIM($B294)="","",IFERROR(VLOOKUP($B294,'Section Data'!$B$36:$AC$107,22,FALSE),""))</f>
        <v>846</v>
      </c>
      <c r="W294" s="84">
        <f>IF(TRIM($B294)="","",IFERROR(VLOOKUP($B294,'Section Data'!$B$36:$AC$107,23,FALSE),""))</f>
        <v>196</v>
      </c>
      <c r="X294" s="84">
        <f>IF(TRIM($B294)="","",IFERROR((VLOOKUP($B294,'Section Data'!$B$36:$AC$107,5,FALSE)/10)*(VLOOKUP($B294,'Section Data'!$B$36:$AC$107,3,FALSE)/10)^2/4,""))</f>
        <v>190.28761600000001</v>
      </c>
      <c r="Y294" s="84">
        <f>IF(TRIM($B294)="","",IFERROR((VLOOKUP($B294,'Section Data'!$B$36:$AC$107,3,FALSE)/10)*(VLOOKUP($B294,'Section Data'!$B$36:$AC$107,5,FALSE)/10)^2/4,""))</f>
        <v>4.8430160000000004</v>
      </c>
      <c r="Z294" s="84">
        <f t="shared" si="41"/>
        <v>300.33</v>
      </c>
      <c r="AA294" s="84">
        <f t="shared" si="42"/>
        <v>54.101999999999997</v>
      </c>
      <c r="AB294" s="86" t="str">
        <f t="shared" si="43"/>
        <v/>
      </c>
      <c r="AC294" s="86" t="str">
        <f t="shared" si="44"/>
        <v/>
      </c>
      <c r="AD294" s="1" t="b">
        <f>AND(ISNUMBER(AB294),ISNUMBER(AC294),AB294&gt;=0,AC294&gt;=0,AB294&lt;=0.95,AC294&lt;=0.95,ISNUMBER(D294),D294&gt;0,'Steel Beam Design'!$A$18="",C294="UC",'Steel Beam Design'!$B$3="Cantilever Supported")</f>
        <v>0</v>
      </c>
      <c r="AE294" s="1" t="str">
        <f>'Steel Beam Design'!O28</f>
        <v/>
      </c>
    </row>
    <row r="295" spans="1:31">
      <c r="A295" s="1" t="s">
        <v>480</v>
      </c>
      <c r="B295" s="1" t="str">
        <f>'Section Data'!B88</f>
        <v>305x165x46</v>
      </c>
      <c r="C295" s="1" t="s">
        <v>368</v>
      </c>
      <c r="D295" s="84">
        <f>'Section Data'!C88</f>
        <v>46.1</v>
      </c>
      <c r="E295" s="84">
        <f>'Section Data'!Q88</f>
        <v>9899</v>
      </c>
      <c r="F295" s="84" t="str">
        <f>'Steel Beam Design'!O56</f>
        <v/>
      </c>
      <c r="G295" s="84" t="str">
        <f>'Steel Beam Design'!O80</f>
        <v/>
      </c>
      <c r="H295" s="84" t="str">
        <f>IF(TRIM($B295)="","",IFERROR('Steel Beam Design'!$D$7006,""))</f>
        <v>S355</v>
      </c>
      <c r="I295" s="84">
        <f>IF(TRIM($B295)="","",IFERROR(MAX(VLOOKUP($B295,'Section Data'!$B$36:$AC$107,5,FALSE),VLOOKUP($B295,'Section Data'!$B$36:$AC$107,6,FALSE)),""))</f>
        <v>11.8</v>
      </c>
      <c r="J295" s="84">
        <f>IF(TRIM($B295)="","",IFERROR(IF(I295&gt;150,"",INDEX('Section Data'!$AH$5:$AK$10,IF(I295&lt;=16,1,IF(I295&lt;=40,2,IF(I295&lt;=63,3,IF(I295&lt;=80,4,IF(I295&lt;=100,5,6))))),MATCH(H295,'Section Data'!$AH$4:$AK$4,0))),""))</f>
        <v>355</v>
      </c>
      <c r="K295" s="84">
        <f t="shared" si="36"/>
        <v>0.88014083380101371</v>
      </c>
      <c r="L295" s="84">
        <f>IF(TRIM($B295)="","",IFERROR(VLOOKUP($B295,'Section Data'!$B$36:$AC$107,9,FALSE),""))</f>
        <v>7.02</v>
      </c>
      <c r="M295" s="84">
        <f>IF(TRIM($B295)="","",IFERROR(VLOOKUP($B295,'Section Data'!$B$36:$AC$107,10,FALSE),""))</f>
        <v>39.6</v>
      </c>
      <c r="N295" s="84">
        <f t="shared" si="37"/>
        <v>8</v>
      </c>
      <c r="O295" s="84">
        <f t="shared" si="38"/>
        <v>80</v>
      </c>
      <c r="P295" s="84">
        <f>IF(TRIM($B295)="","",IFERROR(VLOOKUP($B295,'Section Data'!$B$36:$AC$107,5,FALSE)*VLOOKUP($B295,'Section Data'!$B$36:$AC$107,3,FALSE),""))</f>
        <v>2054.2200000000003</v>
      </c>
      <c r="Q295" s="84">
        <f t="shared" si="39"/>
        <v>421.03158684102317</v>
      </c>
      <c r="R295" s="84">
        <f>'Steel Beam Design'!H2064</f>
        <v>0</v>
      </c>
      <c r="S295" s="84">
        <f t="shared" si="40"/>
        <v>0</v>
      </c>
      <c r="T295" s="84">
        <f>IF(TRIM($B295)="","",IFERROR(VLOOKUP($B295,'Section Data'!$B$36:$AC$107,20,FALSE),""))</f>
        <v>646</v>
      </c>
      <c r="U295" s="84">
        <f>IF(TRIM($B295)="","",IFERROR(VLOOKUP($B295,'Section Data'!$B$36:$AC$107,21,FALSE),""))</f>
        <v>108</v>
      </c>
      <c r="V295" s="84">
        <f>IF(TRIM($B295)="","",IFERROR(VLOOKUP($B295,'Section Data'!$B$36:$AC$107,22,FALSE),""))</f>
        <v>720</v>
      </c>
      <c r="W295" s="84">
        <f>IF(TRIM($B295)="","",IFERROR(VLOOKUP($B295,'Section Data'!$B$36:$AC$107,23,FALSE),""))</f>
        <v>166</v>
      </c>
      <c r="X295" s="84">
        <f>IF(TRIM($B295)="","",IFERROR((VLOOKUP($B295,'Section Data'!$B$36:$AC$107,5,FALSE)/10)*(VLOOKUP($B295,'Section Data'!$B$36:$AC$107,3,FALSE)/10)^2/4,""))</f>
        <v>157.45596300000005</v>
      </c>
      <c r="Y295" s="84">
        <f>IF(TRIM($B295)="","",IFERROR((VLOOKUP($B295,'Section Data'!$B$36:$AC$107,3,FALSE)/10)*(VLOOKUP($B295,'Section Data'!$B$36:$AC$107,5,FALSE)/10)^2/4,""))</f>
        <v>3.4408185000000011</v>
      </c>
      <c r="Z295" s="84">
        <f t="shared" si="41"/>
        <v>255.6</v>
      </c>
      <c r="AA295" s="84">
        <f t="shared" si="42"/>
        <v>46.008000000000003</v>
      </c>
      <c r="AB295" s="86" t="str">
        <f t="shared" si="43"/>
        <v/>
      </c>
      <c r="AC295" s="86" t="str">
        <f t="shared" si="44"/>
        <v/>
      </c>
      <c r="AD295" s="1" t="b">
        <f>AND(ISNUMBER(AB295),ISNUMBER(AC295),AB295&gt;=0,AC295&gt;=0,AB295&lt;=0.95,AC295&lt;=0.95,ISNUMBER(D295),D295&gt;0,'Steel Beam Design'!$A$18="",C295="UC",'Steel Beam Design'!$B$3="Cantilever Supported")</f>
        <v>0</v>
      </c>
      <c r="AE295" s="1" t="str">
        <f>'Steel Beam Design'!O28</f>
        <v/>
      </c>
    </row>
    <row r="296" spans="1:31">
      <c r="A296" s="1" t="s">
        <v>480</v>
      </c>
      <c r="B296" s="1" t="str">
        <f>'Section Data'!B89</f>
        <v>305x165x40</v>
      </c>
      <c r="C296" s="1" t="s">
        <v>368</v>
      </c>
      <c r="D296" s="84">
        <f>'Section Data'!C89</f>
        <v>40.299999999999997</v>
      </c>
      <c r="E296" s="84">
        <f>'Section Data'!Q89</f>
        <v>8503</v>
      </c>
      <c r="F296" s="84" t="str">
        <f>'Steel Beam Design'!O56</f>
        <v/>
      </c>
      <c r="G296" s="84" t="str">
        <f>'Steel Beam Design'!O80</f>
        <v/>
      </c>
      <c r="H296" s="84" t="str">
        <f>IF(TRIM($B296)="","",IFERROR('Steel Beam Design'!$D$7006,""))</f>
        <v>S355</v>
      </c>
      <c r="I296" s="84">
        <f>IF(TRIM($B296)="","",IFERROR(MAX(VLOOKUP($B296,'Section Data'!$B$36:$AC$107,5,FALSE),VLOOKUP($B296,'Section Data'!$B$36:$AC$107,6,FALSE)),""))</f>
        <v>10.199999999999999</v>
      </c>
      <c r="J296" s="84">
        <f>IF(TRIM($B296)="","",IFERROR(IF(I296&gt;150,"",INDEX('Section Data'!$AH$5:$AK$10,IF(I296&lt;=16,1,IF(I296&lt;=40,2,IF(I296&lt;=63,3,IF(I296&lt;=80,4,IF(I296&lt;=100,5,6))))),MATCH(H296,'Section Data'!$AH$4:$AK$4,0))),""))</f>
        <v>355</v>
      </c>
      <c r="K296" s="84">
        <f t="shared" si="36"/>
        <v>0.88014083380101371</v>
      </c>
      <c r="L296" s="84">
        <f>IF(TRIM($B296)="","",IFERROR(VLOOKUP($B296,'Section Data'!$B$36:$AC$107,9,FALSE),""))</f>
        <v>8.09</v>
      </c>
      <c r="M296" s="84">
        <f>IF(TRIM($B296)="","",IFERROR(VLOOKUP($B296,'Section Data'!$B$36:$AC$107,10,FALSE),""))</f>
        <v>44.2</v>
      </c>
      <c r="N296" s="84">
        <f t="shared" si="37"/>
        <v>13</v>
      </c>
      <c r="O296" s="84">
        <f t="shared" si="38"/>
        <v>80</v>
      </c>
      <c r="P296" s="84">
        <f>IF(TRIM($B296)="","",IFERROR(VLOOKUP($B296,'Section Data'!$B$36:$AC$107,5,FALSE)*VLOOKUP($B296,'Section Data'!$B$36:$AC$107,3,FALSE),""))</f>
        <v>1820.3999999999999</v>
      </c>
      <c r="Q296" s="84">
        <f t="shared" si="39"/>
        <v>373.10799266164213</v>
      </c>
      <c r="R296" s="84">
        <f>'Steel Beam Design'!H2064</f>
        <v>0</v>
      </c>
      <c r="S296" s="84">
        <f t="shared" si="40"/>
        <v>0</v>
      </c>
      <c r="T296" s="84">
        <f>IF(TRIM($B296)="","",IFERROR(VLOOKUP($B296,'Section Data'!$B$36:$AC$107,20,FALSE),""))</f>
        <v>560</v>
      </c>
      <c r="U296" s="84">
        <f>IF(TRIM($B296)="","",IFERROR(VLOOKUP($B296,'Section Data'!$B$36:$AC$107,21,FALSE),""))</f>
        <v>92.6</v>
      </c>
      <c r="V296" s="84">
        <f>IF(TRIM($B296)="","",IFERROR(VLOOKUP($B296,'Section Data'!$B$36:$AC$107,22,FALSE),""))</f>
        <v>623</v>
      </c>
      <c r="W296" s="84">
        <f>IF(TRIM($B296)="","",IFERROR(VLOOKUP($B296,'Section Data'!$B$36:$AC$107,23,FALSE),""))</f>
        <v>142</v>
      </c>
      <c r="X296" s="84">
        <f>IF(TRIM($B296)="","",IFERROR((VLOOKUP($B296,'Section Data'!$B$36:$AC$107,5,FALSE)/10)*(VLOOKUP($B296,'Section Data'!$B$36:$AC$107,3,FALSE)/10)^2/4,""))</f>
        <v>138.07733999999996</v>
      </c>
      <c r="Y296" s="84">
        <f>IF(TRIM($B296)="","",IFERROR((VLOOKUP($B296,'Section Data'!$B$36:$AC$107,3,FALSE)/10)*(VLOOKUP($B296,'Section Data'!$B$36:$AC$107,5,FALSE)/10)^2/4,""))</f>
        <v>2.7305999999999995</v>
      </c>
      <c r="Z296" s="84">
        <f t="shared" si="41"/>
        <v>198.8</v>
      </c>
      <c r="AA296" s="84">
        <f t="shared" si="42"/>
        <v>32.872999999999998</v>
      </c>
      <c r="AB296" s="86" t="str">
        <f t="shared" si="43"/>
        <v/>
      </c>
      <c r="AC296" s="86" t="str">
        <f t="shared" si="44"/>
        <v/>
      </c>
      <c r="AD296" s="1" t="b">
        <f>AND(ISNUMBER(AB296),ISNUMBER(AC296),AB296&gt;=0,AC296&gt;=0,AB296&lt;=0.95,AC296&lt;=0.95,ISNUMBER(D296),D296&gt;0,'Steel Beam Design'!$A$18="",C296="UC",'Steel Beam Design'!$B$3="Cantilever Supported")</f>
        <v>0</v>
      </c>
      <c r="AE296" s="1" t="str">
        <f>'Steel Beam Design'!O28</f>
        <v/>
      </c>
    </row>
    <row r="297" spans="1:31">
      <c r="A297" s="1" t="s">
        <v>480</v>
      </c>
      <c r="B297" s="1" t="str">
        <f>'Section Data'!B90</f>
        <v>305x127x48</v>
      </c>
      <c r="C297" s="1" t="s">
        <v>368</v>
      </c>
      <c r="D297" s="84">
        <f>'Section Data'!C90</f>
        <v>48.1</v>
      </c>
      <c r="E297" s="84">
        <f>'Section Data'!Q90</f>
        <v>9575</v>
      </c>
      <c r="F297" s="84" t="str">
        <f>'Steel Beam Design'!O56</f>
        <v/>
      </c>
      <c r="G297" s="84" t="str">
        <f>'Steel Beam Design'!O80</f>
        <v/>
      </c>
      <c r="H297" s="84" t="str">
        <f>IF(TRIM($B297)="","",IFERROR('Steel Beam Design'!$D$7006,""))</f>
        <v>S355</v>
      </c>
      <c r="I297" s="84">
        <f>IF(TRIM($B297)="","",IFERROR(MAX(VLOOKUP($B297,'Section Data'!$B$36:$AC$107,5,FALSE),VLOOKUP($B297,'Section Data'!$B$36:$AC$107,6,FALSE)),""))</f>
        <v>14</v>
      </c>
      <c r="J297" s="84">
        <f>IF(TRIM($B297)="","",IFERROR(IF(I297&gt;150,"",INDEX('Section Data'!$AH$5:$AK$10,IF(I297&lt;=16,1,IF(I297&lt;=40,2,IF(I297&lt;=63,3,IF(I297&lt;=80,4,IF(I297&lt;=100,5,6))))),MATCH(H297,'Section Data'!$AH$4:$AK$4,0))),""))</f>
        <v>355</v>
      </c>
      <c r="K297" s="84">
        <f t="shared" si="36"/>
        <v>0.88014083380101371</v>
      </c>
      <c r="L297" s="84">
        <f>IF(TRIM($B297)="","",IFERROR(VLOOKUP($B297,'Section Data'!$B$36:$AC$107,9,FALSE),""))</f>
        <v>4.4800000000000004</v>
      </c>
      <c r="M297" s="84">
        <f>IF(TRIM($B297)="","",IFERROR(VLOOKUP($B297,'Section Data'!$B$36:$AC$107,10,FALSE),""))</f>
        <v>29.5</v>
      </c>
      <c r="N297" s="84">
        <f t="shared" si="37"/>
        <v>8</v>
      </c>
      <c r="O297" s="84">
        <f t="shared" si="38"/>
        <v>80</v>
      </c>
      <c r="P297" s="84">
        <f>IF(TRIM($B297)="","",IFERROR(VLOOKUP($B297,'Section Data'!$B$36:$AC$107,5,FALSE)*VLOOKUP($B297,'Section Data'!$B$36:$AC$107,3,FALSE),""))</f>
        <v>2799</v>
      </c>
      <c r="Q297" s="84">
        <f t="shared" si="39"/>
        <v>573.6812082289257</v>
      </c>
      <c r="R297" s="84">
        <f>'Steel Beam Design'!H2064</f>
        <v>0</v>
      </c>
      <c r="S297" s="84">
        <f t="shared" si="40"/>
        <v>0</v>
      </c>
      <c r="T297" s="84">
        <f>IF(TRIM($B297)="","",IFERROR(VLOOKUP($B297,'Section Data'!$B$36:$AC$107,20,FALSE),""))</f>
        <v>616</v>
      </c>
      <c r="U297" s="84">
        <f>IF(TRIM($B297)="","",IFERROR(VLOOKUP($B297,'Section Data'!$B$36:$AC$107,21,FALSE),""))</f>
        <v>73.599999999999994</v>
      </c>
      <c r="V297" s="84">
        <f>IF(TRIM($B297)="","",IFERROR(VLOOKUP($B297,'Section Data'!$B$36:$AC$107,22,FALSE),""))</f>
        <v>711</v>
      </c>
      <c r="W297" s="84">
        <f>IF(TRIM($B297)="","",IFERROR(VLOOKUP($B297,'Section Data'!$B$36:$AC$107,23,FALSE),""))</f>
        <v>116</v>
      </c>
      <c r="X297" s="84">
        <f>IF(TRIM($B297)="","",IFERROR((VLOOKUP($B297,'Section Data'!$B$36:$AC$107,5,FALSE)/10)*(VLOOKUP($B297,'Section Data'!$B$36:$AC$107,3,FALSE)/10)^2/4,""))</f>
        <v>217.62225000000001</v>
      </c>
      <c r="Y297" s="84">
        <f>IF(TRIM($B297)="","",IFERROR((VLOOKUP($B297,'Section Data'!$B$36:$AC$107,3,FALSE)/10)*(VLOOKUP($B297,'Section Data'!$B$36:$AC$107,5,FALSE)/10)^2/4,""))</f>
        <v>6.2977500000000006</v>
      </c>
      <c r="Z297" s="84">
        <f t="shared" si="41"/>
        <v>252.405</v>
      </c>
      <c r="AA297" s="84">
        <f t="shared" si="42"/>
        <v>31.3536</v>
      </c>
      <c r="AB297" s="86" t="str">
        <f t="shared" si="43"/>
        <v/>
      </c>
      <c r="AC297" s="86" t="str">
        <f t="shared" si="44"/>
        <v/>
      </c>
      <c r="AD297" s="1" t="b">
        <f>AND(ISNUMBER(AB297),ISNUMBER(AC297),AB297&gt;=0,AC297&gt;=0,AB297&lt;=0.95,AC297&lt;=0.95,ISNUMBER(D297),D297&gt;0,'Steel Beam Design'!$A$18="",C297="UC",'Steel Beam Design'!$B$3="Cantilever Supported")</f>
        <v>0</v>
      </c>
      <c r="AE297" s="1" t="str">
        <f>'Steel Beam Design'!O28</f>
        <v/>
      </c>
    </row>
    <row r="298" spans="1:31">
      <c r="A298" s="1" t="s">
        <v>480</v>
      </c>
      <c r="B298" s="1" t="str">
        <f>'Section Data'!B91</f>
        <v>305x127x42</v>
      </c>
      <c r="C298" s="1" t="s">
        <v>368</v>
      </c>
      <c r="D298" s="84">
        <f>'Section Data'!C91</f>
        <v>41.9</v>
      </c>
      <c r="E298" s="84">
        <f>'Section Data'!Q91</f>
        <v>8196</v>
      </c>
      <c r="F298" s="84" t="str">
        <f>'Steel Beam Design'!O56</f>
        <v/>
      </c>
      <c r="G298" s="84" t="str">
        <f>'Steel Beam Design'!O80</f>
        <v/>
      </c>
      <c r="H298" s="84" t="str">
        <f>IF(TRIM($B298)="","",IFERROR('Steel Beam Design'!$D$7006,""))</f>
        <v>S355</v>
      </c>
      <c r="I298" s="84">
        <f>IF(TRIM($B298)="","",IFERROR(MAX(VLOOKUP($B298,'Section Data'!$B$36:$AC$107,5,FALSE),VLOOKUP($B298,'Section Data'!$B$36:$AC$107,6,FALSE)),""))</f>
        <v>12.1</v>
      </c>
      <c r="J298" s="84">
        <f>IF(TRIM($B298)="","",IFERROR(IF(I298&gt;150,"",INDEX('Section Data'!$AH$5:$AK$10,IF(I298&lt;=16,1,IF(I298&lt;=40,2,IF(I298&lt;=63,3,IF(I298&lt;=80,4,IF(I298&lt;=100,5,6))))),MATCH(H298,'Section Data'!$AH$4:$AK$4,0))),""))</f>
        <v>355</v>
      </c>
      <c r="K298" s="84">
        <f t="shared" si="36"/>
        <v>0.88014083380101371</v>
      </c>
      <c r="L298" s="84">
        <f>IF(TRIM($B298)="","",IFERROR(VLOOKUP($B298,'Section Data'!$B$36:$AC$107,9,FALSE),""))</f>
        <v>5.14</v>
      </c>
      <c r="M298" s="84">
        <f>IF(TRIM($B298)="","",IFERROR(VLOOKUP($B298,'Section Data'!$B$36:$AC$107,10,FALSE),""))</f>
        <v>33.200000000000003</v>
      </c>
      <c r="N298" s="84">
        <f t="shared" si="37"/>
        <v>8</v>
      </c>
      <c r="O298" s="84">
        <f t="shared" si="38"/>
        <v>80</v>
      </c>
      <c r="P298" s="84">
        <f>IF(TRIM($B298)="","",IFERROR(VLOOKUP($B298,'Section Data'!$B$36:$AC$107,5,FALSE)*VLOOKUP($B298,'Section Data'!$B$36:$AC$107,3,FALSE),""))</f>
        <v>2457.6</v>
      </c>
      <c r="Q298" s="84">
        <f t="shared" si="39"/>
        <v>503.70808765395066</v>
      </c>
      <c r="R298" s="84">
        <f>'Steel Beam Design'!H2064</f>
        <v>0</v>
      </c>
      <c r="S298" s="84">
        <f t="shared" si="40"/>
        <v>0</v>
      </c>
      <c r="T298" s="84">
        <f>IF(TRIM($B298)="","",IFERROR(VLOOKUP($B298,'Section Data'!$B$36:$AC$107,20,FALSE),""))</f>
        <v>534</v>
      </c>
      <c r="U298" s="84">
        <f>IF(TRIM($B298)="","",IFERROR(VLOOKUP($B298,'Section Data'!$B$36:$AC$107,21,FALSE),""))</f>
        <v>62.6</v>
      </c>
      <c r="V298" s="84">
        <f>IF(TRIM($B298)="","",IFERROR(VLOOKUP($B298,'Section Data'!$B$36:$AC$107,22,FALSE),""))</f>
        <v>614</v>
      </c>
      <c r="W298" s="84">
        <f>IF(TRIM($B298)="","",IFERROR(VLOOKUP($B298,'Section Data'!$B$36:$AC$107,23,FALSE),""))</f>
        <v>98.4</v>
      </c>
      <c r="X298" s="84">
        <f>IF(TRIM($B298)="","",IFERROR((VLOOKUP($B298,'Section Data'!$B$36:$AC$107,5,FALSE)/10)*(VLOOKUP($B298,'Section Data'!$B$36:$AC$107,3,FALSE)/10)^2/4,""))</f>
        <v>188.74368000000001</v>
      </c>
      <c r="Y298" s="84">
        <f>IF(TRIM($B298)="","",IFERROR((VLOOKUP($B298,'Section Data'!$B$36:$AC$107,3,FALSE)/10)*(VLOOKUP($B298,'Section Data'!$B$36:$AC$107,5,FALSE)/10)^2/4,""))</f>
        <v>4.9152000000000005</v>
      </c>
      <c r="Z298" s="84">
        <f t="shared" si="41"/>
        <v>217.97</v>
      </c>
      <c r="AA298" s="84">
        <f t="shared" si="42"/>
        <v>26.667600000000004</v>
      </c>
      <c r="AB298" s="86" t="str">
        <f t="shared" si="43"/>
        <v/>
      </c>
      <c r="AC298" s="86" t="str">
        <f t="shared" si="44"/>
        <v/>
      </c>
      <c r="AD298" s="1" t="b">
        <f>AND(ISNUMBER(AB298),ISNUMBER(AC298),AB298&gt;=0,AC298&gt;=0,AB298&lt;=0.95,AC298&lt;=0.95,ISNUMBER(D298),D298&gt;0,'Steel Beam Design'!$A$18="",C298="UC",'Steel Beam Design'!$B$3="Cantilever Supported")</f>
        <v>0</v>
      </c>
      <c r="AE298" s="1" t="str">
        <f>'Steel Beam Design'!O28</f>
        <v/>
      </c>
    </row>
    <row r="299" spans="1:31">
      <c r="A299" s="1" t="s">
        <v>480</v>
      </c>
      <c r="B299" s="1" t="str">
        <f>'Section Data'!B92</f>
        <v>305x127x37</v>
      </c>
      <c r="C299" s="1" t="s">
        <v>368</v>
      </c>
      <c r="D299" s="84">
        <f>'Section Data'!C92</f>
        <v>37</v>
      </c>
      <c r="E299" s="84">
        <f>'Section Data'!Q92</f>
        <v>7171</v>
      </c>
      <c r="F299" s="84" t="str">
        <f>'Steel Beam Design'!O56</f>
        <v/>
      </c>
      <c r="G299" s="84" t="str">
        <f>'Steel Beam Design'!O80</f>
        <v/>
      </c>
      <c r="H299" s="84" t="str">
        <f>IF(TRIM($B299)="","",IFERROR('Steel Beam Design'!$D$7006,""))</f>
        <v>S355</v>
      </c>
      <c r="I299" s="84">
        <f>IF(TRIM($B299)="","",IFERROR(MAX(VLOOKUP($B299,'Section Data'!$B$36:$AC$107,5,FALSE),VLOOKUP($B299,'Section Data'!$B$36:$AC$107,6,FALSE)),""))</f>
        <v>10.7</v>
      </c>
      <c r="J299" s="84">
        <f>IF(TRIM($B299)="","",IFERROR(IF(I299&gt;150,"",INDEX('Section Data'!$AH$5:$AK$10,IF(I299&lt;=16,1,IF(I299&lt;=40,2,IF(I299&lt;=63,3,IF(I299&lt;=80,4,IF(I299&lt;=100,5,6))))),MATCH(H299,'Section Data'!$AH$4:$AK$4,0))),""))</f>
        <v>355</v>
      </c>
      <c r="K299" s="84">
        <f t="shared" si="36"/>
        <v>0.88014083380101371</v>
      </c>
      <c r="L299" s="84">
        <f>IF(TRIM($B299)="","",IFERROR(VLOOKUP($B299,'Section Data'!$B$36:$AC$107,9,FALSE),""))</f>
        <v>5.77</v>
      </c>
      <c r="M299" s="84">
        <f>IF(TRIM($B299)="","",IFERROR(VLOOKUP($B299,'Section Data'!$B$36:$AC$107,10,FALSE),""))</f>
        <v>37.4</v>
      </c>
      <c r="N299" s="84">
        <f t="shared" si="37"/>
        <v>8</v>
      </c>
      <c r="O299" s="84">
        <f t="shared" si="38"/>
        <v>80</v>
      </c>
      <c r="P299" s="84">
        <f>IF(TRIM($B299)="","",IFERROR(VLOOKUP($B299,'Section Data'!$B$36:$AC$107,5,FALSE)*VLOOKUP($B299,'Section Data'!$B$36:$AC$107,3,FALSE),""))</f>
        <v>2161.2399999999998</v>
      </c>
      <c r="Q299" s="84">
        <f t="shared" si="39"/>
        <v>442.9663360031023</v>
      </c>
      <c r="R299" s="84">
        <f>'Steel Beam Design'!H2064</f>
        <v>0</v>
      </c>
      <c r="S299" s="84">
        <f t="shared" si="40"/>
        <v>0</v>
      </c>
      <c r="T299" s="84">
        <f>IF(TRIM($B299)="","",IFERROR(VLOOKUP($B299,'Section Data'!$B$36:$AC$107,20,FALSE),""))</f>
        <v>471</v>
      </c>
      <c r="U299" s="84">
        <f>IF(TRIM($B299)="","",IFERROR(VLOOKUP($B299,'Section Data'!$B$36:$AC$107,21,FALSE),""))</f>
        <v>54.5</v>
      </c>
      <c r="V299" s="84">
        <f>IF(TRIM($B299)="","",IFERROR(VLOOKUP($B299,'Section Data'!$B$36:$AC$107,22,FALSE),""))</f>
        <v>539</v>
      </c>
      <c r="W299" s="84">
        <f>IF(TRIM($B299)="","",IFERROR(VLOOKUP($B299,'Section Data'!$B$36:$AC$107,23,FALSE),""))</f>
        <v>85.4</v>
      </c>
      <c r="X299" s="84">
        <f>IF(TRIM($B299)="","",IFERROR((VLOOKUP($B299,'Section Data'!$B$36:$AC$107,5,FALSE)/10)*(VLOOKUP($B299,'Section Data'!$B$36:$AC$107,3,FALSE)/10)^2/4,""))</f>
        <v>164.47036399999996</v>
      </c>
      <c r="Y299" s="84">
        <f>IF(TRIM($B299)="","",IFERROR((VLOOKUP($B299,'Section Data'!$B$36:$AC$107,3,FALSE)/10)*(VLOOKUP($B299,'Section Data'!$B$36:$AC$107,5,FALSE)/10)^2/4,""))</f>
        <v>3.8362009999999995</v>
      </c>
      <c r="Z299" s="84">
        <f t="shared" si="41"/>
        <v>191.345</v>
      </c>
      <c r="AA299" s="84">
        <f t="shared" si="42"/>
        <v>23.216999999999995</v>
      </c>
      <c r="AB299" s="86" t="str">
        <f t="shared" si="43"/>
        <v/>
      </c>
      <c r="AC299" s="86" t="str">
        <f t="shared" si="44"/>
        <v/>
      </c>
      <c r="AD299" s="1" t="b">
        <f>AND(ISNUMBER(AB299),ISNUMBER(AC299),AB299&gt;=0,AC299&gt;=0,AB299&lt;=0.95,AC299&lt;=0.95,ISNUMBER(D299),D299&gt;0,'Steel Beam Design'!$A$18="",C299="UC",'Steel Beam Design'!$B$3="Cantilever Supported")</f>
        <v>0</v>
      </c>
      <c r="AE299" s="1" t="str">
        <f>'Steel Beam Design'!O28</f>
        <v/>
      </c>
    </row>
    <row r="300" spans="1:31">
      <c r="A300" s="1" t="s">
        <v>480</v>
      </c>
      <c r="B300" s="1" t="str">
        <f>'Section Data'!B93</f>
        <v>305x102x33</v>
      </c>
      <c r="C300" s="1" t="s">
        <v>368</v>
      </c>
      <c r="D300" s="84">
        <f>'Section Data'!C93</f>
        <v>32.799999999999997</v>
      </c>
      <c r="E300" s="84">
        <f>'Section Data'!Q93</f>
        <v>6501</v>
      </c>
      <c r="F300" s="84" t="str">
        <f>'Steel Beam Design'!O56</f>
        <v/>
      </c>
      <c r="G300" s="84" t="str">
        <f>'Steel Beam Design'!O80</f>
        <v/>
      </c>
      <c r="H300" s="84" t="str">
        <f>IF(TRIM($B300)="","",IFERROR('Steel Beam Design'!$D$7006,""))</f>
        <v>S355</v>
      </c>
      <c r="I300" s="84">
        <f>IF(TRIM($B300)="","",IFERROR(MAX(VLOOKUP($B300,'Section Data'!$B$36:$AC$107,5,FALSE),VLOOKUP($B300,'Section Data'!$B$36:$AC$107,6,FALSE)),""))</f>
        <v>10.8</v>
      </c>
      <c r="J300" s="84">
        <f>IF(TRIM($B300)="","",IFERROR(IF(I300&gt;150,"",INDEX('Section Data'!$AH$5:$AK$10,IF(I300&lt;=16,1,IF(I300&lt;=40,2,IF(I300&lt;=63,3,IF(I300&lt;=80,4,IF(I300&lt;=100,5,6))))),MATCH(H300,'Section Data'!$AH$4:$AK$4,0))),""))</f>
        <v>355</v>
      </c>
      <c r="K300" s="84">
        <f t="shared" si="36"/>
        <v>0.88014083380101371</v>
      </c>
      <c r="L300" s="84">
        <f>IF(TRIM($B300)="","",IFERROR(VLOOKUP($B300,'Section Data'!$B$36:$AC$107,9,FALSE),""))</f>
        <v>4.74</v>
      </c>
      <c r="M300" s="84">
        <f>IF(TRIM($B300)="","",IFERROR(VLOOKUP($B300,'Section Data'!$B$36:$AC$107,10,FALSE),""))</f>
        <v>41.8</v>
      </c>
      <c r="N300" s="84">
        <f t="shared" si="37"/>
        <v>8</v>
      </c>
      <c r="O300" s="84">
        <f t="shared" si="38"/>
        <v>80</v>
      </c>
      <c r="P300" s="84">
        <f>IF(TRIM($B300)="","",IFERROR(VLOOKUP($B300,'Section Data'!$B$36:$AC$107,5,FALSE)*VLOOKUP($B300,'Section Data'!$B$36:$AC$107,3,FALSE),""))</f>
        <v>2063.8199999999997</v>
      </c>
      <c r="Q300" s="84">
        <f t="shared" si="39"/>
        <v>422.99919655842132</v>
      </c>
      <c r="R300" s="84">
        <f>'Steel Beam Design'!H2064</f>
        <v>0</v>
      </c>
      <c r="S300" s="84">
        <f t="shared" si="40"/>
        <v>0</v>
      </c>
      <c r="T300" s="84">
        <f>IF(TRIM($B300)="","",IFERROR(VLOOKUP($B300,'Section Data'!$B$36:$AC$107,20,FALSE),""))</f>
        <v>416</v>
      </c>
      <c r="U300" s="84">
        <f>IF(TRIM($B300)="","",IFERROR(VLOOKUP($B300,'Section Data'!$B$36:$AC$107,21,FALSE),""))</f>
        <v>37.9</v>
      </c>
      <c r="V300" s="84">
        <f>IF(TRIM($B300)="","",IFERROR(VLOOKUP($B300,'Section Data'!$B$36:$AC$107,22,FALSE),""))</f>
        <v>481</v>
      </c>
      <c r="W300" s="84">
        <f>IF(TRIM($B300)="","",IFERROR(VLOOKUP($B300,'Section Data'!$B$36:$AC$107,23,FALSE),""))</f>
        <v>60</v>
      </c>
      <c r="X300" s="84">
        <f>IF(TRIM($B300)="","",IFERROR((VLOOKUP($B300,'Section Data'!$B$36:$AC$107,5,FALSE)/10)*(VLOOKUP($B300,'Section Data'!$B$36:$AC$107,3,FALSE)/10)^2/4,""))</f>
        <v>161.33912849999999</v>
      </c>
      <c r="Y300" s="84">
        <f>IF(TRIM($B300)="","",IFERROR((VLOOKUP($B300,'Section Data'!$B$36:$AC$107,3,FALSE)/10)*(VLOOKUP($B300,'Section Data'!$B$36:$AC$107,5,FALSE)/10)^2/4,""))</f>
        <v>3.4053029999999991</v>
      </c>
      <c r="Z300" s="84">
        <f t="shared" si="41"/>
        <v>170.755</v>
      </c>
      <c r="AA300" s="84">
        <f t="shared" si="42"/>
        <v>16.145399999999999</v>
      </c>
      <c r="AB300" s="86" t="str">
        <f t="shared" si="43"/>
        <v/>
      </c>
      <c r="AC300" s="86" t="str">
        <f t="shared" si="44"/>
        <v/>
      </c>
      <c r="AD300" s="1" t="b">
        <f>AND(ISNUMBER(AB300),ISNUMBER(AC300),AB300&gt;=0,AC300&gt;=0,AB300&lt;=0.95,AC300&lt;=0.95,ISNUMBER(D300),D300&gt;0,'Steel Beam Design'!$A$18="",C300="UC",'Steel Beam Design'!$B$3="Cantilever Supported")</f>
        <v>0</v>
      </c>
      <c r="AE300" s="1" t="str">
        <f>'Steel Beam Design'!O28</f>
        <v/>
      </c>
    </row>
    <row r="301" spans="1:31">
      <c r="A301" s="1" t="s">
        <v>480</v>
      </c>
      <c r="B301" s="1" t="str">
        <f>'Section Data'!B94</f>
        <v>305x102x28</v>
      </c>
      <c r="C301" s="1" t="s">
        <v>368</v>
      </c>
      <c r="D301" s="84">
        <f>'Section Data'!C94</f>
        <v>28.2</v>
      </c>
      <c r="E301" s="84">
        <f>'Section Data'!Q94</f>
        <v>5366</v>
      </c>
      <c r="F301" s="84" t="str">
        <f>'Steel Beam Design'!O56</f>
        <v/>
      </c>
      <c r="G301" s="84" t="str">
        <f>'Steel Beam Design'!O80</f>
        <v/>
      </c>
      <c r="H301" s="84" t="str">
        <f>IF(TRIM($B301)="","",IFERROR('Steel Beam Design'!$D$7006,""))</f>
        <v>S355</v>
      </c>
      <c r="I301" s="84">
        <f>IF(TRIM($B301)="","",IFERROR(MAX(VLOOKUP($B301,'Section Data'!$B$36:$AC$107,5,FALSE),VLOOKUP($B301,'Section Data'!$B$36:$AC$107,6,FALSE)),""))</f>
        <v>8.8000000000000007</v>
      </c>
      <c r="J301" s="84">
        <f>IF(TRIM($B301)="","",IFERROR(IF(I301&gt;150,"",INDEX('Section Data'!$AH$5:$AK$10,IF(I301&lt;=16,1,IF(I301&lt;=40,2,IF(I301&lt;=63,3,IF(I301&lt;=80,4,IF(I301&lt;=100,5,6))))),MATCH(H301,'Section Data'!$AH$4:$AK$4,0))),""))</f>
        <v>355</v>
      </c>
      <c r="K301" s="84">
        <f t="shared" si="36"/>
        <v>0.88014083380101371</v>
      </c>
      <c r="L301" s="84">
        <f>IF(TRIM($B301)="","",IFERROR(VLOOKUP($B301,'Section Data'!$B$36:$AC$107,9,FALSE),""))</f>
        <v>5.78</v>
      </c>
      <c r="M301" s="84">
        <f>IF(TRIM($B301)="","",IFERROR(VLOOKUP($B301,'Section Data'!$B$36:$AC$107,10,FALSE),""))</f>
        <v>46</v>
      </c>
      <c r="N301" s="84">
        <f t="shared" si="37"/>
        <v>8</v>
      </c>
      <c r="O301" s="84">
        <f t="shared" si="38"/>
        <v>80</v>
      </c>
      <c r="P301" s="84">
        <f>IF(TRIM($B301)="","",IFERROR(VLOOKUP($B301,'Section Data'!$B$36:$AC$107,5,FALSE)*VLOOKUP($B301,'Section Data'!$B$36:$AC$107,3,FALSE),""))</f>
        <v>1852.1999999999998</v>
      </c>
      <c r="Q301" s="84">
        <f t="shared" si="39"/>
        <v>379.6256998505238</v>
      </c>
      <c r="R301" s="84">
        <f>'Steel Beam Design'!H2064</f>
        <v>0</v>
      </c>
      <c r="S301" s="84">
        <f t="shared" si="40"/>
        <v>0</v>
      </c>
      <c r="T301" s="84">
        <f>IF(TRIM($B301)="","",IFERROR(VLOOKUP($B301,'Section Data'!$B$36:$AC$107,20,FALSE),""))</f>
        <v>348</v>
      </c>
      <c r="U301" s="84">
        <f>IF(TRIM($B301)="","",IFERROR(VLOOKUP($B301,'Section Data'!$B$36:$AC$107,21,FALSE),""))</f>
        <v>30.5</v>
      </c>
      <c r="V301" s="84">
        <f>IF(TRIM($B301)="","",IFERROR(VLOOKUP($B301,'Section Data'!$B$36:$AC$107,22,FALSE),""))</f>
        <v>403</v>
      </c>
      <c r="W301" s="84">
        <f>IF(TRIM($B301)="","",IFERROR(VLOOKUP($B301,'Section Data'!$B$36:$AC$107,23,FALSE),""))</f>
        <v>48.5</v>
      </c>
      <c r="X301" s="84">
        <f>IF(TRIM($B301)="","",IFERROR((VLOOKUP($B301,'Section Data'!$B$36:$AC$107,5,FALSE)/10)*(VLOOKUP($B301,'Section Data'!$B$36:$AC$107,3,FALSE)/10)^2/4,""))</f>
        <v>142.94353499999997</v>
      </c>
      <c r="Y301" s="84">
        <f>IF(TRIM($B301)="","",IFERROR((VLOOKUP($B301,'Section Data'!$B$36:$AC$107,3,FALSE)/10)*(VLOOKUP($B301,'Section Data'!$B$36:$AC$107,5,FALSE)/10)^2/4,""))</f>
        <v>2.7782999999999998</v>
      </c>
      <c r="Z301" s="84">
        <f t="shared" si="41"/>
        <v>143.065</v>
      </c>
      <c r="AA301" s="84">
        <f t="shared" si="42"/>
        <v>12.993</v>
      </c>
      <c r="AB301" s="86" t="str">
        <f t="shared" si="43"/>
        <v/>
      </c>
      <c r="AC301" s="86" t="str">
        <f t="shared" si="44"/>
        <v/>
      </c>
      <c r="AD301" s="1" t="b">
        <f>AND(ISNUMBER(AB301),ISNUMBER(AC301),AB301&gt;=0,AC301&gt;=0,AB301&lt;=0.95,AC301&lt;=0.95,ISNUMBER(D301),D301&gt;0,'Steel Beam Design'!$A$18="",C301="UC",'Steel Beam Design'!$B$3="Cantilever Supported")</f>
        <v>0</v>
      </c>
      <c r="AE301" s="1" t="str">
        <f>'Steel Beam Design'!O28</f>
        <v/>
      </c>
    </row>
    <row r="302" spans="1:31">
      <c r="A302" s="1" t="s">
        <v>480</v>
      </c>
      <c r="B302" s="1" t="str">
        <f>'Section Data'!B95</f>
        <v>305x102x25</v>
      </c>
      <c r="C302" s="1" t="s">
        <v>368</v>
      </c>
      <c r="D302" s="84">
        <f>'Section Data'!C95</f>
        <v>24.8</v>
      </c>
      <c r="E302" s="84">
        <f>'Section Data'!Q95</f>
        <v>4455</v>
      </c>
      <c r="F302" s="84" t="str">
        <f>'Steel Beam Design'!O56</f>
        <v/>
      </c>
      <c r="G302" s="84" t="str">
        <f>'Steel Beam Design'!O80</f>
        <v/>
      </c>
      <c r="H302" s="84" t="str">
        <f>IF(TRIM($B302)="","",IFERROR('Steel Beam Design'!$D$7006,""))</f>
        <v>S355</v>
      </c>
      <c r="I302" s="84">
        <f>IF(TRIM($B302)="","",IFERROR(MAX(VLOOKUP($B302,'Section Data'!$B$36:$AC$107,5,FALSE),VLOOKUP($B302,'Section Data'!$B$36:$AC$107,6,FALSE)),""))</f>
        <v>7</v>
      </c>
      <c r="J302" s="84">
        <f>IF(TRIM($B302)="","",IFERROR(IF(I302&gt;150,"",INDEX('Section Data'!$AH$5:$AK$10,IF(I302&lt;=16,1,IF(I302&lt;=40,2,IF(I302&lt;=63,3,IF(I302&lt;=80,4,IF(I302&lt;=100,5,6))))),MATCH(H302,'Section Data'!$AH$4:$AK$4,0))),""))</f>
        <v>355</v>
      </c>
      <c r="K302" s="84">
        <f t="shared" si="36"/>
        <v>0.88014083380101371</v>
      </c>
      <c r="L302" s="84">
        <f>IF(TRIM($B302)="","",IFERROR(VLOOKUP($B302,'Section Data'!$B$36:$AC$107,9,FALSE),""))</f>
        <v>7.26</v>
      </c>
      <c r="M302" s="84">
        <f>IF(TRIM($B302)="","",IFERROR(VLOOKUP($B302,'Section Data'!$B$36:$AC$107,10,FALSE),""))</f>
        <v>47.6</v>
      </c>
      <c r="N302" s="84">
        <f t="shared" si="37"/>
        <v>9</v>
      </c>
      <c r="O302" s="84">
        <f t="shared" si="38"/>
        <v>80</v>
      </c>
      <c r="P302" s="84">
        <f>IF(TRIM($B302)="","",IFERROR(VLOOKUP($B302,'Section Data'!$B$36:$AC$107,5,FALSE)*VLOOKUP($B302,'Section Data'!$B$36:$AC$107,3,FALSE),""))</f>
        <v>1769.5800000000002</v>
      </c>
      <c r="Q302" s="84">
        <f t="shared" si="39"/>
        <v>362.69195872016519</v>
      </c>
      <c r="R302" s="84">
        <f>'Steel Beam Design'!H2064</f>
        <v>0</v>
      </c>
      <c r="S302" s="84">
        <f t="shared" si="40"/>
        <v>0</v>
      </c>
      <c r="T302" s="84">
        <f>IF(TRIM($B302)="","",IFERROR(VLOOKUP($B302,'Section Data'!$B$36:$AC$107,20,FALSE),""))</f>
        <v>292</v>
      </c>
      <c r="U302" s="84">
        <f>IF(TRIM($B302)="","",IFERROR(VLOOKUP($B302,'Section Data'!$B$36:$AC$107,21,FALSE),""))</f>
        <v>24.2</v>
      </c>
      <c r="V302" s="84">
        <f>IF(TRIM($B302)="","",IFERROR(VLOOKUP($B302,'Section Data'!$B$36:$AC$107,22,FALSE),""))</f>
        <v>342</v>
      </c>
      <c r="W302" s="84">
        <f>IF(TRIM($B302)="","",IFERROR(VLOOKUP($B302,'Section Data'!$B$36:$AC$107,23,FALSE),""))</f>
        <v>38.799999999999997</v>
      </c>
      <c r="X302" s="84">
        <f>IF(TRIM($B302)="","",IFERROR((VLOOKUP($B302,'Section Data'!$B$36:$AC$107,5,FALSE)/10)*(VLOOKUP($B302,'Section Data'!$B$36:$AC$107,3,FALSE)/10)^2/4,""))</f>
        <v>134.9747145</v>
      </c>
      <c r="Y302" s="84">
        <f>IF(TRIM($B302)="","",IFERROR((VLOOKUP($B302,'Section Data'!$B$36:$AC$107,3,FALSE)/10)*(VLOOKUP($B302,'Section Data'!$B$36:$AC$107,5,FALSE)/10)^2/4,""))</f>
        <v>2.5658910000000001</v>
      </c>
      <c r="Z302" s="84">
        <f t="shared" si="41"/>
        <v>121.41</v>
      </c>
      <c r="AA302" s="84">
        <f t="shared" si="42"/>
        <v>10.309199999999999</v>
      </c>
      <c r="AB302" s="86" t="str">
        <f t="shared" si="43"/>
        <v/>
      </c>
      <c r="AC302" s="86" t="str">
        <f t="shared" si="44"/>
        <v/>
      </c>
      <c r="AD302" s="1" t="b">
        <f>AND(ISNUMBER(AB302),ISNUMBER(AC302),AB302&gt;=0,AC302&gt;=0,AB302&lt;=0.95,AC302&lt;=0.95,ISNUMBER(D302),D302&gt;0,'Steel Beam Design'!$A$18="",C302="UC",'Steel Beam Design'!$B$3="Cantilever Supported")</f>
        <v>0</v>
      </c>
      <c r="AE302" s="1" t="str">
        <f>'Steel Beam Design'!O28</f>
        <v/>
      </c>
    </row>
    <row r="303" spans="1:31">
      <c r="A303" s="1" t="s">
        <v>480</v>
      </c>
      <c r="B303" s="1" t="str">
        <f>'Section Data'!B96</f>
        <v>254x146x43</v>
      </c>
      <c r="C303" s="1" t="s">
        <v>368</v>
      </c>
      <c r="D303" s="84">
        <f>'Section Data'!C96</f>
        <v>43</v>
      </c>
      <c r="E303" s="84">
        <f>'Section Data'!Q96</f>
        <v>6544</v>
      </c>
      <c r="F303" s="84" t="str">
        <f>'Steel Beam Design'!O56</f>
        <v/>
      </c>
      <c r="G303" s="84" t="str">
        <f>'Steel Beam Design'!O80</f>
        <v/>
      </c>
      <c r="H303" s="84" t="str">
        <f>IF(TRIM($B303)="","",IFERROR('Steel Beam Design'!$D$7006,""))</f>
        <v>S355</v>
      </c>
      <c r="I303" s="84">
        <f>IF(TRIM($B303)="","",IFERROR(MAX(VLOOKUP($B303,'Section Data'!$B$36:$AC$107,5,FALSE),VLOOKUP($B303,'Section Data'!$B$36:$AC$107,6,FALSE)),""))</f>
        <v>12.7</v>
      </c>
      <c r="J303" s="84">
        <f>IF(TRIM($B303)="","",IFERROR(IF(I303&gt;150,"",INDEX('Section Data'!$AH$5:$AK$10,IF(I303&lt;=16,1,IF(I303&lt;=40,2,IF(I303&lt;=63,3,IF(I303&lt;=80,4,IF(I303&lt;=100,5,6))))),MATCH(H303,'Section Data'!$AH$4:$AK$4,0))),""))</f>
        <v>355</v>
      </c>
      <c r="K303" s="84">
        <f t="shared" si="36"/>
        <v>0.88014083380101371</v>
      </c>
      <c r="L303" s="84">
        <f>IF(TRIM($B303)="","",IFERROR(VLOOKUP($B303,'Section Data'!$B$36:$AC$107,9,FALSE),""))</f>
        <v>5.8</v>
      </c>
      <c r="M303" s="84">
        <f>IF(TRIM($B303)="","",IFERROR(VLOOKUP($B303,'Section Data'!$B$36:$AC$107,10,FALSE),""))</f>
        <v>30.4</v>
      </c>
      <c r="N303" s="84">
        <f t="shared" si="37"/>
        <v>8</v>
      </c>
      <c r="O303" s="84">
        <f t="shared" si="38"/>
        <v>80</v>
      </c>
      <c r="P303" s="84">
        <f>IF(TRIM($B303)="","",IFERROR(VLOOKUP($B303,'Section Data'!$B$36:$AC$107,5,FALSE)*VLOOKUP($B303,'Section Data'!$B$36:$AC$107,3,FALSE),""))</f>
        <v>1869.1200000000001</v>
      </c>
      <c r="Q303" s="84">
        <f t="shared" si="39"/>
        <v>383.09361197743834</v>
      </c>
      <c r="R303" s="84">
        <f>'Steel Beam Design'!H2064</f>
        <v>0</v>
      </c>
      <c r="S303" s="84">
        <f t="shared" si="40"/>
        <v>0</v>
      </c>
      <c r="T303" s="84">
        <f>IF(TRIM($B303)="","",IFERROR(VLOOKUP($B303,'Section Data'!$B$36:$AC$107,20,FALSE),""))</f>
        <v>504</v>
      </c>
      <c r="U303" s="84">
        <f>IF(TRIM($B303)="","",IFERROR(VLOOKUP($B303,'Section Data'!$B$36:$AC$107,21,FALSE),""))</f>
        <v>92</v>
      </c>
      <c r="V303" s="84">
        <f>IF(TRIM($B303)="","",IFERROR(VLOOKUP($B303,'Section Data'!$B$36:$AC$107,22,FALSE),""))</f>
        <v>566</v>
      </c>
      <c r="W303" s="84">
        <f>IF(TRIM($B303)="","",IFERROR(VLOOKUP($B303,'Section Data'!$B$36:$AC$107,23,FALSE),""))</f>
        <v>141</v>
      </c>
      <c r="X303" s="84">
        <f>IF(TRIM($B303)="","",IFERROR((VLOOKUP($B303,'Section Data'!$B$36:$AC$107,5,FALSE)/10)*(VLOOKUP($B303,'Section Data'!$B$36:$AC$107,3,FALSE)/10)^2/4,""))</f>
        <v>121.305888</v>
      </c>
      <c r="Y303" s="84">
        <f>IF(TRIM($B303)="","",IFERROR((VLOOKUP($B303,'Section Data'!$B$36:$AC$107,3,FALSE)/10)*(VLOOKUP($B303,'Section Data'!$B$36:$AC$107,5,FALSE)/10)^2/4,""))</f>
        <v>3.3644159999999999</v>
      </c>
      <c r="Z303" s="84">
        <f t="shared" si="41"/>
        <v>200.93</v>
      </c>
      <c r="AA303" s="84">
        <f t="shared" si="42"/>
        <v>39.192</v>
      </c>
      <c r="AB303" s="86" t="str">
        <f t="shared" si="43"/>
        <v/>
      </c>
      <c r="AC303" s="86" t="str">
        <f t="shared" si="44"/>
        <v/>
      </c>
      <c r="AD303" s="1" t="b">
        <f>AND(ISNUMBER(AB303),ISNUMBER(AC303),AB303&gt;=0,AC303&gt;=0,AB303&lt;=0.95,AC303&lt;=0.95,ISNUMBER(D303),D303&gt;0,'Steel Beam Design'!$A$18="",C303="UC",'Steel Beam Design'!$B$3="Cantilever Supported")</f>
        <v>0</v>
      </c>
      <c r="AE303" s="1" t="str">
        <f>'Steel Beam Design'!O28</f>
        <v/>
      </c>
    </row>
    <row r="304" spans="1:31">
      <c r="A304" s="1" t="s">
        <v>480</v>
      </c>
      <c r="B304" s="1" t="str">
        <f>'Section Data'!B97</f>
        <v>254x146x37</v>
      </c>
      <c r="C304" s="1" t="s">
        <v>368</v>
      </c>
      <c r="D304" s="84">
        <f>'Section Data'!C97</f>
        <v>37</v>
      </c>
      <c r="E304" s="84">
        <f>'Section Data'!Q97</f>
        <v>5537</v>
      </c>
      <c r="F304" s="84" t="str">
        <f>'Steel Beam Design'!O56</f>
        <v/>
      </c>
      <c r="G304" s="84" t="str">
        <f>'Steel Beam Design'!O80</f>
        <v/>
      </c>
      <c r="H304" s="84" t="str">
        <f>IF(TRIM($B304)="","",IFERROR('Steel Beam Design'!$D$7006,""))</f>
        <v>S355</v>
      </c>
      <c r="I304" s="84">
        <f>IF(TRIM($B304)="","",IFERROR(MAX(VLOOKUP($B304,'Section Data'!$B$36:$AC$107,5,FALSE),VLOOKUP($B304,'Section Data'!$B$36:$AC$107,6,FALSE)),""))</f>
        <v>10.9</v>
      </c>
      <c r="J304" s="84">
        <f>IF(TRIM($B304)="","",IFERROR(IF(I304&gt;150,"",INDEX('Section Data'!$AH$5:$AK$10,IF(I304&lt;=16,1,IF(I304&lt;=40,2,IF(I304&lt;=63,3,IF(I304&lt;=80,4,IF(I304&lt;=100,5,6))))),MATCH(H304,'Section Data'!$AH$4:$AK$4,0))),""))</f>
        <v>355</v>
      </c>
      <c r="K304" s="84">
        <f t="shared" si="36"/>
        <v>0.88014083380101371</v>
      </c>
      <c r="L304" s="84">
        <f>IF(TRIM($B304)="","",IFERROR(VLOOKUP($B304,'Section Data'!$B$36:$AC$107,9,FALSE),""))</f>
        <v>6.72</v>
      </c>
      <c r="M304" s="84">
        <f>IF(TRIM($B304)="","",IFERROR(VLOOKUP($B304,'Section Data'!$B$36:$AC$107,10,FALSE),""))</f>
        <v>34.799999999999997</v>
      </c>
      <c r="N304" s="84">
        <f t="shared" si="37"/>
        <v>8</v>
      </c>
      <c r="O304" s="84">
        <f t="shared" si="38"/>
        <v>80</v>
      </c>
      <c r="P304" s="84">
        <f>IF(TRIM($B304)="","",IFERROR(VLOOKUP($B304,'Section Data'!$B$36:$AC$107,5,FALSE)*VLOOKUP($B304,'Section Data'!$B$36:$AC$107,3,FALSE),""))</f>
        <v>1612.8</v>
      </c>
      <c r="Q304" s="84">
        <f t="shared" si="39"/>
        <v>330.55843252290509</v>
      </c>
      <c r="R304" s="84">
        <f>'Steel Beam Design'!H2064</f>
        <v>0</v>
      </c>
      <c r="S304" s="84">
        <f t="shared" si="40"/>
        <v>0</v>
      </c>
      <c r="T304" s="84">
        <f>IF(TRIM($B304)="","",IFERROR(VLOOKUP($B304,'Section Data'!$B$36:$AC$107,20,FALSE),""))</f>
        <v>433</v>
      </c>
      <c r="U304" s="84">
        <f>IF(TRIM($B304)="","",IFERROR(VLOOKUP($B304,'Section Data'!$B$36:$AC$107,21,FALSE),""))</f>
        <v>78</v>
      </c>
      <c r="V304" s="84">
        <f>IF(TRIM($B304)="","",IFERROR(VLOOKUP($B304,'Section Data'!$B$36:$AC$107,22,FALSE),""))</f>
        <v>483</v>
      </c>
      <c r="W304" s="84">
        <f>IF(TRIM($B304)="","",IFERROR(VLOOKUP($B304,'Section Data'!$B$36:$AC$107,23,FALSE),""))</f>
        <v>119</v>
      </c>
      <c r="X304" s="84">
        <f>IF(TRIM($B304)="","",IFERROR((VLOOKUP($B304,'Section Data'!$B$36:$AC$107,5,FALSE)/10)*(VLOOKUP($B304,'Section Data'!$B$36:$AC$107,3,FALSE)/10)^2/4,""))</f>
        <v>103.21920000000001</v>
      </c>
      <c r="Y304" s="84">
        <f>IF(TRIM($B304)="","",IFERROR((VLOOKUP($B304,'Section Data'!$B$36:$AC$107,3,FALSE)/10)*(VLOOKUP($B304,'Section Data'!$B$36:$AC$107,5,FALSE)/10)^2/4,""))</f>
        <v>2.5401600000000002</v>
      </c>
      <c r="Z304" s="84">
        <f t="shared" si="41"/>
        <v>171.465</v>
      </c>
      <c r="AA304" s="84">
        <f t="shared" si="42"/>
        <v>33.228000000000002</v>
      </c>
      <c r="AB304" s="86" t="str">
        <f t="shared" si="43"/>
        <v/>
      </c>
      <c r="AC304" s="86" t="str">
        <f t="shared" si="44"/>
        <v/>
      </c>
      <c r="AD304" s="1" t="b">
        <f>AND(ISNUMBER(AB304),ISNUMBER(AC304),AB304&gt;=0,AC304&gt;=0,AB304&lt;=0.95,AC304&lt;=0.95,ISNUMBER(D304),D304&gt;0,'Steel Beam Design'!$A$18="",C304="UC",'Steel Beam Design'!$B$3="Cantilever Supported")</f>
        <v>0</v>
      </c>
      <c r="AE304" s="1" t="str">
        <f>'Steel Beam Design'!O28</f>
        <v/>
      </c>
    </row>
    <row r="305" spans="1:31">
      <c r="A305" s="1" t="s">
        <v>480</v>
      </c>
      <c r="B305" s="1" t="str">
        <f>'Section Data'!B98</f>
        <v>254x146x31</v>
      </c>
      <c r="C305" s="1" t="s">
        <v>368</v>
      </c>
      <c r="D305" s="84">
        <f>'Section Data'!C98</f>
        <v>31.1</v>
      </c>
      <c r="E305" s="84">
        <f>'Section Data'!Q98</f>
        <v>4413</v>
      </c>
      <c r="F305" s="84" t="str">
        <f>'Steel Beam Design'!O56</f>
        <v/>
      </c>
      <c r="G305" s="84" t="str">
        <f>'Steel Beam Design'!O80</f>
        <v/>
      </c>
      <c r="H305" s="84" t="str">
        <f>IF(TRIM($B305)="","",IFERROR('Steel Beam Design'!$D$7006,""))</f>
        <v>S355</v>
      </c>
      <c r="I305" s="84">
        <f>IF(TRIM($B305)="","",IFERROR(MAX(VLOOKUP($B305,'Section Data'!$B$36:$AC$107,5,FALSE),VLOOKUP($B305,'Section Data'!$B$36:$AC$107,6,FALSE)),""))</f>
        <v>8.6</v>
      </c>
      <c r="J305" s="84">
        <f>IF(TRIM($B305)="","",IFERROR(IF(I305&gt;150,"",INDEX('Section Data'!$AH$5:$AK$10,IF(I305&lt;=16,1,IF(I305&lt;=40,2,IF(I305&lt;=63,3,IF(I305&lt;=80,4,IF(I305&lt;=100,5,6))))),MATCH(H305,'Section Data'!$AH$4:$AK$4,0))),""))</f>
        <v>355</v>
      </c>
      <c r="K305" s="84">
        <f t="shared" si="36"/>
        <v>0.88014083380101371</v>
      </c>
      <c r="L305" s="84">
        <f>IF(TRIM($B305)="","",IFERROR(VLOOKUP($B305,'Section Data'!$B$36:$AC$107,9,FALSE),""))</f>
        <v>8.49</v>
      </c>
      <c r="M305" s="84">
        <f>IF(TRIM($B305)="","",IFERROR(VLOOKUP($B305,'Section Data'!$B$36:$AC$107,10,FALSE),""))</f>
        <v>36.5</v>
      </c>
      <c r="N305" s="84">
        <f t="shared" si="37"/>
        <v>13</v>
      </c>
      <c r="O305" s="84">
        <f t="shared" si="38"/>
        <v>80</v>
      </c>
      <c r="P305" s="84">
        <f>IF(TRIM($B305)="","",IFERROR(VLOOKUP($B305,'Section Data'!$B$36:$AC$107,5,FALSE)*VLOOKUP($B305,'Section Data'!$B$36:$AC$107,3,FALSE),""))</f>
        <v>1508.4</v>
      </c>
      <c r="Q305" s="84">
        <f t="shared" si="39"/>
        <v>309.16067684619918</v>
      </c>
      <c r="R305" s="84">
        <f>'Steel Beam Design'!H2064</f>
        <v>0</v>
      </c>
      <c r="S305" s="84">
        <f t="shared" si="40"/>
        <v>0</v>
      </c>
      <c r="T305" s="84">
        <f>IF(TRIM($B305)="","",IFERROR(VLOOKUP($B305,'Section Data'!$B$36:$AC$107,20,FALSE),""))</f>
        <v>351</v>
      </c>
      <c r="U305" s="84">
        <f>IF(TRIM($B305)="","",IFERROR(VLOOKUP($B305,'Section Data'!$B$36:$AC$107,21,FALSE),""))</f>
        <v>61.3</v>
      </c>
      <c r="V305" s="84">
        <f>IF(TRIM($B305)="","",IFERROR(VLOOKUP($B305,'Section Data'!$B$36:$AC$107,22,FALSE),""))</f>
        <v>393</v>
      </c>
      <c r="W305" s="84">
        <f>IF(TRIM($B305)="","",IFERROR(VLOOKUP($B305,'Section Data'!$B$36:$AC$107,23,FALSE),""))</f>
        <v>94.1</v>
      </c>
      <c r="X305" s="84">
        <f>IF(TRIM($B305)="","",IFERROR((VLOOKUP($B305,'Section Data'!$B$36:$AC$107,5,FALSE)/10)*(VLOOKUP($B305,'Section Data'!$B$36:$AC$107,3,FALSE)/10)^2/4,""))</f>
        <v>94.802940000000007</v>
      </c>
      <c r="Y305" s="84">
        <f>IF(TRIM($B305)="","",IFERROR((VLOOKUP($B305,'Section Data'!$B$36:$AC$107,3,FALSE)/10)*(VLOOKUP($B305,'Section Data'!$B$36:$AC$107,5,FALSE)/10)^2/4,""))</f>
        <v>2.2625999999999999</v>
      </c>
      <c r="Z305" s="84">
        <f t="shared" si="41"/>
        <v>124.605</v>
      </c>
      <c r="AA305" s="84">
        <f t="shared" si="42"/>
        <v>21.761500000000002</v>
      </c>
      <c r="AB305" s="86" t="str">
        <f t="shared" si="43"/>
        <v/>
      </c>
      <c r="AC305" s="86" t="str">
        <f t="shared" si="44"/>
        <v/>
      </c>
      <c r="AD305" s="1" t="b">
        <f>AND(ISNUMBER(AB305),ISNUMBER(AC305),AB305&gt;=0,AC305&gt;=0,AB305&lt;=0.95,AC305&lt;=0.95,ISNUMBER(D305),D305&gt;0,'Steel Beam Design'!$A$18="",C305="UC",'Steel Beam Design'!$B$3="Cantilever Supported")</f>
        <v>0</v>
      </c>
      <c r="AE305" s="1" t="str">
        <f>'Steel Beam Design'!O28</f>
        <v/>
      </c>
    </row>
    <row r="306" spans="1:31">
      <c r="A306" s="1" t="s">
        <v>480</v>
      </c>
      <c r="B306" s="1" t="str">
        <f>'Section Data'!B99</f>
        <v>254x102x28</v>
      </c>
      <c r="C306" s="1" t="s">
        <v>368</v>
      </c>
      <c r="D306" s="84">
        <f>'Section Data'!C99</f>
        <v>28.3</v>
      </c>
      <c r="E306" s="84">
        <f>'Section Data'!Q99</f>
        <v>4005</v>
      </c>
      <c r="F306" s="84" t="str">
        <f>'Steel Beam Design'!O56</f>
        <v/>
      </c>
      <c r="G306" s="84" t="str">
        <f>'Steel Beam Design'!O80</f>
        <v/>
      </c>
      <c r="H306" s="84" t="str">
        <f>IF(TRIM($B306)="","",IFERROR('Steel Beam Design'!$D$7006,""))</f>
        <v>S355</v>
      </c>
      <c r="I306" s="84">
        <f>IF(TRIM($B306)="","",IFERROR(MAX(VLOOKUP($B306,'Section Data'!$B$36:$AC$107,5,FALSE),VLOOKUP($B306,'Section Data'!$B$36:$AC$107,6,FALSE)),""))</f>
        <v>10</v>
      </c>
      <c r="J306" s="84">
        <f>IF(TRIM($B306)="","",IFERROR(IF(I306&gt;150,"",INDEX('Section Data'!$AH$5:$AK$10,IF(I306&lt;=16,1,IF(I306&lt;=40,2,IF(I306&lt;=63,3,IF(I306&lt;=80,4,IF(I306&lt;=100,5,6))))),MATCH(H306,'Section Data'!$AH$4:$AK$4,0))),""))</f>
        <v>355</v>
      </c>
      <c r="K306" s="84">
        <f t="shared" si="36"/>
        <v>0.88014083380101371</v>
      </c>
      <c r="L306" s="84">
        <f>IF(TRIM($B306)="","",IFERROR(VLOOKUP($B306,'Section Data'!$B$36:$AC$107,9,FALSE),""))</f>
        <v>5.1100000000000003</v>
      </c>
      <c r="M306" s="84">
        <f>IF(TRIM($B306)="","",IFERROR(VLOOKUP($B306,'Section Data'!$B$36:$AC$107,10,FALSE),""))</f>
        <v>35.700000000000003</v>
      </c>
      <c r="N306" s="84">
        <f t="shared" si="37"/>
        <v>8</v>
      </c>
      <c r="O306" s="84">
        <f t="shared" si="38"/>
        <v>80</v>
      </c>
      <c r="P306" s="84">
        <f>IF(TRIM($B306)="","",IFERROR(VLOOKUP($B306,'Section Data'!$B$36:$AC$107,5,FALSE)*VLOOKUP($B306,'Section Data'!$B$36:$AC$107,3,FALSE),""))</f>
        <v>1640.5199999999998</v>
      </c>
      <c r="Q306" s="84">
        <f t="shared" si="39"/>
        <v>336.23990558189246</v>
      </c>
      <c r="R306" s="84">
        <f>'Steel Beam Design'!H2064</f>
        <v>0</v>
      </c>
      <c r="S306" s="84">
        <f t="shared" si="40"/>
        <v>0</v>
      </c>
      <c r="T306" s="84">
        <f>IF(TRIM($B306)="","",IFERROR(VLOOKUP($B306,'Section Data'!$B$36:$AC$107,20,FALSE),""))</f>
        <v>308</v>
      </c>
      <c r="U306" s="84">
        <f>IF(TRIM($B306)="","",IFERROR(VLOOKUP($B306,'Section Data'!$B$36:$AC$107,21,FALSE),""))</f>
        <v>34.9</v>
      </c>
      <c r="V306" s="84">
        <f>IF(TRIM($B306)="","",IFERROR(VLOOKUP($B306,'Section Data'!$B$36:$AC$107,22,FALSE),""))</f>
        <v>353</v>
      </c>
      <c r="W306" s="84">
        <f>IF(TRIM($B306)="","",IFERROR(VLOOKUP($B306,'Section Data'!$B$36:$AC$107,23,FALSE),""))</f>
        <v>54.8</v>
      </c>
      <c r="X306" s="84">
        <f>IF(TRIM($B306)="","",IFERROR((VLOOKUP($B306,'Section Data'!$B$36:$AC$107,5,FALSE)/10)*(VLOOKUP($B306,'Section Data'!$B$36:$AC$107,3,FALSE)/10)^2/4,""))</f>
        <v>106.79785199999999</v>
      </c>
      <c r="Y306" s="84">
        <f>IF(TRIM($B306)="","",IFERROR((VLOOKUP($B306,'Section Data'!$B$36:$AC$107,3,FALSE)/10)*(VLOOKUP($B306,'Section Data'!$B$36:$AC$107,5,FALSE)/10)^2/4,""))</f>
        <v>2.5838190000000001</v>
      </c>
      <c r="Z306" s="84">
        <f t="shared" si="41"/>
        <v>125.315</v>
      </c>
      <c r="AA306" s="84">
        <f t="shared" si="42"/>
        <v>14.867399999999998</v>
      </c>
      <c r="AB306" s="86" t="str">
        <f t="shared" si="43"/>
        <v/>
      </c>
      <c r="AC306" s="86" t="str">
        <f t="shared" si="44"/>
        <v/>
      </c>
      <c r="AD306" s="1" t="b">
        <f>AND(ISNUMBER(AB306),ISNUMBER(AC306),AB306&gt;=0,AC306&gt;=0,AB306&lt;=0.95,AC306&lt;=0.95,ISNUMBER(D306),D306&gt;0,'Steel Beam Design'!$A$18="",C306="UC",'Steel Beam Design'!$B$3="Cantilever Supported")</f>
        <v>0</v>
      </c>
      <c r="AE306" s="1" t="str">
        <f>'Steel Beam Design'!O28</f>
        <v/>
      </c>
    </row>
    <row r="307" spans="1:31">
      <c r="A307" s="1" t="s">
        <v>480</v>
      </c>
      <c r="B307" s="1" t="str">
        <f>'Section Data'!B100</f>
        <v>254x102x25</v>
      </c>
      <c r="C307" s="1" t="s">
        <v>368</v>
      </c>
      <c r="D307" s="84">
        <f>'Section Data'!C100</f>
        <v>25.2</v>
      </c>
      <c r="E307" s="84">
        <f>'Section Data'!Q100</f>
        <v>3415</v>
      </c>
      <c r="F307" s="84" t="str">
        <f>'Steel Beam Design'!O56</f>
        <v/>
      </c>
      <c r="G307" s="84" t="str">
        <f>'Steel Beam Design'!O80</f>
        <v/>
      </c>
      <c r="H307" s="84" t="str">
        <f>IF(TRIM($B307)="","",IFERROR('Steel Beam Design'!$D$7006,""))</f>
        <v>S355</v>
      </c>
      <c r="I307" s="84">
        <f>IF(TRIM($B307)="","",IFERROR(MAX(VLOOKUP($B307,'Section Data'!$B$36:$AC$107,5,FALSE),VLOOKUP($B307,'Section Data'!$B$36:$AC$107,6,FALSE)),""))</f>
        <v>8.4</v>
      </c>
      <c r="J307" s="84">
        <f>IF(TRIM($B307)="","",IFERROR(IF(I307&gt;150,"",INDEX('Section Data'!$AH$5:$AK$10,IF(I307&lt;=16,1,IF(I307&lt;=40,2,IF(I307&lt;=63,3,IF(I307&lt;=80,4,IF(I307&lt;=100,5,6))))),MATCH(H307,'Section Data'!$AH$4:$AK$4,0))),""))</f>
        <v>355</v>
      </c>
      <c r="K307" s="84">
        <f t="shared" si="36"/>
        <v>0.88014083380101371</v>
      </c>
      <c r="L307" s="84">
        <f>IF(TRIM($B307)="","",IFERROR(VLOOKUP($B307,'Section Data'!$B$36:$AC$107,9,FALSE),""))</f>
        <v>6.07</v>
      </c>
      <c r="M307" s="84">
        <f>IF(TRIM($B307)="","",IFERROR(VLOOKUP($B307,'Section Data'!$B$36:$AC$107,10,FALSE),""))</f>
        <v>37.5</v>
      </c>
      <c r="N307" s="84">
        <f t="shared" si="37"/>
        <v>8</v>
      </c>
      <c r="O307" s="84">
        <f t="shared" si="38"/>
        <v>80</v>
      </c>
      <c r="P307" s="84">
        <f>IF(TRIM($B307)="","",IFERROR(VLOOKUP($B307,'Section Data'!$B$36:$AC$107,5,FALSE)*VLOOKUP($B307,'Section Data'!$B$36:$AC$107,3,FALSE),""))</f>
        <v>1543.1999999999998</v>
      </c>
      <c r="Q307" s="84">
        <f t="shared" si="39"/>
        <v>316.29326207176774</v>
      </c>
      <c r="R307" s="84">
        <f>'Steel Beam Design'!H2064</f>
        <v>0</v>
      </c>
      <c r="S307" s="84">
        <f t="shared" si="40"/>
        <v>0</v>
      </c>
      <c r="T307" s="84">
        <f>IF(TRIM($B307)="","",IFERROR(VLOOKUP($B307,'Section Data'!$B$36:$AC$107,20,FALSE),""))</f>
        <v>266</v>
      </c>
      <c r="U307" s="84">
        <f>IF(TRIM($B307)="","",IFERROR(VLOOKUP($B307,'Section Data'!$B$36:$AC$107,21,FALSE),""))</f>
        <v>29.2</v>
      </c>
      <c r="V307" s="84">
        <f>IF(TRIM($B307)="","",IFERROR(VLOOKUP($B307,'Section Data'!$B$36:$AC$107,22,FALSE),""))</f>
        <v>306</v>
      </c>
      <c r="W307" s="84">
        <f>IF(TRIM($B307)="","",IFERROR(VLOOKUP($B307,'Section Data'!$B$36:$AC$107,23,FALSE),""))</f>
        <v>46</v>
      </c>
      <c r="X307" s="84">
        <f>IF(TRIM($B307)="","",IFERROR((VLOOKUP($B307,'Section Data'!$B$36:$AC$107,5,FALSE)/10)*(VLOOKUP($B307,'Section Data'!$B$36:$AC$107,3,FALSE)/10)^2/4,""))</f>
        <v>99.227759999999989</v>
      </c>
      <c r="Y307" s="84">
        <f>IF(TRIM($B307)="","",IFERROR((VLOOKUP($B307,'Section Data'!$B$36:$AC$107,3,FALSE)/10)*(VLOOKUP($B307,'Section Data'!$B$36:$AC$107,5,FALSE)/10)^2/4,""))</f>
        <v>2.3148</v>
      </c>
      <c r="Z307" s="84">
        <f t="shared" si="41"/>
        <v>108.63</v>
      </c>
      <c r="AA307" s="84">
        <f t="shared" si="42"/>
        <v>12.4392</v>
      </c>
      <c r="AB307" s="86" t="str">
        <f t="shared" si="43"/>
        <v/>
      </c>
      <c r="AC307" s="86" t="str">
        <f t="shared" si="44"/>
        <v/>
      </c>
      <c r="AD307" s="1" t="b">
        <f>AND(ISNUMBER(AB307),ISNUMBER(AC307),AB307&gt;=0,AC307&gt;=0,AB307&lt;=0.95,AC307&lt;=0.95,ISNUMBER(D307),D307&gt;0,'Steel Beam Design'!$A$18="",C307="UC",'Steel Beam Design'!$B$3="Cantilever Supported")</f>
        <v>0</v>
      </c>
      <c r="AE307" s="1" t="str">
        <f>'Steel Beam Design'!O28</f>
        <v/>
      </c>
    </row>
    <row r="308" spans="1:31">
      <c r="A308" s="1" t="s">
        <v>480</v>
      </c>
      <c r="B308" s="1" t="str">
        <f>'Section Data'!B101</f>
        <v>254x102x22</v>
      </c>
      <c r="C308" s="1" t="s">
        <v>368</v>
      </c>
      <c r="D308" s="84">
        <f>'Section Data'!C101</f>
        <v>22</v>
      </c>
      <c r="E308" s="84">
        <f>'Section Data'!Q101</f>
        <v>2841</v>
      </c>
      <c r="F308" s="84" t="str">
        <f>'Steel Beam Design'!O56</f>
        <v/>
      </c>
      <c r="G308" s="84" t="str">
        <f>'Steel Beam Design'!O80</f>
        <v/>
      </c>
      <c r="H308" s="84" t="str">
        <f>IF(TRIM($B308)="","",IFERROR('Steel Beam Design'!$D$7006,""))</f>
        <v>S355</v>
      </c>
      <c r="I308" s="84">
        <f>IF(TRIM($B308)="","",IFERROR(MAX(VLOOKUP($B308,'Section Data'!$B$36:$AC$107,5,FALSE),VLOOKUP($B308,'Section Data'!$B$36:$AC$107,6,FALSE)),""))</f>
        <v>6.8</v>
      </c>
      <c r="J308" s="84">
        <f>IF(TRIM($B308)="","",IFERROR(IF(I308&gt;150,"",INDEX('Section Data'!$AH$5:$AK$10,IF(I308&lt;=16,1,IF(I308&lt;=40,2,IF(I308&lt;=63,3,IF(I308&lt;=80,4,IF(I308&lt;=100,5,6))))),MATCH(H308,'Section Data'!$AH$4:$AK$4,0))),""))</f>
        <v>355</v>
      </c>
      <c r="K308" s="84">
        <f t="shared" si="36"/>
        <v>0.88014083380101371</v>
      </c>
      <c r="L308" s="84">
        <f>IF(TRIM($B308)="","",IFERROR(VLOOKUP($B308,'Section Data'!$B$36:$AC$107,9,FALSE),""))</f>
        <v>7.47</v>
      </c>
      <c r="M308" s="84">
        <f>IF(TRIM($B308)="","",IFERROR(VLOOKUP($B308,'Section Data'!$B$36:$AC$107,10,FALSE),""))</f>
        <v>39.5</v>
      </c>
      <c r="N308" s="84">
        <f t="shared" si="37"/>
        <v>9</v>
      </c>
      <c r="O308" s="84">
        <f t="shared" si="38"/>
        <v>80</v>
      </c>
      <c r="P308" s="84">
        <f>IF(TRIM($B308)="","",IFERROR(VLOOKUP($B308,'Section Data'!$B$36:$AC$107,5,FALSE)*VLOOKUP($B308,'Section Data'!$B$36:$AC$107,3,FALSE),""))</f>
        <v>1447.8</v>
      </c>
      <c r="Q308" s="84">
        <f t="shared" si="39"/>
        <v>296.74014050512278</v>
      </c>
      <c r="R308" s="84">
        <f>'Steel Beam Design'!H2064</f>
        <v>0</v>
      </c>
      <c r="S308" s="84">
        <f t="shared" si="40"/>
        <v>0</v>
      </c>
      <c r="T308" s="84">
        <f>IF(TRIM($B308)="","",IFERROR(VLOOKUP($B308,'Section Data'!$B$36:$AC$107,20,FALSE),""))</f>
        <v>224</v>
      </c>
      <c r="U308" s="84">
        <f>IF(TRIM($B308)="","",IFERROR(VLOOKUP($B308,'Section Data'!$B$36:$AC$107,21,FALSE),""))</f>
        <v>23.5</v>
      </c>
      <c r="V308" s="84">
        <f>IF(TRIM($B308)="","",IFERROR(VLOOKUP($B308,'Section Data'!$B$36:$AC$107,22,FALSE),""))</f>
        <v>259</v>
      </c>
      <c r="W308" s="84">
        <f>IF(TRIM($B308)="","",IFERROR(VLOOKUP($B308,'Section Data'!$B$36:$AC$107,23,FALSE),""))</f>
        <v>37.299999999999997</v>
      </c>
      <c r="X308" s="84">
        <f>IF(TRIM($B308)="","",IFERROR((VLOOKUP($B308,'Section Data'!$B$36:$AC$107,5,FALSE)/10)*(VLOOKUP($B308,'Section Data'!$B$36:$AC$107,3,FALSE)/10)^2/4,""))</f>
        <v>91.935300000000012</v>
      </c>
      <c r="Y308" s="84">
        <f>IF(TRIM($B308)="","",IFERROR((VLOOKUP($B308,'Section Data'!$B$36:$AC$107,3,FALSE)/10)*(VLOOKUP($B308,'Section Data'!$B$36:$AC$107,5,FALSE)/10)^2/4,""))</f>
        <v>2.0631150000000003</v>
      </c>
      <c r="Z308" s="84">
        <f t="shared" si="41"/>
        <v>91.944999999999993</v>
      </c>
      <c r="AA308" s="84">
        <f t="shared" si="42"/>
        <v>10.010999999999999</v>
      </c>
      <c r="AB308" s="86" t="str">
        <f t="shared" si="43"/>
        <v/>
      </c>
      <c r="AC308" s="86" t="str">
        <f t="shared" si="44"/>
        <v/>
      </c>
      <c r="AD308" s="1" t="b">
        <f>AND(ISNUMBER(AB308),ISNUMBER(AC308),AB308&gt;=0,AC308&gt;=0,AB308&lt;=0.95,AC308&lt;=0.95,ISNUMBER(D308),D308&gt;0,'Steel Beam Design'!$A$18="",C308="UC",'Steel Beam Design'!$B$3="Cantilever Supported")</f>
        <v>0</v>
      </c>
      <c r="AE308" s="1" t="str">
        <f>'Steel Beam Design'!O28</f>
        <v/>
      </c>
    </row>
    <row r="309" spans="1:31">
      <c r="A309" s="1" t="s">
        <v>480</v>
      </c>
      <c r="B309" s="1" t="str">
        <f>'Section Data'!B102</f>
        <v>203x133x30</v>
      </c>
      <c r="C309" s="1" t="s">
        <v>368</v>
      </c>
      <c r="D309" s="84">
        <f>'Section Data'!C102</f>
        <v>30</v>
      </c>
      <c r="E309" s="84">
        <f>'Section Data'!Q102</f>
        <v>2896</v>
      </c>
      <c r="F309" s="84" t="str">
        <f>'Steel Beam Design'!O56</f>
        <v/>
      </c>
      <c r="G309" s="84" t="str">
        <f>'Steel Beam Design'!O80</f>
        <v/>
      </c>
      <c r="H309" s="84" t="str">
        <f>IF(TRIM($B309)="","",IFERROR('Steel Beam Design'!$D$7006,""))</f>
        <v>S355</v>
      </c>
      <c r="I309" s="84">
        <f>IF(TRIM($B309)="","",IFERROR(MAX(VLOOKUP($B309,'Section Data'!$B$36:$AC$107,5,FALSE),VLOOKUP($B309,'Section Data'!$B$36:$AC$107,6,FALSE)),""))</f>
        <v>9.6</v>
      </c>
      <c r="J309" s="84">
        <f>IF(TRIM($B309)="","",IFERROR(IF(I309&gt;150,"",INDEX('Section Data'!$AH$5:$AK$10,IF(I309&lt;=16,1,IF(I309&lt;=40,2,IF(I309&lt;=63,3,IF(I309&lt;=80,4,IF(I309&lt;=100,5,6))))),MATCH(H309,'Section Data'!$AH$4:$AK$4,0))),""))</f>
        <v>355</v>
      </c>
      <c r="K309" s="84">
        <f t="shared" si="36"/>
        <v>0.88014083380101371</v>
      </c>
      <c r="L309" s="84">
        <f>IF(TRIM($B309)="","",IFERROR(VLOOKUP($B309,'Section Data'!$B$36:$AC$107,9,FALSE),""))</f>
        <v>6.97</v>
      </c>
      <c r="M309" s="84">
        <f>IF(TRIM($B309)="","",IFERROR(VLOOKUP($B309,'Section Data'!$B$36:$AC$107,10,FALSE),""))</f>
        <v>26.9</v>
      </c>
      <c r="N309" s="84">
        <f t="shared" si="37"/>
        <v>8</v>
      </c>
      <c r="O309" s="84">
        <f t="shared" si="38"/>
        <v>80</v>
      </c>
      <c r="P309" s="84">
        <f>IF(TRIM($B309)="","",IFERROR(VLOOKUP($B309,'Section Data'!$B$36:$AC$107,5,FALSE)*VLOOKUP($B309,'Section Data'!$B$36:$AC$107,3,FALSE),""))</f>
        <v>1323.5200000000002</v>
      </c>
      <c r="Q309" s="84">
        <f t="shared" si="39"/>
        <v>271.2677930386381</v>
      </c>
      <c r="R309" s="84">
        <f>'Steel Beam Design'!H2064</f>
        <v>0</v>
      </c>
      <c r="S309" s="84">
        <f t="shared" si="40"/>
        <v>0</v>
      </c>
      <c r="T309" s="84">
        <f>IF(TRIM($B309)="","",IFERROR(VLOOKUP($B309,'Section Data'!$B$36:$AC$107,20,FALSE),""))</f>
        <v>280</v>
      </c>
      <c r="U309" s="84">
        <f>IF(TRIM($B309)="","",IFERROR(VLOOKUP($B309,'Section Data'!$B$36:$AC$107,21,FALSE),""))</f>
        <v>57.5</v>
      </c>
      <c r="V309" s="84">
        <f>IF(TRIM($B309)="","",IFERROR(VLOOKUP($B309,'Section Data'!$B$36:$AC$107,22,FALSE),""))</f>
        <v>314</v>
      </c>
      <c r="W309" s="84">
        <f>IF(TRIM($B309)="","",IFERROR(VLOOKUP($B309,'Section Data'!$B$36:$AC$107,23,FALSE),""))</f>
        <v>88.2</v>
      </c>
      <c r="X309" s="84">
        <f>IF(TRIM($B309)="","",IFERROR((VLOOKUP($B309,'Section Data'!$B$36:$AC$107,5,FALSE)/10)*(VLOOKUP($B309,'Section Data'!$B$36:$AC$107,3,FALSE)/10)^2/4,""))</f>
        <v>68.425984</v>
      </c>
      <c r="Y309" s="84">
        <f>IF(TRIM($B309)="","",IFERROR((VLOOKUP($B309,'Section Data'!$B$36:$AC$107,3,FALSE)/10)*(VLOOKUP($B309,'Section Data'!$B$36:$AC$107,5,FALSE)/10)^2/4,""))</f>
        <v>2.117632</v>
      </c>
      <c r="Z309" s="84">
        <f t="shared" si="41"/>
        <v>111.47</v>
      </c>
      <c r="AA309" s="84">
        <f t="shared" si="42"/>
        <v>24.495000000000001</v>
      </c>
      <c r="AB309" s="86" t="str">
        <f t="shared" si="43"/>
        <v/>
      </c>
      <c r="AC309" s="86" t="str">
        <f t="shared" si="44"/>
        <v/>
      </c>
      <c r="AD309" s="1" t="b">
        <f>AND(ISNUMBER(AB309),ISNUMBER(AC309),AB309&gt;=0,AC309&gt;=0,AB309&lt;=0.95,AC309&lt;=0.95,ISNUMBER(D309),D309&gt;0,'Steel Beam Design'!$A$18="",C309="UC",'Steel Beam Design'!$B$3="Cantilever Supported")</f>
        <v>0</v>
      </c>
      <c r="AE309" s="1" t="str">
        <f>'Steel Beam Design'!O28</f>
        <v/>
      </c>
    </row>
    <row r="310" spans="1:31">
      <c r="A310" s="1" t="s">
        <v>480</v>
      </c>
      <c r="B310" s="1" t="str">
        <f>'Section Data'!B103</f>
        <v>203x133x25</v>
      </c>
      <c r="C310" s="1" t="s">
        <v>368</v>
      </c>
      <c r="D310" s="84">
        <f>'Section Data'!C103</f>
        <v>25.1</v>
      </c>
      <c r="E310" s="84">
        <f>'Section Data'!Q103</f>
        <v>2340</v>
      </c>
      <c r="F310" s="84" t="str">
        <f>'Steel Beam Design'!O56</f>
        <v/>
      </c>
      <c r="G310" s="84" t="str">
        <f>'Steel Beam Design'!O80</f>
        <v/>
      </c>
      <c r="H310" s="84" t="str">
        <f>IF(TRIM($B310)="","",IFERROR('Steel Beam Design'!$D$7006,""))</f>
        <v>S355</v>
      </c>
      <c r="I310" s="84">
        <f>IF(TRIM($B310)="","",IFERROR(MAX(VLOOKUP($B310,'Section Data'!$B$36:$AC$107,5,FALSE),VLOOKUP($B310,'Section Data'!$B$36:$AC$107,6,FALSE)),""))</f>
        <v>7.8</v>
      </c>
      <c r="J310" s="84">
        <f>IF(TRIM($B310)="","",IFERROR(IF(I310&gt;150,"",INDEX('Section Data'!$AH$5:$AK$10,IF(I310&lt;=16,1,IF(I310&lt;=40,2,IF(I310&lt;=63,3,IF(I310&lt;=80,4,IF(I310&lt;=100,5,6))))),MATCH(H310,'Section Data'!$AH$4:$AK$4,0))),""))</f>
        <v>355</v>
      </c>
      <c r="K310" s="84">
        <f t="shared" si="36"/>
        <v>0.88014083380101371</v>
      </c>
      <c r="L310" s="84">
        <f>IF(TRIM($B310)="","",IFERROR(VLOOKUP($B310,'Section Data'!$B$36:$AC$107,9,FALSE),""))</f>
        <v>8.5399999999999991</v>
      </c>
      <c r="M310" s="84">
        <f>IF(TRIM($B310)="","",IFERROR(VLOOKUP($B310,'Section Data'!$B$36:$AC$107,10,FALSE),""))</f>
        <v>30.2</v>
      </c>
      <c r="N310" s="84">
        <f t="shared" si="37"/>
        <v>13</v>
      </c>
      <c r="O310" s="84">
        <f t="shared" si="38"/>
        <v>80</v>
      </c>
      <c r="P310" s="84">
        <f>IF(TRIM($B310)="","",IFERROR(VLOOKUP($B310,'Section Data'!$B$36:$AC$107,5,FALSE)*VLOOKUP($B310,'Section Data'!$B$36:$AC$107,3,FALSE),""))</f>
        <v>1158.24</v>
      </c>
      <c r="Q310" s="84">
        <f t="shared" si="39"/>
        <v>237.39211240409824</v>
      </c>
      <c r="R310" s="84">
        <f>'Steel Beam Design'!H2064</f>
        <v>0</v>
      </c>
      <c r="S310" s="84">
        <f t="shared" si="40"/>
        <v>0</v>
      </c>
      <c r="T310" s="84">
        <f>IF(TRIM($B310)="","",IFERROR(VLOOKUP($B310,'Section Data'!$B$36:$AC$107,20,FALSE),""))</f>
        <v>230</v>
      </c>
      <c r="U310" s="84">
        <f>IF(TRIM($B310)="","",IFERROR(VLOOKUP($B310,'Section Data'!$B$36:$AC$107,21,FALSE),""))</f>
        <v>46.2</v>
      </c>
      <c r="V310" s="84">
        <f>IF(TRIM($B310)="","",IFERROR(VLOOKUP($B310,'Section Data'!$B$36:$AC$107,22,FALSE),""))</f>
        <v>258</v>
      </c>
      <c r="W310" s="84">
        <f>IF(TRIM($B310)="","",IFERROR(VLOOKUP($B310,'Section Data'!$B$36:$AC$107,23,FALSE),""))</f>
        <v>70.900000000000006</v>
      </c>
      <c r="X310" s="84">
        <f>IF(TRIM($B310)="","",IFERROR((VLOOKUP($B310,'Section Data'!$B$36:$AC$107,5,FALSE)/10)*(VLOOKUP($B310,'Section Data'!$B$36:$AC$107,3,FALSE)/10)^2/4,""))</f>
        <v>58.838592000000006</v>
      </c>
      <c r="Y310" s="84">
        <f>IF(TRIM($B310)="","",IFERROR((VLOOKUP($B310,'Section Data'!$B$36:$AC$107,3,FALSE)/10)*(VLOOKUP($B310,'Section Data'!$B$36:$AC$107,5,FALSE)/10)^2/4,""))</f>
        <v>1.6504920000000005</v>
      </c>
      <c r="Z310" s="84">
        <f t="shared" si="41"/>
        <v>81.650000000000006</v>
      </c>
      <c r="AA310" s="84">
        <f t="shared" si="42"/>
        <v>16.401</v>
      </c>
      <c r="AB310" s="86" t="str">
        <f t="shared" si="43"/>
        <v/>
      </c>
      <c r="AC310" s="86" t="str">
        <f t="shared" si="44"/>
        <v/>
      </c>
      <c r="AD310" s="1" t="b">
        <f>AND(ISNUMBER(AB310),ISNUMBER(AC310),AB310&gt;=0,AC310&gt;=0,AB310&lt;=0.95,AC310&lt;=0.95,ISNUMBER(D310),D310&gt;0,'Steel Beam Design'!$A$18="",C310="UC",'Steel Beam Design'!$B$3="Cantilever Supported")</f>
        <v>0</v>
      </c>
      <c r="AE310" s="1" t="str">
        <f>'Steel Beam Design'!O28</f>
        <v/>
      </c>
    </row>
    <row r="311" spans="1:31">
      <c r="A311" s="1" t="s">
        <v>480</v>
      </c>
      <c r="B311" s="1" t="str">
        <f>'Section Data'!B104</f>
        <v>203x102x23</v>
      </c>
      <c r="C311" s="1" t="s">
        <v>368</v>
      </c>
      <c r="D311" s="84">
        <f>'Section Data'!C104</f>
        <v>23.1</v>
      </c>
      <c r="E311" s="84">
        <f>'Section Data'!Q104</f>
        <v>2105</v>
      </c>
      <c r="F311" s="84" t="str">
        <f>'Steel Beam Design'!O56</f>
        <v/>
      </c>
      <c r="G311" s="84" t="str">
        <f>'Steel Beam Design'!O80</f>
        <v/>
      </c>
      <c r="H311" s="84" t="str">
        <f>IF(TRIM($B311)="","",IFERROR('Steel Beam Design'!$D$7006,""))</f>
        <v>S355</v>
      </c>
      <c r="I311" s="84">
        <f>IF(TRIM($B311)="","",IFERROR(MAX(VLOOKUP($B311,'Section Data'!$B$36:$AC$107,5,FALSE),VLOOKUP($B311,'Section Data'!$B$36:$AC$107,6,FALSE)),""))</f>
        <v>9.3000000000000007</v>
      </c>
      <c r="J311" s="84">
        <f>IF(TRIM($B311)="","",IFERROR(IF(I311&gt;150,"",INDEX('Section Data'!$AH$5:$AK$10,IF(I311&lt;=16,1,IF(I311&lt;=40,2,IF(I311&lt;=63,3,IF(I311&lt;=80,4,IF(I311&lt;=100,5,6))))),MATCH(H311,'Section Data'!$AH$4:$AK$4,0))),""))</f>
        <v>355</v>
      </c>
      <c r="K311" s="84">
        <f t="shared" si="36"/>
        <v>0.88014083380101371</v>
      </c>
      <c r="L311" s="84">
        <f>IF(TRIM($B311)="","",IFERROR(VLOOKUP($B311,'Section Data'!$B$36:$AC$107,9,FALSE),""))</f>
        <v>5.47</v>
      </c>
      <c r="M311" s="84">
        <f>IF(TRIM($B311)="","",IFERROR(VLOOKUP($B311,'Section Data'!$B$36:$AC$107,10,FALSE),""))</f>
        <v>31.4</v>
      </c>
      <c r="N311" s="84">
        <f t="shared" si="37"/>
        <v>8</v>
      </c>
      <c r="O311" s="84">
        <f t="shared" si="38"/>
        <v>80</v>
      </c>
      <c r="P311" s="84">
        <f>IF(TRIM($B311)="","",IFERROR(VLOOKUP($B311,'Section Data'!$B$36:$AC$107,5,FALSE)*VLOOKUP($B311,'Section Data'!$B$36:$AC$107,3,FALSE),""))</f>
        <v>1097.28</v>
      </c>
      <c r="Q311" s="84">
        <f t="shared" si="39"/>
        <v>224.89779069861936</v>
      </c>
      <c r="R311" s="84">
        <f>'Steel Beam Design'!H2064</f>
        <v>0</v>
      </c>
      <c r="S311" s="84">
        <f t="shared" si="40"/>
        <v>0</v>
      </c>
      <c r="T311" s="84">
        <f>IF(TRIM($B311)="","",IFERROR(VLOOKUP($B311,'Section Data'!$B$36:$AC$107,20,FALSE),""))</f>
        <v>207</v>
      </c>
      <c r="U311" s="84">
        <f>IF(TRIM($B311)="","",IFERROR(VLOOKUP($B311,'Section Data'!$B$36:$AC$107,21,FALSE),""))</f>
        <v>32.200000000000003</v>
      </c>
      <c r="V311" s="84">
        <f>IF(TRIM($B311)="","",IFERROR(VLOOKUP($B311,'Section Data'!$B$36:$AC$107,22,FALSE),""))</f>
        <v>234</v>
      </c>
      <c r="W311" s="84">
        <f>IF(TRIM($B311)="","",IFERROR(VLOOKUP($B311,'Section Data'!$B$36:$AC$107,23,FALSE),""))</f>
        <v>49.8</v>
      </c>
      <c r="X311" s="84">
        <f>IF(TRIM($B311)="","",IFERROR((VLOOKUP($B311,'Section Data'!$B$36:$AC$107,5,FALSE)/10)*(VLOOKUP($B311,'Section Data'!$B$36:$AC$107,3,FALSE)/10)^2/4,""))</f>
        <v>55.741824000000001</v>
      </c>
      <c r="Y311" s="84">
        <f>IF(TRIM($B311)="","",IFERROR((VLOOKUP($B311,'Section Data'!$B$36:$AC$107,3,FALSE)/10)*(VLOOKUP($B311,'Section Data'!$B$36:$AC$107,5,FALSE)/10)^2/4,""))</f>
        <v>1.4813280000000002</v>
      </c>
      <c r="Z311" s="84">
        <f t="shared" si="41"/>
        <v>83.07</v>
      </c>
      <c r="AA311" s="84">
        <f t="shared" si="42"/>
        <v>13.7172</v>
      </c>
      <c r="AB311" s="86" t="str">
        <f t="shared" si="43"/>
        <v/>
      </c>
      <c r="AC311" s="86" t="str">
        <f t="shared" si="44"/>
        <v/>
      </c>
      <c r="AD311" s="1" t="b">
        <f>AND(ISNUMBER(AB311),ISNUMBER(AC311),AB311&gt;=0,AC311&gt;=0,AB311&lt;=0.95,AC311&lt;=0.95,ISNUMBER(D311),D311&gt;0,'Steel Beam Design'!$A$18="",C311="UC",'Steel Beam Design'!$B$3="Cantilever Supported")</f>
        <v>0</v>
      </c>
      <c r="AE311" s="1" t="str">
        <f>'Steel Beam Design'!O28</f>
        <v/>
      </c>
    </row>
    <row r="312" spans="1:31">
      <c r="A312" s="1" t="s">
        <v>480</v>
      </c>
      <c r="B312" s="1" t="str">
        <f>'Section Data'!B105</f>
        <v>178x102x19</v>
      </c>
      <c r="C312" s="1" t="s">
        <v>368</v>
      </c>
      <c r="D312" s="84">
        <f>'Section Data'!C105</f>
        <v>19</v>
      </c>
      <c r="E312" s="84">
        <f>'Section Data'!Q105</f>
        <v>1356</v>
      </c>
      <c r="F312" s="84" t="str">
        <f>'Steel Beam Design'!O56</f>
        <v/>
      </c>
      <c r="G312" s="84" t="str">
        <f>'Steel Beam Design'!O80</f>
        <v/>
      </c>
      <c r="H312" s="84" t="str">
        <f>IF(TRIM($B312)="","",IFERROR('Steel Beam Design'!$D$7006,""))</f>
        <v>S355</v>
      </c>
      <c r="I312" s="84">
        <f>IF(TRIM($B312)="","",IFERROR(MAX(VLOOKUP($B312,'Section Data'!$B$36:$AC$107,5,FALSE),VLOOKUP($B312,'Section Data'!$B$36:$AC$107,6,FALSE)),""))</f>
        <v>7.9</v>
      </c>
      <c r="J312" s="84">
        <f>IF(TRIM($B312)="","",IFERROR(IF(I312&gt;150,"",INDEX('Section Data'!$AH$5:$AK$10,IF(I312&lt;=16,1,IF(I312&lt;=40,2,IF(I312&lt;=63,3,IF(I312&lt;=80,4,IF(I312&lt;=100,5,6))))),MATCH(H312,'Section Data'!$AH$4:$AK$4,0))),""))</f>
        <v>355</v>
      </c>
      <c r="K312" s="84">
        <f t="shared" si="36"/>
        <v>0.88014083380101371</v>
      </c>
      <c r="L312" s="84">
        <f>IF(TRIM($B312)="","",IFERROR(VLOOKUP($B312,'Section Data'!$B$36:$AC$107,9,FALSE),""))</f>
        <v>6.41</v>
      </c>
      <c r="M312" s="84">
        <f>IF(TRIM($B312)="","",IFERROR(VLOOKUP($B312,'Section Data'!$B$36:$AC$107,10,FALSE),""))</f>
        <v>30.6</v>
      </c>
      <c r="N312" s="84">
        <f t="shared" si="37"/>
        <v>8</v>
      </c>
      <c r="O312" s="84">
        <f t="shared" si="38"/>
        <v>80</v>
      </c>
      <c r="P312" s="84">
        <f>IF(TRIM($B312)="","",IFERROR(VLOOKUP($B312,'Section Data'!$B$36:$AC$107,5,FALSE)*VLOOKUP($B312,'Section Data'!$B$36:$AC$107,3,FALSE),""))</f>
        <v>853.44</v>
      </c>
      <c r="Q312" s="84">
        <f t="shared" si="39"/>
        <v>174.92050387670398</v>
      </c>
      <c r="R312" s="84">
        <f>'Steel Beam Design'!H2064</f>
        <v>0</v>
      </c>
      <c r="S312" s="84">
        <f t="shared" si="40"/>
        <v>0</v>
      </c>
      <c r="T312" s="84">
        <f>IF(TRIM($B312)="","",IFERROR(VLOOKUP($B312,'Section Data'!$B$36:$AC$107,20,FALSE),""))</f>
        <v>153</v>
      </c>
      <c r="U312" s="84">
        <f>IF(TRIM($B312)="","",IFERROR(VLOOKUP($B312,'Section Data'!$B$36:$AC$107,21,FALSE),""))</f>
        <v>27</v>
      </c>
      <c r="V312" s="84">
        <f>IF(TRIM($B312)="","",IFERROR(VLOOKUP($B312,'Section Data'!$B$36:$AC$107,22,FALSE),""))</f>
        <v>171</v>
      </c>
      <c r="W312" s="84">
        <f>IF(TRIM($B312)="","",IFERROR(VLOOKUP($B312,'Section Data'!$B$36:$AC$107,23,FALSE),""))</f>
        <v>41.6</v>
      </c>
      <c r="X312" s="84">
        <f>IF(TRIM($B312)="","",IFERROR((VLOOKUP($B312,'Section Data'!$B$36:$AC$107,5,FALSE)/10)*(VLOOKUP($B312,'Section Data'!$B$36:$AC$107,3,FALSE)/10)^2/4,""))</f>
        <v>37.935408000000002</v>
      </c>
      <c r="Y312" s="84">
        <f>IF(TRIM($B312)="","",IFERROR((VLOOKUP($B312,'Section Data'!$B$36:$AC$107,3,FALSE)/10)*(VLOOKUP($B312,'Section Data'!$B$36:$AC$107,5,FALSE)/10)^2/4,""))</f>
        <v>1.0241279999999999</v>
      </c>
      <c r="Z312" s="84">
        <f t="shared" si="41"/>
        <v>60.704999999999998</v>
      </c>
      <c r="AA312" s="84">
        <f t="shared" si="42"/>
        <v>11.502000000000001</v>
      </c>
      <c r="AB312" s="86" t="str">
        <f t="shared" si="43"/>
        <v/>
      </c>
      <c r="AC312" s="86" t="str">
        <f t="shared" si="44"/>
        <v/>
      </c>
      <c r="AD312" s="1" t="b">
        <f>AND(ISNUMBER(AB312),ISNUMBER(AC312),AB312&gt;=0,AC312&gt;=0,AB312&lt;=0.95,AC312&lt;=0.95,ISNUMBER(D312),D312&gt;0,'Steel Beam Design'!$A$18="",C312="UC",'Steel Beam Design'!$B$3="Cantilever Supported")</f>
        <v>0</v>
      </c>
      <c r="AE312" s="1" t="str">
        <f>'Steel Beam Design'!O28</f>
        <v/>
      </c>
    </row>
    <row r="313" spans="1:31">
      <c r="A313" s="1" t="s">
        <v>480</v>
      </c>
      <c r="B313" s="1" t="str">
        <f>'Section Data'!B106</f>
        <v>152x89x16</v>
      </c>
      <c r="C313" s="1" t="s">
        <v>368</v>
      </c>
      <c r="D313" s="84">
        <f>'Section Data'!C106</f>
        <v>16</v>
      </c>
      <c r="E313" s="84">
        <f>'Section Data'!Q106</f>
        <v>834</v>
      </c>
      <c r="F313" s="84" t="str">
        <f>'Steel Beam Design'!O56</f>
        <v/>
      </c>
      <c r="G313" s="84" t="str">
        <f>'Steel Beam Design'!O80</f>
        <v/>
      </c>
      <c r="H313" s="84" t="str">
        <f>IF(TRIM($B313)="","",IFERROR('Steel Beam Design'!$D$7006,""))</f>
        <v>S355</v>
      </c>
      <c r="I313" s="84">
        <f>IF(TRIM($B313)="","",IFERROR(MAX(VLOOKUP($B313,'Section Data'!$B$36:$AC$107,5,FALSE),VLOOKUP($B313,'Section Data'!$B$36:$AC$107,6,FALSE)),""))</f>
        <v>7.7</v>
      </c>
      <c r="J313" s="84">
        <f>IF(TRIM($B313)="","",IFERROR(IF(I313&gt;150,"",INDEX('Section Data'!$AH$5:$AK$10,IF(I313&lt;=16,1,IF(I313&lt;=40,2,IF(I313&lt;=63,3,IF(I313&lt;=80,4,IF(I313&lt;=100,5,6))))),MATCH(H313,'Section Data'!$AH$4:$AK$4,0))),""))</f>
        <v>355</v>
      </c>
      <c r="K313" s="84">
        <f t="shared" si="36"/>
        <v>0.88014083380101371</v>
      </c>
      <c r="L313" s="84">
        <f>IF(TRIM($B313)="","",IFERROR(VLOOKUP($B313,'Section Data'!$B$36:$AC$107,9,FALSE),""))</f>
        <v>5.76</v>
      </c>
      <c r="M313" s="84">
        <f>IF(TRIM($B313)="","",IFERROR(VLOOKUP($B313,'Section Data'!$B$36:$AC$107,10,FALSE),""))</f>
        <v>27.1</v>
      </c>
      <c r="N313" s="84">
        <f t="shared" si="37"/>
        <v>8</v>
      </c>
      <c r="O313" s="84">
        <f t="shared" si="38"/>
        <v>80</v>
      </c>
      <c r="P313" s="84">
        <f>IF(TRIM($B313)="","",IFERROR(VLOOKUP($B313,'Section Data'!$B$36:$AC$107,5,FALSE)*VLOOKUP($B313,'Section Data'!$B$36:$AC$107,3,FALSE),""))</f>
        <v>685.80000000000007</v>
      </c>
      <c r="Q313" s="84">
        <f t="shared" si="39"/>
        <v>140.56111918663714</v>
      </c>
      <c r="R313" s="84">
        <f>'Steel Beam Design'!H2064</f>
        <v>0</v>
      </c>
      <c r="S313" s="84">
        <f t="shared" si="40"/>
        <v>0</v>
      </c>
      <c r="T313" s="84">
        <f>IF(TRIM($B313)="","",IFERROR(VLOOKUP($B313,'Section Data'!$B$36:$AC$107,20,FALSE),""))</f>
        <v>109</v>
      </c>
      <c r="U313" s="84">
        <f>IF(TRIM($B313)="","",IFERROR(VLOOKUP($B313,'Section Data'!$B$36:$AC$107,21,FALSE),""))</f>
        <v>20.2</v>
      </c>
      <c r="V313" s="84">
        <f>IF(TRIM($B313)="","",IFERROR(VLOOKUP($B313,'Section Data'!$B$36:$AC$107,22,FALSE),""))</f>
        <v>123</v>
      </c>
      <c r="W313" s="84">
        <f>IF(TRIM($B313)="","",IFERROR(VLOOKUP($B313,'Section Data'!$B$36:$AC$107,23,FALSE),""))</f>
        <v>31.2</v>
      </c>
      <c r="X313" s="84">
        <f>IF(TRIM($B313)="","",IFERROR((VLOOKUP($B313,'Section Data'!$B$36:$AC$107,5,FALSE)/10)*(VLOOKUP($B313,'Section Data'!$B$36:$AC$107,3,FALSE)/10)^2/4,""))</f>
        <v>26.128979999999999</v>
      </c>
      <c r="Y313" s="84">
        <f>IF(TRIM($B313)="","",IFERROR((VLOOKUP($B313,'Section Data'!$B$36:$AC$107,3,FALSE)/10)*(VLOOKUP($B313,'Section Data'!$B$36:$AC$107,5,FALSE)/10)^2/4,""))</f>
        <v>0.77152500000000002</v>
      </c>
      <c r="Z313" s="84">
        <f t="shared" si="41"/>
        <v>43.664999999999999</v>
      </c>
      <c r="AA313" s="84">
        <f t="shared" si="42"/>
        <v>8.6051999999999982</v>
      </c>
      <c r="AB313" s="86" t="str">
        <f t="shared" si="43"/>
        <v/>
      </c>
      <c r="AC313" s="86" t="str">
        <f t="shared" si="44"/>
        <v/>
      </c>
      <c r="AD313" s="1" t="b">
        <f>AND(ISNUMBER(AB313),ISNUMBER(AC313),AB313&gt;=0,AC313&gt;=0,AB313&lt;=0.95,AC313&lt;=0.95,ISNUMBER(D313),D313&gt;0,'Steel Beam Design'!$A$18="",C313="UC",'Steel Beam Design'!$B$3="Cantilever Supported")</f>
        <v>0</v>
      </c>
      <c r="AE313" s="1" t="str">
        <f>'Steel Beam Design'!O28</f>
        <v/>
      </c>
    </row>
    <row r="314" spans="1:31">
      <c r="A314" s="1" t="s">
        <v>480</v>
      </c>
      <c r="B314" s="1" t="str">
        <f>'Section Data'!B107</f>
        <v>127x76x13</v>
      </c>
      <c r="C314" s="1" t="s">
        <v>368</v>
      </c>
      <c r="D314" s="84">
        <f>'Section Data'!C107</f>
        <v>13</v>
      </c>
      <c r="E314" s="84">
        <f>'Section Data'!Q107</f>
        <v>473</v>
      </c>
      <c r="F314" s="84" t="str">
        <f>'Steel Beam Design'!O56</f>
        <v/>
      </c>
      <c r="G314" s="84" t="str">
        <f>'Steel Beam Design'!O80</f>
        <v/>
      </c>
      <c r="H314" s="84" t="str">
        <f>IF(TRIM($B314)="","",IFERROR('Steel Beam Design'!$D$7006,""))</f>
        <v>S355</v>
      </c>
      <c r="I314" s="84">
        <f>IF(TRIM($B314)="","",IFERROR(MAX(VLOOKUP($B314,'Section Data'!$B$36:$AC$107,5,FALSE),VLOOKUP($B314,'Section Data'!$B$36:$AC$107,6,FALSE)),""))</f>
        <v>7.6</v>
      </c>
      <c r="J314" s="84">
        <f>IF(TRIM($B314)="","",IFERROR(IF(I314&gt;150,"",INDEX('Section Data'!$AH$5:$AK$10,IF(I314&lt;=16,1,IF(I314&lt;=40,2,IF(I314&lt;=63,3,IF(I314&lt;=80,4,IF(I314&lt;=100,5,6))))),MATCH(H314,'Section Data'!$AH$4:$AK$4,0))),""))</f>
        <v>355</v>
      </c>
      <c r="K314" s="84">
        <f t="shared" si="36"/>
        <v>0.88014083380101371</v>
      </c>
      <c r="L314" s="84">
        <f>IF(TRIM($B314)="","",IFERROR(VLOOKUP($B314,'Section Data'!$B$36:$AC$107,9,FALSE),""))</f>
        <v>5</v>
      </c>
      <c r="M314" s="84">
        <f>IF(TRIM($B314)="","",IFERROR(VLOOKUP($B314,'Section Data'!$B$36:$AC$107,10,FALSE),""))</f>
        <v>24.2</v>
      </c>
      <c r="N314" s="84">
        <f t="shared" si="37"/>
        <v>8</v>
      </c>
      <c r="O314" s="84">
        <f t="shared" si="38"/>
        <v>80</v>
      </c>
      <c r="P314" s="84">
        <f>IF(TRIM($B314)="","",IFERROR(VLOOKUP($B314,'Section Data'!$B$36:$AC$107,5,FALSE)*VLOOKUP($B314,'Section Data'!$B$36:$AC$107,3,FALSE),""))</f>
        <v>508</v>
      </c>
      <c r="Q314" s="84">
        <f t="shared" si="39"/>
        <v>104.11934754565712</v>
      </c>
      <c r="R314" s="84">
        <f>'Steel Beam Design'!H2064</f>
        <v>0</v>
      </c>
      <c r="S314" s="84">
        <f t="shared" si="40"/>
        <v>0</v>
      </c>
      <c r="T314" s="84">
        <f>IF(TRIM($B314)="","",IFERROR(VLOOKUP($B314,'Section Data'!$B$36:$AC$107,20,FALSE),""))</f>
        <v>74.599999999999994</v>
      </c>
      <c r="U314" s="84">
        <f>IF(TRIM($B314)="","",IFERROR(VLOOKUP($B314,'Section Data'!$B$36:$AC$107,21,FALSE),""))</f>
        <v>14.7</v>
      </c>
      <c r="V314" s="84">
        <f>IF(TRIM($B314)="","",IFERROR(VLOOKUP($B314,'Section Data'!$B$36:$AC$107,22,FALSE),""))</f>
        <v>84.2</v>
      </c>
      <c r="W314" s="84">
        <f>IF(TRIM($B314)="","",IFERROR(VLOOKUP($B314,'Section Data'!$B$36:$AC$107,23,FALSE),""))</f>
        <v>22.6</v>
      </c>
      <c r="X314" s="84">
        <f>IF(TRIM($B314)="","",IFERROR((VLOOKUP($B314,'Section Data'!$B$36:$AC$107,5,FALSE)/10)*(VLOOKUP($B314,'Section Data'!$B$36:$AC$107,3,FALSE)/10)^2/4,""))</f>
        <v>16.129000000000001</v>
      </c>
      <c r="Y314" s="84">
        <f>IF(TRIM($B314)="","",IFERROR((VLOOKUP($B314,'Section Data'!$B$36:$AC$107,3,FALSE)/10)*(VLOOKUP($B314,'Section Data'!$B$36:$AC$107,5,FALSE)/10)^2/4,""))</f>
        <v>0.50800000000000012</v>
      </c>
      <c r="Z314" s="84">
        <f t="shared" si="41"/>
        <v>29.890999999999998</v>
      </c>
      <c r="AA314" s="84">
        <f t="shared" si="42"/>
        <v>6.2621999999999991</v>
      </c>
      <c r="AB314" s="86" t="str">
        <f t="shared" si="43"/>
        <v/>
      </c>
      <c r="AC314" s="86" t="str">
        <f t="shared" si="44"/>
        <v/>
      </c>
      <c r="AD314" s="1" t="b">
        <f>AND(ISNUMBER(AB314),ISNUMBER(AC314),AB314&gt;=0,AC314&gt;=0,AB314&lt;=0.95,AC314&lt;=0.95,ISNUMBER(D314),D314&gt;0,'Steel Beam Design'!$A$18="",C314="UC",'Steel Beam Design'!$B$3="Cantilever Supported")</f>
        <v>0</v>
      </c>
      <c r="AE314" s="1" t="str">
        <f>'Steel Beam Design'!O28</f>
        <v/>
      </c>
    </row>
  </sheetData>
  <sheetProtection sheet="1" objects="1" scenarios="1"/>
  <autoFilter ref="A5:AE314" xr:uid="{277C9B95-FFA9-45AA-8D5D-96CC0E6A4CFC}"/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7</vt:i4>
      </vt:variant>
    </vt:vector>
  </HeadingPairs>
  <TitlesOfParts>
    <vt:vector size="13" baseType="lpstr">
      <vt:lpstr>Steel Beam Design</vt:lpstr>
      <vt:lpstr>column design</vt:lpstr>
      <vt:lpstr>抄</vt:lpstr>
      <vt:lpstr>1 - Imposed Load</vt:lpstr>
      <vt:lpstr>Section Data</vt:lpstr>
      <vt:lpstr>Auto Selection</vt:lpstr>
      <vt:lpstr>ColumnSteelOptions</vt:lpstr>
      <vt:lpstr>ColumnUCOptions</vt:lpstr>
      <vt:lpstr>ColumnUsageOptions</vt:lpstr>
      <vt:lpstr>'Steel Beam Design'!Print_Area</vt:lpstr>
      <vt:lpstr>抄!Print_Area</vt:lpstr>
      <vt:lpstr>UB_Sizes</vt:lpstr>
      <vt:lpstr>UC_Sizes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Huang</dc:creator>
  <cp:lastModifiedBy>huangshengxiang6608@gmail.com</cp:lastModifiedBy>
  <cp:lastPrinted>2026-09-17T07:01:20Z</cp:lastPrinted>
  <dcterms:created xsi:type="dcterms:W3CDTF">2026-09-10T10:07:41Z</dcterms:created>
  <dcterms:modified xsi:type="dcterms:W3CDTF">2026-09-22T16:59:06Z</dcterms:modified>
</cp:coreProperties>
</file>